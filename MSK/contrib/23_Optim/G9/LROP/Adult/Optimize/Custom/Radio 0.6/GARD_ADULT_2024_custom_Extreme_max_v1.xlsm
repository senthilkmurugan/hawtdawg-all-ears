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LROP\Adult\Optimize\Custom\Radio 0.6\"/>
    </mc:Choice>
  </mc:AlternateContent>
  <xr:revisionPtr revIDLastSave="0" documentId="13_ncr:1_{23977058-1E9F-4877-94EF-2189CB8E254C}" xr6:coauthVersionLast="47" xr6:coauthVersionMax="47" xr10:uidLastSave="{00000000-0000-0000-0000-000000000000}"/>
  <bookViews>
    <workbookView xWindow="-120" yWindow="-120" windowWidth="20730" windowHeight="11160" tabRatio="906" firstSheet="1" activeTab="5" xr2:uid="{00000000-000D-0000-FFFF-FFFF00000000}"/>
  </bookViews>
  <sheets>
    <sheet name="Sensitivity - Template" sheetId="86" state="hidden" r:id="rId1"/>
    <sheet name="Chart - Combined" sheetId="36" r:id="rId2"/>
    <sheet name="Sensitivity" sheetId="81" state="hidden" r:id="rId3"/>
    <sheet name="Contribution, promo eff, ROI" sheetId="80" r:id="rId4"/>
    <sheet name="Scenario summary_dz" sheetId="78" r:id="rId5"/>
    <sheet name="Scenario deep dive_dz" sheetId="79" r:id="rId6"/>
    <sheet name="VAC_Optim_Scenario" sheetId="23" r:id="rId7"/>
    <sheet name="GINOFF" sheetId="51" r:id="rId8"/>
    <sheet name="GMCM" sheetId="50" r:id="rId9"/>
    <sheet name="GSOCIAL" sheetId="89" r:id="rId10"/>
    <sheet name="GOLV" sheetId="92" r:id="rId11"/>
    <sheet name="GSTRTV" sheetId="91" r:id="rId12"/>
    <sheet name="GDISP" sheetId="87" r:id="rId13"/>
    <sheet name="GPDSRCH" sheetId="93" r:id="rId14"/>
    <sheet name="GAUDIO" sheetId="88" r:id="rId15"/>
    <sheet name="GLINEARTV" sheetId="90" r:id="rId16"/>
    <sheet name="GPRNT" sheetId="48" state="hidden" r:id="rId17"/>
    <sheet name="GPHRMCY" sheetId="94" r:id="rId18"/>
    <sheet name="Fn.Templates ==&gt;" sheetId="3" r:id="rId19"/>
    <sheet name="FT_SCurveEst" sheetId="2" r:id="rId20"/>
    <sheet name="FT_Equation" sheetId="4" r:id="rId21"/>
    <sheet name="FT_Interpolate" sheetId="5" r:id="rId22"/>
    <sheet name="FT_SCurve3Est" sheetId="13" r:id="rId23"/>
  </sheets>
  <externalReferences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</externalReferences>
  <definedNames>
    <definedName name="_xlnm._FilterDatabase" localSheetId="3" hidden="1">'Contribution, promo eff, ROI'!$E$17:$F$25</definedName>
    <definedName name="solver_adj" localSheetId="6" hidden="1">VAC_Optim_Scenario!$I$17:$I$26</definedName>
    <definedName name="solver_cvg" localSheetId="2" hidden="1">0.0001</definedName>
    <definedName name="solver_cvg" localSheetId="0" hidden="1">0.0001</definedName>
    <definedName name="solver_cvg" localSheetId="6" hidden="1">0.0001</definedName>
    <definedName name="solver_drv" localSheetId="2" hidden="1">1</definedName>
    <definedName name="solver_drv" localSheetId="0" hidden="1">1</definedName>
    <definedName name="solver_drv" localSheetId="6" hidden="1">1</definedName>
    <definedName name="solver_eng" localSheetId="17" hidden="1">1</definedName>
    <definedName name="solver_eng" localSheetId="5" hidden="1">1</definedName>
    <definedName name="solver_eng" localSheetId="2" hidden="1">1</definedName>
    <definedName name="solver_eng" localSheetId="0" hidden="1">1</definedName>
    <definedName name="solver_eng" localSheetId="6" hidden="1">1</definedName>
    <definedName name="solver_est" localSheetId="2" hidden="1">1</definedName>
    <definedName name="solver_est" localSheetId="0" hidden="1">1</definedName>
    <definedName name="solver_est" localSheetId="6" hidden="1">1</definedName>
    <definedName name="solver_itr" localSheetId="2" hidden="1">2147483647</definedName>
    <definedName name="solver_itr" localSheetId="0" hidden="1">2147483647</definedName>
    <definedName name="solver_itr" localSheetId="6" hidden="1">2147483647</definedName>
    <definedName name="solver_lhs0" localSheetId="6" hidden="1">VAC_Optim_Scenario!$I$27</definedName>
    <definedName name="solver_lhs1" localSheetId="6" hidden="1">VAC_Optim_Scenario!$B$12</definedName>
    <definedName name="solver_lhs2" localSheetId="6" hidden="1">VAC_Optim_Scenario!$I$17:$I$26</definedName>
    <definedName name="solver_lhs3" localSheetId="6" hidden="1">VAC_Optim_Scenario!$I$17:$I$26</definedName>
    <definedName name="solver_lhs4" localSheetId="6" hidden="1">VAC_Optim_Scenario!$I$27</definedName>
    <definedName name="solver_lhs5" localSheetId="6" hidden="1">VAC_Optim_Scenario!#REF!</definedName>
    <definedName name="solver_mip" localSheetId="2" hidden="1">2147483647</definedName>
    <definedName name="solver_mip" localSheetId="0" hidden="1">2147483647</definedName>
    <definedName name="solver_mip" localSheetId="6" hidden="1">2147483647</definedName>
    <definedName name="solver_mni" localSheetId="2" hidden="1">30</definedName>
    <definedName name="solver_mni" localSheetId="0" hidden="1">30</definedName>
    <definedName name="solver_mni" localSheetId="6" hidden="1">30</definedName>
    <definedName name="solver_mrt" localSheetId="2" hidden="1">0.075</definedName>
    <definedName name="solver_mrt" localSheetId="0" hidden="1">0.075</definedName>
    <definedName name="solver_mrt" localSheetId="6" hidden="1">0.075</definedName>
    <definedName name="solver_msl" localSheetId="2" hidden="1">2</definedName>
    <definedName name="solver_msl" localSheetId="0" hidden="1">2</definedName>
    <definedName name="solver_msl" localSheetId="6" hidden="1">2</definedName>
    <definedName name="solver_neg" localSheetId="17" hidden="1">1</definedName>
    <definedName name="solver_neg" localSheetId="5" hidden="1">1</definedName>
    <definedName name="solver_neg" localSheetId="2" hidden="1">1</definedName>
    <definedName name="solver_neg" localSheetId="0" hidden="1">1</definedName>
    <definedName name="solver_neg" localSheetId="6" hidden="1">1</definedName>
    <definedName name="solver_nod" localSheetId="2" hidden="1">2147483647</definedName>
    <definedName name="solver_nod" localSheetId="0" hidden="1">2147483647</definedName>
    <definedName name="solver_nod" localSheetId="6" hidden="1">2147483647</definedName>
    <definedName name="solver_num" localSheetId="17" hidden="1">0</definedName>
    <definedName name="solver_num" localSheetId="5" hidden="1">0</definedName>
    <definedName name="solver_num" localSheetId="2" hidden="1">0</definedName>
    <definedName name="solver_num" localSheetId="0" hidden="1">0</definedName>
    <definedName name="solver_num" localSheetId="6" hidden="1">3</definedName>
    <definedName name="solver_nwt" localSheetId="2" hidden="1">1</definedName>
    <definedName name="solver_nwt" localSheetId="0" hidden="1">1</definedName>
    <definedName name="solver_nwt" localSheetId="6" hidden="1">1</definedName>
    <definedName name="solver_opt" localSheetId="17" hidden="1">GPHRMCY!$I$12</definedName>
    <definedName name="solver_opt" localSheetId="5" hidden="1">'Scenario deep dive_dz'!$D$18</definedName>
    <definedName name="solver_opt" localSheetId="2" hidden="1">Sensitivity!$F$6</definedName>
    <definedName name="solver_opt" localSheetId="0" hidden="1">'Sensitivity - Template'!$F$6</definedName>
    <definedName name="solver_opt" localSheetId="6" hidden="1">VAC_Optim_Scenario!$B$9</definedName>
    <definedName name="solver_pre" localSheetId="2" hidden="1">0.000001</definedName>
    <definedName name="solver_pre" localSheetId="0" hidden="1">0.000001</definedName>
    <definedName name="solver_pre" localSheetId="6" hidden="1">0.00000001</definedName>
    <definedName name="solver_rbv" localSheetId="2" hidden="1">1</definedName>
    <definedName name="solver_rbv" localSheetId="0" hidden="1">1</definedName>
    <definedName name="solver_rbv" localSheetId="6" hidden="1">1</definedName>
    <definedName name="solver_rel0" localSheetId="6" hidden="1">3</definedName>
    <definedName name="solver_rel1" localSheetId="6" hidden="1">2</definedName>
    <definedName name="solver_rel2" localSheetId="6" hidden="1">1</definedName>
    <definedName name="solver_rel3" localSheetId="6" hidden="1">3</definedName>
    <definedName name="solver_rel4" localSheetId="6" hidden="1">3</definedName>
    <definedName name="solver_rel5" localSheetId="6" hidden="1">2</definedName>
    <definedName name="solver_rhs0" localSheetId="6" hidden="1">VAC_Optim_Scenario!$C$12</definedName>
    <definedName name="solver_rhs1" localSheetId="6" hidden="1">VAC_Optim_Scenario!$I$27</definedName>
    <definedName name="solver_rhs2" localSheetId="6" hidden="1">VAC_Optim_Scenario!$H$17:$H$26</definedName>
    <definedName name="solver_rhs3" localSheetId="6" hidden="1">VAC_Optim_Scenario!$G$17:$G$26</definedName>
    <definedName name="solver_rhs4" localSheetId="6" hidden="1">VAC_Optim_Scenario!$C$12</definedName>
    <definedName name="solver_rhs5" localSheetId="6" hidden="1">VAC_Optim_Scenario!#REF!</definedName>
    <definedName name="solver_rlx" localSheetId="2" hidden="1">2</definedName>
    <definedName name="solver_rlx" localSheetId="0" hidden="1">2</definedName>
    <definedName name="solver_rlx" localSheetId="6" hidden="1">2</definedName>
    <definedName name="solver_rsd" localSheetId="2" hidden="1">0</definedName>
    <definedName name="solver_rsd" localSheetId="0" hidden="1">0</definedName>
    <definedName name="solver_rsd" localSheetId="6" hidden="1">0</definedName>
    <definedName name="solver_scl" localSheetId="2" hidden="1">1</definedName>
    <definedName name="solver_scl" localSheetId="0" hidden="1">1</definedName>
    <definedName name="solver_scl" localSheetId="6" hidden="1">1</definedName>
    <definedName name="solver_sho" localSheetId="2" hidden="1">2</definedName>
    <definedName name="solver_sho" localSheetId="0" hidden="1">2</definedName>
    <definedName name="solver_sho" localSheetId="6" hidden="1">2</definedName>
    <definedName name="solver_ssz" localSheetId="2" hidden="1">100</definedName>
    <definedName name="solver_ssz" localSheetId="0" hidden="1">100</definedName>
    <definedName name="solver_ssz" localSheetId="6" hidden="1">100</definedName>
    <definedName name="solver_tim" localSheetId="2" hidden="1">2147483647</definedName>
    <definedName name="solver_tim" localSheetId="0" hidden="1">2147483647</definedName>
    <definedName name="solver_tim" localSheetId="6" hidden="1">2147483647</definedName>
    <definedName name="solver_tol" localSheetId="2" hidden="1">0.01</definedName>
    <definedName name="solver_tol" localSheetId="0" hidden="1">0.01</definedName>
    <definedName name="solver_tol" localSheetId="6" hidden="1">0.01</definedName>
    <definedName name="solver_typ" localSheetId="17" hidden="1">1</definedName>
    <definedName name="solver_typ" localSheetId="5" hidden="1">1</definedName>
    <definedName name="solver_typ" localSheetId="2" hidden="1">1</definedName>
    <definedName name="solver_typ" localSheetId="0" hidden="1">1</definedName>
    <definedName name="solver_typ" localSheetId="6" hidden="1">1</definedName>
    <definedName name="solver_val" localSheetId="17" hidden="1">0</definedName>
    <definedName name="solver_val" localSheetId="5" hidden="1">0</definedName>
    <definedName name="solver_val" localSheetId="2" hidden="1">0</definedName>
    <definedName name="solver_val" localSheetId="0" hidden="1">0</definedName>
    <definedName name="solver_val" localSheetId="6" hidden="1">0</definedName>
    <definedName name="solver_ver" localSheetId="17" hidden="1">3</definedName>
    <definedName name="solver_ver" localSheetId="5" hidden="1">3</definedName>
    <definedName name="solver_ver" localSheetId="2" hidden="1">3</definedName>
    <definedName name="solver_ver" localSheetId="0" hidden="1">3</definedName>
    <definedName name="solver_ver" localSheetId="6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88" l="1"/>
  <c r="B9" i="88"/>
  <c r="C9" i="90"/>
  <c r="B9" i="90"/>
  <c r="C35" i="79"/>
  <c r="D5" i="80" l="1"/>
  <c r="D6" i="80"/>
  <c r="D7" i="80"/>
  <c r="D8" i="80"/>
  <c r="D9" i="80"/>
  <c r="D10" i="80"/>
  <c r="D11" i="80"/>
  <c r="D12" i="80"/>
  <c r="D13" i="80"/>
  <c r="D4" i="80"/>
  <c r="C12" i="80"/>
  <c r="C13" i="80"/>
  <c r="Q13" i="80" a="1"/>
  <c r="R12" i="80" a="1"/>
  <c r="Q7" i="80" a="1"/>
  <c r="Q10" i="80" a="1"/>
  <c r="R5" i="80" a="1"/>
  <c r="R8" i="80" a="1"/>
  <c r="Q4" i="80" a="1"/>
  <c r="Q9" i="80" a="1"/>
  <c r="Q8" i="80" a="1"/>
  <c r="R6" i="80" a="1"/>
  <c r="Q12" i="80" a="1"/>
  <c r="R10" i="80" a="1"/>
  <c r="Q6" i="80" a="1"/>
  <c r="R9" i="80" a="1"/>
  <c r="Q11" i="80" a="1"/>
  <c r="R7" i="80" a="1"/>
  <c r="Q5" i="80" a="1"/>
  <c r="R13" i="80" a="1"/>
  <c r="R11" i="80" a="1"/>
  <c r="R4" i="80" a="1"/>
  <c r="R13" i="80" l="1"/>
  <c r="Q13" i="80"/>
  <c r="R12" i="80"/>
  <c r="Q12" i="80"/>
  <c r="R11" i="80"/>
  <c r="Q11" i="80"/>
  <c r="R7" i="80"/>
  <c r="Q7" i="80"/>
  <c r="R4" i="80"/>
  <c r="Q4" i="80"/>
  <c r="R10" i="80"/>
  <c r="Q10" i="80"/>
  <c r="R6" i="80"/>
  <c r="Q6" i="80"/>
  <c r="Q8" i="80"/>
  <c r="R8" i="80"/>
  <c r="R9" i="80"/>
  <c r="Q9" i="80"/>
  <c r="R5" i="80"/>
  <c r="Q5" i="80"/>
  <c r="D14" i="80"/>
  <c r="H44" i="23"/>
  <c r="H45" i="23"/>
  <c r="D44" i="23"/>
  <c r="D45" i="23"/>
  <c r="C44" i="23"/>
  <c r="C45" i="23"/>
  <c r="B44" i="23"/>
  <c r="B45" i="23"/>
  <c r="A44" i="23"/>
  <c r="A45" i="23"/>
  <c r="N31" i="79"/>
  <c r="O31" i="79"/>
  <c r="P31" i="79"/>
  <c r="N32" i="79"/>
  <c r="O32" i="79"/>
  <c r="P32" i="79"/>
  <c r="J31" i="79"/>
  <c r="K31" i="79"/>
  <c r="L31" i="79"/>
  <c r="J32" i="79"/>
  <c r="K32" i="79"/>
  <c r="L32" i="79"/>
  <c r="F31" i="79"/>
  <c r="G31" i="79"/>
  <c r="H31" i="79"/>
  <c r="F32" i="79"/>
  <c r="G32" i="79"/>
  <c r="H32" i="79"/>
  <c r="P17" i="79"/>
  <c r="L17" i="79"/>
  <c r="N17" i="79"/>
  <c r="J17" i="79"/>
  <c r="H17" i="79"/>
  <c r="F17" i="79"/>
  <c r="C15" i="79"/>
  <c r="C31" i="79" s="1"/>
  <c r="C16" i="79"/>
  <c r="C32" i="79" s="1"/>
  <c r="B15" i="79"/>
  <c r="B31" i="79" s="1"/>
  <c r="B16" i="79"/>
  <c r="B32" i="79" s="1"/>
  <c r="I12" i="94"/>
  <c r="K45" i="23" l="1"/>
  <c r="M45" i="23" s="1"/>
  <c r="K44" i="23"/>
  <c r="M44" i="23" s="1"/>
  <c r="R16" i="79"/>
  <c r="S16" i="79" s="1"/>
  <c r="R15" i="79"/>
  <c r="S15" i="79" s="1"/>
  <c r="F12" i="94"/>
  <c r="E12" i="94"/>
  <c r="D12" i="94"/>
  <c r="C12" i="94"/>
  <c r="B12" i="94"/>
  <c r="D9" i="94"/>
  <c r="G9" i="94"/>
  <c r="D12" i="90" l="1"/>
  <c r="C12" i="90"/>
  <c r="B12" i="90"/>
  <c r="I27" i="23" l="1"/>
  <c r="E27" i="23"/>
  <c r="B9" i="94"/>
  <c r="C9" i="94"/>
  <c r="F12" i="88"/>
  <c r="G9" i="88"/>
  <c r="D9" i="88"/>
  <c r="D12" i="88"/>
  <c r="C12" i="88"/>
  <c r="B12" i="88"/>
  <c r="D12" i="93" l="1"/>
  <c r="C12" i="93"/>
  <c r="B12" i="93"/>
  <c r="D12" i="87" l="1"/>
  <c r="C12" i="87"/>
  <c r="B12" i="87"/>
  <c r="D12" i="91" l="1"/>
  <c r="C12" i="91"/>
  <c r="B12" i="91"/>
  <c r="F12" i="92" l="1"/>
  <c r="E12" i="92"/>
  <c r="D12" i="92"/>
  <c r="C12" i="92"/>
  <c r="B12" i="92"/>
  <c r="D12" i="89" l="1"/>
  <c r="C12" i="89"/>
  <c r="B12" i="89"/>
  <c r="F12" i="50" l="1"/>
  <c r="E12" i="50"/>
  <c r="D12" i="50"/>
  <c r="C12" i="50"/>
  <c r="B12" i="50"/>
  <c r="F12" i="51" l="1"/>
  <c r="E12" i="51"/>
  <c r="D12" i="51"/>
  <c r="C12" i="51"/>
  <c r="B12" i="51"/>
  <c r="G13" i="78" l="1"/>
  <c r="D12" i="78"/>
  <c r="D13" i="78"/>
  <c r="P33" i="79"/>
  <c r="P35" i="79" s="1"/>
  <c r="N39" i="79" s="1"/>
  <c r="N36" i="79" s="1"/>
  <c r="N33" i="79"/>
  <c r="N35" i="79" s="1"/>
  <c r="P30" i="79"/>
  <c r="O30" i="79"/>
  <c r="N30" i="79"/>
  <c r="P29" i="79"/>
  <c r="O29" i="79"/>
  <c r="N29" i="79"/>
  <c r="P28" i="79"/>
  <c r="O28" i="79"/>
  <c r="N28" i="79"/>
  <c r="P27" i="79"/>
  <c r="O27" i="79"/>
  <c r="N27" i="79"/>
  <c r="P26" i="79"/>
  <c r="O26" i="79"/>
  <c r="N26" i="79"/>
  <c r="P25" i="79"/>
  <c r="O25" i="79"/>
  <c r="N25" i="79"/>
  <c r="P24" i="79"/>
  <c r="O24" i="79"/>
  <c r="N24" i="79"/>
  <c r="P23" i="79"/>
  <c r="O23" i="79"/>
  <c r="N23" i="79"/>
  <c r="N21" i="79"/>
  <c r="N37" i="79" l="1"/>
  <c r="N34" i="79" s="1"/>
  <c r="G6" i="78"/>
  <c r="H27" i="23" l="1"/>
  <c r="C30" i="23"/>
  <c r="K30" i="23" s="1"/>
  <c r="A42" i="90"/>
  <c r="A43" i="50"/>
  <c r="A44" i="50" s="1"/>
  <c r="A45" i="50" s="1"/>
  <c r="A46" i="50" s="1"/>
  <c r="A47" i="50" s="1"/>
  <c r="G27" i="23" l="1"/>
  <c r="G29" i="23"/>
  <c r="H29" i="23"/>
  <c r="F12" i="90" l="1"/>
  <c r="B22" i="90"/>
  <c r="G9" i="90"/>
  <c r="D9" i="90"/>
  <c r="A21" i="90"/>
  <c r="A22" i="90" s="1"/>
  <c r="F14" i="90"/>
  <c r="H9" i="90" l="1"/>
  <c r="I9" i="90" s="1"/>
  <c r="B42" i="90"/>
  <c r="G12" i="90"/>
  <c r="E9" i="90"/>
  <c r="F9" i="90" s="1"/>
  <c r="C22" i="90"/>
  <c r="A23" i="90"/>
  <c r="B21" i="90"/>
  <c r="C21" i="90" s="1"/>
  <c r="A24" i="90" l="1"/>
  <c r="B23" i="90"/>
  <c r="C23" i="90" s="1"/>
  <c r="B24" i="90" l="1"/>
  <c r="C24" i="90" s="1"/>
  <c r="A25" i="90"/>
  <c r="B25" i="90" l="1"/>
  <c r="C25" i="90" s="1"/>
  <c r="A26" i="90"/>
  <c r="A27" i="90" l="1"/>
  <c r="B26" i="90"/>
  <c r="C26" i="90" s="1"/>
  <c r="B27" i="90" l="1"/>
  <c r="C27" i="90" s="1"/>
  <c r="A28" i="90"/>
  <c r="B28" i="90" l="1"/>
  <c r="C28" i="90" s="1"/>
  <c r="A29" i="90"/>
  <c r="A30" i="90" l="1"/>
  <c r="B29" i="90"/>
  <c r="C29" i="90" s="1"/>
  <c r="B30" i="90" l="1"/>
  <c r="C30" i="90" s="1"/>
  <c r="A31" i="90"/>
  <c r="A32" i="90" l="1"/>
  <c r="B31" i="90"/>
  <c r="C31" i="90" s="1"/>
  <c r="B32" i="90" l="1"/>
  <c r="C32" i="90" s="1"/>
  <c r="A33" i="90"/>
  <c r="A34" i="90" l="1"/>
  <c r="B33" i="90"/>
  <c r="C33" i="90" s="1"/>
  <c r="A35" i="90" l="1"/>
  <c r="B34" i="90"/>
  <c r="C34" i="90" s="1"/>
  <c r="B35" i="90" l="1"/>
  <c r="C35" i="90" s="1"/>
  <c r="A36" i="90"/>
  <c r="B36" i="90" l="1"/>
  <c r="C36" i="90" s="1"/>
  <c r="A37" i="90"/>
  <c r="A38" i="90" l="1"/>
  <c r="B37" i="90"/>
  <c r="C37" i="90" s="1"/>
  <c r="A39" i="90" l="1"/>
  <c r="B38" i="90"/>
  <c r="C38" i="90" s="1"/>
  <c r="A40" i="90" l="1"/>
  <c r="B39" i="90"/>
  <c r="C39" i="90" s="1"/>
  <c r="B40" i="90" l="1"/>
  <c r="C40" i="90" s="1"/>
  <c r="A41" i="90"/>
  <c r="B41" i="90" s="1"/>
  <c r="C41" i="90" s="1"/>
  <c r="L11" i="80"/>
  <c r="A21" i="88" l="1"/>
  <c r="A22" i="88" s="1"/>
  <c r="F14" i="88"/>
  <c r="H9" i="88" l="1"/>
  <c r="I9" i="88" s="1"/>
  <c r="E9" i="88"/>
  <c r="F9" i="88" s="1"/>
  <c r="J25" i="23" s="1"/>
  <c r="I44" i="23" s="1"/>
  <c r="G12" i="88"/>
  <c r="B22" i="88"/>
  <c r="C22" i="88" s="1"/>
  <c r="A23" i="88"/>
  <c r="B21" i="88"/>
  <c r="C21" i="88" s="1"/>
  <c r="F25" i="23" l="1"/>
  <c r="A24" i="88"/>
  <c r="B23" i="88"/>
  <c r="C23" i="88" s="1"/>
  <c r="F44" i="23" l="1"/>
  <c r="E12" i="80"/>
  <c r="A25" i="88"/>
  <c r="B24" i="88"/>
  <c r="C24" i="88" s="1"/>
  <c r="J12" i="80" l="1"/>
  <c r="K12" i="80" s="1"/>
  <c r="I12" i="80"/>
  <c r="B25" i="88"/>
  <c r="C25" i="88" s="1"/>
  <c r="A26" i="88"/>
  <c r="A27" i="88" l="1"/>
  <c r="B26" i="88"/>
  <c r="C26" i="88" s="1"/>
  <c r="B27" i="88" l="1"/>
  <c r="C27" i="88" s="1"/>
  <c r="A28" i="88"/>
  <c r="A29" i="88" l="1"/>
  <c r="B28" i="88"/>
  <c r="C28" i="88" s="1"/>
  <c r="A30" i="88" l="1"/>
  <c r="B29" i="88"/>
  <c r="C29" i="88" s="1"/>
  <c r="B30" i="88" l="1"/>
  <c r="C30" i="88" s="1"/>
  <c r="A31" i="88"/>
  <c r="A32" i="88" l="1"/>
  <c r="B31" i="88"/>
  <c r="C31" i="88" s="1"/>
  <c r="A33" i="88" l="1"/>
  <c r="B32" i="88"/>
  <c r="C32" i="88" s="1"/>
  <c r="A34" i="88" l="1"/>
  <c r="B33" i="88"/>
  <c r="C33" i="88" s="1"/>
  <c r="A35" i="88" l="1"/>
  <c r="B34" i="88"/>
  <c r="C34" i="88" s="1"/>
  <c r="B35" i="88" l="1"/>
  <c r="C35" i="88" s="1"/>
  <c r="A36" i="88"/>
  <c r="A37" i="88" l="1"/>
  <c r="B36" i="88"/>
  <c r="C36" i="88" s="1"/>
  <c r="A38" i="88" l="1"/>
  <c r="B37" i="88"/>
  <c r="C37" i="88" s="1"/>
  <c r="B38" i="88" l="1"/>
  <c r="C38" i="88" s="1"/>
  <c r="A39" i="88"/>
  <c r="A40" i="88" l="1"/>
  <c r="B39" i="88"/>
  <c r="C39" i="88" s="1"/>
  <c r="A41" i="88" l="1"/>
  <c r="B41" i="88" s="1"/>
  <c r="C41" i="88" s="1"/>
  <c r="B40" i="88"/>
  <c r="C40" i="88" s="1"/>
  <c r="L12" i="80"/>
  <c r="F12" i="93" l="1"/>
  <c r="G12" i="93"/>
  <c r="G9" i="93"/>
  <c r="D9" i="93"/>
  <c r="B9" i="93"/>
  <c r="A21" i="93"/>
  <c r="A22" i="93" s="1"/>
  <c r="F14" i="93"/>
  <c r="E9" i="93" l="1"/>
  <c r="F9" i="93" s="1"/>
  <c r="H9" i="93"/>
  <c r="I9" i="93" s="1"/>
  <c r="B22" i="93"/>
  <c r="C22" i="93" s="1"/>
  <c r="A23" i="93"/>
  <c r="B21" i="93"/>
  <c r="C21" i="93" s="1"/>
  <c r="L10" i="80"/>
  <c r="A24" i="93" l="1"/>
  <c r="B23" i="93"/>
  <c r="C23" i="93" s="1"/>
  <c r="A25" i="93" l="1"/>
  <c r="B24" i="93"/>
  <c r="C24" i="93" s="1"/>
  <c r="B25" i="93" l="1"/>
  <c r="C25" i="93" s="1"/>
  <c r="A26" i="93"/>
  <c r="A27" i="93" l="1"/>
  <c r="B26" i="93"/>
  <c r="C26" i="93" s="1"/>
  <c r="A28" i="93" l="1"/>
  <c r="B27" i="93"/>
  <c r="C27" i="93" s="1"/>
  <c r="A29" i="93" l="1"/>
  <c r="B28" i="93"/>
  <c r="C28" i="93" s="1"/>
  <c r="B29" i="93" l="1"/>
  <c r="C29" i="93" s="1"/>
  <c r="A30" i="93"/>
  <c r="B30" i="93" l="1"/>
  <c r="C30" i="93" s="1"/>
  <c r="A31" i="93"/>
  <c r="A32" i="93" l="1"/>
  <c r="B31" i="93"/>
  <c r="C31" i="93" s="1"/>
  <c r="A33" i="93" l="1"/>
  <c r="B32" i="93"/>
  <c r="C32" i="93" s="1"/>
  <c r="B33" i="93" l="1"/>
  <c r="C33" i="93" s="1"/>
  <c r="A34" i="93"/>
  <c r="A35" i="93" l="1"/>
  <c r="B34" i="93"/>
  <c r="C34" i="93" s="1"/>
  <c r="A36" i="93" l="1"/>
  <c r="B35" i="93"/>
  <c r="C35" i="93" s="1"/>
  <c r="B36" i="93" l="1"/>
  <c r="C36" i="93" s="1"/>
  <c r="A37" i="93"/>
  <c r="B37" i="93" l="1"/>
  <c r="C37" i="93" s="1"/>
  <c r="A38" i="93"/>
  <c r="B38" i="93" l="1"/>
  <c r="C38" i="93" s="1"/>
  <c r="A39" i="93"/>
  <c r="A40" i="93" l="1"/>
  <c r="B39" i="93"/>
  <c r="C39" i="93" s="1"/>
  <c r="A41" i="93" l="1"/>
  <c r="B41" i="93" s="1"/>
  <c r="C41" i="93" s="1"/>
  <c r="B40" i="93"/>
  <c r="C40" i="93" s="1"/>
  <c r="F12" i="87" l="1"/>
  <c r="G9" i="87" l="1"/>
  <c r="H9" i="87" s="1"/>
  <c r="D9" i="87"/>
  <c r="E9" i="87" s="1"/>
  <c r="B9" i="87"/>
  <c r="A21" i="87"/>
  <c r="A22" i="87" s="1"/>
  <c r="F14" i="87"/>
  <c r="G12" i="87"/>
  <c r="B22" i="87" l="1"/>
  <c r="C22" i="87" s="1"/>
  <c r="A23" i="87"/>
  <c r="B21" i="87"/>
  <c r="C21" i="87" s="1"/>
  <c r="I9" i="87"/>
  <c r="F9" i="87"/>
  <c r="F12" i="91"/>
  <c r="D9" i="91"/>
  <c r="G12" i="91"/>
  <c r="G9" i="91"/>
  <c r="B9" i="91"/>
  <c r="A21" i="91"/>
  <c r="A22" i="91" s="1"/>
  <c r="F14" i="91"/>
  <c r="H9" i="91" l="1"/>
  <c r="I9" i="91" s="1"/>
  <c r="E9" i="91"/>
  <c r="F9" i="91" s="1"/>
  <c r="A24" i="87"/>
  <c r="B23" i="87"/>
  <c r="C23" i="87" s="1"/>
  <c r="B22" i="91"/>
  <c r="C22" i="91" s="1"/>
  <c r="A23" i="91"/>
  <c r="B21" i="91"/>
  <c r="C21" i="91" s="1"/>
  <c r="B24" i="87" l="1"/>
  <c r="C24" i="87" s="1"/>
  <c r="A25" i="87"/>
  <c r="A24" i="91"/>
  <c r="B23" i="91"/>
  <c r="C23" i="91" s="1"/>
  <c r="B25" i="87" l="1"/>
  <c r="C25" i="87" s="1"/>
  <c r="A26" i="87"/>
  <c r="A25" i="91"/>
  <c r="B24" i="91"/>
  <c r="C24" i="91" s="1"/>
  <c r="A27" i="87" l="1"/>
  <c r="B26" i="87"/>
  <c r="C26" i="87" s="1"/>
  <c r="B25" i="91"/>
  <c r="C25" i="91" s="1"/>
  <c r="A26" i="91"/>
  <c r="A28" i="87" l="1"/>
  <c r="B27" i="87"/>
  <c r="C27" i="87" s="1"/>
  <c r="A27" i="91"/>
  <c r="B26" i="91"/>
  <c r="C26" i="91" s="1"/>
  <c r="A29" i="87" l="1"/>
  <c r="B28" i="87"/>
  <c r="C28" i="87" s="1"/>
  <c r="B27" i="91"/>
  <c r="C27" i="91" s="1"/>
  <c r="A28" i="91"/>
  <c r="A30" i="87" l="1"/>
  <c r="B29" i="87"/>
  <c r="C29" i="87" s="1"/>
  <c r="B28" i="91"/>
  <c r="C28" i="91" s="1"/>
  <c r="A29" i="91"/>
  <c r="B30" i="87" l="1"/>
  <c r="C30" i="87" s="1"/>
  <c r="A31" i="87"/>
  <c r="A30" i="91"/>
  <c r="B29" i="91"/>
  <c r="C29" i="91" s="1"/>
  <c r="A32" i="87" l="1"/>
  <c r="B31" i="87"/>
  <c r="C31" i="87" s="1"/>
  <c r="B30" i="91"/>
  <c r="C30" i="91" s="1"/>
  <c r="A31" i="91"/>
  <c r="A33" i="87" l="1"/>
  <c r="B32" i="87"/>
  <c r="C32" i="87" s="1"/>
  <c r="A32" i="91"/>
  <c r="B31" i="91"/>
  <c r="C31" i="91" s="1"/>
  <c r="B33" i="87" l="1"/>
  <c r="C33" i="87" s="1"/>
  <c r="A34" i="87"/>
  <c r="A33" i="91"/>
  <c r="B32" i="91"/>
  <c r="C32" i="91" s="1"/>
  <c r="A35" i="87" l="1"/>
  <c r="B34" i="87"/>
  <c r="C34" i="87" s="1"/>
  <c r="B33" i="91"/>
  <c r="C33" i="91" s="1"/>
  <c r="A34" i="91"/>
  <c r="A36" i="87" l="1"/>
  <c r="B35" i="87"/>
  <c r="C35" i="87" s="1"/>
  <c r="A35" i="91"/>
  <c r="B34" i="91"/>
  <c r="C34" i="91" s="1"/>
  <c r="L9" i="80"/>
  <c r="A37" i="87" l="1"/>
  <c r="B36" i="87"/>
  <c r="C36" i="87" s="1"/>
  <c r="B35" i="91"/>
  <c r="C35" i="91" s="1"/>
  <c r="A36" i="91"/>
  <c r="A38" i="87" l="1"/>
  <c r="B37" i="87"/>
  <c r="C37" i="87" s="1"/>
  <c r="A37" i="91"/>
  <c r="B36" i="91"/>
  <c r="C36" i="91" s="1"/>
  <c r="B38" i="87" l="1"/>
  <c r="C38" i="87" s="1"/>
  <c r="A39" i="87"/>
  <c r="A38" i="91"/>
  <c r="B37" i="91"/>
  <c r="C37" i="91" s="1"/>
  <c r="B39" i="87" l="1"/>
  <c r="C39" i="87" s="1"/>
  <c r="A40" i="87"/>
  <c r="B38" i="91"/>
  <c r="C38" i="91" s="1"/>
  <c r="A39" i="91"/>
  <c r="A41" i="87" l="1"/>
  <c r="B41" i="87" s="1"/>
  <c r="C41" i="87" s="1"/>
  <c r="B40" i="87"/>
  <c r="C40" i="87" s="1"/>
  <c r="A40" i="91"/>
  <c r="B39" i="91"/>
  <c r="C39" i="91" s="1"/>
  <c r="L8" i="80"/>
  <c r="A41" i="91" l="1"/>
  <c r="B41" i="91" s="1"/>
  <c r="C41" i="91" s="1"/>
  <c r="B40" i="91"/>
  <c r="C40" i="91" s="1"/>
  <c r="I33" i="23" l="1"/>
  <c r="G33" i="23"/>
  <c r="F33" i="23"/>
  <c r="G9" i="89"/>
  <c r="F12" i="89"/>
  <c r="D9" i="89"/>
  <c r="J44" i="23" l="1"/>
  <c r="G44" i="23"/>
  <c r="E14" i="90"/>
  <c r="E14" i="88"/>
  <c r="E14" i="93"/>
  <c r="E14" i="87"/>
  <c r="E14" i="91"/>
  <c r="F14" i="89"/>
  <c r="E14" i="89"/>
  <c r="B9" i="89"/>
  <c r="B9" i="51"/>
  <c r="F12" i="80" l="1"/>
  <c r="G12" i="80" s="1"/>
  <c r="D15" i="79"/>
  <c r="D31" i="79" s="1"/>
  <c r="T15" i="79"/>
  <c r="L44" i="23"/>
  <c r="N44" i="23" s="1"/>
  <c r="O44" i="23"/>
  <c r="B27" i="89"/>
  <c r="C27" i="89" s="1"/>
  <c r="H9" i="89"/>
  <c r="E9" i="89"/>
  <c r="B21" i="89"/>
  <c r="B34" i="89"/>
  <c r="C34" i="89" s="1"/>
  <c r="B26" i="89"/>
  <c r="C26" i="89" s="1"/>
  <c r="B41" i="89"/>
  <c r="C41" i="89" s="1"/>
  <c r="B33" i="89"/>
  <c r="C33" i="89" s="1"/>
  <c r="B25" i="89"/>
  <c r="C25" i="89" s="1"/>
  <c r="B40" i="89"/>
  <c r="C40" i="89" s="1"/>
  <c r="B32" i="89"/>
  <c r="C32" i="89" s="1"/>
  <c r="B24" i="89"/>
  <c r="C24" i="89" s="1"/>
  <c r="B39" i="89"/>
  <c r="C39" i="89" s="1"/>
  <c r="B31" i="89"/>
  <c r="C31" i="89" s="1"/>
  <c r="B23" i="89"/>
  <c r="C23" i="89" s="1"/>
  <c r="B38" i="89"/>
  <c r="C38" i="89" s="1"/>
  <c r="B30" i="89"/>
  <c r="C30" i="89" s="1"/>
  <c r="B22" i="89"/>
  <c r="C22" i="89" s="1"/>
  <c r="B37" i="89"/>
  <c r="C37" i="89" s="1"/>
  <c r="B29" i="89"/>
  <c r="C29" i="89" s="1"/>
  <c r="B36" i="89"/>
  <c r="C36" i="89" s="1"/>
  <c r="B28" i="89"/>
  <c r="C28" i="89" s="1"/>
  <c r="B35" i="89"/>
  <c r="C35" i="89" s="1"/>
  <c r="L6" i="80"/>
  <c r="A21" i="89" l="1"/>
  <c r="A22" i="89" s="1"/>
  <c r="A23" i="89" s="1"/>
  <c r="A24" i="89" s="1"/>
  <c r="A25" i="89" s="1"/>
  <c r="A26" i="89" s="1"/>
  <c r="A27" i="89" s="1"/>
  <c r="A28" i="89" s="1"/>
  <c r="A29" i="89" s="1"/>
  <c r="A30" i="89" s="1"/>
  <c r="A31" i="89" s="1"/>
  <c r="A32" i="89" s="1"/>
  <c r="A33" i="89" s="1"/>
  <c r="A34" i="89" s="1"/>
  <c r="A35" i="89" s="1"/>
  <c r="A36" i="89" s="1"/>
  <c r="A37" i="89" s="1"/>
  <c r="A38" i="89" s="1"/>
  <c r="A39" i="89" s="1"/>
  <c r="A40" i="89" s="1"/>
  <c r="A41" i="89" s="1"/>
  <c r="G12" i="89" l="1"/>
  <c r="I9" i="89"/>
  <c r="C21" i="89"/>
  <c r="C9" i="89" l="1"/>
  <c r="C9" i="91"/>
  <c r="C9" i="87"/>
  <c r="C9" i="93"/>
  <c r="C9" i="51"/>
  <c r="R24" i="23" l="1"/>
  <c r="U21" i="23"/>
  <c r="U24" i="23"/>
  <c r="U23" i="23"/>
  <c r="U22" i="23"/>
  <c r="U20" i="23"/>
  <c r="U17" i="23"/>
  <c r="H57" i="79"/>
  <c r="F57" i="79"/>
  <c r="H72" i="79"/>
  <c r="G72" i="79"/>
  <c r="F72" i="79"/>
  <c r="H71" i="79"/>
  <c r="G71" i="79"/>
  <c r="F71" i="79"/>
  <c r="H70" i="79"/>
  <c r="G70" i="79"/>
  <c r="F70" i="79"/>
  <c r="H69" i="79"/>
  <c r="G69" i="79"/>
  <c r="F69" i="79"/>
  <c r="H68" i="79"/>
  <c r="G68" i="79"/>
  <c r="F68" i="79"/>
  <c r="H67" i="79"/>
  <c r="G67" i="79"/>
  <c r="F67" i="79"/>
  <c r="H66" i="79"/>
  <c r="G66" i="79"/>
  <c r="F66" i="79"/>
  <c r="H65" i="79"/>
  <c r="G65" i="79"/>
  <c r="F65" i="79"/>
  <c r="H64" i="79"/>
  <c r="G64" i="79"/>
  <c r="F64" i="79"/>
  <c r="R21" i="23" l="1"/>
  <c r="R18" i="23" s="1"/>
  <c r="C8" i="79" l="1"/>
  <c r="C48" i="79" s="1"/>
  <c r="C64" i="79" s="1"/>
  <c r="C9" i="79"/>
  <c r="C49" i="79" s="1"/>
  <c r="C65" i="79" s="1"/>
  <c r="C10" i="79"/>
  <c r="C50" i="79" s="1"/>
  <c r="C66" i="79" s="1"/>
  <c r="C11" i="79"/>
  <c r="C51" i="79" s="1"/>
  <c r="C67" i="79" s="1"/>
  <c r="C12" i="79"/>
  <c r="C52" i="79" s="1"/>
  <c r="C68" i="79" s="1"/>
  <c r="C13" i="79"/>
  <c r="C53" i="79" s="1"/>
  <c r="C69" i="79" s="1"/>
  <c r="C54" i="79"/>
  <c r="C70" i="79" s="1"/>
  <c r="C14" i="79"/>
  <c r="B8" i="79"/>
  <c r="B48" i="79" s="1"/>
  <c r="B64" i="79" s="1"/>
  <c r="B9" i="79"/>
  <c r="B49" i="79" s="1"/>
  <c r="B65" i="79" s="1"/>
  <c r="B10" i="79"/>
  <c r="B50" i="79" s="1"/>
  <c r="B66" i="79" s="1"/>
  <c r="B11" i="79"/>
  <c r="B51" i="79" s="1"/>
  <c r="B67" i="79" s="1"/>
  <c r="B12" i="79"/>
  <c r="B52" i="79" s="1"/>
  <c r="B68" i="79" s="1"/>
  <c r="B13" i="79"/>
  <c r="B53" i="79" s="1"/>
  <c r="B69" i="79" s="1"/>
  <c r="B54" i="79"/>
  <c r="B70" i="79" s="1"/>
  <c r="B14" i="79"/>
  <c r="B55" i="79" s="1"/>
  <c r="B71" i="79" s="1"/>
  <c r="E29" i="23"/>
  <c r="C55" i="79" l="1"/>
  <c r="C71" i="79" s="1"/>
  <c r="B56" i="79"/>
  <c r="B72" i="79" s="1"/>
  <c r="C56" i="79"/>
  <c r="C72" i="79" s="1"/>
  <c r="E28" i="23" l="1"/>
  <c r="I29" i="23"/>
  <c r="I12" i="92" l="1"/>
  <c r="G9" i="92"/>
  <c r="D9" i="92"/>
  <c r="U19" i="23"/>
  <c r="U18" i="23"/>
  <c r="K24" i="23"/>
  <c r="M24" i="23" s="1"/>
  <c r="K23" i="23"/>
  <c r="M23" i="23" s="1"/>
  <c r="K22" i="23"/>
  <c r="M22" i="23" s="1"/>
  <c r="K21" i="23"/>
  <c r="M21" i="23" s="1"/>
  <c r="K20" i="23"/>
  <c r="M20" i="23" s="1"/>
  <c r="K19" i="23"/>
  <c r="M19" i="23" s="1"/>
  <c r="K18" i="23"/>
  <c r="M18" i="23" s="1"/>
  <c r="K17" i="23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H14" i="94"/>
  <c r="G14" i="94"/>
  <c r="G12" i="94"/>
  <c r="O12" i="94"/>
  <c r="N12" i="94"/>
  <c r="C6" i="94"/>
  <c r="B6" i="94"/>
  <c r="A22" i="92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H14" i="92"/>
  <c r="G14" i="92"/>
  <c r="G12" i="92"/>
  <c r="H12" i="92" s="1"/>
  <c r="O12" i="92"/>
  <c r="N12" i="92"/>
  <c r="C6" i="92"/>
  <c r="B6" i="92"/>
  <c r="K27" i="23" l="1"/>
  <c r="M27" i="23" s="1"/>
  <c r="L56" i="79"/>
  <c r="Q56" i="79" s="1"/>
  <c r="M17" i="23"/>
  <c r="L12" i="94"/>
  <c r="M12" i="94" s="1"/>
  <c r="P12" i="94" s="1"/>
  <c r="Q12" i="94" s="1"/>
  <c r="H12" i="94"/>
  <c r="L12" i="92"/>
  <c r="M12" i="92" s="1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39" i="81"/>
  <c r="C38" i="81"/>
  <c r="C37" i="81"/>
  <c r="C36" i="81"/>
  <c r="C35" i="81"/>
  <c r="C34" i="81"/>
  <c r="C33" i="81"/>
  <c r="C32" i="81"/>
  <c r="C31" i="81"/>
  <c r="L13" i="81"/>
  <c r="L12" i="81"/>
  <c r="L11" i="81"/>
  <c r="L10" i="81"/>
  <c r="L9" i="81"/>
  <c r="L8" i="81"/>
  <c r="L7" i="81"/>
  <c r="L6" i="81"/>
  <c r="L5" i="81"/>
  <c r="L27" i="81"/>
  <c r="L26" i="81"/>
  <c r="L25" i="81"/>
  <c r="L24" i="81"/>
  <c r="L23" i="81"/>
  <c r="L22" i="81"/>
  <c r="L21" i="81"/>
  <c r="L20" i="81"/>
  <c r="L19" i="81"/>
  <c r="C27" i="81"/>
  <c r="C26" i="81"/>
  <c r="C25" i="81"/>
  <c r="C24" i="81"/>
  <c r="C23" i="81"/>
  <c r="C22" i="81"/>
  <c r="C21" i="81"/>
  <c r="C20" i="81"/>
  <c r="C19" i="81"/>
  <c r="C13" i="81"/>
  <c r="C12" i="81"/>
  <c r="C11" i="81"/>
  <c r="C10" i="81"/>
  <c r="C9" i="81"/>
  <c r="C8" i="81"/>
  <c r="C7" i="81"/>
  <c r="C6" i="81"/>
  <c r="C5" i="81"/>
  <c r="C11" i="80"/>
  <c r="C10" i="80"/>
  <c r="C9" i="80"/>
  <c r="C8" i="80"/>
  <c r="C7" i="80"/>
  <c r="C6" i="80"/>
  <c r="C5" i="80"/>
  <c r="C4" i="80"/>
  <c r="F19" i="80" s="1"/>
  <c r="R12" i="94" l="1"/>
  <c r="B33" i="94" s="1"/>
  <c r="P12" i="92"/>
  <c r="Q12" i="92" s="1"/>
  <c r="R12" i="92"/>
  <c r="B25" i="94" l="1"/>
  <c r="H9" i="94"/>
  <c r="I9" i="94" s="1"/>
  <c r="B30" i="94"/>
  <c r="E30" i="94" s="1"/>
  <c r="B24" i="94"/>
  <c r="E24" i="94" s="1"/>
  <c r="B22" i="94"/>
  <c r="E22" i="94" s="1"/>
  <c r="B42" i="94"/>
  <c r="E42" i="94" s="1"/>
  <c r="E9" i="94"/>
  <c r="F9" i="94" s="1"/>
  <c r="J26" i="23" s="1"/>
  <c r="I45" i="23" s="1"/>
  <c r="J45" i="23" s="1"/>
  <c r="B36" i="94"/>
  <c r="C36" i="94" s="1"/>
  <c r="B27" i="94"/>
  <c r="C27" i="94" s="1"/>
  <c r="B23" i="94"/>
  <c r="B34" i="94"/>
  <c r="E34" i="94" s="1"/>
  <c r="B31" i="94"/>
  <c r="E31" i="94" s="1"/>
  <c r="B29" i="94"/>
  <c r="E29" i="94" s="1"/>
  <c r="B39" i="94"/>
  <c r="E39" i="94" s="1"/>
  <c r="B35" i="94"/>
  <c r="C35" i="94" s="1"/>
  <c r="B41" i="94"/>
  <c r="C41" i="94" s="1"/>
  <c r="B38" i="94"/>
  <c r="E38" i="94" s="1"/>
  <c r="B28" i="94"/>
  <c r="C28" i="94" s="1"/>
  <c r="B26" i="94"/>
  <c r="C26" i="94" s="1"/>
  <c r="B32" i="94"/>
  <c r="E32" i="94" s="1"/>
  <c r="B37" i="94"/>
  <c r="E37" i="94" s="1"/>
  <c r="B40" i="94"/>
  <c r="E40" i="94" s="1"/>
  <c r="E25" i="94"/>
  <c r="D25" i="94"/>
  <c r="C25" i="94"/>
  <c r="C23" i="94"/>
  <c r="C22" i="94"/>
  <c r="C24" i="94"/>
  <c r="E27" i="94"/>
  <c r="E33" i="94"/>
  <c r="C33" i="94"/>
  <c r="J23" i="23"/>
  <c r="O23" i="23" s="1"/>
  <c r="B33" i="92"/>
  <c r="B31" i="92"/>
  <c r="B40" i="92"/>
  <c r="B28" i="92"/>
  <c r="B36" i="92"/>
  <c r="B38" i="92"/>
  <c r="B26" i="92"/>
  <c r="B35" i="92"/>
  <c r="B23" i="92"/>
  <c r="B42" i="92"/>
  <c r="B30" i="92"/>
  <c r="H9" i="92"/>
  <c r="I9" i="92" s="1"/>
  <c r="B37" i="92"/>
  <c r="B25" i="92"/>
  <c r="B32" i="92"/>
  <c r="B39" i="92"/>
  <c r="B27" i="92"/>
  <c r="B22" i="92"/>
  <c r="E9" i="92"/>
  <c r="F9" i="92" s="1"/>
  <c r="J20" i="23" s="1"/>
  <c r="O20" i="23" s="1"/>
  <c r="B24" i="92"/>
  <c r="B34" i="92"/>
  <c r="B41" i="92"/>
  <c r="B29" i="92"/>
  <c r="J21" i="23"/>
  <c r="O21" i="23" s="1"/>
  <c r="J24" i="23"/>
  <c r="J22" i="23"/>
  <c r="O22" i="23" s="1"/>
  <c r="J21" i="79"/>
  <c r="B24" i="79"/>
  <c r="B25" i="79"/>
  <c r="B26" i="79"/>
  <c r="B27" i="79"/>
  <c r="B28" i="79"/>
  <c r="B29" i="79"/>
  <c r="B30" i="79"/>
  <c r="B7" i="79"/>
  <c r="B47" i="79" s="1"/>
  <c r="B63" i="79" s="1"/>
  <c r="C7" i="79"/>
  <c r="C17" i="79" s="1"/>
  <c r="J9" i="94" l="1"/>
  <c r="F26" i="23"/>
  <c r="T16" i="79"/>
  <c r="O24" i="23"/>
  <c r="C31" i="94"/>
  <c r="D31" i="94"/>
  <c r="C37" i="94"/>
  <c r="C39" i="94"/>
  <c r="C42" i="94"/>
  <c r="E28" i="94"/>
  <c r="D23" i="94"/>
  <c r="E23" i="94"/>
  <c r="D38" i="94"/>
  <c r="C38" i="94"/>
  <c r="D33" i="94"/>
  <c r="D28" i="94"/>
  <c r="R56" i="79"/>
  <c r="O17" i="79"/>
  <c r="O33" i="79" s="1"/>
  <c r="O35" i="79" s="1"/>
  <c r="C47" i="79"/>
  <c r="C57" i="79" s="1"/>
  <c r="D39" i="94"/>
  <c r="D24" i="94"/>
  <c r="D26" i="94"/>
  <c r="C34" i="94"/>
  <c r="C29" i="94"/>
  <c r="E26" i="94"/>
  <c r="D34" i="94"/>
  <c r="D29" i="94"/>
  <c r="C30" i="94"/>
  <c r="D27" i="94"/>
  <c r="D30" i="94"/>
  <c r="D40" i="94"/>
  <c r="C25" i="79"/>
  <c r="C27" i="79"/>
  <c r="C26" i="79"/>
  <c r="C28" i="79"/>
  <c r="C29" i="79"/>
  <c r="C30" i="79"/>
  <c r="C24" i="79"/>
  <c r="D35" i="94"/>
  <c r="C32" i="94"/>
  <c r="D37" i="94"/>
  <c r="E41" i="94"/>
  <c r="E36" i="94"/>
  <c r="D41" i="94"/>
  <c r="D32" i="94"/>
  <c r="D36" i="94"/>
  <c r="D42" i="94"/>
  <c r="E35" i="94"/>
  <c r="C40" i="94"/>
  <c r="V19" i="23"/>
  <c r="J9" i="92"/>
  <c r="F20" i="23"/>
  <c r="F23" i="23"/>
  <c r="F21" i="23"/>
  <c r="E8" i="80" s="1"/>
  <c r="I8" i="80" s="1"/>
  <c r="F24" i="80" s="1"/>
  <c r="F24" i="23"/>
  <c r="E11" i="80" s="1"/>
  <c r="I11" i="80" s="1"/>
  <c r="F27" i="80" s="1"/>
  <c r="F22" i="23"/>
  <c r="F19" i="23"/>
  <c r="E6" i="80" s="1"/>
  <c r="I6" i="80" s="1"/>
  <c r="F23" i="80" s="1"/>
  <c r="E30" i="92"/>
  <c r="D30" i="92"/>
  <c r="C30" i="92"/>
  <c r="E41" i="92"/>
  <c r="D41" i="92"/>
  <c r="C41" i="92"/>
  <c r="E42" i="92"/>
  <c r="D42" i="92"/>
  <c r="C42" i="92"/>
  <c r="E29" i="92"/>
  <c r="D29" i="92"/>
  <c r="C29" i="92"/>
  <c r="E34" i="92"/>
  <c r="D34" i="92"/>
  <c r="C34" i="92"/>
  <c r="D23" i="92"/>
  <c r="E23" i="92"/>
  <c r="C23" i="92"/>
  <c r="E24" i="92"/>
  <c r="C24" i="92"/>
  <c r="D24" i="92"/>
  <c r="D35" i="92"/>
  <c r="E35" i="92"/>
  <c r="C35" i="92"/>
  <c r="D26" i="92"/>
  <c r="E26" i="92"/>
  <c r="C26" i="92"/>
  <c r="E22" i="92"/>
  <c r="C22" i="92"/>
  <c r="D38" i="92"/>
  <c r="C38" i="92"/>
  <c r="E38" i="92"/>
  <c r="E27" i="92"/>
  <c r="D27" i="92"/>
  <c r="C27" i="92"/>
  <c r="E36" i="92"/>
  <c r="D36" i="92"/>
  <c r="C36" i="92"/>
  <c r="E39" i="92"/>
  <c r="D39" i="92"/>
  <c r="C39" i="92"/>
  <c r="C28" i="92"/>
  <c r="E28" i="92"/>
  <c r="D28" i="92"/>
  <c r="E32" i="92"/>
  <c r="D32" i="92"/>
  <c r="C32" i="92"/>
  <c r="C40" i="92"/>
  <c r="E40" i="92"/>
  <c r="D40" i="92"/>
  <c r="E25" i="92"/>
  <c r="D25" i="92"/>
  <c r="C25" i="92"/>
  <c r="E31" i="92"/>
  <c r="C31" i="92"/>
  <c r="D31" i="92"/>
  <c r="E37" i="92"/>
  <c r="D37" i="92"/>
  <c r="C37" i="92"/>
  <c r="E33" i="92"/>
  <c r="C33" i="92"/>
  <c r="D33" i="92"/>
  <c r="L13" i="80"/>
  <c r="L7" i="80"/>
  <c r="E13" i="80" l="1"/>
  <c r="F45" i="23"/>
  <c r="G45" i="23" s="1"/>
  <c r="L22" i="23"/>
  <c r="N22" i="23" s="1"/>
  <c r="E9" i="80"/>
  <c r="I9" i="80" s="1"/>
  <c r="F21" i="80" s="1"/>
  <c r="L20" i="23"/>
  <c r="N20" i="23" s="1"/>
  <c r="E7" i="80"/>
  <c r="I7" i="80" s="1"/>
  <c r="F22" i="80" s="1"/>
  <c r="L23" i="23"/>
  <c r="N23" i="23" s="1"/>
  <c r="E10" i="80"/>
  <c r="I10" i="80" s="1"/>
  <c r="F18" i="80" s="1"/>
  <c r="L24" i="23"/>
  <c r="C73" i="79"/>
  <c r="C33" i="79"/>
  <c r="L21" i="23"/>
  <c r="N21" i="23" s="1"/>
  <c r="I28" i="23"/>
  <c r="F13" i="80" l="1"/>
  <c r="G13" i="80" s="1"/>
  <c r="D16" i="79"/>
  <c r="D32" i="79" s="1"/>
  <c r="O45" i="23"/>
  <c r="L45" i="23"/>
  <c r="N45" i="23" s="1"/>
  <c r="J13" i="80"/>
  <c r="K13" i="80" s="1"/>
  <c r="I13" i="80"/>
  <c r="F25" i="80" s="1"/>
  <c r="N24" i="23"/>
  <c r="D56" i="79"/>
  <c r="D72" i="79" s="1"/>
  <c r="V21" i="23"/>
  <c r="J8" i="80"/>
  <c r="K8" i="80" s="1"/>
  <c r="H8" i="80" l="1"/>
  <c r="I40" i="23"/>
  <c r="J40" i="23" s="1"/>
  <c r="H40" i="23"/>
  <c r="F40" i="23"/>
  <c r="D40" i="23"/>
  <c r="C40" i="23"/>
  <c r="B40" i="23"/>
  <c r="B41" i="23"/>
  <c r="B42" i="23"/>
  <c r="B43" i="23"/>
  <c r="H27" i="79" l="1"/>
  <c r="L27" i="79"/>
  <c r="G27" i="79"/>
  <c r="L51" i="79"/>
  <c r="Q51" i="79" s="1"/>
  <c r="R51" i="79"/>
  <c r="G40" i="23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T11" i="79"/>
  <c r="G23" i="81"/>
  <c r="P23" i="81" s="1"/>
  <c r="I23" i="81"/>
  <c r="R23" i="81" s="1"/>
  <c r="E23" i="81"/>
  <c r="N23" i="81" s="1"/>
  <c r="R9" i="81"/>
  <c r="P9" i="81"/>
  <c r="E9" i="81"/>
  <c r="N9" i="81" s="1"/>
  <c r="R11" i="79"/>
  <c r="S11" i="79" s="1"/>
  <c r="F23" i="81"/>
  <c r="O23" i="81" s="1"/>
  <c r="G35" i="81" s="1"/>
  <c r="O9" i="81"/>
  <c r="E35" i="81" s="1"/>
  <c r="D9" i="81"/>
  <c r="M9" i="81" s="1"/>
  <c r="H23" i="81"/>
  <c r="Q23" i="81" s="1"/>
  <c r="H35" i="81" s="1"/>
  <c r="D23" i="81"/>
  <c r="M23" i="81" s="1"/>
  <c r="D35" i="81" s="1"/>
  <c r="Q9" i="81"/>
  <c r="F35" i="81" s="1"/>
  <c r="K40" i="23"/>
  <c r="M40" i="23" s="1"/>
  <c r="L40" i="23" l="1"/>
  <c r="N40" i="23" s="1"/>
  <c r="F8" i="80"/>
  <c r="O40" i="23"/>
  <c r="D11" i="79"/>
  <c r="D51" i="79" s="1"/>
  <c r="D67" i="79" s="1"/>
  <c r="K27" i="79"/>
  <c r="J27" i="79"/>
  <c r="F27" i="79"/>
  <c r="H14" i="48"/>
  <c r="G14" i="48"/>
  <c r="D27" i="79" l="1"/>
  <c r="G8" i="80"/>
  <c r="J9" i="80" l="1"/>
  <c r="K9" i="80" s="1"/>
  <c r="H9" i="80"/>
  <c r="F38" i="23" l="1"/>
  <c r="J6" i="80"/>
  <c r="K6" i="80" s="1"/>
  <c r="H6" i="80" l="1"/>
  <c r="O35" i="81" l="1"/>
  <c r="O34" i="81"/>
  <c r="O33" i="81"/>
  <c r="O32" i="81"/>
  <c r="O31" i="81"/>
  <c r="F20" i="79"/>
  <c r="F60" i="79"/>
  <c r="F61" i="79"/>
  <c r="F21" i="79"/>
  <c r="B23" i="79"/>
  <c r="C63" i="79" l="1"/>
  <c r="C23" i="79"/>
  <c r="B3" i="79"/>
  <c r="D14" i="78"/>
  <c r="C8" i="78" l="1"/>
  <c r="E6" i="78" l="1"/>
  <c r="C6" i="78" s="1"/>
  <c r="C12" i="78" s="1"/>
  <c r="E7" i="78"/>
  <c r="C7" i="78" s="1"/>
  <c r="C13" i="78" s="1"/>
  <c r="L8" i="78"/>
  <c r="E8" i="78"/>
  <c r="C14" i="78"/>
  <c r="E13" i="78" l="1"/>
  <c r="I13" i="78" s="1"/>
  <c r="E12" i="78"/>
  <c r="L6" i="78"/>
  <c r="K6" i="78"/>
  <c r="L7" i="78"/>
  <c r="J10" i="80"/>
  <c r="K10" i="80" s="1"/>
  <c r="I12" i="78" l="1"/>
  <c r="H10" i="80"/>
  <c r="J11" i="80" l="1"/>
  <c r="K11" i="80" s="1"/>
  <c r="H11" i="80" l="1"/>
  <c r="B12" i="23" l="1"/>
  <c r="D12" i="23" s="1"/>
  <c r="V18" i="23" l="1"/>
  <c r="V23" i="23" l="1"/>
  <c r="C6" i="48"/>
  <c r="B6" i="48"/>
  <c r="C6" i="50"/>
  <c r="B6" i="50"/>
  <c r="C6" i="51"/>
  <c r="B6" i="51"/>
  <c r="C43" i="23" l="1"/>
  <c r="D43" i="23"/>
  <c r="H43" i="23"/>
  <c r="C38" i="23"/>
  <c r="D38" i="23"/>
  <c r="H38" i="23"/>
  <c r="C39" i="23"/>
  <c r="D39" i="23"/>
  <c r="H39" i="23"/>
  <c r="C41" i="23"/>
  <c r="D41" i="23"/>
  <c r="H41" i="23"/>
  <c r="C42" i="23"/>
  <c r="D42" i="23"/>
  <c r="H42" i="23"/>
  <c r="G25" i="79" l="1"/>
  <c r="G29" i="79"/>
  <c r="G28" i="79"/>
  <c r="G30" i="79"/>
  <c r="G26" i="79"/>
  <c r="L53" i="79"/>
  <c r="Q53" i="79" s="1"/>
  <c r="L49" i="79"/>
  <c r="Q49" i="79" s="1"/>
  <c r="L54" i="79"/>
  <c r="Q54" i="79" s="1"/>
  <c r="L52" i="79"/>
  <c r="Q52" i="79" s="1"/>
  <c r="L55" i="79"/>
  <c r="Q55" i="79" s="1"/>
  <c r="L50" i="79"/>
  <c r="Q50" i="79" s="1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R12" i="79"/>
  <c r="S12" i="79" s="1"/>
  <c r="H24" i="81"/>
  <c r="Q24" i="81" s="1"/>
  <c r="H36" i="81" s="1"/>
  <c r="P34" i="81" s="1"/>
  <c r="D24" i="81"/>
  <c r="M24" i="81" s="1"/>
  <c r="D36" i="81" s="1"/>
  <c r="P33" i="81" s="1"/>
  <c r="Q10" i="81"/>
  <c r="F36" i="81" s="1"/>
  <c r="P35" i="81" s="1"/>
  <c r="O10" i="81"/>
  <c r="E36" i="81" s="1"/>
  <c r="P31" i="81" s="1"/>
  <c r="D10" i="81"/>
  <c r="M10" i="81" s="1"/>
  <c r="F24" i="81"/>
  <c r="O24" i="81" s="1"/>
  <c r="G36" i="81" s="1"/>
  <c r="P32" i="81" s="1"/>
  <c r="R13" i="79"/>
  <c r="S13" i="79" s="1"/>
  <c r="O11" i="81"/>
  <c r="E37" i="81" s="1"/>
  <c r="Q31" i="81" s="1"/>
  <c r="D11" i="81"/>
  <c r="M11" i="81" s="1"/>
  <c r="F25" i="81"/>
  <c r="O25" i="81" s="1"/>
  <c r="G37" i="81" s="1"/>
  <c r="Q32" i="81" s="1"/>
  <c r="H25" i="81"/>
  <c r="Q25" i="81" s="1"/>
  <c r="H37" i="81" s="1"/>
  <c r="Q34" i="81" s="1"/>
  <c r="D25" i="81"/>
  <c r="M25" i="81" s="1"/>
  <c r="D37" i="81" s="1"/>
  <c r="Q33" i="81" s="1"/>
  <c r="Q11" i="81"/>
  <c r="F37" i="81" s="1"/>
  <c r="Q35" i="81" s="1"/>
  <c r="R14" i="79"/>
  <c r="S14" i="79" s="1"/>
  <c r="F27" i="81"/>
  <c r="O27" i="81" s="1"/>
  <c r="G39" i="81" s="1"/>
  <c r="S32" i="81" s="1"/>
  <c r="O13" i="81"/>
  <c r="E39" i="81" s="1"/>
  <c r="S31" i="81" s="1"/>
  <c r="D13" i="81"/>
  <c r="M13" i="81" s="1"/>
  <c r="H27" i="81"/>
  <c r="Q27" i="81" s="1"/>
  <c r="H39" i="81" s="1"/>
  <c r="S34" i="81" s="1"/>
  <c r="D27" i="81"/>
  <c r="M27" i="81" s="1"/>
  <c r="D39" i="81" s="1"/>
  <c r="S33" i="81" s="1"/>
  <c r="Q13" i="81"/>
  <c r="F39" i="81" s="1"/>
  <c r="S35" i="81" s="1"/>
  <c r="H26" i="81"/>
  <c r="Q26" i="81" s="1"/>
  <c r="H38" i="81" s="1"/>
  <c r="R34" i="81" s="1"/>
  <c r="D26" i="81"/>
  <c r="M26" i="81" s="1"/>
  <c r="D38" i="81" s="1"/>
  <c r="R33" i="81" s="1"/>
  <c r="Q12" i="81"/>
  <c r="F38" i="81" s="1"/>
  <c r="R35" i="81" s="1"/>
  <c r="F26" i="81"/>
  <c r="O26" i="81" s="1"/>
  <c r="G38" i="81" s="1"/>
  <c r="R32" i="81" s="1"/>
  <c r="O12" i="81"/>
  <c r="E38" i="81" s="1"/>
  <c r="R31" i="81" s="1"/>
  <c r="D12" i="81"/>
  <c r="M12" i="81" s="1"/>
  <c r="R9" i="79"/>
  <c r="S9" i="79" s="1"/>
  <c r="O7" i="81"/>
  <c r="E33" i="81" s="1"/>
  <c r="M31" i="81" s="1"/>
  <c r="D7" i="81"/>
  <c r="M7" i="81" s="1"/>
  <c r="F21" i="81"/>
  <c r="O21" i="81" s="1"/>
  <c r="G33" i="81" s="1"/>
  <c r="M32" i="81" s="1"/>
  <c r="H21" i="81"/>
  <c r="Q21" i="81" s="1"/>
  <c r="H33" i="81" s="1"/>
  <c r="M34" i="81" s="1"/>
  <c r="D21" i="81"/>
  <c r="M21" i="81" s="1"/>
  <c r="D33" i="81" s="1"/>
  <c r="M33" i="81" s="1"/>
  <c r="Q7" i="81"/>
  <c r="F33" i="81" s="1"/>
  <c r="M35" i="81" s="1"/>
  <c r="R10" i="79"/>
  <c r="S10" i="79" s="1"/>
  <c r="H22" i="81"/>
  <c r="Q22" i="81" s="1"/>
  <c r="H34" i="81" s="1"/>
  <c r="N34" i="81" s="1"/>
  <c r="D22" i="81"/>
  <c r="M22" i="81" s="1"/>
  <c r="D34" i="81" s="1"/>
  <c r="N33" i="81" s="1"/>
  <c r="Q8" i="81"/>
  <c r="F34" i="81" s="1"/>
  <c r="N35" i="81" s="1"/>
  <c r="F22" i="81"/>
  <c r="O22" i="81" s="1"/>
  <c r="G34" i="81" s="1"/>
  <c r="N32" i="81" s="1"/>
  <c r="O8" i="81"/>
  <c r="E34" i="81" s="1"/>
  <c r="N31" i="81" s="1"/>
  <c r="D8" i="81"/>
  <c r="M8" i="81" s="1"/>
  <c r="K41" i="23"/>
  <c r="M41" i="23" s="1"/>
  <c r="K43" i="23"/>
  <c r="K39" i="23"/>
  <c r="M39" i="23" s="1"/>
  <c r="K42" i="23"/>
  <c r="M42" i="23" s="1"/>
  <c r="K38" i="23"/>
  <c r="M38" i="23" s="1"/>
  <c r="M43" i="23" l="1"/>
  <c r="K30" i="79"/>
  <c r="J30" i="79"/>
  <c r="F26" i="79"/>
  <c r="F25" i="79"/>
  <c r="F29" i="79"/>
  <c r="K26" i="79"/>
  <c r="J26" i="79"/>
  <c r="K25" i="79"/>
  <c r="J25" i="79"/>
  <c r="F30" i="79"/>
  <c r="F28" i="79"/>
  <c r="K29" i="79"/>
  <c r="J29" i="79"/>
  <c r="K28" i="79"/>
  <c r="J28" i="79"/>
  <c r="G9" i="50"/>
  <c r="G9" i="51"/>
  <c r="V17" i="23" l="1"/>
  <c r="V20" i="23"/>
  <c r="C9" i="92"/>
  <c r="B9" i="92"/>
  <c r="V22" i="23"/>
  <c r="V24" i="23"/>
  <c r="I42" i="23" l="1"/>
  <c r="I41" i="23" l="1"/>
  <c r="I39" i="23"/>
  <c r="J39" i="23" s="1"/>
  <c r="J7" i="80"/>
  <c r="K7" i="80" s="1"/>
  <c r="F42" i="23"/>
  <c r="H26" i="79" l="1"/>
  <c r="L26" i="79"/>
  <c r="R50" i="79"/>
  <c r="H7" i="80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T10" i="79"/>
  <c r="I22" i="81"/>
  <c r="R22" i="81" s="1"/>
  <c r="E22" i="81"/>
  <c r="N22" i="81" s="1"/>
  <c r="R8" i="81"/>
  <c r="G22" i="81"/>
  <c r="P22" i="81" s="1"/>
  <c r="P8" i="81"/>
  <c r="E8" i="81"/>
  <c r="N8" i="81" s="1"/>
  <c r="F39" i="23"/>
  <c r="F41" i="23"/>
  <c r="A43" i="23"/>
  <c r="A42" i="23"/>
  <c r="A38" i="23"/>
  <c r="B38" i="23"/>
  <c r="A39" i="23"/>
  <c r="B39" i="23"/>
  <c r="A41" i="23"/>
  <c r="H37" i="23" l="1"/>
  <c r="H36" i="23"/>
  <c r="C37" i="23"/>
  <c r="D37" i="23"/>
  <c r="B37" i="23"/>
  <c r="B36" i="23"/>
  <c r="A37" i="23"/>
  <c r="A36" i="23"/>
  <c r="H46" i="23" l="1"/>
  <c r="G24" i="79"/>
  <c r="G23" i="79"/>
  <c r="L48" i="79"/>
  <c r="Q48" i="79" s="1"/>
  <c r="L47" i="79"/>
  <c r="Q47" i="79" s="1"/>
  <c r="R7" i="79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O5" i="81"/>
  <c r="E31" i="81" s="1"/>
  <c r="K31" i="81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R8" i="79"/>
  <c r="S8" i="79" s="1"/>
  <c r="H20" i="81"/>
  <c r="Q20" i="81" s="1"/>
  <c r="H32" i="81" s="1"/>
  <c r="L34" i="81" s="1"/>
  <c r="D20" i="81"/>
  <c r="M20" i="81" s="1"/>
  <c r="D32" i="81" s="1"/>
  <c r="L33" i="81" s="1"/>
  <c r="Q6" i="81"/>
  <c r="F32" i="81" s="1"/>
  <c r="L35" i="81" s="1"/>
  <c r="O6" i="81"/>
  <c r="E32" i="81" s="1"/>
  <c r="L31" i="81" s="1"/>
  <c r="D6" i="81"/>
  <c r="M6" i="81" s="1"/>
  <c r="F20" i="81"/>
  <c r="O20" i="81" s="1"/>
  <c r="G32" i="81" s="1"/>
  <c r="L32" i="81" s="1"/>
  <c r="F19" i="81"/>
  <c r="O19" i="81" s="1"/>
  <c r="G31" i="81" s="1"/>
  <c r="K32" i="81" s="1"/>
  <c r="Q5" i="81"/>
  <c r="F31" i="81" s="1"/>
  <c r="K35" i="81" s="1"/>
  <c r="D5" i="81"/>
  <c r="M5" i="81" s="1"/>
  <c r="H19" i="81"/>
  <c r="Q19" i="81" s="1"/>
  <c r="H31" i="81" s="1"/>
  <c r="K34" i="81" s="1"/>
  <c r="D19" i="81"/>
  <c r="M19" i="81" s="1"/>
  <c r="D31" i="81" s="1"/>
  <c r="K33" i="81" s="1"/>
  <c r="K37" i="23"/>
  <c r="M37" i="23" s="1"/>
  <c r="S7" i="79" l="1"/>
  <c r="R17" i="79"/>
  <c r="S17" i="79" s="1"/>
  <c r="G63" i="79"/>
  <c r="F63" i="79"/>
  <c r="F24" i="79"/>
  <c r="K24" i="79"/>
  <c r="J24" i="79"/>
  <c r="K23" i="79"/>
  <c r="K17" i="79"/>
  <c r="K33" i="79" s="1"/>
  <c r="K35" i="79" s="1"/>
  <c r="J23" i="79"/>
  <c r="F23" i="79"/>
  <c r="J42" i="23"/>
  <c r="J41" i="23"/>
  <c r="G41" i="23"/>
  <c r="F9" i="80" s="1"/>
  <c r="G42" i="23"/>
  <c r="G39" i="23"/>
  <c r="F7" i="80" s="1"/>
  <c r="D13" i="79" l="1"/>
  <c r="D53" i="79" s="1"/>
  <c r="D69" i="79" s="1"/>
  <c r="F10" i="80"/>
  <c r="G10" i="80" s="1"/>
  <c r="D54" i="79"/>
  <c r="D70" i="79" s="1"/>
  <c r="O42" i="23"/>
  <c r="O41" i="23"/>
  <c r="D10" i="79"/>
  <c r="D50" i="79" s="1"/>
  <c r="D66" i="79" s="1"/>
  <c r="O39" i="23"/>
  <c r="H29" i="79"/>
  <c r="L29" i="79"/>
  <c r="L28" i="79"/>
  <c r="H28" i="79"/>
  <c r="G17" i="79"/>
  <c r="G33" i="79" s="1"/>
  <c r="G35" i="79" s="1"/>
  <c r="F33" i="79"/>
  <c r="F35" i="79" s="1"/>
  <c r="R54" i="79"/>
  <c r="R52" i="79"/>
  <c r="R53" i="79"/>
  <c r="F73" i="79"/>
  <c r="G57" i="79"/>
  <c r="G73" i="79" s="1"/>
  <c r="D12" i="79"/>
  <c r="D52" i="79" s="1"/>
  <c r="D68" i="79" s="1"/>
  <c r="J33" i="79"/>
  <c r="J35" i="79" s="1"/>
  <c r="D29" i="79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T12" i="79"/>
  <c r="I24" i="81"/>
  <c r="R24" i="81" s="1"/>
  <c r="E24" i="81"/>
  <c r="N24" i="81" s="1"/>
  <c r="R10" i="81"/>
  <c r="P10" i="81"/>
  <c r="E10" i="81"/>
  <c r="N10" i="81" s="1"/>
  <c r="G24" i="81"/>
  <c r="P24" i="81" s="1"/>
  <c r="I26" i="81"/>
  <c r="R26" i="81" s="1"/>
  <c r="E26" i="81"/>
  <c r="N26" i="81" s="1"/>
  <c r="R12" i="81"/>
  <c r="G26" i="81"/>
  <c r="P26" i="81" s="1"/>
  <c r="P12" i="81"/>
  <c r="E12" i="81"/>
  <c r="N12" i="81" s="1"/>
  <c r="T13" i="79"/>
  <c r="G25" i="81"/>
  <c r="P25" i="81" s="1"/>
  <c r="P11" i="81"/>
  <c r="E11" i="81"/>
  <c r="N11" i="81" s="1"/>
  <c r="I25" i="81"/>
  <c r="R25" i="81" s="1"/>
  <c r="E25" i="81"/>
  <c r="N25" i="81" s="1"/>
  <c r="R11" i="81"/>
  <c r="L39" i="23"/>
  <c r="N39" i="23" s="1"/>
  <c r="L41" i="23"/>
  <c r="N41" i="23" s="1"/>
  <c r="L42" i="23"/>
  <c r="N42" i="23" s="1"/>
  <c r="I43" i="23"/>
  <c r="J43" i="23" s="1"/>
  <c r="F43" i="23"/>
  <c r="D26" i="79" l="1"/>
  <c r="G9" i="80"/>
  <c r="L30" i="79"/>
  <c r="H30" i="79"/>
  <c r="D28" i="79"/>
  <c r="R55" i="79"/>
  <c r="G43" i="23"/>
  <c r="F11" i="80" s="1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T14" i="79"/>
  <c r="G27" i="81"/>
  <c r="P27" i="81" s="1"/>
  <c r="I27" i="81"/>
  <c r="R27" i="81" s="1"/>
  <c r="E27" i="81"/>
  <c r="N27" i="81" s="1"/>
  <c r="R13" i="81"/>
  <c r="P13" i="81"/>
  <c r="E13" i="81"/>
  <c r="N13" i="81" s="1"/>
  <c r="D14" i="79" l="1"/>
  <c r="D30" i="79" s="1"/>
  <c r="G11" i="80"/>
  <c r="L43" i="23"/>
  <c r="O43" i="23"/>
  <c r="C12" i="23"/>
  <c r="N43" i="23" l="1"/>
  <c r="D55" i="79"/>
  <c r="D71" i="79" s="1"/>
  <c r="G9" i="48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F17" i="23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L17" i="23" l="1"/>
  <c r="O17" i="23"/>
  <c r="G38" i="23"/>
  <c r="F6" i="80" s="1"/>
  <c r="I36" i="23"/>
  <c r="J9" i="48"/>
  <c r="J9" i="51"/>
  <c r="E4" i="80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L4" i="80"/>
  <c r="J4" i="80" l="1"/>
  <c r="I4" i="80"/>
  <c r="F26" i="80" s="1"/>
  <c r="G6" i="80"/>
  <c r="D9" i="79"/>
  <c r="D49" i="79" s="1"/>
  <c r="D65" i="79" s="1"/>
  <c r="N17" i="23"/>
  <c r="H4" i="80"/>
  <c r="F36" i="23"/>
  <c r="J36" i="23"/>
  <c r="K4" i="80" l="1"/>
  <c r="H25" i="79"/>
  <c r="L25" i="79"/>
  <c r="R47" i="79"/>
  <c r="G36" i="23"/>
  <c r="T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P5" i="81"/>
  <c r="P7" i="81"/>
  <c r="R7" i="81"/>
  <c r="D25" i="79"/>
  <c r="C3" i="79"/>
  <c r="I19" i="81"/>
  <c r="R19" i="81" s="1"/>
  <c r="E19" i="81"/>
  <c r="N19" i="81" s="1"/>
  <c r="R5" i="81"/>
  <c r="E5" i="81"/>
  <c r="N5" i="81" s="1"/>
  <c r="G19" i="81"/>
  <c r="P19" i="81" s="1"/>
  <c r="F4" i="80" l="1"/>
  <c r="D7" i="79"/>
  <c r="O36" i="23"/>
  <c r="G4" i="80"/>
  <c r="H63" i="79"/>
  <c r="L23" i="79"/>
  <c r="H23" i="79"/>
  <c r="D47" i="79" l="1"/>
  <c r="D63" i="79" s="1"/>
  <c r="D23" i="79"/>
  <c r="B9" i="50"/>
  <c r="B9" i="48"/>
  <c r="C9" i="50"/>
  <c r="C9" i="48"/>
  <c r="G14" i="51" l="1"/>
  <c r="D36" i="23"/>
  <c r="D46" i="23" s="1"/>
  <c r="C34" i="23"/>
  <c r="C35" i="23"/>
  <c r="C36" i="23"/>
  <c r="G14" i="50" l="1"/>
  <c r="K36" i="23"/>
  <c r="K46" i="23" s="1"/>
  <c r="M36" i="23" l="1"/>
  <c r="M46" i="23"/>
  <c r="L36" i="23"/>
  <c r="N36" i="23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F12" i="5" l="1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3" i="5"/>
  <c r="B44" i="5"/>
  <c r="B46" i="5"/>
  <c r="B27" i="5"/>
  <c r="B36" i="5"/>
  <c r="B32" i="5"/>
  <c r="B30" i="5"/>
  <c r="B28" i="5"/>
  <c r="B40" i="5"/>
  <c r="B45" i="5"/>
  <c r="B47" i="5"/>
  <c r="E9" i="5"/>
  <c r="B38" i="5"/>
  <c r="B35" i="5"/>
  <c r="B33" i="5"/>
  <c r="B41" i="5"/>
  <c r="B31" i="5"/>
  <c r="B34" i="5"/>
  <c r="B37" i="5"/>
  <c r="B29" i="5"/>
  <c r="B42" i="5"/>
  <c r="B39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B44" i="50" l="1"/>
  <c r="B46" i="50"/>
  <c r="B43" i="50"/>
  <c r="B45" i="50"/>
  <c r="B47" i="50"/>
  <c r="H9" i="50"/>
  <c r="I9" i="50" s="1"/>
  <c r="F18" i="23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F27" i="23" l="1"/>
  <c r="E5" i="80"/>
  <c r="F29" i="23"/>
  <c r="J29" i="23"/>
  <c r="O18" i="23"/>
  <c r="L18" i="23"/>
  <c r="E42" i="50"/>
  <c r="D42" i="50"/>
  <c r="C42" i="50"/>
  <c r="E22" i="50"/>
  <c r="C22" i="50"/>
  <c r="D29" i="50"/>
  <c r="E29" i="50"/>
  <c r="C29" i="50"/>
  <c r="I37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J9" i="50"/>
  <c r="L5" i="80"/>
  <c r="I5" i="80" l="1"/>
  <c r="F20" i="80" s="1"/>
  <c r="E14" i="80"/>
  <c r="I14" i="80" s="1"/>
  <c r="N18" i="23"/>
  <c r="F37" i="23"/>
  <c r="F46" i="23" s="1"/>
  <c r="F28" i="23"/>
  <c r="J37" i="23"/>
  <c r="J5" i="80" l="1"/>
  <c r="R48" i="79"/>
  <c r="H5" i="80"/>
  <c r="H14" i="80" s="1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T8" i="79"/>
  <c r="I20" i="81"/>
  <c r="R20" i="81" s="1"/>
  <c r="E20" i="81"/>
  <c r="N20" i="81" s="1"/>
  <c r="R6" i="81"/>
  <c r="P6" i="81"/>
  <c r="E6" i="81"/>
  <c r="N6" i="81" s="1"/>
  <c r="G20" i="81"/>
  <c r="P20" i="81" s="1"/>
  <c r="G37" i="23"/>
  <c r="D8" i="79" l="1"/>
  <c r="D17" i="79" s="1"/>
  <c r="F5" i="80"/>
  <c r="F14" i="80" s="1"/>
  <c r="G46" i="23"/>
  <c r="K5" i="80"/>
  <c r="K14" i="80" s="1"/>
  <c r="J14" i="80"/>
  <c r="O37" i="23"/>
  <c r="F8" i="78"/>
  <c r="H73" i="79"/>
  <c r="H24" i="79"/>
  <c r="L24" i="79"/>
  <c r="G7" i="78"/>
  <c r="L37" i="23"/>
  <c r="D48" i="79" l="1"/>
  <c r="F12" i="78"/>
  <c r="H12" i="78" s="1"/>
  <c r="J6" i="78"/>
  <c r="I6" i="78"/>
  <c r="K7" i="78"/>
  <c r="B8" i="78"/>
  <c r="J7" i="78"/>
  <c r="I7" i="78"/>
  <c r="G5" i="80"/>
  <c r="G14" i="80"/>
  <c r="D64" i="79"/>
  <c r="D57" i="79"/>
  <c r="N37" i="23"/>
  <c r="D24" i="79"/>
  <c r="L13" i="23"/>
  <c r="L33" i="79"/>
  <c r="L35" i="79" s="1"/>
  <c r="J39" i="79" s="1"/>
  <c r="J36" i="79" s="1"/>
  <c r="H33" i="79"/>
  <c r="G8" i="78"/>
  <c r="F13" i="78" s="1"/>
  <c r="H13" i="78" s="1"/>
  <c r="F37" i="79" l="1"/>
  <c r="F34" i="79" s="1"/>
  <c r="H35" i="79"/>
  <c r="F39" i="79" s="1"/>
  <c r="F36" i="79" s="1"/>
  <c r="J37" i="79"/>
  <c r="J34" i="79" s="1"/>
  <c r="D58" i="79"/>
  <c r="D73" i="79"/>
  <c r="D18" i="79"/>
  <c r="D33" i="79"/>
  <c r="D35" i="79" s="1"/>
  <c r="K8" i="78"/>
  <c r="L39" i="79" l="1"/>
  <c r="L40" i="79" s="1"/>
  <c r="C39" i="79"/>
  <c r="C36" i="79" s="1"/>
  <c r="H39" i="79"/>
  <c r="H40" i="79" s="1"/>
  <c r="P39" i="79"/>
  <c r="P40" i="79" s="1"/>
  <c r="C37" i="79"/>
  <c r="C34" i="79" s="1"/>
  <c r="P37" i="79"/>
  <c r="P38" i="79" s="1"/>
  <c r="H37" i="79"/>
  <c r="H38" i="79" s="1"/>
  <c r="H75" i="79"/>
  <c r="H76" i="79" s="1"/>
  <c r="L37" i="79"/>
  <c r="L38" i="79" s="1"/>
  <c r="J8" i="78"/>
  <c r="I8" i="78"/>
  <c r="F9" i="89"/>
  <c r="J19" i="23" s="1"/>
  <c r="I38" i="23" l="1"/>
  <c r="J27" i="23"/>
  <c r="O19" i="23"/>
  <c r="O27" i="23" s="1"/>
  <c r="L19" i="23"/>
  <c r="L27" i="23" s="1"/>
  <c r="J38" i="23" l="1"/>
  <c r="J46" i="23" s="1"/>
  <c r="I46" i="23"/>
  <c r="N27" i="23"/>
  <c r="N19" i="23"/>
  <c r="K9" i="23"/>
  <c r="B9" i="23"/>
  <c r="J28" i="23"/>
  <c r="T9" i="79" l="1"/>
  <c r="T17" i="79" s="1"/>
  <c r="U17" i="79" s="1"/>
  <c r="I7" i="86"/>
  <c r="R7" i="86" s="1"/>
  <c r="I21" i="86"/>
  <c r="R21" i="86" s="1"/>
  <c r="E7" i="81"/>
  <c r="N7" i="81" s="1"/>
  <c r="E21" i="86"/>
  <c r="N21" i="86" s="1"/>
  <c r="G21" i="86"/>
  <c r="P21" i="86" s="1"/>
  <c r="R49" i="79"/>
  <c r="L38" i="23"/>
  <c r="L46" i="23" s="1"/>
  <c r="N46" i="23" s="1"/>
  <c r="E7" i="86"/>
  <c r="N7" i="86" s="1"/>
  <c r="I21" i="81"/>
  <c r="R21" i="81" s="1"/>
  <c r="O38" i="23"/>
  <c r="G21" i="81"/>
  <c r="P21" i="81" s="1"/>
  <c r="G7" i="86"/>
  <c r="P7" i="86" s="1"/>
  <c r="E21" i="81"/>
  <c r="N21" i="81" s="1"/>
  <c r="M13" i="23"/>
  <c r="N38" i="2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<sst xmlns="http://schemas.openxmlformats.org/spreadsheetml/2006/main" count="1220" uniqueCount="301">
  <si>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</si>
  <si>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</si>
  <si>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</si>
  <si>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</si>
  <si>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</si>
  <si>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</si>
  <si>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</si>
  <si>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</si>
  <si>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</si>
  <si>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</si>
  <si>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</si>
  <si>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</si>
  <si>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</si>
  <si>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</si>
  <si>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</si>
  <si>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</si>
  <si>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</si>
  <si>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</si>
  <si>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</si>
  <si>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</si>
  <si>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</si>
  <si>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</si>
  <si>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</si>
  <si>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</si>
  <si>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</si>
  <si>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</si>
  <si>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</si>
  <si>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</si>
  <si>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</si>
  <si>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</si>
  <si>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</si>
  <si>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</si>
  <si>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</si>
  <si>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</si>
  <si>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</si>
  <si>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</si>
  <si>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</si>
  <si>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</si>
  <si>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</si>
  <si>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</si>
  <si>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</si>
  <si>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</si>
  <si>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</si>
  <si>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</si>
  <si>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</si>
  <si>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</si>
  <si>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</si>
  <si>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</si>
  <si>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</si>
  <si>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</si>
  <si>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</si>
  <si>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</si>
  <si>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</si>
  <si>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</si>
  <si>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</si>
  <si>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</si>
  <si>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</si>
  <si>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</si>
  <si>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</si>
  <si>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</si>
  <si>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</si>
  <si>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</si>
  <si>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</si>
  <si>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</si>
  <si>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</si>
  <si>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</si>
  <si>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</si>
  <si>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</si>
  <si>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</si>
  <si>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</si>
  <si>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</si>
  <si>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</si>
  <si>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</si>
  <si>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</si>
  <si>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</si>
  <si>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</si>
  <si>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</si>
  <si>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</si>
  <si>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</si>
  <si>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</si>
  <si>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</si>
  <si>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</si>
  <si>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</si>
  <si>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</si>
  <si>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</si>
  <si>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</si>
  <si>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</si>
  <si>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</si>
  <si>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</si>
  <si>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</si>
  <si>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</si>
  <si>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</si>
  <si>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</si>
  <si>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</si>
  <si>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</si>
  <si>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</si>
  <si>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</si>
  <si>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</si>
  <si>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</si>
  <si>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</si>
  <si>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</si>
  <si>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</si>
  <si>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</si>
  <si>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</si>
  <si>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</si>
  <si>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</si>
  <si>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</si>
  <si>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</si>
  <si>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</si>
  <si>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</si>
  <si>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</si>
  <si>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</si>
  <si>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</si>
  <si>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</si>
  <si>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</si>
  <si>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</si>
  <si>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</si>
  <si>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</si>
  <si>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</si>
  <si>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</si>
  <si>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</si>
  <si>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</si>
  <si>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</si>
  <si>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</si>
  <si>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</si>
  <si>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</si>
  <si>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</si>
  <si>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</si>
  <si>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</si>
  <si>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</si>
  <si>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</si>
  <si>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</si>
  <si>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</si>
  <si>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</si>
  <si>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</si>
  <si>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</si>
  <si>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</si>
  <si>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</si>
  <si>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</si>
  <si>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</si>
  <si>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</si>
  <si>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</si>
  <si>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</si>
  <si>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</si>
  <si>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</si>
  <si>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</si>
  <si>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</si>
  <si>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</si>
  <si>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</si>
  <si>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</si>
  <si>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</si>
  <si>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</si>
  <si>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</si>
  <si>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</si>
  <si>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</si>
  <si>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</si>
  <si>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</si>
  <si>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</si>
  <si>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</si>
  <si>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</si>
  <si>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</si>
  <si>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Doses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</si>
  <si>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</si>
  <si>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</si>
  <si>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</si>
  <si>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</si>
  <si>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</si>
  <si>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</si>
  <si>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</si>
  <si>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</si>
  <si>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</si>
  <si>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</si>
  <si>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</si>
  <si>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</si>
  <si>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</si>
  <si>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</si>
  <si>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</si>
  <si>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</si>
  <si>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</si>
  <si>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</si>
  <si>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</si>
  <si>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</si>
  <si>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</si>
  <si>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</si>
  <si>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</si>
  <si>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</si>
  <si>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</si>
  <si>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</si>
  <si>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</si>
  <si>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</si>
  <si>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</si>
  <si>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</si>
  <si>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</si>
  <si>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</si>
  <si>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InScope Promotion</t>
  </si>
  <si>
    <t>Spend</t>
  </si>
  <si>
    <t>Expected pre-tax NPV($MM)</t>
  </si>
  <si>
    <t>% Change from current</t>
  </si>
  <si>
    <t>Expected pre-tax NPV (MM)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</si>
  <si>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</si>
  <si>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</si>
  <si>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</si>
  <si>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</si>
  <si>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</si>
  <si>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</si>
  <si>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</si>
  <si>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</si>
  <si>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</si>
  <si>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</si>
  <si>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</si>
  <si>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</si>
  <si>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</si>
  <si>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</si>
  <si>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</si>
  <si>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</si>
  <si>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</si>
  <si>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</si>
  <si>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</si>
  <si>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</si>
  <si>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</si>
  <si>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</si>
  <si>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</si>
  <si>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</si>
  <si>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</si>
  <si>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</si>
  <si>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</si>
  <si>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</si>
  <si>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Formula Template</t>
  </si>
  <si>
    <t>Gardasil Adults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</si>
  <si>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</si>
  <si>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</si>
  <si>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HCC InOffice</t>
  </si>
  <si>
    <t>HCC Linear TV</t>
  </si>
  <si>
    <t>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</si>
  <si>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</si>
  <si>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All Vaccines: Gardasil Adult</t>
  </si>
  <si>
    <t>HCP</t>
  </si>
  <si>
    <t>Optimal to Current</t>
  </si>
  <si>
    <t>2022 Forecast</t>
  </si>
  <si>
    <t>% Contri 2022</t>
  </si>
  <si>
    <t>Optimal channel spend allowed to vary between constraints defined by marketing team &amp; INI of the 2021 channel spend - LINEAR TV and Streaming TV constraints modified</t>
  </si>
  <si>
    <t>Custom Constraints</t>
  </si>
  <si>
    <t>Power</t>
  </si>
  <si>
    <t xml:space="preserve">Note : </t>
  </si>
  <si>
    <t>Pre Tax PGM ($)</t>
  </si>
  <si>
    <t>3-yr pre tax NPV</t>
  </si>
  <si>
    <t>3-yr pre-tax Incr. Rev.</t>
  </si>
  <si>
    <t>Gardasil Adult Social. Given a set of X and Y values, a power function (i.e., a smooth continuous curve) is fit for each pair of values</t>
  </si>
  <si>
    <t>Gardasil Adult Streaming. Given a set of X and Y values, a power function (i.e., a smooth continuous curve) is fit for each pair of values</t>
  </si>
  <si>
    <t>Gardasil Adultdisplay.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</si>
  <si>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</si>
  <si>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</si>
  <si>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psrch. Given a set of X and Y values, a power function (i.e., a smooth continuous curve) is fit for each pair of values</t>
  </si>
  <si>
    <t>HCC psrch</t>
  </si>
  <si>
    <t>Gardasil Adult audio. Given a set of X and Y values, a power function (i.e., a smooth continuous curve) is fit for each pair of values</t>
  </si>
  <si>
    <t>HCC audio</t>
  </si>
  <si>
    <t>Gardasil Adult linear tv. Given a set of X and Y values, a power function (i.e., a smooth continuous curve) is fit for each pair of values</t>
  </si>
  <si>
    <t>HCC linear tv</t>
  </si>
  <si>
    <t>Estimated Contribution to Private Sales</t>
  </si>
  <si>
    <t>Estimated Contribution to total G9 Sales</t>
  </si>
  <si>
    <t>Δ Pre-tax Revenue w.r.t 2022 Current baseline</t>
  </si>
  <si>
    <t>q1-q3 tv</t>
  </si>
  <si>
    <t>left 4 Q4</t>
  </si>
  <si>
    <t>*CHANGES from round 1</t>
  </si>
  <si>
    <t>TV and streaming are fixed and budgets were updated to reflect the orignal incoming budgets; tweaks made to sensitivity of audio and linear TV</t>
  </si>
  <si>
    <t>Gardasil Adults: HCC InOffice, HCC Streaming TV, HCP MCM, HCC Digital, HCC Linear TV</t>
  </si>
  <si>
    <t>BASE Case: Vary promotion type spend by - 50%/+100%. Keep global spend constant.</t>
  </si>
  <si>
    <t>HCC Pharmacy</t>
  </si>
  <si>
    <t>2023 Current Baseline ($MM)</t>
  </si>
  <si>
    <t>Current 2023 Baseline</t>
  </si>
  <si>
    <t>2023 Planned Spend ($)</t>
  </si>
  <si>
    <t>2023 Optimal Spend ($)</t>
  </si>
  <si>
    <t>2023 Spend ($MM)</t>
  </si>
  <si>
    <t>2023 Estimated Incr. Doses ('000)</t>
  </si>
  <si>
    <t>2023 Estimated Pre-Tax NPV</t>
  </si>
  <si>
    <t>2023 Estimated Pre-tax ROI</t>
  </si>
  <si>
    <t>2023 projected</t>
  </si>
  <si>
    <t>GINOFF</t>
  </si>
  <si>
    <t>GMCM</t>
  </si>
  <si>
    <t>GSOCIAL</t>
  </si>
  <si>
    <t>GOLV</t>
  </si>
  <si>
    <t>GSTRTV</t>
  </si>
  <si>
    <t>GDISP</t>
  </si>
  <si>
    <t>GPDSRCH</t>
  </si>
  <si>
    <t>GAUDIO</t>
  </si>
  <si>
    <t>GLINEARTV</t>
  </si>
  <si>
    <t>GPHRMCY</t>
  </si>
  <si>
    <t>2023 Projected Promotion Efficiency</t>
  </si>
  <si>
    <t>Optimal channel spend allowed to vary based on custom constrains of the 2023 channel spend</t>
  </si>
  <si>
    <t>Current Optimal ($60MM)</t>
  </si>
  <si>
    <t>50% increase optimal ($90M)</t>
  </si>
  <si>
    <t>100% increase optimal ($120M)</t>
  </si>
  <si>
    <t>Custom Constrains</t>
  </si>
  <si>
    <t>Incr. Reve assuming increased channel effectiveness (140%)</t>
  </si>
  <si>
    <t>Δ Pre-tax Revenue w.r.t 2023 Current baseline with 140% effectiveness</t>
  </si>
  <si>
    <t>+$137(79%)</t>
  </si>
  <si>
    <t>+$191(111%)</t>
  </si>
  <si>
    <t>+$146(85%)</t>
  </si>
  <si>
    <t>+$104(60%)</t>
  </si>
  <si>
    <t>+$19(11%)</t>
  </si>
  <si>
    <t>+$27(15%)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</si>
</sst>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&quot;$&quot;0.0,,\ &quot;M&quot;"/>
  </numFmts>
  <fonts count="4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1" tint="4.9989318521683403E-2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0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1499679555650502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451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9" fontId="1" fillId="0" borderId="12" xfId="0" applyNumberFormat="1" applyFont="1" applyBorder="1"/>
    <xf numFmtId="9" fontId="1" fillId="0" borderId="37" xfId="0" applyNumberFormat="1" applyFont="1" applyBorder="1"/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166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1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2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1" xfId="0" applyBorder="1" applyAlignment="1">
      <alignment horizontal="center" vertical="center"/>
    </xf>
    <xf numFmtId="0" fontId="0" fillId="0" borderId="7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170" fontId="0" fillId="0" borderId="77" xfId="4" applyNumberFormat="1" applyFont="1" applyBorder="1" applyAlignment="1">
      <alignment horizontal="center" vertical="center"/>
    </xf>
    <xf numFmtId="170" fontId="0" fillId="0" borderId="78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79" xfId="4" applyNumberFormat="1" applyFont="1" applyBorder="1" applyAlignment="1">
      <alignment horizontal="center" vertical="center"/>
    </xf>
    <xf numFmtId="9" fontId="0" fillId="0" borderId="77" xfId="3" applyFont="1" applyBorder="1" applyAlignment="1">
      <alignment horizontal="center" vertical="center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9" fontId="0" fillId="0" borderId="81" xfId="3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0" fontId="28" fillId="47" borderId="85" xfId="0" applyFont="1" applyFill="1" applyBorder="1" applyAlignment="1">
      <alignment horizontal="left" wrapText="1" indent="1"/>
    </xf>
    <xf numFmtId="170" fontId="28" fillId="47" borderId="86" xfId="0" applyNumberFormat="1" applyFont="1" applyFill="1" applyBorder="1" applyAlignment="1">
      <alignment horizontal="center" vertical="center"/>
    </xf>
    <xf numFmtId="170" fontId="28" fillId="47" borderId="87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7" borderId="88" xfId="4" applyNumberFormat="1" applyFont="1" applyFill="1" applyBorder="1" applyAlignment="1">
      <alignment horizontal="center" vertical="center" wrapText="1"/>
    </xf>
    <xf numFmtId="9" fontId="28" fillId="47" borderId="89" xfId="3" applyFont="1" applyFill="1" applyBorder="1" applyAlignment="1">
      <alignment horizontal="center" vertical="center"/>
    </xf>
    <xf numFmtId="170" fontId="28" fillId="47" borderId="90" xfId="4" applyNumberFormat="1" applyFont="1" applyFill="1" applyBorder="1" applyAlignment="1">
      <alignment horizontal="center" vertical="center" wrapText="1"/>
    </xf>
    <xf numFmtId="166" fontId="38" fillId="47" borderId="90" xfId="4" applyNumberFormat="1" applyFont="1" applyFill="1" applyBorder="1" applyAlignment="1">
      <alignment horizontal="center" vertical="center" wrapText="1"/>
    </xf>
    <xf numFmtId="166" fontId="28" fillId="47" borderId="90" xfId="4" applyNumberFormat="1" applyFont="1" applyFill="1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6" borderId="47" xfId="0" applyFont="1" applyFill="1" applyBorder="1" applyAlignment="1">
      <alignment horizontal="center" vertical="center" wrapText="1"/>
    </xf>
    <xf numFmtId="0" fontId="39" fillId="46" borderId="48" xfId="0" applyFont="1" applyFill="1" applyBorder="1" applyAlignment="1">
      <alignment horizontal="center" vertical="center" wrapText="1"/>
    </xf>
    <xf numFmtId="0" fontId="39" fillId="46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169" fontId="0" fillId="0" borderId="48" xfId="0" applyNumberFormat="1" applyFont="1" applyBorder="1" applyAlignment="1">
      <alignment horizontal="center"/>
    </xf>
    <xf numFmtId="171" fontId="11" fillId="0" borderId="48" xfId="3" applyNumberFormat="1" applyFont="1" applyBorder="1" applyAlignment="1">
      <alignment horizontal="center"/>
    </xf>
    <xf numFmtId="0" fontId="1" fillId="0" borderId="0" xfId="0" applyFont="1" applyBorder="1" applyAlignment="1">
      <alignment horizontal="left" indent="1"/>
    </xf>
    <xf numFmtId="169" fontId="0" fillId="0" borderId="0" xfId="0" applyNumberFormat="1" applyFont="1" applyBorder="1" applyAlignment="1">
      <alignment horizontal="center"/>
    </xf>
    <xf numFmtId="171" fontId="11" fillId="0" borderId="0" xfId="3" applyNumberFormat="1" applyFont="1" applyBorder="1" applyAlignment="1">
      <alignment horizontal="center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1" xfId="0" applyFont="1" applyFill="1" applyBorder="1" applyAlignment="1">
      <alignment horizontal="center" vertical="center" wrapText="1"/>
    </xf>
    <xf numFmtId="0" fontId="2" fillId="8" borderId="92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3" xfId="4" applyNumberFormat="1" applyFont="1" applyBorder="1"/>
    <xf numFmtId="164" fontId="0" fillId="0" borderId="94" xfId="4" applyNumberFormat="1" applyFont="1" applyBorder="1"/>
    <xf numFmtId="0" fontId="36" fillId="0" borderId="0" xfId="0" applyFont="1"/>
    <xf numFmtId="170" fontId="0" fillId="0" borderId="93" xfId="4" applyNumberFormat="1" applyFont="1" applyBorder="1" applyAlignment="1">
      <alignment horizontal="center"/>
    </xf>
    <xf numFmtId="170" fontId="0" fillId="0" borderId="94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5" xfId="4" applyNumberFormat="1" applyFont="1" applyBorder="1"/>
    <xf numFmtId="164" fontId="0" fillId="0" borderId="96" xfId="4" applyNumberFormat="1" applyFont="1" applyBorder="1"/>
    <xf numFmtId="170" fontId="0" fillId="0" borderId="95" xfId="4" applyNumberFormat="1" applyFont="1" applyBorder="1" applyAlignment="1">
      <alignment horizontal="center"/>
    </xf>
    <xf numFmtId="170" fontId="0" fillId="0" borderId="96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38" fillId="47" borderId="90" xfId="4" quotePrefix="1" applyNumberFormat="1" applyFont="1" applyFill="1" applyBorder="1" applyAlignment="1">
      <alignment horizontal="center" vertical="center" wrapText="1"/>
    </xf>
    <xf numFmtId="166" fontId="0" fillId="0" borderId="78" xfId="4" applyNumberFormat="1" applyFont="1" applyBorder="1" applyAlignment="1">
      <alignment horizontal="center" vertical="center"/>
    </xf>
    <xf numFmtId="166" fontId="0" fillId="0" borderId="82" xfId="4" applyNumberFormat="1" applyFont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6" borderId="49" xfId="0" applyFont="1" applyFill="1" applyBorder="1" applyAlignment="1">
      <alignment horizontal="center" vertical="center" wrapText="1"/>
    </xf>
    <xf numFmtId="169" fontId="28" fillId="0" borderId="42" xfId="0" applyNumberFormat="1" applyFont="1" applyBorder="1" applyAlignment="1">
      <alignment horizontal="center"/>
    </xf>
    <xf numFmtId="172" fontId="28" fillId="0" borderId="13" xfId="0" applyNumberFormat="1" applyFont="1" applyBorder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3" fontId="1" fillId="2" borderId="12" xfId="2" applyNumberFormat="1" applyFont="1" applyFill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" fillId="9" borderId="12" xfId="0" applyNumberFormat="1" applyFont="1" applyFill="1" applyBorder="1" applyAlignment="1">
      <alignment horizontal="center"/>
    </xf>
    <xf numFmtId="166" fontId="1" fillId="9" borderId="37" xfId="0" applyNumberFormat="1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horizontal="center"/>
    </xf>
    <xf numFmtId="9" fontId="1" fillId="0" borderId="37" xfId="0" applyNumberFormat="1" applyFont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9" fontId="1" fillId="0" borderId="0" xfId="3" applyFont="1" applyAlignment="1">
      <alignment horizontal="center"/>
    </xf>
    <xf numFmtId="9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28" fillId="0" borderId="0" xfId="0" applyFont="1" applyAlignment="1">
      <alignment horizontal="left" vertical="center" wrapText="1"/>
    </xf>
    <xf numFmtId="166" fontId="28" fillId="0" borderId="0" xfId="0" applyNumberFormat="1" applyFont="1" applyAlignment="1">
      <alignment horizontal="center" vertical="center"/>
    </xf>
    <xf numFmtId="9" fontId="28" fillId="0" borderId="0" xfId="3" applyFont="1" applyAlignment="1">
      <alignment horizontal="center" vertical="center"/>
    </xf>
    <xf numFmtId="170" fontId="0" fillId="0" borderId="98" xfId="4" applyNumberFormat="1" applyFont="1" applyBorder="1" applyAlignment="1">
      <alignment horizontal="center" vertical="center"/>
    </xf>
    <xf numFmtId="9" fontId="0" fillId="0" borderId="97" xfId="3" applyFont="1" applyBorder="1" applyAlignment="1">
      <alignment horizontal="center" vertical="center"/>
    </xf>
    <xf numFmtId="170" fontId="0" fillId="0" borderId="99" xfId="4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7" fontId="0" fillId="0" borderId="0" xfId="0" applyNumberFormat="1"/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8" fontId="1" fillId="9" borderId="2" xfId="4" applyNumberFormat="1" applyFont="1" applyFill="1" applyBorder="1"/>
    <xf numFmtId="0" fontId="28" fillId="47" borderId="0" xfId="0" applyFont="1" applyFill="1" applyAlignment="1">
      <alignment horizontal="center"/>
    </xf>
    <xf numFmtId="44" fontId="1" fillId="0" borderId="0" xfId="0" applyNumberFormat="1" applyFont="1"/>
    <xf numFmtId="9" fontId="0" fillId="0" borderId="81" xfId="3" applyFont="1" applyFill="1" applyBorder="1" applyAlignment="1">
      <alignment horizontal="center" vertical="center"/>
    </xf>
    <xf numFmtId="168" fontId="0" fillId="0" borderId="0" xfId="0" applyNumberFormat="1"/>
    <xf numFmtId="0" fontId="25" fillId="46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 vertical="center"/>
    </xf>
    <xf numFmtId="170" fontId="28" fillId="47" borderId="0" xfId="4" applyNumberFormat="1" applyFont="1" applyFill="1" applyBorder="1" applyAlignment="1">
      <alignment horizontal="center" vertical="center" wrapText="1"/>
    </xf>
    <xf numFmtId="166" fontId="38" fillId="47" borderId="0" xfId="4" quotePrefix="1" applyNumberFormat="1" applyFont="1" applyFill="1" applyBorder="1" applyAlignment="1">
      <alignment horizontal="center" vertical="center" wrapText="1"/>
    </xf>
    <xf numFmtId="166" fontId="28" fillId="47" borderId="0" xfId="4" applyNumberFormat="1" applyFont="1" applyFill="1" applyBorder="1" applyAlignment="1">
      <alignment horizontal="center" vertical="center" wrapText="1"/>
    </xf>
    <xf numFmtId="9" fontId="0" fillId="0" borderId="0" xfId="3" applyNumberFormat="1" applyFont="1" applyAlignment="1">
      <alignment horizontal="center"/>
    </xf>
    <xf numFmtId="9" fontId="1" fillId="0" borderId="0" xfId="0" applyNumberFormat="1" applyFont="1" applyBorder="1" applyAlignment="1">
      <alignment horizontal="center"/>
    </xf>
    <xf numFmtId="0" fontId="0" fillId="0" borderId="100" xfId="0" applyBorder="1" applyAlignment="1">
      <alignment horizontal="left" vertical="center" indent="1"/>
    </xf>
    <xf numFmtId="0" fontId="41" fillId="0" borderId="47" xfId="0" applyFont="1" applyBorder="1" applyAlignment="1">
      <alignment horizontal="left" vertical="center"/>
    </xf>
    <xf numFmtId="0" fontId="41" fillId="0" borderId="48" xfId="0" applyFont="1" applyBorder="1" applyAlignment="1">
      <alignment horizontal="left" vertical="center"/>
    </xf>
    <xf numFmtId="173" fontId="42" fillId="0" borderId="0" xfId="0" applyNumberFormat="1" applyFont="1" applyAlignment="1">
      <alignment horizontal="center" vertical="center"/>
    </xf>
    <xf numFmtId="3" fontId="42" fillId="0" borderId="48" xfId="0" applyNumberFormat="1" applyFont="1" applyBorder="1" applyAlignment="1">
      <alignment horizontal="center" vertical="center"/>
    </xf>
    <xf numFmtId="0" fontId="41" fillId="0" borderId="40" xfId="0" applyFont="1" applyBorder="1" applyAlignment="1">
      <alignment horizontal="left" vertical="center"/>
    </xf>
    <xf numFmtId="0" fontId="41" fillId="0" borderId="0" xfId="0" applyFont="1" applyAlignment="1">
      <alignment horizontal="left" vertical="center"/>
    </xf>
    <xf numFmtId="3" fontId="42" fillId="0" borderId="0" xfId="0" applyNumberFormat="1" applyFont="1" applyAlignment="1">
      <alignment horizontal="center" vertical="center"/>
    </xf>
    <xf numFmtId="0" fontId="43" fillId="0" borderId="41" xfId="0" applyFont="1" applyBorder="1" applyAlignment="1">
      <alignment vertical="center"/>
    </xf>
    <xf numFmtId="0" fontId="43" fillId="0" borderId="42" xfId="0" applyFont="1" applyBorder="1" applyAlignment="1">
      <alignment vertical="center"/>
    </xf>
    <xf numFmtId="173" fontId="44" fillId="0" borderId="42" xfId="0" applyNumberFormat="1" applyFont="1" applyBorder="1" applyAlignment="1">
      <alignment horizontal="center" vertical="center"/>
    </xf>
    <xf numFmtId="3" fontId="44" fillId="0" borderId="42" xfId="0" applyNumberFormat="1" applyFont="1" applyBorder="1" applyAlignment="1">
      <alignment horizontal="center" vertical="center"/>
    </xf>
    <xf numFmtId="166" fontId="42" fillId="0" borderId="48" xfId="0" applyNumberFormat="1" applyFont="1" applyBorder="1" applyAlignment="1">
      <alignment horizontal="center" vertical="center"/>
    </xf>
    <xf numFmtId="166" fontId="44" fillId="0" borderId="42" xfId="4" applyNumberFormat="1" applyFont="1" applyBorder="1" applyAlignment="1">
      <alignment horizontal="center" vertical="center"/>
    </xf>
    <xf numFmtId="3" fontId="0" fillId="43" borderId="0" xfId="0" applyNumberFormat="1" applyFill="1"/>
    <xf numFmtId="10" fontId="42" fillId="0" borderId="0" xfId="3" applyNumberFormat="1" applyFont="1" applyBorder="1" applyAlignment="1">
      <alignment horizontal="center" vertical="center"/>
    </xf>
    <xf numFmtId="171" fontId="44" fillId="0" borderId="42" xfId="3" applyNumberFormat="1" applyFont="1" applyBorder="1" applyAlignment="1">
      <alignment horizontal="center" vertical="center"/>
    </xf>
    <xf numFmtId="0" fontId="45" fillId="0" borderId="0" xfId="0" applyFont="1"/>
    <xf numFmtId="2" fontId="42" fillId="0" borderId="67" xfId="3" applyNumberFormat="1" applyFont="1" applyBorder="1" applyAlignment="1">
      <alignment horizontal="center" vertical="center"/>
    </xf>
    <xf numFmtId="2" fontId="0" fillId="0" borderId="0" xfId="0" applyNumberFormat="1"/>
    <xf numFmtId="3" fontId="0" fillId="0" borderId="0" xfId="0" applyNumberFormat="1"/>
    <xf numFmtId="0" fontId="28" fillId="47" borderId="85" xfId="0" applyFont="1" applyFill="1" applyBorder="1" applyAlignment="1">
      <alignment horizontal="left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7" borderId="0" xfId="0" applyFont="1" applyFill="1" applyAlignment="1">
      <alignment horizontal="center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5" fillId="46" borderId="68" xfId="0" applyFont="1" applyFill="1" applyBorder="1" applyAlignment="1">
      <alignment horizontal="center" vertical="center"/>
    </xf>
    <xf numFmtId="0" fontId="25" fillId="46" borderId="69" xfId="0" applyFont="1" applyFill="1" applyBorder="1" applyAlignment="1">
      <alignment horizontal="center" vertical="center"/>
    </xf>
    <xf numFmtId="0" fontId="25" fillId="46" borderId="70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0" borderId="101" xfId="0" applyFont="1" applyBorder="1" applyAlignment="1">
      <alignment horizontal="center" vertical="center" wrapText="1"/>
    </xf>
    <xf numFmtId="0" fontId="26" fillId="0" borderId="102" xfId="0" applyFont="1" applyBorder="1" applyAlignment="1">
      <alignment horizontal="center" vertical="center" wrapText="1"/>
    </xf>
    <xf numFmtId="0" fontId="26" fillId="0" borderId="103" xfId="0" applyFont="1" applyBorder="1" applyAlignment="1">
      <alignment horizontal="center" vertical="center" wrapText="1"/>
    </xf>
    <xf numFmtId="0" fontId="25" fillId="46" borderId="0" xfId="0" applyFont="1" applyFill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9"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3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2.xml"/><Relationship Id="rId33" Type="http://schemas.openxmlformats.org/officeDocument/2006/relationships/externalLink" Target="externalLinks/externalLink10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externalLink" Target="externalLinks/externalLink9.xml"/><Relationship Id="rId37" Type="http://schemas.openxmlformats.org/officeDocument/2006/relationships/sheetMetadata" Target="metadata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5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4.xml"/><Relationship Id="rId30" Type="http://schemas.openxmlformats.org/officeDocument/2006/relationships/externalLink" Target="externalLinks/externalLink7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1.2056484257292539</c:v>
                </c:pt>
                <c:pt idx="1">
                  <c:v>1.2056484257292539</c:v>
                </c:pt>
                <c:pt idx="2">
                  <c:v>1.2056484257292539</c:v>
                </c:pt>
                <c:pt idx="3">
                  <c:v>1.2056484257292539</c:v>
                </c:pt>
                <c:pt idx="4">
                  <c:v>1.2056484257292539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27.999999999999996</c:v>
                </c:pt>
                <c:pt idx="1">
                  <c:v>27.999999999999996</c:v>
                </c:pt>
                <c:pt idx="2">
                  <c:v>27.999999999999996</c:v>
                </c:pt>
                <c:pt idx="3">
                  <c:v>27.999999999999996</c:v>
                </c:pt>
                <c:pt idx="4">
                  <c:v>27.999999999999996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8.9253232958265034</c:v>
                </c:pt>
                <c:pt idx="1">
                  <c:v>8.9253232958265034</c:v>
                </c:pt>
                <c:pt idx="2">
                  <c:v>8.9253232958265034</c:v>
                </c:pt>
                <c:pt idx="3">
                  <c:v>8.9253232958265034</c:v>
                </c:pt>
                <c:pt idx="4">
                  <c:v>8.9253232958265034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2.9643155405303157</c:v>
                </c:pt>
                <c:pt idx="1">
                  <c:v>2.9643155405303157</c:v>
                </c:pt>
                <c:pt idx="2">
                  <c:v>2.9643155405303157</c:v>
                </c:pt>
                <c:pt idx="3">
                  <c:v>2.9643155405303157</c:v>
                </c:pt>
                <c:pt idx="4">
                  <c:v>2.9643155405303157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27.189753440885649</c:v>
                </c:pt>
                <c:pt idx="1">
                  <c:v>27.189753440885649</c:v>
                </c:pt>
                <c:pt idx="2">
                  <c:v>27.189753440885649</c:v>
                </c:pt>
                <c:pt idx="3">
                  <c:v>27.189753440885649</c:v>
                </c:pt>
                <c:pt idx="4">
                  <c:v>27.189753440885649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0.24</c:v>
                </c:pt>
                <c:pt idx="1">
                  <c:v>0.24</c:v>
                </c:pt>
                <c:pt idx="2">
                  <c:v>0.24</c:v>
                </c:pt>
                <c:pt idx="3">
                  <c:v>0.24</c:v>
                </c:pt>
                <c:pt idx="4">
                  <c:v>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allowed to vary based on custom constrains of the 2023 channel spend</a:t>
            </a: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1402319998944855E-2"/>
                  <c:y val="2.0748090345209091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1706.7793306829408</c:v>
                </c:pt>
                <c:pt idx="2">
                  <c:v>3212.0774911278859</c:v>
                </c:pt>
                <c:pt idx="3">
                  <c:v>4539.5701164426282</c:v>
                </c:pt>
                <c:pt idx="4">
                  <c:v>5710.1750087123364</c:v>
                </c:pt>
                <c:pt idx="5">
                  <c:v>6742.3679651152343</c:v>
                </c:pt>
                <c:pt idx="6">
                  <c:v>7652.4636531248689</c:v>
                </c:pt>
                <c:pt idx="7">
                  <c:v>8454.8651248225942</c:v>
                </c:pt>
                <c:pt idx="8">
                  <c:v>9162.2852577054873</c:v>
                </c:pt>
                <c:pt idx="9">
                  <c:v>9785.9431144567207</c:v>
                </c:pt>
                <c:pt idx="10">
                  <c:v>10335.737933591008</c:v>
                </c:pt>
                <c:pt idx="11">
                  <c:v>10820.403199190274</c:v>
                </c:pt>
                <c:pt idx="12">
                  <c:v>11247.64299300313</c:v>
                </c:pt>
                <c:pt idx="13">
                  <c:v>11624.252606132999</c:v>
                </c:pt>
                <c:pt idx="14">
                  <c:v>11956.225180637091</c:v>
                </c:pt>
                <c:pt idx="15">
                  <c:v>12248.845962864347</c:v>
                </c:pt>
                <c:pt idx="16">
                  <c:v>12506.775579451583</c:v>
                </c:pt>
                <c:pt idx="17">
                  <c:v>12734.123592615128</c:v>
                </c:pt>
                <c:pt idx="18">
                  <c:v>12934.513452414423</c:v>
                </c:pt>
                <c:pt idx="19">
                  <c:v>13111.139839037322</c:v>
                </c:pt>
                <c:pt idx="20">
                  <c:v>13266.819276439957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LINEAR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GLINEARTV!$B$21:$B$41</c:f>
              <c:numCache>
                <c:formatCode>#,##0</c:formatCode>
                <c:ptCount val="21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0.16917250164576328"/>
                  <c:y val="-9.8407382335126653E-4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GPDSRCH!$A$22:$A$23</c:f>
              <c:numCache>
                <c:formatCode>"$"#,##0</c:formatCode>
                <c:ptCount val="2"/>
                <c:pt idx="0">
                  <c:v>250000</c:v>
                </c:pt>
                <c:pt idx="1">
                  <c:v>500000</c:v>
                </c:pt>
              </c:numCache>
            </c:numRef>
          </c:xVal>
          <c:yVal>
            <c:numRef>
              <c:f>GPDSRCH!$B$22:$B$23</c:f>
              <c:numCache>
                <c:formatCode>#,##0</c:formatCode>
                <c:ptCount val="2"/>
                <c:pt idx="0">
                  <c:v>92977.108783791031</c:v>
                </c:pt>
                <c:pt idx="1">
                  <c:v>151041.75883181734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4.3499650483388108E-2"/>
                  <c:y val="-4.9353718677541986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GAUDIO!$A$21:$A$41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GAUDIO!$B$21:$B$41</c:f>
              <c:numCache>
                <c:formatCode>#,##0</c:formatCode>
                <c:ptCount val="21"/>
                <c:pt idx="0">
                  <c:v>0</c:v>
                </c:pt>
                <c:pt idx="1">
                  <c:v>12132.444846051676</c:v>
                </c:pt>
                <c:pt idx="2">
                  <c:v>18389.347645434224</c:v>
                </c:pt>
                <c:pt idx="3">
                  <c:v>23454.224537512007</c:v>
                </c:pt>
                <c:pt idx="4">
                  <c:v>27873.038873503632</c:v>
                </c:pt>
                <c:pt idx="5">
                  <c:v>31866.203723549908</c:v>
                </c:pt>
                <c:pt idx="6">
                  <c:v>35549.956686161626</c:v>
                </c:pt>
                <c:pt idx="7">
                  <c:v>38994.840626603436</c:v>
                </c:pt>
                <c:pt idx="8">
                  <c:v>42247.626779557781</c:v>
                </c:pt>
                <c:pt idx="9">
                  <c:v>45341.285753716184</c:v>
                </c:pt>
                <c:pt idx="10">
                  <c:v>48300.132895579933</c:v>
                </c:pt>
                <c:pt idx="11">
                  <c:v>51142.733512986146</c:v>
                </c:pt>
                <c:pt idx="12">
                  <c:v>53883.658287942271</c:v>
                </c:pt>
                <c:pt idx="13">
                  <c:v>56534.601735468168</c:v>
                </c:pt>
                <c:pt idx="14">
                  <c:v>59105.125946175547</c:v>
                </c:pt>
                <c:pt idx="15">
                  <c:v>61603.172878504367</c:v>
                </c:pt>
                <c:pt idx="16">
                  <c:v>64035.427805524065</c:v>
                </c:pt>
                <c:pt idx="17">
                  <c:v>66407.583729436781</c:v>
                </c:pt>
                <c:pt idx="18">
                  <c:v>68724.537963789524</c:v>
                </c:pt>
                <c:pt idx="19">
                  <c:v>70990.541071384083</c:v>
                </c:pt>
                <c:pt idx="20">
                  <c:v>73209.311594484345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3.356002453210933E-2"/>
                  <c:y val="1.354613184562692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GSOCIAL!$A$21:$A$41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GSOCIAL!$B$21:$B$41</c:f>
              <c:numCache>
                <c:formatCode>#,##0</c:formatCode>
                <c:ptCount val="21"/>
                <c:pt idx="0">
                  <c:v>0</c:v>
                </c:pt>
                <c:pt idx="1">
                  <c:v>7408.6901640745618</c:v>
                </c:pt>
                <c:pt idx="2">
                  <c:v>11229.474417830452</c:v>
                </c:pt>
                <c:pt idx="3">
                  <c:v>14322.346801651498</c:v>
                </c:pt>
                <c:pt idx="4">
                  <c:v>17020.700408310324</c:v>
                </c:pt>
                <c:pt idx="5">
                  <c:v>19459.130710154546</c:v>
                </c:pt>
                <c:pt idx="6">
                  <c:v>21708.618318570392</c:v>
                </c:pt>
                <c:pt idx="7">
                  <c:v>23812.240308184086</c:v>
                </c:pt>
                <c:pt idx="8">
                  <c:v>25798.557582486257</c:v>
                </c:pt>
                <c:pt idx="9">
                  <c:v>27687.703678238533</c:v>
                </c:pt>
                <c:pt idx="10">
                  <c:v>29494.526787272491</c:v>
                </c:pt>
                <c:pt idx="11">
                  <c:v>31230.363834281474</c:v>
                </c:pt>
                <c:pt idx="12">
                  <c:v>32904.112421508238</c:v>
                </c:pt>
                <c:pt idx="13">
                  <c:v>34522.913816809414</c:v>
                </c:pt>
                <c:pt idx="14">
                  <c:v>36092.607120841283</c:v>
                </c:pt>
                <c:pt idx="15">
                  <c:v>37618.042098851023</c:v>
                </c:pt>
                <c:pt idx="16">
                  <c:v>39103.301119846867</c:v>
                </c:pt>
                <c:pt idx="17">
                  <c:v>40551.860621591703</c:v>
                </c:pt>
                <c:pt idx="18">
                  <c:v>41966.711153737037</c:v>
                </c:pt>
                <c:pt idx="19">
                  <c:v>43350.448326913778</c:v>
                </c:pt>
                <c:pt idx="20">
                  <c:v>44705.342872853616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1.0562161199699283E-3"/>
                  <c:y val="-0.12626861104245377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14BDEBA-9B06-45A1-AB3C-42050E7978A3}" type="SERIESNAME">
                      <a:rPr lang="en-US"/>
                      <a:pPr>
                        <a:defRPr/>
                      </a:pPr>
                      <a:t>[SERIES NAME]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350284889011984"/>
                      <c:h val="4.911808669656203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GOLV!$C$22:$C$42</c:f>
              <c:numCache>
                <c:formatCode>#,##0</c:formatCode>
                <c:ptCount val="21"/>
                <c:pt idx="0">
                  <c:v>0</c:v>
                </c:pt>
                <c:pt idx="1">
                  <c:v>5065.481471193023</c:v>
                </c:pt>
                <c:pt idx="2">
                  <c:v>9542.5948201725259</c:v>
                </c:pt>
                <c:pt idx="3">
                  <c:v>13498.725633110851</c:v>
                </c:pt>
                <c:pt idx="4">
                  <c:v>16993.753048531711</c:v>
                </c:pt>
                <c:pt idx="5">
                  <c:v>20080.838937839493</c:v>
                </c:pt>
                <c:pt idx="6">
                  <c:v>22807.144754493609</c:v>
                </c:pt>
                <c:pt idx="7">
                  <c:v>25214.480166974477</c:v>
                </c:pt>
                <c:pt idx="8">
                  <c:v>27339.888026596978</c:v>
                </c:pt>
                <c:pt idx="9">
                  <c:v>29216.170419393107</c:v>
                </c:pt>
                <c:pt idx="10">
                  <c:v>30872.360575452447</c:v>
                </c:pt>
                <c:pt idx="11">
                  <c:v>32334.145309553482</c:v>
                </c:pt>
                <c:pt idx="12">
                  <c:v>33624.242482229136</c:v>
                </c:pt>
                <c:pt idx="13">
                  <c:v>34762.737730371766</c:v>
                </c:pt>
                <c:pt idx="14">
                  <c:v>35767.38444339484</c:v>
                </c:pt>
                <c:pt idx="15">
                  <c:v>36653.870671447366</c:v>
                </c:pt>
                <c:pt idx="16">
                  <c:v>37436.056358373724</c:v>
                </c:pt>
                <c:pt idx="17">
                  <c:v>38126.18400260713</c:v>
                </c:pt>
                <c:pt idx="18">
                  <c:v>38735.06556990277</c:v>
                </c:pt>
                <c:pt idx="19">
                  <c:v>39272.248216656968</c:v>
                </c:pt>
                <c:pt idx="20">
                  <c:v>39746.161133962683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0.13674046083435554"/>
                  <c:y val="-6.1197462424820215E-2"/>
                </c:manualLayout>
              </c:layout>
              <c:tx>
                <c:rich>
                  <a:bodyPr/>
                  <a:lstStyle/>
                  <a:p>
                    <a:fld id="{7CC4D443-51A2-4020-9932-C4F44931BB7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10-4072-B641-26FD8F4D8D36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GDISP!$B$21:$B$41</c:f>
              <c:numCache>
                <c:formatCode>#,##0</c:formatCode>
                <c:ptCount val="21"/>
                <c:pt idx="0">
                  <c:v>0</c:v>
                </c:pt>
                <c:pt idx="1">
                  <c:v>17627.127824775001</c:v>
                </c:pt>
                <c:pt idx="2">
                  <c:v>26717.729664007864</c:v>
                </c:pt>
                <c:pt idx="3">
                  <c:v>34076.447014572113</c:v>
                </c:pt>
                <c:pt idx="4">
                  <c:v>40496.50547128301</c:v>
                </c:pt>
                <c:pt idx="5">
                  <c:v>46298.141343550837</c:v>
                </c:pt>
                <c:pt idx="6">
                  <c:v>51650.235267800737</c:v>
                </c:pt>
                <c:pt idx="7">
                  <c:v>56655.278384023426</c:v>
                </c:pt>
                <c:pt idx="8">
                  <c:v>61381.22422860263</c:v>
                </c:pt>
                <c:pt idx="9">
                  <c:v>65875.975523639368</c:v>
                </c:pt>
                <c:pt idx="10">
                  <c:v>70174.859833059978</c:v>
                </c:pt>
                <c:pt idx="11">
                  <c:v>74304.850537621896</c:v>
                </c:pt>
                <c:pt idx="12">
                  <c:v>78287.117259565202</c:v>
                </c:pt>
                <c:pt idx="13">
                  <c:v>82138.650862126422</c:v>
                </c:pt>
                <c:pt idx="14">
                  <c:v>85873.344026922772</c:v>
                </c:pt>
                <c:pt idx="15">
                  <c:v>89502.735559065375</c:v>
                </c:pt>
                <c:pt idx="16">
                  <c:v>93036.538435982438</c:v>
                </c:pt>
                <c:pt idx="17">
                  <c:v>96483.023973043382</c:v>
                </c:pt>
                <c:pt idx="18">
                  <c:v>99849.307436213683</c:v>
                </c:pt>
                <c:pt idx="19">
                  <c:v>103141.56443270072</c:v>
                </c:pt>
                <c:pt idx="20">
                  <c:v>106365.19760151411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1134710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7367.8666140222922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1205648.4257292538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7676.5394714325666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27999999.999999996</c:v>
                </c:pt>
              </c:numCache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545650.52000670694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168508.00202805389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ED10-4072-B641-26FD8F4D8D36}"/>
              </c:ext>
            </c:extLst>
          </c:dPt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32753689.22929937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199085.73622577282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240000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90357.852437734444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VAC_Optim_Scenario!#REF!</c:f>
            </c:numRef>
          </c:xVal>
          <c:yVal>
            <c:numRef>
              <c:f>VAC_Optim_Scenario!#REF!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VAC_Optim_Scenario!#REF!</c:f>
            </c:numRef>
          </c:xVal>
          <c:yVal>
            <c:numRef>
              <c:f>VAC_Optim_Scenario!#REF!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VAC_Optim_Scenario!$D$39</c:f>
              <c:numCache>
                <c:formatCode>_("$"* #,##0_);_("$"* \(#,##0\);_("$"* "-"??_);_(@_)</c:formatCode>
                <c:ptCount val="1"/>
                <c:pt idx="0">
                  <c:v>1111779.04</c:v>
                </c:pt>
              </c:numCache>
            </c:numRef>
          </c:xVal>
          <c:yVal>
            <c:numRef>
              <c:f>VAC_Optim_Scenario!$F$39</c:f>
              <c:numCache>
                <c:formatCode>#,##0</c:formatCode>
                <c:ptCount val="1"/>
                <c:pt idx="0">
                  <c:v>21646.235649615526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VAC_Optim_Scenario!$H$39</c:f>
              <c:numCache>
                <c:formatCode>_("$"* #,##0_);_("$"* \(#,##0\);_("$"* "-"??_);_(@_)</c:formatCode>
                <c:ptCount val="1"/>
                <c:pt idx="0">
                  <c:v>2964315.5405303156</c:v>
                </c:pt>
              </c:numCache>
            </c:numRef>
          </c:xVal>
          <c:yVal>
            <c:numRef>
              <c:f>VAC_Optim_Scenario!$I$39</c:f>
              <c:numCache>
                <c:formatCode>#,##0</c:formatCode>
                <c:ptCount val="1"/>
                <c:pt idx="0">
                  <c:v>36503.723045074381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2859426.82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76065.012406995462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10000000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161219.49210476698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3.4802148416091201E-2"/>
                  <c:y val="4.541082493948213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</c:formatCode>
                <c:ptCount val="1"/>
                <c:pt idx="0">
                  <c:v>1751000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23820.403572058858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8925323.295826504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63292.43455774356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</c:formatCode>
                <c:ptCount val="1"/>
                <c:pt idx="0">
                  <c:v>13418576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100808.3256282994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27189753.440885648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165266.78884644032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ser>
          <c:idx val="28"/>
          <c:order val="28"/>
          <c:tx>
            <c:v>HCC Streaming TV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2814070351758797E-3"/>
                  <c:y val="3.9024516554264796E-2"/>
                </c:manualLayout>
              </c:layout>
              <c:tx>
                <c:rich>
                  <a:bodyPr/>
                  <a:lstStyle/>
                  <a:p>
                    <a:fld id="{26B47073-4184-4455-9B05-4CD7BD825AD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GSTRTV!$A$22:$A$41</c:f>
              <c:numCache>
                <c:formatCode>"$"#,##0</c:formatCode>
                <c:ptCount val="20"/>
                <c:pt idx="0">
                  <c:v>750000</c:v>
                </c:pt>
                <c:pt idx="1">
                  <c:v>1500000</c:v>
                </c:pt>
                <c:pt idx="2">
                  <c:v>2250000</c:v>
                </c:pt>
                <c:pt idx="3">
                  <c:v>3000000</c:v>
                </c:pt>
                <c:pt idx="4">
                  <c:v>3750000</c:v>
                </c:pt>
                <c:pt idx="5">
                  <c:v>4500000</c:v>
                </c:pt>
                <c:pt idx="6">
                  <c:v>5250000</c:v>
                </c:pt>
                <c:pt idx="7">
                  <c:v>6000000</c:v>
                </c:pt>
                <c:pt idx="8">
                  <c:v>6750000</c:v>
                </c:pt>
                <c:pt idx="9">
                  <c:v>7500000</c:v>
                </c:pt>
                <c:pt idx="10">
                  <c:v>8250000</c:v>
                </c:pt>
                <c:pt idx="11">
                  <c:v>9000000</c:v>
                </c:pt>
                <c:pt idx="12">
                  <c:v>9750000</c:v>
                </c:pt>
                <c:pt idx="13">
                  <c:v>10500000</c:v>
                </c:pt>
                <c:pt idx="14">
                  <c:v>11250000</c:v>
                </c:pt>
                <c:pt idx="15">
                  <c:v>12000000</c:v>
                </c:pt>
                <c:pt idx="16">
                  <c:v>12750000</c:v>
                </c:pt>
                <c:pt idx="17">
                  <c:v>13500000</c:v>
                </c:pt>
                <c:pt idx="18">
                  <c:v>14250000</c:v>
                </c:pt>
                <c:pt idx="19">
                  <c:v>15000000</c:v>
                </c:pt>
              </c:numCache>
            </c:numRef>
          </c:xVal>
          <c:yVal>
            <c:numRef>
              <c:f>GSTRTV!$B$22:$B$41</c:f>
              <c:numCache>
                <c:formatCode>#,##0</c:formatCode>
                <c:ptCount val="20"/>
                <c:pt idx="0">
                  <c:v>13385.813954759049</c:v>
                </c:pt>
                <c:pt idx="1">
                  <c:v>21745.318923863546</c:v>
                </c:pt>
                <c:pt idx="2">
                  <c:v>28882.159557638814</c:v>
                </c:pt>
                <c:pt idx="3">
                  <c:v>35325.374810877525</c:v>
                </c:pt>
                <c:pt idx="4">
                  <c:v>41297.502450781918</c:v>
                </c:pt>
                <c:pt idx="5">
                  <c:v>46919.206625270555</c:v>
                </c:pt>
                <c:pt idx="6">
                  <c:v>52265.295791567616</c:v>
                </c:pt>
                <c:pt idx="7">
                  <c:v>57386.24068463494</c:v>
                </c:pt>
                <c:pt idx="8">
                  <c:v>62318.148416841854</c:v>
                </c:pt>
                <c:pt idx="9">
                  <c:v>67087.990658350245</c:v>
                </c:pt>
                <c:pt idx="10">
                  <c:v>71716.595411188333</c:v>
                </c:pt>
                <c:pt idx="11">
                  <c:v>76220.476033018742</c:v>
                </c:pt>
                <c:pt idx="12">
                  <c:v>80613.00882564421</c:v>
                </c:pt>
                <c:pt idx="13">
                  <c:v>84905.223505936534</c:v>
                </c:pt>
                <c:pt idx="14">
                  <c:v>89106.352377727613</c:v>
                </c:pt>
                <c:pt idx="15">
                  <c:v>93224.223027940854</c:v>
                </c:pt>
                <c:pt idx="16">
                  <c:v>97265.546113132033</c:v>
                </c:pt>
                <c:pt idx="17">
                  <c:v>101236.13077612668</c:v>
                </c:pt>
                <c:pt idx="18">
                  <c:v>105141.04889375818</c:v>
                </c:pt>
                <c:pt idx="19">
                  <c:v>108984.76235793946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10-4072-B641-26FD8F4D8D36}"/>
            </c:ext>
          </c:extLst>
        </c:ser>
        <c:ser>
          <c:idx val="29"/>
          <c:order val="29"/>
          <c:tx>
            <c:v>HCC Pharmacy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6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rgbClr val="00B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779-4C58-9527-66A9946C93DB}"/>
              </c:ext>
            </c:extLst>
          </c:dPt>
          <c:xVal>
            <c:numRef>
              <c:f>GPHRMCY!$A$22:$A$41</c:f>
              <c:numCache>
                <c:formatCode>"$"#,##0</c:formatCode>
                <c:ptCount val="20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</c:numCache>
            </c:numRef>
          </c:xVal>
          <c:yVal>
            <c:numRef>
              <c:f>GPHRMCY!$B$22:$B$41</c:f>
              <c:numCache>
                <c:formatCode>#,##0</c:formatCode>
                <c:ptCount val="20"/>
                <c:pt idx="0">
                  <c:v>0</c:v>
                </c:pt>
                <c:pt idx="1">
                  <c:v>1884.0989294061437</c:v>
                </c:pt>
                <c:pt idx="2">
                  <c:v>3690.9075000444427</c:v>
                </c:pt>
                <c:pt idx="3">
                  <c:v>5423.5391706861556</c:v>
                </c:pt>
                <c:pt idx="4">
                  <c:v>7084.9866262534633</c:v>
                </c:pt>
                <c:pt idx="5">
                  <c:v>8678.126083179377</c:v>
                </c:pt>
                <c:pt idx="6">
                  <c:v>10205.721472941339</c:v>
                </c:pt>
                <c:pt idx="7">
                  <c:v>11670.428504428826</c:v>
                </c:pt>
                <c:pt idx="8">
                  <c:v>13074.798606074415</c:v>
                </c:pt>
                <c:pt idx="9">
                  <c:v>14421.282748956233</c:v>
                </c:pt>
                <c:pt idx="10">
                  <c:v>15712.235152327456</c:v>
                </c:pt>
                <c:pt idx="11">
                  <c:v>16949.916873184033</c:v>
                </c:pt>
                <c:pt idx="12">
                  <c:v>18136.499281739816</c:v>
                </c:pt>
                <c:pt idx="13">
                  <c:v>19274.06742475275</c:v>
                </c:pt>
                <c:pt idx="14">
                  <c:v>20364.623278812505</c:v>
                </c:pt>
                <c:pt idx="15">
                  <c:v>21410.088895815425</c:v>
                </c:pt>
                <c:pt idx="16">
                  <c:v>22412.309442908503</c:v>
                </c:pt>
                <c:pt idx="17">
                  <c:v>23373.056139308028</c:v>
                </c:pt>
                <c:pt idx="18">
                  <c:v>24294.029092384502</c:v>
                </c:pt>
                <c:pt idx="19">
                  <c:v>25176.860035532154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D10-4072-B641-26FD8F4D8D36}"/>
            </c:ext>
          </c:extLst>
        </c:ser>
        <c:ser>
          <c:idx val="30"/>
          <c:order val="30"/>
          <c:tx>
            <c:v>pharmacy o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GPHRMCY!$D$9</c:f>
              <c:numCache>
                <c:formatCode>_("$"* #,##0_);_("$"* \(#,##0\);_("$"* "-"??_);_(@_)</c:formatCode>
                <c:ptCount val="1"/>
                <c:pt idx="0">
                  <c:v>3873454.4914096105</c:v>
                </c:pt>
              </c:numCache>
            </c:numRef>
          </c:xVal>
          <c:yVal>
            <c:numRef>
              <c:f>GPHRMCY!$E$9</c:f>
              <c:numCache>
                <c:formatCode>#,##0</c:formatCode>
                <c:ptCount val="1"/>
                <c:pt idx="0">
                  <c:v>25491.835071013309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779-4C58-9527-66A9946C93DB}"/>
            </c:ext>
          </c:extLst>
        </c:ser>
        <c:ser>
          <c:idx val="31"/>
          <c:order val="31"/>
          <c:tx>
            <c:v>pharmacy c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66675">
                  <a:noFill/>
                </a:ln>
                <a:effectLst/>
              </c:spPr>
            </c:marker>
            <c:bubble3D val="0"/>
            <c:spPr>
              <a:ln w="3492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779-4C58-9527-66A9946C93DB}"/>
              </c:ext>
            </c:extLst>
          </c:dPt>
          <c:xVal>
            <c:numRef>
              <c:f>VAC_Optim_Scenario!#REF!</c:f>
            </c:numRef>
          </c:xVal>
          <c:yVal>
            <c:numRef>
              <c:f>VAC_Optim_Scenario!#REF!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79-4C58-9527-66A9946C9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4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37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Sensitivity!$K$30</c:f>
              <c:strCache>
                <c:ptCount val="1"/>
                <c:pt idx="0">
                  <c:v>HCC Streaming TV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Sensitivity!$K$31:$K$35</c:f>
              <c:numCache>
                <c:formatCode>"$"#,##0.0</c:formatCode>
                <c:ptCount val="5"/>
                <c:pt idx="0">
                  <c:v>2.3045999176017213</c:v>
                </c:pt>
                <c:pt idx="1">
                  <c:v>1.2056484257292539</c:v>
                </c:pt>
                <c:pt idx="2">
                  <c:v>1.2056484257292539</c:v>
                </c:pt>
                <c:pt idx="3">
                  <c:v>1.2056484257292539</c:v>
                </c:pt>
                <c:pt idx="4">
                  <c:v>2.34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F8-4960-8115-2C1B880A411C}"/>
            </c:ext>
          </c:extLst>
        </c:ser>
        <c:ser>
          <c:idx val="2"/>
          <c:order val="1"/>
          <c:tx>
            <c:strRef>
              <c:f>Sensitivity!$L$30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Sensitivity!$L$31:$L$35</c:f>
              <c:numCache>
                <c:formatCode>"$"#,##0.0</c:formatCode>
                <c:ptCount val="5"/>
                <c:pt idx="0">
                  <c:v>5.9808212879999996</c:v>
                </c:pt>
                <c:pt idx="1">
                  <c:v>27.999999999999996</c:v>
                </c:pt>
                <c:pt idx="2">
                  <c:v>27.999999999999996</c:v>
                </c:pt>
                <c:pt idx="3">
                  <c:v>27.999999999999996</c:v>
                </c:pt>
                <c:pt idx="4">
                  <c:v>5.9808212879999996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F8-4960-8115-2C1B880A411C}"/>
            </c:ext>
          </c:extLst>
        </c:ser>
        <c:ser>
          <c:idx val="3"/>
          <c:order val="2"/>
          <c:tx>
            <c:strRef>
              <c:f>Sensitivity!$M$30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Sensitivity!$M$31:$M$35</c:f>
              <c:numCache>
                <c:formatCode>"$"#,##0.0</c:formatCode>
                <c:ptCount val="5"/>
                <c:pt idx="0">
                  <c:v>2.3684232000000001</c:v>
                </c:pt>
                <c:pt idx="1">
                  <c:v>8.9253232958265034</c:v>
                </c:pt>
                <c:pt idx="2">
                  <c:v>8.9253232958265034</c:v>
                </c:pt>
                <c:pt idx="3">
                  <c:v>8.9253232958265034</c:v>
                </c:pt>
                <c:pt idx="4">
                  <c:v>2.3684232000000001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6F8-4960-8115-2C1B880A411C}"/>
            </c:ext>
          </c:extLst>
        </c:ser>
        <c:ser>
          <c:idx val="4"/>
          <c:order val="3"/>
          <c:tx>
            <c:strRef>
              <c:f>Sensitivity!$N$30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Sensitivity!$N$31:$N$35</c:f>
              <c:numCache>
                <c:formatCode>"$"#,##0.0</c:formatCode>
                <c:ptCount val="5"/>
                <c:pt idx="0">
                  <c:v>0.46872000002084274</c:v>
                </c:pt>
                <c:pt idx="1">
                  <c:v>2.9643155405303157</c:v>
                </c:pt>
                <c:pt idx="2">
                  <c:v>2.9643155405303157</c:v>
                </c:pt>
                <c:pt idx="3">
                  <c:v>2.9643155405303157</c:v>
                </c:pt>
                <c:pt idx="4">
                  <c:v>0.87048000000000003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6F8-4960-8115-2C1B880A411C}"/>
            </c:ext>
          </c:extLst>
        </c:ser>
        <c:ser>
          <c:idx val="5"/>
          <c:order val="4"/>
          <c:tx>
            <c:strRef>
              <c:f>Sensitivity!$O$30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Sensitivity!$O$31:$O$35</c:f>
              <c:numCache>
                <c:formatCode>"$"#,##0.0</c:formatCode>
                <c:ptCount val="5"/>
                <c:pt idx="0">
                  <c:v>5.4997572028695698</c:v>
                </c:pt>
                <c:pt idx="1">
                  <c:v>27.189753440885649</c:v>
                </c:pt>
                <c:pt idx="2">
                  <c:v>27.189753440885649</c:v>
                </c:pt>
                <c:pt idx="3">
                  <c:v>27.189753440885649</c:v>
                </c:pt>
                <c:pt idx="4">
                  <c:v>10.213834800000001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6F8-4960-8115-2C1B880A411C}"/>
            </c:ext>
          </c:extLst>
        </c:ser>
        <c:ser>
          <c:idx val="6"/>
          <c:order val="5"/>
          <c:tx>
            <c:strRef>
              <c:f>Sensitivity!$P$30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Sensitivity!$P$31:$P$35</c:f>
              <c:numCache>
                <c:formatCode>"$"#,##0.0</c:formatCode>
                <c:ptCount val="5"/>
                <c:pt idx="0">
                  <c:v>2.2477582947281389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2.7142868999999998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6F8-4960-8115-2C1B880A411C}"/>
            </c:ext>
          </c:extLst>
        </c:ser>
        <c:ser>
          <c:idx val="7"/>
          <c:order val="6"/>
          <c:tx>
            <c:strRef>
              <c:f>Sensitivity!$Q$30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Sensitivity!$Q$31:$Q$35</c:f>
              <c:numCache>
                <c:formatCode>"$"#,##0.0</c:formatCode>
                <c:ptCount val="5"/>
                <c:pt idx="0">
                  <c:v>1.5030225591430741</c:v>
                </c:pt>
                <c:pt idx="1">
                  <c:v>0.24</c:v>
                </c:pt>
                <c:pt idx="2">
                  <c:v>0.24</c:v>
                </c:pt>
                <c:pt idx="3">
                  <c:v>0.24</c:v>
                </c:pt>
                <c:pt idx="4">
                  <c:v>1.7915768000000001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6F8-4960-8115-2C1B880A411C}"/>
            </c:ext>
          </c:extLst>
        </c:ser>
        <c:ser>
          <c:idx val="8"/>
          <c:order val="7"/>
          <c:tx>
            <c:strRef>
              <c:f>Sensitivity!$R$30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Sensitivity!$R$31:$R$35</c:f>
              <c:numCache>
                <c:formatCode>"$"#,##0.0</c:formatCode>
                <c:ptCount val="5"/>
                <c:pt idx="0">
                  <c:v>0.85561189999999998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0.85561189999999998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6F8-4960-8115-2C1B880A4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Sensitivity!$S$30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Sensitivity!$S$31:$S$35</c:f>
              <c:numCache>
                <c:formatCode>"$"#,##0.0</c:formatCode>
                <c:ptCount val="5"/>
                <c:pt idx="0">
                  <c:v>15.717664872</c:v>
                </c:pt>
                <c:pt idx="1">
                  <c:v>32.753689229299368</c:v>
                </c:pt>
                <c:pt idx="2">
                  <c:v>32.753689229299368</c:v>
                </c:pt>
                <c:pt idx="3">
                  <c:v>32.753689229299368</c:v>
                </c:pt>
                <c:pt idx="4">
                  <c:v>21.525379182791276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5-4224-9A4F-154E505FC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3390784"/>
        <c:axId val="923386192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valAx>
        <c:axId val="923386192"/>
        <c:scaling>
          <c:orientation val="minMax"/>
        </c:scaling>
        <c:delete val="0"/>
        <c:axPos val="r"/>
        <c:numFmt formatCode="&quot;$&quot;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390784"/>
        <c:crosses val="max"/>
        <c:crossBetween val="between"/>
      </c:valAx>
      <c:catAx>
        <c:axId val="923390784"/>
        <c:scaling>
          <c:orientation val="minMax"/>
        </c:scaling>
        <c:delete val="1"/>
        <c:axPos val="b"/>
        <c:majorTickMark val="out"/>
        <c:minorTickMark val="none"/>
        <c:tickLblPos val="nextTo"/>
        <c:crossAx val="923386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layout>
        <c:manualLayout>
          <c:xMode val="edge"/>
          <c:yMode val="edge"/>
          <c:x val="0.31281422737853559"/>
          <c:y val="2.42043841064230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ROI'!$F$17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ROI'!$E$18:$E$25</c:f>
              <c:strCache>
                <c:ptCount val="8"/>
                <c:pt idx="0">
                  <c:v>HCC Paid Search</c:v>
                </c:pt>
                <c:pt idx="1">
                  <c:v>HCC Radio</c:v>
                </c:pt>
                <c:pt idx="2">
                  <c:v>HCP MCM</c:v>
                </c:pt>
                <c:pt idx="3">
                  <c:v>HCC Display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Streaming Video</c:v>
                </c:pt>
                <c:pt idx="7">
                  <c:v>HCC Pharmacy</c:v>
                </c:pt>
              </c:strCache>
            </c:strRef>
          </c:cat>
          <c:val>
            <c:numRef>
              <c:f>'Contribution, promo eff, ROI'!$F$18:$F$25</c:f>
              <c:numCache>
                <c:formatCode>"$"#,##0</c:formatCode>
                <c:ptCount val="8"/>
                <c:pt idx="0">
                  <c:v>1.6591015541117227</c:v>
                </c:pt>
                <c:pt idx="1">
                  <c:v>34.76</c:v>
                </c:pt>
                <c:pt idx="2">
                  <c:v>36.428388680927966</c:v>
                </c:pt>
                <c:pt idx="3">
                  <c:v>37.591880018375271</c:v>
                </c:pt>
                <c:pt idx="4">
                  <c:v>51.361310945524473</c:v>
                </c:pt>
                <c:pt idx="5">
                  <c:v>73.508410329953804</c:v>
                </c:pt>
                <c:pt idx="6">
                  <c:v>133.10979937785092</c:v>
                </c:pt>
                <c:pt idx="7">
                  <c:v>132.48254956731077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68845621419727"/>
          <c:y val="0.1625300595871462"/>
          <c:w val="0.75742315621568013"/>
          <c:h val="0.526626941902532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summary_dz'!$G$5</c:f>
              <c:strCache>
                <c:ptCount val="1"/>
                <c:pt idx="0">
                  <c:v>Custom Constraints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1.7877072124533218E-2"/>
                  <c:y val="-6.8596572487262921E-3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0.12735312601786281"/>
                  <c:y val="-4.455715094436724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0.13785863125687234"/>
                  <c:y val="-3.150326797385621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0-4032-861D-70D3A5842C23}"/>
                </c:ext>
              </c:extLst>
            </c:dLbl>
            <c:dLbl>
              <c:idx val="3"/>
              <c:layout>
                <c:manualLayout>
                  <c:x val="-0.10574034413835219"/>
                  <c:y val="-2.8931861458494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3.7128445662445816E-2"/>
                  <c:y val="4.549920230559409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dLbl>
              <c:idx val="7"/>
              <c:layout>
                <c:manualLayout>
                  <c:x val="-2.3115616990295837E-2"/>
                  <c:y val="3.488574957542071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BF-41AA-9A8E-9B260F5ABC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summary_dz'!$C$6:$C$8</c:f>
              <c:numCache>
                <c:formatCode>_("$"* #,##0_);_("$"* \(#,##0\);_("$"* "-"??_);_(@_)</c:formatCode>
                <c:ptCount val="3"/>
                <c:pt idx="0">
                  <c:v>119952184.36</c:v>
                </c:pt>
                <c:pt idx="1">
                  <c:v>89964138.269999996</c:v>
                </c:pt>
                <c:pt idx="2">
                  <c:v>59976092.18</c:v>
                </c:pt>
              </c:numCache>
            </c:numRef>
          </c:xVal>
          <c:yVal>
            <c:numRef>
              <c:f>'Scenario summary_dz'!$G$6:$G$8</c:f>
              <c:numCache>
                <c:formatCode>_("$"* #,##0_);_("$"* \(#,##0\);_("$"* "-"??_);_(@_)</c:formatCode>
                <c:ptCount val="3"/>
                <c:pt idx="0">
                  <c:v>308630172.89317989</c:v>
                </c:pt>
                <c:pt idx="1">
                  <c:v>275999167.72966444</c:v>
                </c:pt>
                <c:pt idx="2">
                  <c:v>191062791.81631523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2"/>
          <c:order val="2"/>
          <c:tx>
            <c:strRef>
              <c:f>'Scenario summary_dz'!$F$5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7.5577500013682422E-2"/>
                  <c:y val="3.150351138540108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summary_dz'!$C$8</c:f>
              <c:numCache>
                <c:formatCode>_("$"* #,##0_);_("$"* \(#,##0\);_("$"* "-"??_);_(@_)</c:formatCode>
                <c:ptCount val="1"/>
                <c:pt idx="0">
                  <c:v>59976092.18</c:v>
                </c:pt>
              </c:numCache>
            </c:numRef>
          </c:xVal>
          <c:yVal>
            <c:numRef>
              <c:f>'Scenario summary_dz'!$F$8</c:f>
              <c:numCache>
                <c:formatCode>_("$"* #,##0_);_("$"* \(#,##0\);_("$"* "-"??_);_(@_)</c:formatCode>
                <c:ptCount val="1"/>
                <c:pt idx="0">
                  <c:v>172048616.21900794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'Scenario summary_dz'!$H$5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dLbls>
                  <c:dLbl>
                    <c:idx val="0"/>
                    <c:layout>
                      <c:manualLayout>
                        <c:x val="6.0895243997533023E-2"/>
                        <c:y val="-1.697707192964810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EFEE84AC-5C07-4654-ACCD-916E0D41363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2-CD5D-42B4-BEFA-75A103BB9930}"/>
                      </c:ext>
                    </c:extLst>
                  </c:dLbl>
                  <c:dLbl>
                    <c:idx val="2"/>
                    <c:dLblPos val="t"/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3-CD5D-42B4-BEFA-75A103BB9930}"/>
                      </c:ext>
                    </c:extLst>
                  </c:dLbl>
                  <c:dLbl>
                    <c:idx val="4"/>
                    <c:layout>
                      <c:manualLayout>
                        <c:x val="-7.6130039349874029E-2"/>
                        <c:y val="-4.72972972972973E-2"/>
                      </c:manualLayout>
                    </c:layout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3-9770-4032-861D-70D3A5842C23}"/>
                      </c:ext>
                    </c:extLst>
                  </c:dLbl>
                  <c:dLbl>
                    <c:idx val="5"/>
                    <c:layout>
                      <c:manualLayout>
                        <c:x val="-7.8475350177491993E-2"/>
                        <c:y val="6.0810810810810814E-2"/>
                      </c:manualLayout>
                    </c:layout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2-9770-4032-861D-70D3A5842C23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1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0"/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'Scenario summary_dz'!$C$6:$C$8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3"/>
                      <c:pt idx="0">
                        <c:v>119952184.36</c:v>
                      </c:pt>
                      <c:pt idx="1">
                        <c:v>89964138.269999996</c:v>
                      </c:pt>
                      <c:pt idx="2">
                        <c:v>59976092.18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'Scenario summary_dz'!$H$6:$H$8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CD5D-42B4-BEFA-75A103BB9930}"/>
                  </c:ext>
                </c:extLst>
              </c15:ser>
            </c15:filteredScatterSeries>
          </c:ext>
        </c:extLst>
      </c:scatterChart>
      <c:valAx>
        <c:axId val="831722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majorUnit val="10000000"/>
        <c:dispUnits>
          <c:builtInUnit val="millions"/>
        </c:dispUnits>
      </c:valAx>
      <c:valAx>
        <c:axId val="83172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4224620831792008"/>
          <c:w val="0.8588792519471864"/>
          <c:h val="0.13761956349416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</xdr:colOff>
      <xdr:row>9</xdr:row>
      <xdr:rowOff>149225</xdr:rowOff>
    </xdr:from>
    <xdr:to>
      <xdr:col>12</xdr:col>
      <xdr:colOff>76200</xdr:colOff>
      <xdr:row>32</xdr:row>
      <xdr:rowOff>15875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10</xdr:col>
      <xdr:colOff>28575</xdr:colOff>
      <xdr:row>73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963373-7BEB-4BDF-AD47-33EA075D6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713901</xdr:colOff>
      <xdr:row>50</xdr:row>
      <xdr:rowOff>71746</xdr:rowOff>
    </xdr:from>
    <xdr:to>
      <xdr:col>5</xdr:col>
      <xdr:colOff>721483</xdr:colOff>
      <xdr:row>69</xdr:row>
      <xdr:rowOff>33835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EA7CC4FB-08EB-4C2D-845C-9CCE9D2F67FF}"/>
            </a:ext>
          </a:extLst>
        </xdr:cNvPr>
        <xdr:cNvCxnSpPr/>
      </xdr:nvCxnSpPr>
      <xdr:spPr>
        <a:xfrm flipH="1" flipV="1">
          <a:off x="5362101" y="10225396"/>
          <a:ext cx="7582" cy="3400614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275165</xdr:colOff>
      <xdr:row>14</xdr:row>
      <xdr:rowOff>63500</xdr:rowOff>
    </xdr:from>
    <xdr:to>
      <xdr:col>17</xdr:col>
      <xdr:colOff>107033</xdr:colOff>
      <xdr:row>29</xdr:row>
      <xdr:rowOff>57856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688976</xdr:colOff>
      <xdr:row>14</xdr:row>
      <xdr:rowOff>25400</xdr:rowOff>
    </xdr:from>
    <xdr:to>
      <xdr:col>10</xdr:col>
      <xdr:colOff>752475</xdr:colOff>
      <xdr:row>34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HCC%20Display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TV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G9%20LROP%20Scenarios/G9/2024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923975</v>
          </cell>
          <cell r="C12">
            <v>26581.559263521289</v>
          </cell>
          <cell r="D12">
            <v>0.6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F5" sqref="F5"/>
    </sheetView>
  </sheetViews>
  <sheetFormatPr defaultColWidth="8.85546875" defaultRowHeight="15" x14ac:dyDescent="0.25"/>
  <cols>
    <col min="1" max="1" width="6.140625" style="99" customWidth="1"/>
    <col min="2" max="2" width="13.5703125" style="99" customWidth="1"/>
    <col min="3" max="3" width="18.140625" style="99" customWidth="1"/>
    <col min="4" max="4" width="14.42578125" style="99" customWidth="1"/>
    <col min="5" max="5" width="15.42578125" style="99" customWidth="1"/>
    <col min="6" max="6" width="13.5703125" style="99" customWidth="1"/>
    <col min="7" max="7" width="15.5703125" style="99" customWidth="1"/>
    <col min="8" max="8" width="15.140625" style="99" bestFit="1" customWidth="1"/>
    <col min="9" max="9" width="12.140625" style="99" bestFit="1" customWidth="1"/>
    <col min="10" max="10" width="8.85546875" style="99"/>
    <col min="11" max="11" width="15.140625" style="99" customWidth="1"/>
    <col min="12" max="12" width="14.42578125" style="99" bestFit="1" customWidth="1"/>
    <col min="13" max="13" width="11.140625" style="99" bestFit="1" customWidth="1"/>
    <col min="14" max="14" width="12.140625" style="99" bestFit="1" customWidth="1"/>
    <col min="15" max="15" width="11.140625" style="99" bestFit="1" customWidth="1"/>
    <col min="16" max="18" width="12.140625" style="99" bestFit="1" customWidth="1"/>
    <col min="19" max="19" width="8.85546875" style="99"/>
    <col min="20" max="20" width="12" style="99" bestFit="1" customWidth="1"/>
    <col min="21" max="16384" width="8.85546875" style="99"/>
  </cols>
  <sheetData>
    <row r="1" spans="2:20" x14ac:dyDescent="0.25">
      <c r="C1" s="218" t="s">
        <v>212</v>
      </c>
    </row>
    <row r="2" spans="2:20" ht="15.75" thickBot="1" x14ac:dyDescent="0.3"/>
    <row r="3" spans="2:20" ht="30.2" customHeight="1" x14ac:dyDescent="0.25">
      <c r="B3" s="363" t="s">
        <v>2</v>
      </c>
      <c r="C3" s="365" t="s">
        <v>3</v>
      </c>
      <c r="D3" s="366" t="s">
        <v>213</v>
      </c>
      <c r="E3" s="367"/>
      <c r="F3" s="366" t="s">
        <v>214</v>
      </c>
      <c r="G3" s="367"/>
      <c r="H3" s="366" t="s">
        <v>215</v>
      </c>
      <c r="I3" s="367"/>
      <c r="K3" s="363" t="s">
        <v>2</v>
      </c>
      <c r="L3" s="365" t="s">
        <v>3</v>
      </c>
      <c r="M3" s="366" t="s">
        <v>213</v>
      </c>
      <c r="N3" s="367"/>
      <c r="O3" s="366" t="s">
        <v>214</v>
      </c>
      <c r="P3" s="367"/>
      <c r="Q3" s="366" t="s">
        <v>215</v>
      </c>
      <c r="R3" s="367"/>
    </row>
    <row r="4" spans="2:20" ht="25.5" x14ac:dyDescent="0.25">
      <c r="B4" s="364"/>
      <c r="C4" s="364"/>
      <c r="D4" s="219" t="s">
        <v>216</v>
      </c>
      <c r="E4" s="220" t="s">
        <v>217</v>
      </c>
      <c r="F4" s="219" t="s">
        <v>216</v>
      </c>
      <c r="G4" s="220" t="s">
        <v>217</v>
      </c>
      <c r="H4" s="219" t="s">
        <v>216</v>
      </c>
      <c r="I4" s="220" t="s">
        <v>217</v>
      </c>
      <c r="K4" s="364"/>
      <c r="L4" s="364"/>
      <c r="M4" s="219" t="s">
        <v>216</v>
      </c>
      <c r="N4" s="220" t="s">
        <v>217</v>
      </c>
      <c r="O4" s="219" t="s">
        <v>216</v>
      </c>
      <c r="P4" s="220" t="s">
        <v>217</v>
      </c>
      <c r="Q4" s="219" t="s">
        <v>216</v>
      </c>
      <c r="R4" s="220" t="s">
        <v>217</v>
      </c>
    </row>
    <row r="5" spans="2:20" x14ac:dyDescent="0.25">
      <c r="B5" s="53" t="s">
        <v>154</v>
      </c>
      <c r="C5" s="221" t="str">
        <f>VAC_Optim_Scenario!B17</f>
        <v>HCC InOffice</v>
      </c>
      <c r="D5" s="222">
        <f>VAC_Optim_Scenario!$H36</f>
        <v>1205648.4257292538</v>
      </c>
      <c r="E5" s="223">
        <f>VAC_Optim_Scenario!$J36</f>
        <v>1734437.3281754742</v>
      </c>
      <c r="F5" s="222">
        <f>VAC_Optim_Scenario!$H36</f>
        <v>1205648.4257292538</v>
      </c>
      <c r="G5" s="223">
        <f>VAC_Optim_Scenario!$J36</f>
        <v>1734437.3281754742</v>
      </c>
      <c r="H5" s="222">
        <f>VAC_Optim_Scenario!$H36</f>
        <v>1205648.4257292538</v>
      </c>
      <c r="I5" s="223">
        <f>VAC_Optim_Scenario!$J36</f>
        <v>1734437.3281754742</v>
      </c>
      <c r="J5" s="224"/>
      <c r="K5" s="53" t="s">
        <v>154</v>
      </c>
      <c r="L5" s="53" t="str">
        <f>VAC_Optim_Scenario!B17</f>
        <v>HCC InOffice</v>
      </c>
      <c r="M5" s="225">
        <f>D5/1000000</f>
        <v>1.2056484257292539</v>
      </c>
      <c r="N5" s="226">
        <f t="shared" ref="N5:R13" si="0">E5/1000000</f>
        <v>1.7344373281754741</v>
      </c>
      <c r="O5" s="225">
        <f t="shared" si="0"/>
        <v>1.2056484257292539</v>
      </c>
      <c r="P5" s="226">
        <f t="shared" si="0"/>
        <v>1.7344373281754741</v>
      </c>
      <c r="Q5" s="225">
        <f t="shared" si="0"/>
        <v>1.2056484257292539</v>
      </c>
      <c r="R5" s="226">
        <f t="shared" si="0"/>
        <v>1.7344373281754741</v>
      </c>
    </row>
    <row r="6" spans="2:20" x14ac:dyDescent="0.25">
      <c r="B6" s="54" t="s">
        <v>154</v>
      </c>
      <c r="C6" s="227" t="str">
        <f>VAC_Optim_Scenario!B18</f>
        <v>HCP MCM</v>
      </c>
      <c r="D6" s="228">
        <f>VAC_Optim_Scenario!$H37</f>
        <v>27999999.999999996</v>
      </c>
      <c r="E6" s="229">
        <f>VAC_Optim_Scenario!$J37</f>
        <v>123284278.49031536</v>
      </c>
      <c r="F6" s="228">
        <f>VAC_Optim_Scenario!$H37</f>
        <v>27999999.999999996</v>
      </c>
      <c r="G6" s="229">
        <f>VAC_Optim_Scenario!$J37</f>
        <v>123284278.49031536</v>
      </c>
      <c r="H6" s="228">
        <f>VAC_Optim_Scenario!$H37</f>
        <v>27999999.999999996</v>
      </c>
      <c r="I6" s="229">
        <f>VAC_Optim_Scenario!$J37</f>
        <v>123284278.49031536</v>
      </c>
      <c r="J6" s="224"/>
      <c r="K6" s="54" t="s">
        <v>154</v>
      </c>
      <c r="L6" s="54" t="str">
        <f>VAC_Optim_Scenario!B18</f>
        <v>HCP MCM</v>
      </c>
      <c r="M6" s="230">
        <f t="shared" ref="M6:M13" si="1">D6/1000000</f>
        <v>27.999999999999996</v>
      </c>
      <c r="N6" s="231">
        <f t="shared" si="0"/>
        <v>123.28427849031536</v>
      </c>
      <c r="O6" s="230">
        <f t="shared" si="0"/>
        <v>27.999999999999996</v>
      </c>
      <c r="P6" s="231">
        <f t="shared" si="0"/>
        <v>123.28427849031536</v>
      </c>
      <c r="Q6" s="230">
        <f t="shared" si="0"/>
        <v>27.999999999999996</v>
      </c>
      <c r="R6" s="231">
        <f t="shared" si="0"/>
        <v>123.28427849031536</v>
      </c>
    </row>
    <row r="7" spans="2:20" x14ac:dyDescent="0.25">
      <c r="B7" s="54" t="s">
        <v>154</v>
      </c>
      <c r="C7" s="227" t="str">
        <f>VAC_Optim_Scenario!B19</f>
        <v>HCC Social</v>
      </c>
      <c r="D7" s="228">
        <f>VAC_Optim_Scenario!$H38</f>
        <v>8925323.295826504</v>
      </c>
      <c r="E7" s="229">
        <f>VAC_Optim_Scenario!$J38</f>
        <v>14300292.66397658</v>
      </c>
      <c r="F7" s="228">
        <f>VAC_Optim_Scenario!$H38</f>
        <v>8925323.295826504</v>
      </c>
      <c r="G7" s="229">
        <f>VAC_Optim_Scenario!$J38</f>
        <v>14300292.66397658</v>
      </c>
      <c r="H7" s="228">
        <f>VAC_Optim_Scenario!$H38</f>
        <v>8925323.295826504</v>
      </c>
      <c r="I7" s="229">
        <f>VAC_Optim_Scenario!$J38</f>
        <v>14300292.66397658</v>
      </c>
      <c r="J7" s="232"/>
      <c r="K7" s="54" t="s">
        <v>154</v>
      </c>
      <c r="L7" s="54" t="str">
        <f>VAC_Optim_Scenario!B19</f>
        <v>HCC Social</v>
      </c>
      <c r="M7" s="230">
        <f t="shared" si="1"/>
        <v>8.9253232958265034</v>
      </c>
      <c r="N7" s="231">
        <f t="shared" si="0"/>
        <v>14.300292663976579</v>
      </c>
      <c r="O7" s="230">
        <f t="shared" si="0"/>
        <v>8.9253232958265034</v>
      </c>
      <c r="P7" s="231">
        <f t="shared" si="0"/>
        <v>14.300292663976579</v>
      </c>
      <c r="Q7" s="230">
        <f t="shared" si="0"/>
        <v>8.9253232958265034</v>
      </c>
      <c r="R7" s="231">
        <f t="shared" si="0"/>
        <v>14.300292663976579</v>
      </c>
    </row>
    <row r="8" spans="2:20" x14ac:dyDescent="0.25">
      <c r="B8" s="54" t="s">
        <v>154</v>
      </c>
      <c r="C8" s="227" t="str">
        <f>VAC_Optim_Scenario!B20</f>
        <v>HCC Online Video</v>
      </c>
      <c r="D8" s="228">
        <f>VAC_Optim_Scenario!$H39</f>
        <v>2964315.5405303156</v>
      </c>
      <c r="E8" s="229">
        <f>VAC_Optim_Scenario!$J39</f>
        <v>8247651.1848041052</v>
      </c>
      <c r="F8" s="228">
        <f>VAC_Optim_Scenario!$H39</f>
        <v>2964315.5405303156</v>
      </c>
      <c r="G8" s="229">
        <f>VAC_Optim_Scenario!$J39</f>
        <v>8247651.1848041052</v>
      </c>
      <c r="H8" s="228">
        <f>VAC_Optim_Scenario!$H39</f>
        <v>2964315.5405303156</v>
      </c>
      <c r="I8" s="229">
        <f>VAC_Optim_Scenario!$J39</f>
        <v>8247651.1848041052</v>
      </c>
      <c r="J8" s="224"/>
      <c r="K8" s="54" t="s">
        <v>154</v>
      </c>
      <c r="L8" s="54" t="str">
        <f>VAC_Optim_Scenario!B20</f>
        <v>HCC Online Video</v>
      </c>
      <c r="M8" s="230">
        <f t="shared" si="1"/>
        <v>2.9643155405303157</v>
      </c>
      <c r="N8" s="231">
        <f t="shared" si="0"/>
        <v>8.2476511848041056</v>
      </c>
      <c r="O8" s="230">
        <f t="shared" si="0"/>
        <v>2.9643155405303157</v>
      </c>
      <c r="P8" s="231">
        <f t="shared" si="0"/>
        <v>8.2476511848041056</v>
      </c>
      <c r="Q8" s="230">
        <f t="shared" si="0"/>
        <v>2.9643155405303157</v>
      </c>
      <c r="R8" s="231">
        <f t="shared" si="0"/>
        <v>8.2476511848041056</v>
      </c>
    </row>
    <row r="9" spans="2:20" x14ac:dyDescent="0.25">
      <c r="B9" s="54" t="s">
        <v>154</v>
      </c>
      <c r="C9" s="227" t="str">
        <f>VAC_Optim_Scenario!B21</f>
        <v>HCC Streaming Video</v>
      </c>
      <c r="D9" s="228">
        <f>VAC_Optim_Scenario!$H40</f>
        <v>27189753.440885648</v>
      </c>
      <c r="E9" s="229">
        <f>VAC_Optim_Scenario!$J40</f>
        <v>37340378.271964729</v>
      </c>
      <c r="F9" s="228">
        <f>VAC_Optim_Scenario!$H40</f>
        <v>27189753.440885648</v>
      </c>
      <c r="G9" s="229">
        <f>VAC_Optim_Scenario!$J40</f>
        <v>37340378.271964729</v>
      </c>
      <c r="H9" s="228">
        <f>VAC_Optim_Scenario!$H40</f>
        <v>27189753.440885648</v>
      </c>
      <c r="I9" s="229">
        <f>VAC_Optim_Scenario!$J40</f>
        <v>37340378.271964729</v>
      </c>
      <c r="J9" s="232"/>
      <c r="K9" s="54" t="s">
        <v>154</v>
      </c>
      <c r="L9" s="54" t="str">
        <f>VAC_Optim_Scenario!B21</f>
        <v>HCC Streaming Video</v>
      </c>
      <c r="M9" s="230">
        <f t="shared" si="1"/>
        <v>27.189753440885649</v>
      </c>
      <c r="N9" s="231">
        <f t="shared" si="0"/>
        <v>37.340378271964731</v>
      </c>
      <c r="O9" s="230">
        <f t="shared" si="0"/>
        <v>27.189753440885649</v>
      </c>
      <c r="P9" s="231">
        <f t="shared" si="0"/>
        <v>37.340378271964731</v>
      </c>
      <c r="Q9" s="230">
        <f t="shared" si="0"/>
        <v>27.189753440885649</v>
      </c>
      <c r="R9" s="231">
        <f t="shared" si="0"/>
        <v>37.340378271964731</v>
      </c>
    </row>
    <row r="10" spans="2:20" x14ac:dyDescent="0.25">
      <c r="B10" s="54" t="s">
        <v>154</v>
      </c>
      <c r="C10" s="227" t="str">
        <f>VAC_Optim_Scenario!B22</f>
        <v>HCC Display</v>
      </c>
      <c r="D10" s="228">
        <f>VAC_Optim_Scenario!$H41</f>
        <v>10000000</v>
      </c>
      <c r="E10" s="229">
        <f>VAC_Optim_Scenario!$J41</f>
        <v>36425932.046151049</v>
      </c>
      <c r="F10" s="228">
        <f>VAC_Optim_Scenario!$H41</f>
        <v>10000000</v>
      </c>
      <c r="G10" s="229">
        <f>VAC_Optim_Scenario!$J41</f>
        <v>36425932.046151049</v>
      </c>
      <c r="H10" s="228">
        <f>VAC_Optim_Scenario!$H41</f>
        <v>10000000</v>
      </c>
      <c r="I10" s="229">
        <f>VAC_Optim_Scenario!$J41</f>
        <v>36425932.046151049</v>
      </c>
      <c r="J10" s="232"/>
      <c r="K10" s="54" t="s">
        <v>154</v>
      </c>
      <c r="L10" s="54" t="str">
        <f>VAC_Optim_Scenario!B22</f>
        <v>HCC Display</v>
      </c>
      <c r="M10" s="230">
        <f t="shared" si="1"/>
        <v>10</v>
      </c>
      <c r="N10" s="231">
        <f t="shared" si="0"/>
        <v>36.425932046151047</v>
      </c>
      <c r="O10" s="230">
        <f t="shared" si="0"/>
        <v>10</v>
      </c>
      <c r="P10" s="231">
        <f t="shared" si="0"/>
        <v>36.425932046151047</v>
      </c>
      <c r="Q10" s="230">
        <f t="shared" si="0"/>
        <v>10</v>
      </c>
      <c r="R10" s="231">
        <f t="shared" si="0"/>
        <v>36.425932046151047</v>
      </c>
    </row>
    <row r="11" spans="2:20" x14ac:dyDescent="0.25">
      <c r="B11" s="54" t="s">
        <v>154</v>
      </c>
      <c r="C11" s="227" t="str">
        <f>VAC_Optim_Scenario!B23</f>
        <v>HCC Paid Search</v>
      </c>
      <c r="D11" s="228">
        <f>VAC_Optim_Scenario!$H42</f>
        <v>240000</v>
      </c>
      <c r="E11" s="229">
        <f>VAC_Optim_Scenario!$J42</f>
        <v>20415453.17978172</v>
      </c>
      <c r="F11" s="228">
        <f>VAC_Optim_Scenario!$H42</f>
        <v>240000</v>
      </c>
      <c r="G11" s="229">
        <f>VAC_Optim_Scenario!$J42</f>
        <v>20415453.17978172</v>
      </c>
      <c r="H11" s="228">
        <f>VAC_Optim_Scenario!$H42</f>
        <v>240000</v>
      </c>
      <c r="I11" s="229">
        <f>VAC_Optim_Scenario!$J42</f>
        <v>20415453.17978172</v>
      </c>
      <c r="J11" s="224"/>
      <c r="K11" s="54" t="s">
        <v>154</v>
      </c>
      <c r="L11" s="54" t="str">
        <f>VAC_Optim_Scenario!B23</f>
        <v>HCC Paid Search</v>
      </c>
      <c r="M11" s="230">
        <f t="shared" si="1"/>
        <v>0.24</v>
      </c>
      <c r="N11" s="231">
        <f t="shared" si="0"/>
        <v>20.415453179781721</v>
      </c>
      <c r="O11" s="230">
        <f t="shared" si="0"/>
        <v>0.24</v>
      </c>
      <c r="P11" s="231">
        <f t="shared" si="0"/>
        <v>20.415453179781721</v>
      </c>
      <c r="Q11" s="230">
        <f t="shared" si="0"/>
        <v>0.24</v>
      </c>
      <c r="R11" s="231">
        <f t="shared" si="0"/>
        <v>20.415453179781721</v>
      </c>
    </row>
    <row r="12" spans="2:20" x14ac:dyDescent="0.25">
      <c r="B12" s="54" t="s">
        <v>154</v>
      </c>
      <c r="C12" s="227" t="e">
        <f>VAC_Optim_Scenario!#REF!</f>
        <v>#REF!</v>
      </c>
      <c r="D12" s="228" t="e">
        <f>VAC_Optim_Scenario!#REF!</f>
        <v>#REF!</v>
      </c>
      <c r="E12" s="229" t="e">
        <f>VAC_Optim_Scenario!#REF!</f>
        <v>#REF!</v>
      </c>
      <c r="F12" s="228" t="e">
        <f>VAC_Optim_Scenario!#REF!</f>
        <v>#REF!</v>
      </c>
      <c r="G12" s="229" t="e">
        <f>VAC_Optim_Scenario!#REF!</f>
        <v>#REF!</v>
      </c>
      <c r="H12" s="228" t="e">
        <f>VAC_Optim_Scenario!#REF!</f>
        <v>#REF!</v>
      </c>
      <c r="I12" s="229" t="e">
        <f>VAC_Optim_Scenario!#REF!</f>
        <v>#REF!</v>
      </c>
      <c r="J12" s="224"/>
      <c r="K12" s="54" t="s">
        <v>154</v>
      </c>
      <c r="L12" s="54" t="e">
        <f>VAC_Optim_Scenario!#REF!</f>
        <v>#REF!</v>
      </c>
      <c r="M12" s="230" t="e">
        <f t="shared" si="1"/>
        <v>#REF!</v>
      </c>
      <c r="N12" s="231" t="e">
        <f t="shared" si="0"/>
        <v>#REF!</v>
      </c>
      <c r="O12" s="230" t="e">
        <f t="shared" si="0"/>
        <v>#REF!</v>
      </c>
      <c r="P12" s="231" t="e">
        <f t="shared" si="0"/>
        <v>#REF!</v>
      </c>
      <c r="Q12" s="230" t="e">
        <f t="shared" si="0"/>
        <v>#REF!</v>
      </c>
      <c r="R12" s="231" t="e">
        <f t="shared" si="0"/>
        <v>#REF!</v>
      </c>
    </row>
    <row r="13" spans="2:20" x14ac:dyDescent="0.25">
      <c r="B13" s="241" t="s">
        <v>154</v>
      </c>
      <c r="C13" s="212" t="str">
        <f>VAC_Optim_Scenario!B24</f>
        <v>HCC Linear TV</v>
      </c>
      <c r="D13" s="242">
        <f>VAC_Optim_Scenario!$H43</f>
        <v>32753689.22929937</v>
      </c>
      <c r="E13" s="242">
        <f>VAC_Optim_Scenario!$J43</f>
        <v>44981431.242851108</v>
      </c>
      <c r="F13" s="242">
        <f>VAC_Optim_Scenario!$H43</f>
        <v>32753689.22929937</v>
      </c>
      <c r="G13" s="242">
        <f>VAC_Optim_Scenario!$J43</f>
        <v>44981431.242851108</v>
      </c>
      <c r="H13" s="242">
        <f>VAC_Optim_Scenario!$H43</f>
        <v>32753689.22929937</v>
      </c>
      <c r="I13" s="242">
        <f>VAC_Optim_Scenario!$J43</f>
        <v>44981431.242851108</v>
      </c>
      <c r="J13" s="224"/>
      <c r="K13" s="241" t="s">
        <v>154</v>
      </c>
      <c r="L13" s="241" t="str">
        <f>VAC_Optim_Scenario!B24</f>
        <v>HCC Linear TV</v>
      </c>
      <c r="M13" s="235">
        <f t="shared" si="1"/>
        <v>32.753689229299368</v>
      </c>
      <c r="N13" s="235">
        <f t="shared" si="0"/>
        <v>44.981431242851109</v>
      </c>
      <c r="O13" s="235">
        <f t="shared" si="0"/>
        <v>32.753689229299368</v>
      </c>
      <c r="P13" s="235">
        <f t="shared" si="0"/>
        <v>44.981431242851109</v>
      </c>
      <c r="Q13" s="235">
        <f t="shared" si="0"/>
        <v>32.753689229299368</v>
      </c>
      <c r="R13" s="235">
        <f t="shared" si="0"/>
        <v>44.981431242851109</v>
      </c>
    </row>
    <row r="14" spans="2:20" x14ac:dyDescent="0.25">
      <c r="T14" s="282"/>
    </row>
    <row r="15" spans="2:20" x14ac:dyDescent="0.25">
      <c r="C15" s="218" t="s">
        <v>218</v>
      </c>
    </row>
    <row r="17" spans="2:19" ht="38.1" customHeight="1" x14ac:dyDescent="0.25">
      <c r="C17" s="365" t="s">
        <v>3</v>
      </c>
      <c r="D17" s="366" t="s">
        <v>213</v>
      </c>
      <c r="E17" s="367"/>
      <c r="F17" s="366" t="s">
        <v>219</v>
      </c>
      <c r="G17" s="367"/>
      <c r="H17" s="366" t="s">
        <v>220</v>
      </c>
      <c r="I17" s="367"/>
      <c r="L17" s="365" t="s">
        <v>3</v>
      </c>
      <c r="M17" s="366" t="s">
        <v>213</v>
      </c>
      <c r="N17" s="367"/>
      <c r="O17" s="366" t="s">
        <v>219</v>
      </c>
      <c r="P17" s="367"/>
      <c r="Q17" s="366" t="s">
        <v>220</v>
      </c>
      <c r="R17" s="367"/>
    </row>
    <row r="18" spans="2:19" ht="25.5" x14ac:dyDescent="0.25">
      <c r="C18" s="364"/>
      <c r="D18" s="55" t="s">
        <v>216</v>
      </c>
      <c r="E18" s="55" t="s">
        <v>217</v>
      </c>
      <c r="F18" s="55" t="s">
        <v>216</v>
      </c>
      <c r="G18" s="55" t="s">
        <v>217</v>
      </c>
      <c r="H18" s="55" t="s">
        <v>216</v>
      </c>
      <c r="I18" s="55" t="s">
        <v>217</v>
      </c>
      <c r="L18" s="364"/>
      <c r="M18" s="55" t="s">
        <v>216</v>
      </c>
      <c r="N18" s="55" t="s">
        <v>217</v>
      </c>
      <c r="O18" s="55" t="s">
        <v>216</v>
      </c>
      <c r="P18" s="55" t="s">
        <v>217</v>
      </c>
      <c r="Q18" s="55" t="s">
        <v>216</v>
      </c>
      <c r="R18" s="55" t="s">
        <v>217</v>
      </c>
    </row>
    <row r="19" spans="2:19" x14ac:dyDescent="0.25">
      <c r="B19" s="53" t="s">
        <v>154</v>
      </c>
      <c r="C19" s="221" t="str">
        <f>VAC_Optim_Scenario!B17</f>
        <v>HCC InOffice</v>
      </c>
      <c r="D19" s="222">
        <f>VAC_Optim_Scenario!$H36</f>
        <v>1205648.4257292538</v>
      </c>
      <c r="E19" s="223">
        <f>VAC_Optim_Scenario!$J36</f>
        <v>1734437.3281754742</v>
      </c>
      <c r="F19" s="222">
        <f>VAC_Optim_Scenario!$H36</f>
        <v>1205648.4257292538</v>
      </c>
      <c r="G19" s="223">
        <f>VAC_Optim_Scenario!$J36</f>
        <v>1734437.3281754742</v>
      </c>
      <c r="H19" s="222">
        <f>VAC_Optim_Scenario!$H36</f>
        <v>1205648.4257292538</v>
      </c>
      <c r="I19" s="223">
        <f>VAC_Optim_Scenario!$J36</f>
        <v>1734437.3281754742</v>
      </c>
      <c r="J19" s="224"/>
      <c r="K19" s="53" t="s">
        <v>154</v>
      </c>
      <c r="L19" s="221" t="str">
        <f>VAC_Optim_Scenario!B17</f>
        <v>HCC InOffice</v>
      </c>
      <c r="M19" s="225">
        <f>D19/1000000</f>
        <v>1.2056484257292539</v>
      </c>
      <c r="N19" s="226">
        <f t="shared" ref="N19:R27" si="2">E19/1000000</f>
        <v>1.7344373281754741</v>
      </c>
      <c r="O19" s="225">
        <f t="shared" si="2"/>
        <v>1.2056484257292539</v>
      </c>
      <c r="P19" s="226">
        <f t="shared" si="2"/>
        <v>1.7344373281754741</v>
      </c>
      <c r="Q19" s="225">
        <f t="shared" si="2"/>
        <v>1.2056484257292539</v>
      </c>
      <c r="R19" s="226">
        <f t="shared" si="2"/>
        <v>1.7344373281754741</v>
      </c>
    </row>
    <row r="20" spans="2:19" x14ac:dyDescent="0.25">
      <c r="B20" s="54" t="s">
        <v>154</v>
      </c>
      <c r="C20" s="227" t="str">
        <f>VAC_Optim_Scenario!B18</f>
        <v>HCP MCM</v>
      </c>
      <c r="D20" s="228">
        <f>VAC_Optim_Scenario!$H37</f>
        <v>27999999.999999996</v>
      </c>
      <c r="E20" s="229">
        <f>VAC_Optim_Scenario!$J37</f>
        <v>123284278.49031536</v>
      </c>
      <c r="F20" s="228">
        <f>VAC_Optim_Scenario!$H37</f>
        <v>27999999.999999996</v>
      </c>
      <c r="G20" s="229">
        <f>VAC_Optim_Scenario!$J37</f>
        <v>123284278.49031536</v>
      </c>
      <c r="H20" s="228">
        <f>VAC_Optim_Scenario!$H37</f>
        <v>27999999.999999996</v>
      </c>
      <c r="I20" s="229">
        <f>VAC_Optim_Scenario!$J37</f>
        <v>123284278.49031536</v>
      </c>
      <c r="J20" s="224"/>
      <c r="K20" s="54" t="s">
        <v>154</v>
      </c>
      <c r="L20" s="227" t="str">
        <f>VAC_Optim_Scenario!B18</f>
        <v>HCP MCM</v>
      </c>
      <c r="M20" s="230">
        <f t="shared" ref="M20:M27" si="3">D20/1000000</f>
        <v>27.999999999999996</v>
      </c>
      <c r="N20" s="231">
        <f t="shared" si="2"/>
        <v>123.28427849031536</v>
      </c>
      <c r="O20" s="230">
        <f t="shared" si="2"/>
        <v>27.999999999999996</v>
      </c>
      <c r="P20" s="231">
        <f t="shared" si="2"/>
        <v>123.28427849031536</v>
      </c>
      <c r="Q20" s="230">
        <f t="shared" si="2"/>
        <v>27.999999999999996</v>
      </c>
      <c r="R20" s="231">
        <f t="shared" si="2"/>
        <v>123.28427849031536</v>
      </c>
    </row>
    <row r="21" spans="2:19" x14ac:dyDescent="0.25">
      <c r="B21" s="54" t="s">
        <v>154</v>
      </c>
      <c r="C21" s="227" t="str">
        <f>VAC_Optim_Scenario!B19</f>
        <v>HCC Social</v>
      </c>
      <c r="D21" s="228">
        <f>VAC_Optim_Scenario!$H38</f>
        <v>8925323.295826504</v>
      </c>
      <c r="E21" s="229">
        <f>VAC_Optim_Scenario!$J38</f>
        <v>14300292.66397658</v>
      </c>
      <c r="F21" s="228">
        <f>VAC_Optim_Scenario!$H38</f>
        <v>8925323.295826504</v>
      </c>
      <c r="G21" s="229">
        <f>VAC_Optim_Scenario!$J38</f>
        <v>14300292.66397658</v>
      </c>
      <c r="H21" s="228">
        <f>VAC_Optim_Scenario!$H38</f>
        <v>8925323.295826504</v>
      </c>
      <c r="I21" s="229">
        <f>VAC_Optim_Scenario!$J38</f>
        <v>14300292.66397658</v>
      </c>
      <c r="J21" s="232"/>
      <c r="K21" s="54" t="s">
        <v>154</v>
      </c>
      <c r="L21" s="227" t="str">
        <f>VAC_Optim_Scenario!B19</f>
        <v>HCC Social</v>
      </c>
      <c r="M21" s="230">
        <f t="shared" si="3"/>
        <v>8.9253232958265034</v>
      </c>
      <c r="N21" s="231">
        <f t="shared" si="2"/>
        <v>14.300292663976579</v>
      </c>
      <c r="O21" s="230">
        <f t="shared" si="2"/>
        <v>8.9253232958265034</v>
      </c>
      <c r="P21" s="231">
        <f t="shared" si="2"/>
        <v>14.300292663976579</v>
      </c>
      <c r="Q21" s="230">
        <f t="shared" si="2"/>
        <v>8.9253232958265034</v>
      </c>
      <c r="R21" s="231">
        <f t="shared" si="2"/>
        <v>14.300292663976579</v>
      </c>
    </row>
    <row r="22" spans="2:19" x14ac:dyDescent="0.25">
      <c r="B22" s="54" t="s">
        <v>154</v>
      </c>
      <c r="C22" s="227" t="str">
        <f>VAC_Optim_Scenario!B20</f>
        <v>HCC Online Video</v>
      </c>
      <c r="D22" s="228">
        <f>VAC_Optim_Scenario!$H39</f>
        <v>2964315.5405303156</v>
      </c>
      <c r="E22" s="229">
        <f>VAC_Optim_Scenario!$J39</f>
        <v>8247651.1848041052</v>
      </c>
      <c r="F22" s="228">
        <f>VAC_Optim_Scenario!$H39</f>
        <v>2964315.5405303156</v>
      </c>
      <c r="G22" s="229">
        <f>VAC_Optim_Scenario!$J39</f>
        <v>8247651.1848041052</v>
      </c>
      <c r="H22" s="228">
        <f>VAC_Optim_Scenario!$H39</f>
        <v>2964315.5405303156</v>
      </c>
      <c r="I22" s="229">
        <f>VAC_Optim_Scenario!$J39</f>
        <v>8247651.1848041052</v>
      </c>
      <c r="J22" s="224"/>
      <c r="K22" s="54" t="s">
        <v>154</v>
      </c>
      <c r="L22" s="227" t="str">
        <f>VAC_Optim_Scenario!B20</f>
        <v>HCC Online Video</v>
      </c>
      <c r="M22" s="230">
        <f t="shared" si="3"/>
        <v>2.9643155405303157</v>
      </c>
      <c r="N22" s="231">
        <f t="shared" si="2"/>
        <v>8.2476511848041056</v>
      </c>
      <c r="O22" s="230">
        <f t="shared" si="2"/>
        <v>2.9643155405303157</v>
      </c>
      <c r="P22" s="231">
        <f t="shared" si="2"/>
        <v>8.2476511848041056</v>
      </c>
      <c r="Q22" s="230">
        <f t="shared" si="2"/>
        <v>2.9643155405303157</v>
      </c>
      <c r="R22" s="231">
        <f t="shared" si="2"/>
        <v>8.2476511848041056</v>
      </c>
    </row>
    <row r="23" spans="2:19" x14ac:dyDescent="0.25">
      <c r="B23" s="54" t="s">
        <v>154</v>
      </c>
      <c r="C23" s="227" t="str">
        <f>VAC_Optim_Scenario!B21</f>
        <v>HCC Streaming Video</v>
      </c>
      <c r="D23" s="228">
        <f>VAC_Optim_Scenario!$H40</f>
        <v>27189753.440885648</v>
      </c>
      <c r="E23" s="229">
        <f>VAC_Optim_Scenario!$J40</f>
        <v>37340378.271964729</v>
      </c>
      <c r="F23" s="228">
        <f>VAC_Optim_Scenario!$H40</f>
        <v>27189753.440885648</v>
      </c>
      <c r="G23" s="229">
        <f>VAC_Optim_Scenario!$J40</f>
        <v>37340378.271964729</v>
      </c>
      <c r="H23" s="228">
        <f>VAC_Optim_Scenario!$H40</f>
        <v>27189753.440885648</v>
      </c>
      <c r="I23" s="229">
        <f>VAC_Optim_Scenario!$J40</f>
        <v>37340378.271964729</v>
      </c>
      <c r="J23" s="232"/>
      <c r="K23" s="54" t="s">
        <v>154</v>
      </c>
      <c r="L23" s="227" t="str">
        <f>VAC_Optim_Scenario!B21</f>
        <v>HCC Streaming Video</v>
      </c>
      <c r="M23" s="230">
        <f t="shared" si="3"/>
        <v>27.189753440885649</v>
      </c>
      <c r="N23" s="231">
        <f t="shared" si="2"/>
        <v>37.340378271964731</v>
      </c>
      <c r="O23" s="230">
        <f t="shared" si="2"/>
        <v>27.189753440885649</v>
      </c>
      <c r="P23" s="231">
        <f t="shared" si="2"/>
        <v>37.340378271964731</v>
      </c>
      <c r="Q23" s="230">
        <f t="shared" si="2"/>
        <v>27.189753440885649</v>
      </c>
      <c r="R23" s="231">
        <f t="shared" si="2"/>
        <v>37.340378271964731</v>
      </c>
    </row>
    <row r="24" spans="2:19" x14ac:dyDescent="0.25">
      <c r="B24" s="54" t="s">
        <v>154</v>
      </c>
      <c r="C24" s="227" t="str">
        <f>VAC_Optim_Scenario!B22</f>
        <v>HCC Display</v>
      </c>
      <c r="D24" s="228">
        <f>VAC_Optim_Scenario!$H41</f>
        <v>10000000</v>
      </c>
      <c r="E24" s="229">
        <f>VAC_Optim_Scenario!$J41</f>
        <v>36425932.046151049</v>
      </c>
      <c r="F24" s="228">
        <f>VAC_Optim_Scenario!$H41</f>
        <v>10000000</v>
      </c>
      <c r="G24" s="229">
        <f>VAC_Optim_Scenario!$J41</f>
        <v>36425932.046151049</v>
      </c>
      <c r="H24" s="228">
        <f>VAC_Optim_Scenario!$H41</f>
        <v>10000000</v>
      </c>
      <c r="I24" s="229">
        <f>VAC_Optim_Scenario!$J41</f>
        <v>36425932.046151049</v>
      </c>
      <c r="J24" s="232"/>
      <c r="K24" s="54" t="s">
        <v>154</v>
      </c>
      <c r="L24" s="227" t="str">
        <f>VAC_Optim_Scenario!B22</f>
        <v>HCC Display</v>
      </c>
      <c r="M24" s="230">
        <f t="shared" si="3"/>
        <v>10</v>
      </c>
      <c r="N24" s="231">
        <f t="shared" si="2"/>
        <v>36.425932046151047</v>
      </c>
      <c r="O24" s="230">
        <f t="shared" si="2"/>
        <v>10</v>
      </c>
      <c r="P24" s="231">
        <f t="shared" si="2"/>
        <v>36.425932046151047</v>
      </c>
      <c r="Q24" s="230">
        <f t="shared" si="2"/>
        <v>10</v>
      </c>
      <c r="R24" s="231">
        <f t="shared" si="2"/>
        <v>36.425932046151047</v>
      </c>
    </row>
    <row r="25" spans="2:19" x14ac:dyDescent="0.25">
      <c r="B25" s="54" t="s">
        <v>154</v>
      </c>
      <c r="C25" s="227" t="str">
        <f>VAC_Optim_Scenario!B23</f>
        <v>HCC Paid Search</v>
      </c>
      <c r="D25" s="228">
        <f>VAC_Optim_Scenario!$H42</f>
        <v>240000</v>
      </c>
      <c r="E25" s="229">
        <f>VAC_Optim_Scenario!$J42</f>
        <v>20415453.17978172</v>
      </c>
      <c r="F25" s="228">
        <f>VAC_Optim_Scenario!$H42</f>
        <v>240000</v>
      </c>
      <c r="G25" s="229">
        <f>VAC_Optim_Scenario!$J42</f>
        <v>20415453.17978172</v>
      </c>
      <c r="H25" s="228">
        <f>VAC_Optim_Scenario!$H42</f>
        <v>240000</v>
      </c>
      <c r="I25" s="229">
        <f>VAC_Optim_Scenario!$J42</f>
        <v>20415453.17978172</v>
      </c>
      <c r="J25" s="232"/>
      <c r="K25" s="54" t="s">
        <v>154</v>
      </c>
      <c r="L25" s="227" t="str">
        <f>VAC_Optim_Scenario!B23</f>
        <v>HCC Paid Search</v>
      </c>
      <c r="M25" s="230">
        <f t="shared" si="3"/>
        <v>0.24</v>
      </c>
      <c r="N25" s="231">
        <f t="shared" si="2"/>
        <v>20.415453179781721</v>
      </c>
      <c r="O25" s="230">
        <f t="shared" si="2"/>
        <v>0.24</v>
      </c>
      <c r="P25" s="231">
        <f t="shared" si="2"/>
        <v>20.415453179781721</v>
      </c>
      <c r="Q25" s="230">
        <f t="shared" si="2"/>
        <v>0.24</v>
      </c>
      <c r="R25" s="231">
        <f t="shared" si="2"/>
        <v>20.415453179781721</v>
      </c>
    </row>
    <row r="26" spans="2:19" x14ac:dyDescent="0.25">
      <c r="B26" s="54" t="s">
        <v>154</v>
      </c>
      <c r="C26" s="227" t="e">
        <f>VAC_Optim_Scenario!#REF!</f>
        <v>#REF!</v>
      </c>
      <c r="D26" s="228" t="e">
        <f>VAC_Optim_Scenario!#REF!</f>
        <v>#REF!</v>
      </c>
      <c r="E26" s="229" t="e">
        <f>VAC_Optim_Scenario!#REF!</f>
        <v>#REF!</v>
      </c>
      <c r="F26" s="228" t="e">
        <f>VAC_Optim_Scenario!#REF!</f>
        <v>#REF!</v>
      </c>
      <c r="G26" s="229" t="e">
        <f>VAC_Optim_Scenario!#REF!</f>
        <v>#REF!</v>
      </c>
      <c r="H26" s="228" t="e">
        <f>VAC_Optim_Scenario!#REF!</f>
        <v>#REF!</v>
      </c>
      <c r="I26" s="229" t="e">
        <f>VAC_Optim_Scenario!#REF!</f>
        <v>#REF!</v>
      </c>
      <c r="J26" s="232"/>
      <c r="K26" s="54" t="s">
        <v>154</v>
      </c>
      <c r="L26" s="227" t="e">
        <f>VAC_Optim_Scenario!#REF!</f>
        <v>#REF!</v>
      </c>
      <c r="M26" s="230" t="e">
        <f t="shared" si="3"/>
        <v>#REF!</v>
      </c>
      <c r="N26" s="231" t="e">
        <f t="shared" si="2"/>
        <v>#REF!</v>
      </c>
      <c r="O26" s="230" t="e">
        <f t="shared" si="2"/>
        <v>#REF!</v>
      </c>
      <c r="P26" s="231" t="e">
        <f t="shared" si="2"/>
        <v>#REF!</v>
      </c>
      <c r="Q26" s="230" t="e">
        <f t="shared" si="2"/>
        <v>#REF!</v>
      </c>
      <c r="R26" s="231" t="e">
        <f t="shared" si="2"/>
        <v>#REF!</v>
      </c>
    </row>
    <row r="27" spans="2:19" x14ac:dyDescent="0.25">
      <c r="B27" s="241" t="s">
        <v>154</v>
      </c>
      <c r="C27" s="212" t="str">
        <f>VAC_Optim_Scenario!B24</f>
        <v>HCC Linear TV</v>
      </c>
      <c r="D27" s="242">
        <f>VAC_Optim_Scenario!$H43</f>
        <v>32753689.22929937</v>
      </c>
      <c r="E27" s="242">
        <f>VAC_Optim_Scenario!$J43</f>
        <v>44981431.242851108</v>
      </c>
      <c r="F27" s="242">
        <f>VAC_Optim_Scenario!$H43</f>
        <v>32753689.22929937</v>
      </c>
      <c r="G27" s="242">
        <f>VAC_Optim_Scenario!$J43</f>
        <v>44981431.242851108</v>
      </c>
      <c r="H27" s="242">
        <f>VAC_Optim_Scenario!$H43</f>
        <v>32753689.22929937</v>
      </c>
      <c r="I27" s="242">
        <f>VAC_Optim_Scenario!$J43</f>
        <v>44981431.242851108</v>
      </c>
      <c r="J27" s="232"/>
      <c r="K27" s="241" t="s">
        <v>154</v>
      </c>
      <c r="L27" s="212" t="str">
        <f>VAC_Optim_Scenario!B24</f>
        <v>HCC Linear TV</v>
      </c>
      <c r="M27" s="235">
        <f t="shared" si="3"/>
        <v>32.753689229299368</v>
      </c>
      <c r="N27" s="235">
        <f t="shared" si="2"/>
        <v>44.981431242851109</v>
      </c>
      <c r="O27" s="235">
        <f t="shared" si="2"/>
        <v>32.753689229299368</v>
      </c>
      <c r="P27" s="235">
        <f t="shared" si="2"/>
        <v>44.981431242851109</v>
      </c>
      <c r="Q27" s="235">
        <f t="shared" si="2"/>
        <v>32.753689229299368</v>
      </c>
      <c r="R27" s="235">
        <f t="shared" si="2"/>
        <v>44.981431242851109</v>
      </c>
    </row>
    <row r="30" spans="2:19" ht="34.35" customHeight="1" x14ac:dyDescent="0.25">
      <c r="C30" s="260" t="s">
        <v>3</v>
      </c>
      <c r="D30" s="261" t="s">
        <v>221</v>
      </c>
      <c r="E30" s="233">
        <v>-0.5</v>
      </c>
      <c r="F30" s="233">
        <v>2</v>
      </c>
      <c r="G30" s="233">
        <v>-0.4</v>
      </c>
      <c r="H30" s="233">
        <v>0.4</v>
      </c>
      <c r="J30" s="99" t="s">
        <v>3</v>
      </c>
      <c r="K30" s="99" t="s">
        <v>206</v>
      </c>
      <c r="L30" s="99" t="s">
        <v>207</v>
      </c>
      <c r="M30" s="99" t="s">
        <v>208</v>
      </c>
      <c r="N30" s="99" t="s">
        <v>224</v>
      </c>
      <c r="O30" s="99" t="s">
        <v>226</v>
      </c>
      <c r="P30" s="99" t="s">
        <v>209</v>
      </c>
      <c r="Q30" s="99" t="s">
        <v>210</v>
      </c>
      <c r="R30" s="99" t="s">
        <v>177</v>
      </c>
      <c r="S30" s="99" t="s">
        <v>176</v>
      </c>
    </row>
    <row r="31" spans="2:19" x14ac:dyDescent="0.25">
      <c r="B31" s="53" t="s">
        <v>154</v>
      </c>
      <c r="C31" s="283" t="str">
        <f>VAC_Optim_Scenario!B17</f>
        <v>HCC InOffice</v>
      </c>
      <c r="D31" s="225">
        <f>M19</f>
        <v>1.2056484257292539</v>
      </c>
      <c r="E31" s="225">
        <f>O5</f>
        <v>1.2056484257292539</v>
      </c>
      <c r="F31" s="225">
        <f>Q5</f>
        <v>1.2056484257292539</v>
      </c>
      <c r="G31" s="225">
        <f>O19</f>
        <v>1.2056484257292539</v>
      </c>
      <c r="H31" s="225">
        <f>Q19</f>
        <v>1.2056484257292539</v>
      </c>
      <c r="J31" s="234">
        <v>-0.5</v>
      </c>
      <c r="K31" s="235">
        <f>E$31</f>
        <v>1.2056484257292539</v>
      </c>
      <c r="L31" s="235">
        <f>E$32</f>
        <v>27.999999999999996</v>
      </c>
      <c r="M31" s="235">
        <f>E$33</f>
        <v>8.9253232958265034</v>
      </c>
      <c r="N31" s="235">
        <f>E$34</f>
        <v>2.9643155405303157</v>
      </c>
      <c r="O31" s="235">
        <f>E$35</f>
        <v>27.189753440885649</v>
      </c>
      <c r="P31" s="235">
        <f>E$36</f>
        <v>10</v>
      </c>
      <c r="Q31" s="235">
        <f>E$37</f>
        <v>0.24</v>
      </c>
      <c r="R31" s="235" t="e">
        <f>E$38</f>
        <v>#REF!</v>
      </c>
      <c r="S31" s="235">
        <f>E$39</f>
        <v>32.753689229299368</v>
      </c>
    </row>
    <row r="32" spans="2:19" x14ac:dyDescent="0.25">
      <c r="B32" s="54" t="s">
        <v>154</v>
      </c>
      <c r="C32" s="284" t="str">
        <f>VAC_Optim_Scenario!B18</f>
        <v>HCP MCM</v>
      </c>
      <c r="D32" s="230">
        <f t="shared" ref="D32:D39" si="4">M20</f>
        <v>27.999999999999996</v>
      </c>
      <c r="E32" s="230">
        <f t="shared" ref="E32:E39" si="5">O6</f>
        <v>27.999999999999996</v>
      </c>
      <c r="F32" s="230">
        <f t="shared" ref="F32:F39" si="6">Q6</f>
        <v>27.999999999999996</v>
      </c>
      <c r="G32" s="230">
        <f t="shared" ref="G32:G39" si="7">O20</f>
        <v>27.999999999999996</v>
      </c>
      <c r="H32" s="230">
        <f t="shared" ref="H32:H39" si="8">Q20</f>
        <v>27.999999999999996</v>
      </c>
      <c r="J32" s="234">
        <v>-0.4</v>
      </c>
      <c r="K32" s="235">
        <f>G$31</f>
        <v>1.2056484257292539</v>
      </c>
      <c r="L32" s="235">
        <f>G$32</f>
        <v>27.999999999999996</v>
      </c>
      <c r="M32" s="235">
        <f>G$33</f>
        <v>8.9253232958265034</v>
      </c>
      <c r="N32" s="235">
        <f>G$34</f>
        <v>2.9643155405303157</v>
      </c>
      <c r="O32" s="235">
        <f>G$35</f>
        <v>27.189753440885649</v>
      </c>
      <c r="P32" s="235">
        <f>G$36</f>
        <v>10</v>
      </c>
      <c r="Q32" s="235">
        <f>G$37</f>
        <v>0.24</v>
      </c>
      <c r="R32" s="235" t="e">
        <f>G$38</f>
        <v>#REF!</v>
      </c>
      <c r="S32" s="235">
        <f>G$39</f>
        <v>32.753689229299368</v>
      </c>
    </row>
    <row r="33" spans="2:22" x14ac:dyDescent="0.25">
      <c r="B33" s="54" t="s">
        <v>154</v>
      </c>
      <c r="C33" s="284" t="str">
        <f>VAC_Optim_Scenario!B19</f>
        <v>HCC Social</v>
      </c>
      <c r="D33" s="230">
        <f t="shared" si="4"/>
        <v>8.9253232958265034</v>
      </c>
      <c r="E33" s="230">
        <f t="shared" si="5"/>
        <v>8.9253232958265034</v>
      </c>
      <c r="F33" s="230">
        <f t="shared" si="6"/>
        <v>8.9253232958265034</v>
      </c>
      <c r="G33" s="230">
        <f t="shared" si="7"/>
        <v>8.9253232958265034</v>
      </c>
      <c r="H33" s="230">
        <f t="shared" si="8"/>
        <v>8.9253232958265034</v>
      </c>
      <c r="J33" s="234" t="s">
        <v>221</v>
      </c>
      <c r="K33" s="235">
        <f>D$31</f>
        <v>1.2056484257292539</v>
      </c>
      <c r="L33" s="235">
        <f>D$32</f>
        <v>27.999999999999996</v>
      </c>
      <c r="M33" s="235">
        <f>D$33</f>
        <v>8.9253232958265034</v>
      </c>
      <c r="N33" s="235">
        <f>D$34</f>
        <v>2.9643155405303157</v>
      </c>
      <c r="O33" s="235">
        <f>D$35</f>
        <v>27.189753440885649</v>
      </c>
      <c r="P33" s="235">
        <f>D$36</f>
        <v>10</v>
      </c>
      <c r="Q33" s="235">
        <f>D$37</f>
        <v>0.24</v>
      </c>
      <c r="R33" s="235" t="e">
        <f>D$38</f>
        <v>#REF!</v>
      </c>
      <c r="S33" s="235">
        <f>D$39</f>
        <v>32.753689229299368</v>
      </c>
    </row>
    <row r="34" spans="2:22" x14ac:dyDescent="0.25">
      <c r="B34" s="54" t="s">
        <v>154</v>
      </c>
      <c r="C34" s="284" t="str">
        <f>VAC_Optim_Scenario!B20</f>
        <v>HCC Online Video</v>
      </c>
      <c r="D34" s="230">
        <f t="shared" si="4"/>
        <v>2.9643155405303157</v>
      </c>
      <c r="E34" s="230">
        <f t="shared" si="5"/>
        <v>2.9643155405303157</v>
      </c>
      <c r="F34" s="230">
        <f t="shared" si="6"/>
        <v>2.9643155405303157</v>
      </c>
      <c r="G34" s="230">
        <f t="shared" si="7"/>
        <v>2.9643155405303157</v>
      </c>
      <c r="H34" s="230">
        <f t="shared" si="8"/>
        <v>2.9643155405303157</v>
      </c>
      <c r="J34" s="234">
        <v>0.4</v>
      </c>
      <c r="K34" s="235">
        <f>H$31</f>
        <v>1.2056484257292539</v>
      </c>
      <c r="L34" s="235">
        <f>H$32</f>
        <v>27.999999999999996</v>
      </c>
      <c r="M34" s="235">
        <f>H$33</f>
        <v>8.9253232958265034</v>
      </c>
      <c r="N34" s="235">
        <f>H$34</f>
        <v>2.9643155405303157</v>
      </c>
      <c r="O34" s="235">
        <f>H$35</f>
        <v>27.189753440885649</v>
      </c>
      <c r="P34" s="235">
        <f>H$36</f>
        <v>10</v>
      </c>
      <c r="Q34" s="235">
        <f>H$37</f>
        <v>0.24</v>
      </c>
      <c r="R34" s="235" t="e">
        <f>H$38</f>
        <v>#REF!</v>
      </c>
      <c r="S34" s="235">
        <f>H$39</f>
        <v>32.753689229299368</v>
      </c>
    </row>
    <row r="35" spans="2:22" x14ac:dyDescent="0.25">
      <c r="B35" s="54" t="s">
        <v>154</v>
      </c>
      <c r="C35" s="284" t="str">
        <f>VAC_Optim_Scenario!B21</f>
        <v>HCC Streaming Video</v>
      </c>
      <c r="D35" s="230">
        <f t="shared" si="4"/>
        <v>27.189753440885649</v>
      </c>
      <c r="E35" s="230">
        <f t="shared" si="5"/>
        <v>27.189753440885649</v>
      </c>
      <c r="F35" s="230">
        <f t="shared" si="6"/>
        <v>27.189753440885649</v>
      </c>
      <c r="G35" s="230">
        <f t="shared" si="7"/>
        <v>27.189753440885649</v>
      </c>
      <c r="H35" s="230">
        <f t="shared" si="8"/>
        <v>27.189753440885649</v>
      </c>
      <c r="J35" s="233">
        <v>2</v>
      </c>
      <c r="K35" s="235">
        <f>F$31</f>
        <v>1.2056484257292539</v>
      </c>
      <c r="L35" s="235">
        <f>F$32</f>
        <v>27.999999999999996</v>
      </c>
      <c r="M35" s="235">
        <f>F$33</f>
        <v>8.9253232958265034</v>
      </c>
      <c r="N35" s="235">
        <f>F$34</f>
        <v>2.9643155405303157</v>
      </c>
      <c r="O35" s="235">
        <f>F$35</f>
        <v>27.189753440885649</v>
      </c>
      <c r="P35" s="235">
        <f>F$36</f>
        <v>10</v>
      </c>
      <c r="Q35" s="235">
        <f>F$37</f>
        <v>0.24</v>
      </c>
      <c r="R35" s="235" t="e">
        <f>F$38</f>
        <v>#REF!</v>
      </c>
      <c r="S35" s="235">
        <f>F$39</f>
        <v>32.753689229299368</v>
      </c>
    </row>
    <row r="36" spans="2:22" x14ac:dyDescent="0.25">
      <c r="B36" s="54" t="s">
        <v>154</v>
      </c>
      <c r="C36" s="284" t="str">
        <f>VAC_Optim_Scenario!B22</f>
        <v>HCC Display</v>
      </c>
      <c r="D36" s="230">
        <f t="shared" si="4"/>
        <v>10</v>
      </c>
      <c r="E36" s="230">
        <f t="shared" si="5"/>
        <v>10</v>
      </c>
      <c r="F36" s="230">
        <f t="shared" si="6"/>
        <v>10</v>
      </c>
      <c r="G36" s="230">
        <f t="shared" si="7"/>
        <v>10</v>
      </c>
      <c r="H36" s="230">
        <f t="shared" si="8"/>
        <v>10</v>
      </c>
    </row>
    <row r="37" spans="2:22" x14ac:dyDescent="0.25">
      <c r="B37" s="54" t="s">
        <v>154</v>
      </c>
      <c r="C37" s="284" t="str">
        <f>VAC_Optim_Scenario!B23</f>
        <v>HCC Paid Search</v>
      </c>
      <c r="D37" s="230">
        <f t="shared" si="4"/>
        <v>0.24</v>
      </c>
      <c r="E37" s="230">
        <f t="shared" si="5"/>
        <v>0.24</v>
      </c>
      <c r="F37" s="230">
        <f t="shared" si="6"/>
        <v>0.24</v>
      </c>
      <c r="G37" s="230">
        <f t="shared" si="7"/>
        <v>0.24</v>
      </c>
      <c r="H37" s="230">
        <f t="shared" si="8"/>
        <v>0.24</v>
      </c>
      <c r="J37" s="251"/>
      <c r="K37" s="236"/>
      <c r="L37" s="236"/>
      <c r="M37" s="236"/>
      <c r="N37" s="236"/>
      <c r="O37" s="236"/>
      <c r="P37" s="236"/>
      <c r="Q37" s="236"/>
      <c r="R37" s="236"/>
    </row>
    <row r="38" spans="2:22" x14ac:dyDescent="0.25">
      <c r="B38" s="54" t="s">
        <v>154</v>
      </c>
      <c r="C38" s="284" t="e">
        <f>VAC_Optim_Scenario!#REF!</f>
        <v>#REF!</v>
      </c>
      <c r="D38" s="230" t="e">
        <f t="shared" si="4"/>
        <v>#REF!</v>
      </c>
      <c r="E38" s="230" t="e">
        <f t="shared" si="5"/>
        <v>#REF!</v>
      </c>
      <c r="F38" s="230" t="e">
        <f t="shared" si="6"/>
        <v>#REF!</v>
      </c>
      <c r="G38" s="230" t="e">
        <f t="shared" si="7"/>
        <v>#REF!</v>
      </c>
      <c r="H38" s="230" t="e">
        <f t="shared" si="8"/>
        <v>#REF!</v>
      </c>
      <c r="J38" s="252"/>
      <c r="K38" s="237"/>
      <c r="L38" s="237"/>
      <c r="M38" s="237"/>
      <c r="N38" s="237"/>
      <c r="O38" s="237"/>
      <c r="P38" s="237"/>
      <c r="Q38" s="237"/>
      <c r="R38" s="237"/>
    </row>
    <row r="39" spans="2:22" x14ac:dyDescent="0.25">
      <c r="B39" s="99" t="s">
        <v>154</v>
      </c>
      <c r="C39" s="285" t="str">
        <f>VAC_Optim_Scenario!B24</f>
        <v>HCC Linear TV</v>
      </c>
      <c r="D39" s="230">
        <f t="shared" si="4"/>
        <v>32.753689229299368</v>
      </c>
      <c r="E39" s="230">
        <f t="shared" si="5"/>
        <v>32.753689229299368</v>
      </c>
      <c r="F39" s="230">
        <f t="shared" si="6"/>
        <v>32.753689229299368</v>
      </c>
      <c r="G39" s="230">
        <f t="shared" si="7"/>
        <v>32.753689229299368</v>
      </c>
      <c r="H39" s="230">
        <f t="shared" si="8"/>
        <v>32.753689229299368</v>
      </c>
      <c r="J39" s="251"/>
      <c r="K39" s="236"/>
      <c r="L39" s="236"/>
      <c r="M39" s="236"/>
      <c r="N39" s="236"/>
      <c r="O39" s="236"/>
      <c r="P39" s="236"/>
      <c r="Q39" s="236"/>
      <c r="R39" s="236"/>
    </row>
    <row r="40" spans="2:22" x14ac:dyDescent="0.25">
      <c r="L40" s="167"/>
      <c r="M40" s="167"/>
      <c r="O40" s="167"/>
      <c r="P40" s="167"/>
    </row>
    <row r="41" spans="2:22" x14ac:dyDescent="0.25">
      <c r="L41" s="235"/>
      <c r="M41" s="235"/>
      <c r="N41" s="235"/>
      <c r="O41" s="235"/>
      <c r="P41" s="235"/>
    </row>
    <row r="42" spans="2:22" x14ac:dyDescent="0.25">
      <c r="L42" s="235"/>
      <c r="M42" s="235"/>
      <c r="N42" s="235"/>
      <c r="O42" s="235"/>
      <c r="P42" s="235"/>
    </row>
    <row r="43" spans="2:22" x14ac:dyDescent="0.25">
      <c r="L43" s="235"/>
      <c r="M43" s="235"/>
      <c r="N43" s="235"/>
      <c r="O43" s="235"/>
      <c r="P43" s="235"/>
    </row>
    <row r="44" spans="2:22" x14ac:dyDescent="0.25">
      <c r="L44" s="235"/>
      <c r="M44" s="235"/>
      <c r="N44" s="235"/>
      <c r="O44" s="235"/>
      <c r="P44" s="235"/>
      <c r="S44" s="238"/>
      <c r="T44" s="238"/>
      <c r="V44" s="238"/>
    </row>
    <row r="45" spans="2:22" x14ac:dyDescent="0.25">
      <c r="L45" s="235"/>
      <c r="M45" s="235"/>
      <c r="N45" s="235"/>
      <c r="O45" s="235"/>
      <c r="P45" s="239"/>
      <c r="S45" s="240"/>
      <c r="T45" s="240"/>
      <c r="U45" s="240"/>
      <c r="V45" s="240"/>
    </row>
    <row r="46" spans="2:22" x14ac:dyDescent="0.25">
      <c r="L46" s="235"/>
      <c r="M46" s="235"/>
      <c r="N46" s="235"/>
      <c r="O46" s="235"/>
      <c r="P46" s="235"/>
      <c r="S46" s="240"/>
      <c r="T46" s="240"/>
      <c r="U46" s="240"/>
      <c r="V46" s="240"/>
    </row>
    <row r="47" spans="2:22" x14ac:dyDescent="0.25">
      <c r="L47" s="235"/>
      <c r="M47" s="235"/>
      <c r="N47" s="235"/>
      <c r="O47" s="235"/>
      <c r="P47" s="235"/>
    </row>
    <row r="48" spans="2:22" x14ac:dyDescent="0.25">
      <c r="L48" s="235"/>
      <c r="M48" s="235"/>
      <c r="N48" s="235"/>
      <c r="O48" s="235"/>
      <c r="P48" s="235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92D050"/>
  </sheetPr>
  <dimension ref="A1"/>
  <sheetViews>
    <sheetView showGridLines="0" showRowColHeaders="0" zoomScale="120" zoomScaleNormal="120" workbookViewId="0">
      <selection activeCell="M5" sqref="M5"/>
    </sheetView>
  </sheetViews>
  <sheetFormatPr defaultColWidth="9.140625" defaultRowHeight="15" x14ac:dyDescent="0.25"/>
  <cols>
    <col min="1" max="16384" width="9.140625" style="99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BE83-A784-447A-8BA0-AA83322D52B1}">
  <sheetPr>
    <tabColor theme="7" tint="-0.249977111117893"/>
  </sheetPr>
  <dimension ref="B1:V48"/>
  <sheetViews>
    <sheetView topLeftCell="A9" zoomScale="80" zoomScaleNormal="80" workbookViewId="0">
      <selection activeCell="F18" sqref="F18"/>
    </sheetView>
  </sheetViews>
  <sheetFormatPr defaultColWidth="8.85546875" defaultRowHeight="15" x14ac:dyDescent="0.25"/>
  <cols>
    <col min="1" max="1" width="6.140625" style="99" customWidth="1"/>
    <col min="2" max="2" width="13.5703125" style="99" customWidth="1"/>
    <col min="3" max="3" width="18.140625" style="99" customWidth="1"/>
    <col min="4" max="4" width="14.42578125" style="99" customWidth="1"/>
    <col min="5" max="5" width="15.42578125" style="99" customWidth="1"/>
    <col min="6" max="6" width="13.5703125" style="99" customWidth="1"/>
    <col min="7" max="7" width="15.5703125" style="99" customWidth="1"/>
    <col min="8" max="8" width="15.140625" style="99" bestFit="1" customWidth="1"/>
    <col min="9" max="9" width="13.42578125" style="99" bestFit="1" customWidth="1"/>
    <col min="10" max="10" width="8.85546875" style="99"/>
    <col min="11" max="11" width="15.140625" style="99" customWidth="1"/>
    <col min="12" max="12" width="14.42578125" style="99" bestFit="1" customWidth="1"/>
    <col min="13" max="13" width="11.140625" style="99" bestFit="1" customWidth="1"/>
    <col min="14" max="14" width="12.140625" style="99" bestFit="1" customWidth="1"/>
    <col min="15" max="15" width="11.140625" style="99" bestFit="1" customWidth="1"/>
    <col min="16" max="18" width="12.140625" style="99" bestFit="1" customWidth="1"/>
    <col min="19" max="19" width="8.85546875" style="99"/>
    <col min="20" max="20" width="12" style="99" bestFit="1" customWidth="1"/>
    <col min="21" max="16384" width="8.85546875" style="99"/>
  </cols>
  <sheetData>
    <row r="1" spans="2:20" x14ac:dyDescent="0.25">
      <c r="C1" s="218" t="s">
        <v>212</v>
      </c>
    </row>
    <row r="2" spans="2:20" ht="15.75" thickBot="1" x14ac:dyDescent="0.3"/>
    <row r="3" spans="2:20" ht="30.2" customHeight="1" x14ac:dyDescent="0.25">
      <c r="B3" s="363" t="s">
        <v>2</v>
      </c>
      <c r="C3" s="365" t="s">
        <v>3</v>
      </c>
      <c r="D3" s="366" t="s">
        <v>213</v>
      </c>
      <c r="E3" s="367"/>
      <c r="F3" s="366" t="s">
        <v>214</v>
      </c>
      <c r="G3" s="367"/>
      <c r="H3" s="366" t="s">
        <v>215</v>
      </c>
      <c r="I3" s="367"/>
      <c r="K3" s="363" t="s">
        <v>2</v>
      </c>
      <c r="L3" s="365" t="s">
        <v>3</v>
      </c>
      <c r="M3" s="366" t="s">
        <v>213</v>
      </c>
      <c r="N3" s="367"/>
      <c r="O3" s="366" t="s">
        <v>214</v>
      </c>
      <c r="P3" s="367"/>
      <c r="Q3" s="366" t="s">
        <v>215</v>
      </c>
      <c r="R3" s="367"/>
    </row>
    <row r="4" spans="2:20" ht="25.5" x14ac:dyDescent="0.25">
      <c r="B4" s="364"/>
      <c r="C4" s="364"/>
      <c r="D4" s="219" t="s">
        <v>216</v>
      </c>
      <c r="E4" s="220" t="s">
        <v>217</v>
      </c>
      <c r="F4" s="219" t="s">
        <v>216</v>
      </c>
      <c r="G4" s="220" t="s">
        <v>217</v>
      </c>
      <c r="H4" s="219" t="s">
        <v>216</v>
      </c>
      <c r="I4" s="220" t="s">
        <v>217</v>
      </c>
      <c r="K4" s="364"/>
      <c r="L4" s="364"/>
      <c r="M4" s="219" t="s">
        <v>216</v>
      </c>
      <c r="N4" s="220" t="s">
        <v>217</v>
      </c>
      <c r="O4" s="219" t="s">
        <v>216</v>
      </c>
      <c r="P4" s="220" t="s">
        <v>217</v>
      </c>
      <c r="Q4" s="219" t="s">
        <v>216</v>
      </c>
      <c r="R4" s="220" t="s">
        <v>217</v>
      </c>
    </row>
    <row r="5" spans="2:20" x14ac:dyDescent="0.25">
      <c r="B5" s="53" t="s">
        <v>154</v>
      </c>
      <c r="C5" s="221" t="str">
        <f>VAC_Optim_Scenario!B17</f>
        <v>HCC InOffice</v>
      </c>
      <c r="D5" s="222">
        <f>VAC_Optim_Scenario!$H36</f>
        <v>1205648.4257292538</v>
      </c>
      <c r="E5" s="223">
        <f>VAC_Optim_Scenario!$J36</f>
        <v>1734437.3281754742</v>
      </c>
      <c r="F5" s="222">
        <v>2304599.9176017214</v>
      </c>
      <c r="G5" s="223">
        <v>5246917.9893056815</v>
      </c>
      <c r="H5" s="222">
        <v>2340000</v>
      </c>
      <c r="I5" s="223">
        <v>21257821.983019568</v>
      </c>
      <c r="J5" s="224"/>
      <c r="K5" s="53" t="s">
        <v>154</v>
      </c>
      <c r="L5" s="53" t="str">
        <f>VAC_Optim_Scenario!B17</f>
        <v>HCC InOffice</v>
      </c>
      <c r="M5" s="225">
        <f>D5/1000000</f>
        <v>1.2056484257292539</v>
      </c>
      <c r="N5" s="226">
        <f t="shared" ref="N5:R5" si="0">E5/1000000</f>
        <v>1.7344373281754741</v>
      </c>
      <c r="O5" s="225">
        <f t="shared" si="0"/>
        <v>2.3045999176017213</v>
      </c>
      <c r="P5" s="226">
        <f t="shared" si="0"/>
        <v>5.2469179893056817</v>
      </c>
      <c r="Q5" s="225">
        <f t="shared" si="0"/>
        <v>2.34</v>
      </c>
      <c r="R5" s="226">
        <f t="shared" si="0"/>
        <v>21.257821983019568</v>
      </c>
    </row>
    <row r="6" spans="2:20" x14ac:dyDescent="0.25">
      <c r="B6" s="54" t="s">
        <v>154</v>
      </c>
      <c r="C6" s="227" t="str">
        <f>VAC_Optim_Scenario!B18</f>
        <v>HCP MCM</v>
      </c>
      <c r="D6" s="228">
        <f>VAC_Optim_Scenario!$H37</f>
        <v>27999999.999999996</v>
      </c>
      <c r="E6" s="229">
        <f>VAC_Optim_Scenario!$J37</f>
        <v>123284278.49031536</v>
      </c>
      <c r="F6" s="228">
        <v>5980821.2879999997</v>
      </c>
      <c r="G6" s="229">
        <v>43271084.653430037</v>
      </c>
      <c r="H6" s="228">
        <v>5980821.2879999997</v>
      </c>
      <c r="I6" s="229">
        <v>173084338.61372015</v>
      </c>
      <c r="J6" s="224"/>
      <c r="K6" s="54" t="s">
        <v>154</v>
      </c>
      <c r="L6" s="54" t="str">
        <f>VAC_Optim_Scenario!B18</f>
        <v>HCP MCM</v>
      </c>
      <c r="M6" s="230">
        <f t="shared" ref="M6:M13" si="1">D6/1000000</f>
        <v>27.999999999999996</v>
      </c>
      <c r="N6" s="231">
        <f t="shared" ref="N6:N13" si="2">E6/1000000</f>
        <v>123.28427849031536</v>
      </c>
      <c r="O6" s="230">
        <f t="shared" ref="O6:O13" si="3">F6/1000000</f>
        <v>5.9808212879999996</v>
      </c>
      <c r="P6" s="231">
        <f t="shared" ref="P6:P13" si="4">G6/1000000</f>
        <v>43.271084653430037</v>
      </c>
      <c r="Q6" s="230">
        <f t="shared" ref="Q6:Q13" si="5">H6/1000000</f>
        <v>5.9808212879999996</v>
      </c>
      <c r="R6" s="231">
        <f t="shared" ref="R6:R13" si="6">I6/1000000</f>
        <v>173.08433861372015</v>
      </c>
    </row>
    <row r="7" spans="2:20" x14ac:dyDescent="0.25">
      <c r="B7" s="54" t="s">
        <v>154</v>
      </c>
      <c r="C7" s="227" t="str">
        <f>VAC_Optim_Scenario!B19</f>
        <v>HCC Social</v>
      </c>
      <c r="D7" s="228">
        <f>VAC_Optim_Scenario!$H38</f>
        <v>8925323.295826504</v>
      </c>
      <c r="E7" s="229">
        <f>VAC_Optim_Scenario!$J38</f>
        <v>14300292.66397658</v>
      </c>
      <c r="F7" s="228">
        <v>2368423.2000000002</v>
      </c>
      <c r="G7" s="229">
        <v>10014038.796038335</v>
      </c>
      <c r="H7" s="228">
        <v>2368423.2000000002</v>
      </c>
      <c r="I7" s="229">
        <v>40056155.184153341</v>
      </c>
      <c r="J7" s="232"/>
      <c r="K7" s="54" t="s">
        <v>154</v>
      </c>
      <c r="L7" s="54" t="str">
        <f>VAC_Optim_Scenario!B19</f>
        <v>HCC Social</v>
      </c>
      <c r="M7" s="230">
        <f t="shared" si="1"/>
        <v>8.9253232958265034</v>
      </c>
      <c r="N7" s="231">
        <f t="shared" si="2"/>
        <v>14.300292663976579</v>
      </c>
      <c r="O7" s="230">
        <f t="shared" si="3"/>
        <v>2.3684232000000001</v>
      </c>
      <c r="P7" s="231">
        <f t="shared" si="4"/>
        <v>10.014038796038335</v>
      </c>
      <c r="Q7" s="230">
        <f t="shared" si="5"/>
        <v>2.3684232000000001</v>
      </c>
      <c r="R7" s="231">
        <f t="shared" si="6"/>
        <v>40.05615518415334</v>
      </c>
    </row>
    <row r="8" spans="2:20" x14ac:dyDescent="0.25">
      <c r="B8" s="54" t="s">
        <v>154</v>
      </c>
      <c r="C8" s="227" t="str">
        <f>VAC_Optim_Scenario!B20</f>
        <v>HCC Online Video</v>
      </c>
      <c r="D8" s="228">
        <f>VAC_Optim_Scenario!$H39</f>
        <v>2964315.5405303156</v>
      </c>
      <c r="E8" s="229">
        <f>VAC_Optim_Scenario!$J39</f>
        <v>8247651.1848041052</v>
      </c>
      <c r="F8" s="228">
        <v>468720.00002084277</v>
      </c>
      <c r="G8" s="229">
        <v>434197.29403638421</v>
      </c>
      <c r="H8" s="228">
        <v>870480</v>
      </c>
      <c r="I8" s="229">
        <v>3181635.2333120089</v>
      </c>
      <c r="J8" s="224"/>
      <c r="K8" s="54" t="s">
        <v>154</v>
      </c>
      <c r="L8" s="54" t="str">
        <f>VAC_Optim_Scenario!B20</f>
        <v>HCC Online Video</v>
      </c>
      <c r="M8" s="230">
        <f t="shared" si="1"/>
        <v>2.9643155405303157</v>
      </c>
      <c r="N8" s="231">
        <f t="shared" si="2"/>
        <v>8.2476511848041056</v>
      </c>
      <c r="O8" s="230">
        <f t="shared" si="3"/>
        <v>0.46872000002084274</v>
      </c>
      <c r="P8" s="231">
        <f t="shared" si="4"/>
        <v>0.43419729403638418</v>
      </c>
      <c r="Q8" s="230">
        <f t="shared" si="5"/>
        <v>0.87048000000000003</v>
      </c>
      <c r="R8" s="231">
        <f t="shared" si="6"/>
        <v>3.1816352333120088</v>
      </c>
    </row>
    <row r="9" spans="2:20" x14ac:dyDescent="0.25">
      <c r="B9" s="54" t="s">
        <v>154</v>
      </c>
      <c r="C9" s="227" t="str">
        <f>VAC_Optim_Scenario!B21</f>
        <v>HCC Streaming Video</v>
      </c>
      <c r="D9" s="228">
        <f>VAC_Optim_Scenario!$H40</f>
        <v>27189753.440885648</v>
      </c>
      <c r="E9" s="229">
        <f>VAC_Optim_Scenario!$J40</f>
        <v>37340378.271964729</v>
      </c>
      <c r="F9" s="228">
        <v>5499757.2028695699</v>
      </c>
      <c r="G9" s="229">
        <v>7382876.6944708871</v>
      </c>
      <c r="H9" s="228">
        <v>10213834.800000001</v>
      </c>
      <c r="I9" s="229">
        <v>42814688.994375341</v>
      </c>
      <c r="J9" s="232"/>
      <c r="K9" s="54" t="s">
        <v>154</v>
      </c>
      <c r="L9" s="54" t="str">
        <f>VAC_Optim_Scenario!B21</f>
        <v>HCC Streaming Video</v>
      </c>
      <c r="M9" s="230">
        <f t="shared" si="1"/>
        <v>27.189753440885649</v>
      </c>
      <c r="N9" s="231">
        <f t="shared" si="2"/>
        <v>37.340378271964731</v>
      </c>
      <c r="O9" s="230">
        <f t="shared" si="3"/>
        <v>5.4997572028695698</v>
      </c>
      <c r="P9" s="231">
        <f t="shared" si="4"/>
        <v>7.3828766944708875</v>
      </c>
      <c r="Q9" s="230">
        <f t="shared" si="5"/>
        <v>10.213834800000001</v>
      </c>
      <c r="R9" s="231">
        <f t="shared" si="6"/>
        <v>42.814688994375338</v>
      </c>
    </row>
    <row r="10" spans="2:20" x14ac:dyDescent="0.25">
      <c r="B10" s="54" t="s">
        <v>154</v>
      </c>
      <c r="C10" s="227" t="str">
        <f>VAC_Optim_Scenario!B22</f>
        <v>HCC Display</v>
      </c>
      <c r="D10" s="228">
        <f>VAC_Optim_Scenario!$H41</f>
        <v>10000000</v>
      </c>
      <c r="E10" s="229">
        <f>VAC_Optim_Scenario!$J41</f>
        <v>36425932.046151049</v>
      </c>
      <c r="F10" s="228">
        <v>2247758.2947281389</v>
      </c>
      <c r="G10" s="229">
        <v>8494262.302786056</v>
      </c>
      <c r="H10" s="228">
        <v>2714286.9</v>
      </c>
      <c r="I10" s="229">
        <v>37336940.701959558</v>
      </c>
      <c r="J10" s="232"/>
      <c r="K10" s="54" t="s">
        <v>154</v>
      </c>
      <c r="L10" s="54" t="str">
        <f>VAC_Optim_Scenario!B22</f>
        <v>HCC Display</v>
      </c>
      <c r="M10" s="230">
        <f t="shared" si="1"/>
        <v>10</v>
      </c>
      <c r="N10" s="231">
        <f t="shared" si="2"/>
        <v>36.425932046151047</v>
      </c>
      <c r="O10" s="230">
        <f t="shared" si="3"/>
        <v>2.2477582947281389</v>
      </c>
      <c r="P10" s="231">
        <f t="shared" si="4"/>
        <v>8.4942623027860567</v>
      </c>
      <c r="Q10" s="230">
        <f t="shared" si="5"/>
        <v>2.7142868999999998</v>
      </c>
      <c r="R10" s="231">
        <f t="shared" si="6"/>
        <v>37.336940701959556</v>
      </c>
    </row>
    <row r="11" spans="2:20" x14ac:dyDescent="0.25">
      <c r="B11" s="54" t="s">
        <v>154</v>
      </c>
      <c r="C11" s="227" t="str">
        <f>VAC_Optim_Scenario!B23</f>
        <v>HCC Paid Search</v>
      </c>
      <c r="D11" s="228">
        <f>VAC_Optim_Scenario!$H42</f>
        <v>240000</v>
      </c>
      <c r="E11" s="229">
        <f>VAC_Optim_Scenario!$J42</f>
        <v>20415453.17978172</v>
      </c>
      <c r="F11" s="228">
        <v>1503022.5591430741</v>
      </c>
      <c r="G11" s="229">
        <v>5708578.4926482635</v>
      </c>
      <c r="H11" s="228">
        <v>1791576.8</v>
      </c>
      <c r="I11" s="229">
        <v>24930037.611909606</v>
      </c>
      <c r="J11" s="224"/>
      <c r="K11" s="54" t="s">
        <v>154</v>
      </c>
      <c r="L11" s="54" t="str">
        <f>VAC_Optim_Scenario!B23</f>
        <v>HCC Paid Search</v>
      </c>
      <c r="M11" s="230">
        <f t="shared" si="1"/>
        <v>0.24</v>
      </c>
      <c r="N11" s="231">
        <f t="shared" si="2"/>
        <v>20.415453179781721</v>
      </c>
      <c r="O11" s="230">
        <f t="shared" si="3"/>
        <v>1.5030225591430741</v>
      </c>
      <c r="P11" s="231">
        <f t="shared" si="4"/>
        <v>5.7085784926482637</v>
      </c>
      <c r="Q11" s="230">
        <f t="shared" si="5"/>
        <v>1.7915768000000001</v>
      </c>
      <c r="R11" s="231">
        <f t="shared" si="6"/>
        <v>24.930037611909604</v>
      </c>
    </row>
    <row r="12" spans="2:20" x14ac:dyDescent="0.25">
      <c r="B12" s="54" t="s">
        <v>154</v>
      </c>
      <c r="C12" s="227" t="e">
        <f>VAC_Optim_Scenario!#REF!</f>
        <v>#REF!</v>
      </c>
      <c r="D12" s="228" t="e">
        <f>VAC_Optim_Scenario!#REF!</f>
        <v>#REF!</v>
      </c>
      <c r="E12" s="229" t="e">
        <f>VAC_Optim_Scenario!#REF!</f>
        <v>#REF!</v>
      </c>
      <c r="F12" s="228">
        <v>855611.9</v>
      </c>
      <c r="G12" s="229">
        <v>4509891.717737359</v>
      </c>
      <c r="H12" s="228">
        <v>855611.9</v>
      </c>
      <c r="I12" s="229">
        <v>18039566.870949436</v>
      </c>
      <c r="J12" s="224"/>
      <c r="K12" s="54" t="s">
        <v>154</v>
      </c>
      <c r="L12" s="54" t="e">
        <f>VAC_Optim_Scenario!#REF!</f>
        <v>#REF!</v>
      </c>
      <c r="M12" s="230" t="e">
        <f t="shared" si="1"/>
        <v>#REF!</v>
      </c>
      <c r="N12" s="231" t="e">
        <f t="shared" si="2"/>
        <v>#REF!</v>
      </c>
      <c r="O12" s="230">
        <f t="shared" si="3"/>
        <v>0.85561189999999998</v>
      </c>
      <c r="P12" s="231">
        <f t="shared" si="4"/>
        <v>4.509891717737359</v>
      </c>
      <c r="Q12" s="230">
        <f t="shared" si="5"/>
        <v>0.85561189999999998</v>
      </c>
      <c r="R12" s="231">
        <f t="shared" si="6"/>
        <v>18.039566870949436</v>
      </c>
    </row>
    <row r="13" spans="2:20" x14ac:dyDescent="0.25">
      <c r="B13" s="241" t="s">
        <v>154</v>
      </c>
      <c r="C13" s="212" t="str">
        <f>VAC_Optim_Scenario!B24</f>
        <v>HCC Linear TV</v>
      </c>
      <c r="D13" s="242">
        <f>VAC_Optim_Scenario!$H43</f>
        <v>32753689.22929937</v>
      </c>
      <c r="E13" s="242">
        <f>VAC_Optim_Scenario!$J43</f>
        <v>44981431.242851108</v>
      </c>
      <c r="F13" s="242">
        <v>15717664.872</v>
      </c>
      <c r="G13" s="242">
        <v>44549150.696473777</v>
      </c>
      <c r="H13" s="242">
        <v>21525379.182791278</v>
      </c>
      <c r="I13" s="242">
        <v>202080559.00711048</v>
      </c>
      <c r="J13" s="224"/>
      <c r="K13" s="241" t="s">
        <v>154</v>
      </c>
      <c r="L13" s="241" t="str">
        <f>VAC_Optim_Scenario!B24</f>
        <v>HCC Linear TV</v>
      </c>
      <c r="M13" s="235">
        <f t="shared" si="1"/>
        <v>32.753689229299368</v>
      </c>
      <c r="N13" s="235">
        <f t="shared" si="2"/>
        <v>44.981431242851109</v>
      </c>
      <c r="O13" s="235">
        <f t="shared" si="3"/>
        <v>15.717664872</v>
      </c>
      <c r="P13" s="235">
        <f t="shared" si="4"/>
        <v>44.549150696473774</v>
      </c>
      <c r="Q13" s="235">
        <f t="shared" si="5"/>
        <v>21.525379182791276</v>
      </c>
      <c r="R13" s="235">
        <f t="shared" si="6"/>
        <v>202.08055900711048</v>
      </c>
    </row>
    <row r="14" spans="2:20" x14ac:dyDescent="0.25">
      <c r="T14" s="282"/>
    </row>
    <row r="15" spans="2:20" x14ac:dyDescent="0.25">
      <c r="C15" s="218" t="s">
        <v>218</v>
      </c>
    </row>
    <row r="17" spans="2:19" ht="38.1" customHeight="1" x14ac:dyDescent="0.25">
      <c r="C17" s="365" t="s">
        <v>3</v>
      </c>
      <c r="D17" s="366" t="s">
        <v>213</v>
      </c>
      <c r="E17" s="367"/>
      <c r="F17" s="366" t="s">
        <v>219</v>
      </c>
      <c r="G17" s="367"/>
      <c r="H17" s="366" t="s">
        <v>220</v>
      </c>
      <c r="I17" s="367"/>
      <c r="L17" s="365" t="s">
        <v>3</v>
      </c>
      <c r="M17" s="366" t="s">
        <v>213</v>
      </c>
      <c r="N17" s="367"/>
      <c r="O17" s="366" t="s">
        <v>219</v>
      </c>
      <c r="P17" s="367"/>
      <c r="Q17" s="366" t="s">
        <v>220</v>
      </c>
      <c r="R17" s="367"/>
    </row>
    <row r="18" spans="2:19" ht="25.5" x14ac:dyDescent="0.25">
      <c r="C18" s="364"/>
      <c r="D18" s="55" t="s">
        <v>216</v>
      </c>
      <c r="E18" s="55" t="s">
        <v>217</v>
      </c>
      <c r="F18" s="55" t="s">
        <v>216</v>
      </c>
      <c r="G18" s="55" t="s">
        <v>217</v>
      </c>
      <c r="H18" s="55" t="s">
        <v>216</v>
      </c>
      <c r="I18" s="55" t="s">
        <v>217</v>
      </c>
      <c r="L18" s="364"/>
      <c r="M18" s="55" t="s">
        <v>216</v>
      </c>
      <c r="N18" s="55" t="s">
        <v>217</v>
      </c>
      <c r="O18" s="55" t="s">
        <v>216</v>
      </c>
      <c r="P18" s="55" t="s">
        <v>217</v>
      </c>
      <c r="Q18" s="55" t="s">
        <v>216</v>
      </c>
      <c r="R18" s="55" t="s">
        <v>217</v>
      </c>
    </row>
    <row r="19" spans="2:19" x14ac:dyDescent="0.25">
      <c r="B19" s="53" t="s">
        <v>154</v>
      </c>
      <c r="C19" s="221" t="str">
        <f>VAC_Optim_Scenario!B17</f>
        <v>HCC InOffice</v>
      </c>
      <c r="D19" s="222">
        <f>VAC_Optim_Scenario!$H36</f>
        <v>1205648.4257292538</v>
      </c>
      <c r="E19" s="223">
        <f>VAC_Optim_Scenario!$J36</f>
        <v>1734437.3281754742</v>
      </c>
      <c r="F19" s="222">
        <f>VAC_Optim_Scenario!$H36</f>
        <v>1205648.4257292538</v>
      </c>
      <c r="G19" s="223">
        <f>VAC_Optim_Scenario!$J36</f>
        <v>1734437.3281754742</v>
      </c>
      <c r="H19" s="222">
        <f>VAC_Optim_Scenario!$H36</f>
        <v>1205648.4257292538</v>
      </c>
      <c r="I19" s="223">
        <f>VAC_Optim_Scenario!$J36</f>
        <v>1734437.3281754742</v>
      </c>
      <c r="J19" s="224"/>
      <c r="K19" s="53" t="s">
        <v>154</v>
      </c>
      <c r="L19" s="221" t="str">
        <f>VAC_Optim_Scenario!B17</f>
        <v>HCC InOffice</v>
      </c>
      <c r="M19" s="225">
        <f>D19/1000000</f>
        <v>1.2056484257292539</v>
      </c>
      <c r="N19" s="226">
        <f t="shared" ref="N19:R19" si="7">E19/1000000</f>
        <v>1.7344373281754741</v>
      </c>
      <c r="O19" s="225">
        <f t="shared" si="7"/>
        <v>1.2056484257292539</v>
      </c>
      <c r="P19" s="226">
        <f t="shared" si="7"/>
        <v>1.7344373281754741</v>
      </c>
      <c r="Q19" s="225">
        <f t="shared" si="7"/>
        <v>1.2056484257292539</v>
      </c>
      <c r="R19" s="226">
        <f t="shared" si="7"/>
        <v>1.7344373281754741</v>
      </c>
    </row>
    <row r="20" spans="2:19" x14ac:dyDescent="0.25">
      <c r="B20" s="54" t="s">
        <v>154</v>
      </c>
      <c r="C20" s="227" t="str">
        <f>VAC_Optim_Scenario!B18</f>
        <v>HCP MCM</v>
      </c>
      <c r="D20" s="228">
        <f>VAC_Optim_Scenario!$H37</f>
        <v>27999999.999999996</v>
      </c>
      <c r="E20" s="229">
        <f>VAC_Optim_Scenario!$J37</f>
        <v>123284278.49031536</v>
      </c>
      <c r="F20" s="228">
        <f>VAC_Optim_Scenario!$H37</f>
        <v>27999999.999999996</v>
      </c>
      <c r="G20" s="229">
        <f>VAC_Optim_Scenario!$J37</f>
        <v>123284278.49031536</v>
      </c>
      <c r="H20" s="228">
        <f>VAC_Optim_Scenario!$H37</f>
        <v>27999999.999999996</v>
      </c>
      <c r="I20" s="229">
        <f>VAC_Optim_Scenario!$J37</f>
        <v>123284278.49031536</v>
      </c>
      <c r="J20" s="224"/>
      <c r="K20" s="54" t="s">
        <v>154</v>
      </c>
      <c r="L20" s="227" t="str">
        <f>VAC_Optim_Scenario!B18</f>
        <v>HCP MCM</v>
      </c>
      <c r="M20" s="230">
        <f t="shared" ref="M20:M27" si="8">D20/1000000</f>
        <v>27.999999999999996</v>
      </c>
      <c r="N20" s="231">
        <f t="shared" ref="N20:N27" si="9">E20/1000000</f>
        <v>123.28427849031536</v>
      </c>
      <c r="O20" s="230">
        <f t="shared" ref="O20:O27" si="10">F20/1000000</f>
        <v>27.999999999999996</v>
      </c>
      <c r="P20" s="231">
        <f t="shared" ref="P20:P27" si="11">G20/1000000</f>
        <v>123.28427849031536</v>
      </c>
      <c r="Q20" s="230">
        <f t="shared" ref="Q20:Q27" si="12">H20/1000000</f>
        <v>27.999999999999996</v>
      </c>
      <c r="R20" s="231">
        <f t="shared" ref="R20:R27" si="13">I20/1000000</f>
        <v>123.28427849031536</v>
      </c>
    </row>
    <row r="21" spans="2:19" x14ac:dyDescent="0.25">
      <c r="B21" s="54" t="s">
        <v>154</v>
      </c>
      <c r="C21" s="227" t="str">
        <f>VAC_Optim_Scenario!B19</f>
        <v>HCC Social</v>
      </c>
      <c r="D21" s="228">
        <f>VAC_Optim_Scenario!$H38</f>
        <v>8925323.295826504</v>
      </c>
      <c r="E21" s="229">
        <f>VAC_Optim_Scenario!$J38</f>
        <v>14300292.66397658</v>
      </c>
      <c r="F21" s="228">
        <f>VAC_Optim_Scenario!$H38</f>
        <v>8925323.295826504</v>
      </c>
      <c r="G21" s="229">
        <f>VAC_Optim_Scenario!$J38</f>
        <v>14300292.66397658</v>
      </c>
      <c r="H21" s="228">
        <f>VAC_Optim_Scenario!$H38</f>
        <v>8925323.295826504</v>
      </c>
      <c r="I21" s="229">
        <f>VAC_Optim_Scenario!$J38</f>
        <v>14300292.66397658</v>
      </c>
      <c r="J21" s="232"/>
      <c r="K21" s="54" t="s">
        <v>154</v>
      </c>
      <c r="L21" s="227" t="str">
        <f>VAC_Optim_Scenario!B19</f>
        <v>HCC Social</v>
      </c>
      <c r="M21" s="230">
        <f t="shared" si="8"/>
        <v>8.9253232958265034</v>
      </c>
      <c r="N21" s="231">
        <f t="shared" si="9"/>
        <v>14.300292663976579</v>
      </c>
      <c r="O21" s="230">
        <f t="shared" si="10"/>
        <v>8.9253232958265034</v>
      </c>
      <c r="P21" s="231">
        <f t="shared" si="11"/>
        <v>14.300292663976579</v>
      </c>
      <c r="Q21" s="230">
        <f t="shared" si="12"/>
        <v>8.9253232958265034</v>
      </c>
      <c r="R21" s="231">
        <f t="shared" si="13"/>
        <v>14.300292663976579</v>
      </c>
    </row>
    <row r="22" spans="2:19" x14ac:dyDescent="0.25">
      <c r="B22" s="54" t="s">
        <v>154</v>
      </c>
      <c r="C22" s="227" t="str">
        <f>VAC_Optim_Scenario!B20</f>
        <v>HCC Online Video</v>
      </c>
      <c r="D22" s="228">
        <f>VAC_Optim_Scenario!$H39</f>
        <v>2964315.5405303156</v>
      </c>
      <c r="E22" s="229">
        <f>VAC_Optim_Scenario!$J39</f>
        <v>8247651.1848041052</v>
      </c>
      <c r="F22" s="228">
        <f>VAC_Optim_Scenario!$H39</f>
        <v>2964315.5405303156</v>
      </c>
      <c r="G22" s="229">
        <f>VAC_Optim_Scenario!$J39</f>
        <v>8247651.1848041052</v>
      </c>
      <c r="H22" s="228">
        <f>VAC_Optim_Scenario!$H39</f>
        <v>2964315.5405303156</v>
      </c>
      <c r="I22" s="229">
        <f>VAC_Optim_Scenario!$J39</f>
        <v>8247651.1848041052</v>
      </c>
      <c r="J22" s="224"/>
      <c r="K22" s="54" t="s">
        <v>154</v>
      </c>
      <c r="L22" s="227" t="str">
        <f>VAC_Optim_Scenario!B20</f>
        <v>HCC Online Video</v>
      </c>
      <c r="M22" s="230">
        <f t="shared" si="8"/>
        <v>2.9643155405303157</v>
      </c>
      <c r="N22" s="231">
        <f t="shared" si="9"/>
        <v>8.2476511848041056</v>
      </c>
      <c r="O22" s="230">
        <f t="shared" si="10"/>
        <v>2.9643155405303157</v>
      </c>
      <c r="P22" s="231">
        <f t="shared" si="11"/>
        <v>8.2476511848041056</v>
      </c>
      <c r="Q22" s="230">
        <f t="shared" si="12"/>
        <v>2.9643155405303157</v>
      </c>
      <c r="R22" s="231">
        <f t="shared" si="13"/>
        <v>8.2476511848041056</v>
      </c>
    </row>
    <row r="23" spans="2:19" x14ac:dyDescent="0.25">
      <c r="B23" s="54" t="s">
        <v>154</v>
      </c>
      <c r="C23" s="227" t="str">
        <f>VAC_Optim_Scenario!B21</f>
        <v>HCC Streaming Video</v>
      </c>
      <c r="D23" s="228">
        <f>VAC_Optim_Scenario!$H40</f>
        <v>27189753.440885648</v>
      </c>
      <c r="E23" s="229">
        <f>VAC_Optim_Scenario!$J40</f>
        <v>37340378.271964729</v>
      </c>
      <c r="F23" s="228">
        <f>VAC_Optim_Scenario!$H40</f>
        <v>27189753.440885648</v>
      </c>
      <c r="G23" s="229">
        <f>VAC_Optim_Scenario!$J40</f>
        <v>37340378.271964729</v>
      </c>
      <c r="H23" s="228">
        <f>VAC_Optim_Scenario!$H40</f>
        <v>27189753.440885648</v>
      </c>
      <c r="I23" s="229">
        <f>VAC_Optim_Scenario!$J40</f>
        <v>37340378.271964729</v>
      </c>
      <c r="J23" s="232"/>
      <c r="K23" s="54" t="s">
        <v>154</v>
      </c>
      <c r="L23" s="227" t="str">
        <f>VAC_Optim_Scenario!B21</f>
        <v>HCC Streaming Video</v>
      </c>
      <c r="M23" s="230">
        <f t="shared" si="8"/>
        <v>27.189753440885649</v>
      </c>
      <c r="N23" s="231">
        <f t="shared" si="9"/>
        <v>37.340378271964731</v>
      </c>
      <c r="O23" s="230">
        <f t="shared" si="10"/>
        <v>27.189753440885649</v>
      </c>
      <c r="P23" s="231">
        <f t="shared" si="11"/>
        <v>37.340378271964731</v>
      </c>
      <c r="Q23" s="230">
        <f t="shared" si="12"/>
        <v>27.189753440885649</v>
      </c>
      <c r="R23" s="231">
        <f t="shared" si="13"/>
        <v>37.340378271964731</v>
      </c>
    </row>
    <row r="24" spans="2:19" x14ac:dyDescent="0.25">
      <c r="B24" s="54" t="s">
        <v>154</v>
      </c>
      <c r="C24" s="227" t="str">
        <f>VAC_Optim_Scenario!B22</f>
        <v>HCC Display</v>
      </c>
      <c r="D24" s="228">
        <f>VAC_Optim_Scenario!$H41</f>
        <v>10000000</v>
      </c>
      <c r="E24" s="229">
        <f>VAC_Optim_Scenario!$J41</f>
        <v>36425932.046151049</v>
      </c>
      <c r="F24" s="228">
        <f>VAC_Optim_Scenario!$H41</f>
        <v>10000000</v>
      </c>
      <c r="G24" s="229">
        <f>VAC_Optim_Scenario!$J41</f>
        <v>36425932.046151049</v>
      </c>
      <c r="H24" s="228">
        <f>VAC_Optim_Scenario!$H41</f>
        <v>10000000</v>
      </c>
      <c r="I24" s="229">
        <f>VAC_Optim_Scenario!$J41</f>
        <v>36425932.046151049</v>
      </c>
      <c r="J24" s="232"/>
      <c r="K24" s="54" t="s">
        <v>154</v>
      </c>
      <c r="L24" s="227" t="str">
        <f>VAC_Optim_Scenario!B22</f>
        <v>HCC Display</v>
      </c>
      <c r="M24" s="230">
        <f t="shared" si="8"/>
        <v>10</v>
      </c>
      <c r="N24" s="231">
        <f t="shared" si="9"/>
        <v>36.425932046151047</v>
      </c>
      <c r="O24" s="230">
        <f t="shared" si="10"/>
        <v>10</v>
      </c>
      <c r="P24" s="231">
        <f t="shared" si="11"/>
        <v>36.425932046151047</v>
      </c>
      <c r="Q24" s="230">
        <f t="shared" si="12"/>
        <v>10</v>
      </c>
      <c r="R24" s="231">
        <f t="shared" si="13"/>
        <v>36.425932046151047</v>
      </c>
    </row>
    <row r="25" spans="2:19" x14ac:dyDescent="0.25">
      <c r="B25" s="54" t="s">
        <v>154</v>
      </c>
      <c r="C25" s="227" t="str">
        <f>VAC_Optim_Scenario!B23</f>
        <v>HCC Paid Search</v>
      </c>
      <c r="D25" s="228">
        <f>VAC_Optim_Scenario!$H42</f>
        <v>240000</v>
      </c>
      <c r="E25" s="229">
        <f>VAC_Optim_Scenario!$J42</f>
        <v>20415453.17978172</v>
      </c>
      <c r="F25" s="228">
        <f>VAC_Optim_Scenario!$H42</f>
        <v>240000</v>
      </c>
      <c r="G25" s="229">
        <f>VAC_Optim_Scenario!$J42</f>
        <v>20415453.17978172</v>
      </c>
      <c r="H25" s="228">
        <f>VAC_Optim_Scenario!$H42</f>
        <v>240000</v>
      </c>
      <c r="I25" s="229">
        <f>VAC_Optim_Scenario!$J42</f>
        <v>20415453.17978172</v>
      </c>
      <c r="J25" s="232"/>
      <c r="K25" s="54" t="s">
        <v>154</v>
      </c>
      <c r="L25" s="227" t="str">
        <f>VAC_Optim_Scenario!B23</f>
        <v>HCC Paid Search</v>
      </c>
      <c r="M25" s="230">
        <f t="shared" si="8"/>
        <v>0.24</v>
      </c>
      <c r="N25" s="231">
        <f t="shared" si="9"/>
        <v>20.415453179781721</v>
      </c>
      <c r="O25" s="230">
        <f t="shared" si="10"/>
        <v>0.24</v>
      </c>
      <c r="P25" s="231">
        <f t="shared" si="11"/>
        <v>20.415453179781721</v>
      </c>
      <c r="Q25" s="230">
        <f t="shared" si="12"/>
        <v>0.24</v>
      </c>
      <c r="R25" s="231">
        <f t="shared" si="13"/>
        <v>20.415453179781721</v>
      </c>
    </row>
    <row r="26" spans="2:19" x14ac:dyDescent="0.25">
      <c r="B26" s="54" t="s">
        <v>154</v>
      </c>
      <c r="C26" s="227" t="e">
        <f>VAC_Optim_Scenario!#REF!</f>
        <v>#REF!</v>
      </c>
      <c r="D26" s="228" t="e">
        <f>VAC_Optim_Scenario!#REF!</f>
        <v>#REF!</v>
      </c>
      <c r="E26" s="229" t="e">
        <f>VAC_Optim_Scenario!#REF!</f>
        <v>#REF!</v>
      </c>
      <c r="F26" s="228" t="e">
        <f>VAC_Optim_Scenario!#REF!</f>
        <v>#REF!</v>
      </c>
      <c r="G26" s="229" t="e">
        <f>VAC_Optim_Scenario!#REF!</f>
        <v>#REF!</v>
      </c>
      <c r="H26" s="228" t="e">
        <f>VAC_Optim_Scenario!#REF!</f>
        <v>#REF!</v>
      </c>
      <c r="I26" s="229" t="e">
        <f>VAC_Optim_Scenario!#REF!</f>
        <v>#REF!</v>
      </c>
      <c r="J26" s="232"/>
      <c r="K26" s="54" t="s">
        <v>154</v>
      </c>
      <c r="L26" s="227" t="e">
        <f>VAC_Optim_Scenario!#REF!</f>
        <v>#REF!</v>
      </c>
      <c r="M26" s="230" t="e">
        <f t="shared" si="8"/>
        <v>#REF!</v>
      </c>
      <c r="N26" s="231" t="e">
        <f t="shared" si="9"/>
        <v>#REF!</v>
      </c>
      <c r="O26" s="230" t="e">
        <f t="shared" si="10"/>
        <v>#REF!</v>
      </c>
      <c r="P26" s="231" t="e">
        <f t="shared" si="11"/>
        <v>#REF!</v>
      </c>
      <c r="Q26" s="230" t="e">
        <f t="shared" si="12"/>
        <v>#REF!</v>
      </c>
      <c r="R26" s="231" t="e">
        <f t="shared" si="13"/>
        <v>#REF!</v>
      </c>
    </row>
    <row r="27" spans="2:19" x14ac:dyDescent="0.25">
      <c r="B27" s="241" t="s">
        <v>154</v>
      </c>
      <c r="C27" s="212" t="str">
        <f>VAC_Optim_Scenario!B24</f>
        <v>HCC Linear TV</v>
      </c>
      <c r="D27" s="242">
        <f>VAC_Optim_Scenario!$H43</f>
        <v>32753689.22929937</v>
      </c>
      <c r="E27" s="242">
        <f>VAC_Optim_Scenario!$J43</f>
        <v>44981431.242851108</v>
      </c>
      <c r="F27" s="242">
        <f>VAC_Optim_Scenario!$H43</f>
        <v>32753689.22929937</v>
      </c>
      <c r="G27" s="242">
        <f>VAC_Optim_Scenario!$J43</f>
        <v>44981431.242851108</v>
      </c>
      <c r="H27" s="242">
        <f>VAC_Optim_Scenario!$H43</f>
        <v>32753689.22929937</v>
      </c>
      <c r="I27" s="242">
        <f>VAC_Optim_Scenario!$J43</f>
        <v>44981431.242851108</v>
      </c>
      <c r="J27" s="232"/>
      <c r="K27" s="241" t="s">
        <v>154</v>
      </c>
      <c r="L27" s="212" t="str">
        <f>VAC_Optim_Scenario!B24</f>
        <v>HCC Linear TV</v>
      </c>
      <c r="M27" s="235">
        <f t="shared" si="8"/>
        <v>32.753689229299368</v>
      </c>
      <c r="N27" s="235">
        <f t="shared" si="9"/>
        <v>44.981431242851109</v>
      </c>
      <c r="O27" s="235">
        <f t="shared" si="10"/>
        <v>32.753689229299368</v>
      </c>
      <c r="P27" s="235">
        <f t="shared" si="11"/>
        <v>44.981431242851109</v>
      </c>
      <c r="Q27" s="235">
        <f t="shared" si="12"/>
        <v>32.753689229299368</v>
      </c>
      <c r="R27" s="235">
        <f t="shared" si="13"/>
        <v>44.981431242851109</v>
      </c>
    </row>
    <row r="30" spans="2:19" ht="34.35" customHeight="1" x14ac:dyDescent="0.25">
      <c r="C30" s="142" t="s">
        <v>3</v>
      </c>
      <c r="D30" s="143" t="s">
        <v>221</v>
      </c>
      <c r="E30" s="233">
        <v>-0.5</v>
      </c>
      <c r="F30" s="233">
        <v>2</v>
      </c>
      <c r="G30" s="233">
        <v>-0.4</v>
      </c>
      <c r="H30" s="233">
        <v>0.4</v>
      </c>
      <c r="J30" s="99" t="s">
        <v>3</v>
      </c>
      <c r="K30" s="99" t="s">
        <v>229</v>
      </c>
      <c r="L30" s="99" t="s">
        <v>207</v>
      </c>
      <c r="M30" s="99" t="s">
        <v>208</v>
      </c>
      <c r="N30" s="99" t="s">
        <v>224</v>
      </c>
      <c r="O30" s="99" t="s">
        <v>226</v>
      </c>
      <c r="P30" s="99" t="s">
        <v>209</v>
      </c>
      <c r="Q30" s="99" t="s">
        <v>210</v>
      </c>
      <c r="R30" s="99" t="s">
        <v>177</v>
      </c>
      <c r="S30" s="99" t="s">
        <v>176</v>
      </c>
    </row>
    <row r="31" spans="2:19" x14ac:dyDescent="0.25">
      <c r="B31" s="53" t="s">
        <v>154</v>
      </c>
      <c r="C31" s="283" t="str">
        <f>VAC_Optim_Scenario!B17</f>
        <v>HCC InOffice</v>
      </c>
      <c r="D31" s="225">
        <f>M19</f>
        <v>1.2056484257292539</v>
      </c>
      <c r="E31" s="225">
        <f>O5</f>
        <v>2.3045999176017213</v>
      </c>
      <c r="F31" s="225">
        <f>Q5</f>
        <v>2.34</v>
      </c>
      <c r="G31" s="225">
        <f>O19</f>
        <v>1.2056484257292539</v>
      </c>
      <c r="H31" s="225">
        <f>Q19</f>
        <v>1.2056484257292539</v>
      </c>
      <c r="J31" s="234">
        <v>-0.5</v>
      </c>
      <c r="K31" s="235">
        <f>E$31</f>
        <v>2.3045999176017213</v>
      </c>
      <c r="L31" s="235">
        <f>E$32</f>
        <v>5.9808212879999996</v>
      </c>
      <c r="M31" s="235">
        <f>E$33</f>
        <v>2.3684232000000001</v>
      </c>
      <c r="N31" s="235">
        <f>E$34</f>
        <v>0.46872000002084274</v>
      </c>
      <c r="O31" s="235">
        <f>E$35</f>
        <v>5.4997572028695698</v>
      </c>
      <c r="P31" s="235">
        <f>E$36</f>
        <v>2.2477582947281389</v>
      </c>
      <c r="Q31" s="235">
        <f>E$37</f>
        <v>1.5030225591430741</v>
      </c>
      <c r="R31" s="235">
        <f>E$38</f>
        <v>0.85561189999999998</v>
      </c>
      <c r="S31" s="235">
        <f>E$39</f>
        <v>15.717664872</v>
      </c>
    </row>
    <row r="32" spans="2:19" x14ac:dyDescent="0.25">
      <c r="B32" s="54" t="s">
        <v>154</v>
      </c>
      <c r="C32" s="284" t="str">
        <f>VAC_Optim_Scenario!B18</f>
        <v>HCP MCM</v>
      </c>
      <c r="D32" s="230">
        <f t="shared" ref="D32:D39" si="14">M20</f>
        <v>27.999999999999996</v>
      </c>
      <c r="E32" s="230">
        <f t="shared" ref="E32:E39" si="15">O6</f>
        <v>5.9808212879999996</v>
      </c>
      <c r="F32" s="230">
        <f t="shared" ref="F32:F39" si="16">Q6</f>
        <v>5.9808212879999996</v>
      </c>
      <c r="G32" s="230">
        <f t="shared" ref="G32:G39" si="17">O20</f>
        <v>27.999999999999996</v>
      </c>
      <c r="H32" s="230">
        <f t="shared" ref="H32:H39" si="18">Q20</f>
        <v>27.999999999999996</v>
      </c>
      <c r="J32" s="234">
        <v>-0.4</v>
      </c>
      <c r="K32" s="235">
        <f>G$31</f>
        <v>1.2056484257292539</v>
      </c>
      <c r="L32" s="235">
        <f>G$32</f>
        <v>27.999999999999996</v>
      </c>
      <c r="M32" s="235">
        <f>G$33</f>
        <v>8.9253232958265034</v>
      </c>
      <c r="N32" s="235">
        <f>G$34</f>
        <v>2.9643155405303157</v>
      </c>
      <c r="O32" s="235">
        <f>G$35</f>
        <v>27.189753440885649</v>
      </c>
      <c r="P32" s="235">
        <f>G$36</f>
        <v>10</v>
      </c>
      <c r="Q32" s="235">
        <f>G$37</f>
        <v>0.24</v>
      </c>
      <c r="R32" s="235" t="e">
        <f>G$38</f>
        <v>#REF!</v>
      </c>
      <c r="S32" s="235">
        <f>G$39</f>
        <v>32.753689229299368</v>
      </c>
    </row>
    <row r="33" spans="2:22" x14ac:dyDescent="0.25">
      <c r="B33" s="54" t="s">
        <v>154</v>
      </c>
      <c r="C33" s="284" t="str">
        <f>VAC_Optim_Scenario!B19</f>
        <v>HCC Social</v>
      </c>
      <c r="D33" s="230">
        <f t="shared" si="14"/>
        <v>8.9253232958265034</v>
      </c>
      <c r="E33" s="230">
        <f t="shared" si="15"/>
        <v>2.3684232000000001</v>
      </c>
      <c r="F33" s="230">
        <f t="shared" si="16"/>
        <v>2.3684232000000001</v>
      </c>
      <c r="G33" s="230">
        <f t="shared" si="17"/>
        <v>8.9253232958265034</v>
      </c>
      <c r="H33" s="230">
        <f t="shared" si="18"/>
        <v>8.9253232958265034</v>
      </c>
      <c r="J33" s="234" t="s">
        <v>221</v>
      </c>
      <c r="K33" s="235">
        <f>D$31</f>
        <v>1.2056484257292539</v>
      </c>
      <c r="L33" s="235">
        <f>D$32</f>
        <v>27.999999999999996</v>
      </c>
      <c r="M33" s="235">
        <f>D$33</f>
        <v>8.9253232958265034</v>
      </c>
      <c r="N33" s="235">
        <f>D$34</f>
        <v>2.9643155405303157</v>
      </c>
      <c r="O33" s="235">
        <f>D$35</f>
        <v>27.189753440885649</v>
      </c>
      <c r="P33" s="235">
        <f>D$36</f>
        <v>10</v>
      </c>
      <c r="Q33" s="235">
        <f>D$37</f>
        <v>0.24</v>
      </c>
      <c r="R33" s="235" t="e">
        <f>D$38</f>
        <v>#REF!</v>
      </c>
      <c r="S33" s="235">
        <f>D$39</f>
        <v>32.753689229299368</v>
      </c>
    </row>
    <row r="34" spans="2:22" x14ac:dyDescent="0.25">
      <c r="B34" s="54" t="s">
        <v>154</v>
      </c>
      <c r="C34" s="284" t="str">
        <f>VAC_Optim_Scenario!B20</f>
        <v>HCC Online Video</v>
      </c>
      <c r="D34" s="230">
        <f t="shared" si="14"/>
        <v>2.9643155405303157</v>
      </c>
      <c r="E34" s="230">
        <f t="shared" si="15"/>
        <v>0.46872000002084274</v>
      </c>
      <c r="F34" s="230">
        <f t="shared" si="16"/>
        <v>0.87048000000000003</v>
      </c>
      <c r="G34" s="230">
        <f t="shared" si="17"/>
        <v>2.9643155405303157</v>
      </c>
      <c r="H34" s="230">
        <f t="shared" si="18"/>
        <v>2.9643155405303157</v>
      </c>
      <c r="J34" s="234">
        <v>0.4</v>
      </c>
      <c r="K34" s="235">
        <f>H$31</f>
        <v>1.2056484257292539</v>
      </c>
      <c r="L34" s="235">
        <f>H$32</f>
        <v>27.999999999999996</v>
      </c>
      <c r="M34" s="235">
        <f>H$33</f>
        <v>8.9253232958265034</v>
      </c>
      <c r="N34" s="235">
        <f>H$34</f>
        <v>2.9643155405303157</v>
      </c>
      <c r="O34" s="235">
        <f>H$35</f>
        <v>27.189753440885649</v>
      </c>
      <c r="P34" s="235">
        <f>H$36</f>
        <v>10</v>
      </c>
      <c r="Q34" s="235">
        <f>H$37</f>
        <v>0.24</v>
      </c>
      <c r="R34" s="235" t="e">
        <f>H$38</f>
        <v>#REF!</v>
      </c>
      <c r="S34" s="235">
        <f>H$39</f>
        <v>32.753689229299368</v>
      </c>
    </row>
    <row r="35" spans="2:22" x14ac:dyDescent="0.25">
      <c r="B35" s="54" t="s">
        <v>154</v>
      </c>
      <c r="C35" s="284" t="str">
        <f>VAC_Optim_Scenario!B21</f>
        <v>HCC Streaming Video</v>
      </c>
      <c r="D35" s="230">
        <f t="shared" si="14"/>
        <v>27.189753440885649</v>
      </c>
      <c r="E35" s="230">
        <f t="shared" si="15"/>
        <v>5.4997572028695698</v>
      </c>
      <c r="F35" s="230">
        <f t="shared" si="16"/>
        <v>10.213834800000001</v>
      </c>
      <c r="G35" s="230">
        <f t="shared" si="17"/>
        <v>27.189753440885649</v>
      </c>
      <c r="H35" s="230">
        <f t="shared" si="18"/>
        <v>27.189753440885649</v>
      </c>
      <c r="J35" s="233">
        <v>2</v>
      </c>
      <c r="K35" s="235">
        <f>F$31</f>
        <v>2.34</v>
      </c>
      <c r="L35" s="235">
        <f>F$32</f>
        <v>5.9808212879999996</v>
      </c>
      <c r="M35" s="235">
        <f>F$33</f>
        <v>2.3684232000000001</v>
      </c>
      <c r="N35" s="235">
        <f>F$34</f>
        <v>0.87048000000000003</v>
      </c>
      <c r="O35" s="235">
        <f>F$35</f>
        <v>10.213834800000001</v>
      </c>
      <c r="P35" s="235">
        <f>F$36</f>
        <v>2.7142868999999998</v>
      </c>
      <c r="Q35" s="235">
        <f>F$37</f>
        <v>1.7915768000000001</v>
      </c>
      <c r="R35" s="235">
        <f>F$38</f>
        <v>0.85561189999999998</v>
      </c>
      <c r="S35" s="235">
        <f>F$39</f>
        <v>21.525379182791276</v>
      </c>
    </row>
    <row r="36" spans="2:22" x14ac:dyDescent="0.25">
      <c r="B36" s="54" t="s">
        <v>154</v>
      </c>
      <c r="C36" s="284" t="str">
        <f>VAC_Optim_Scenario!B22</f>
        <v>HCC Display</v>
      </c>
      <c r="D36" s="230">
        <f t="shared" si="14"/>
        <v>10</v>
      </c>
      <c r="E36" s="230">
        <f t="shared" si="15"/>
        <v>2.2477582947281389</v>
      </c>
      <c r="F36" s="230">
        <f t="shared" si="16"/>
        <v>2.7142868999999998</v>
      </c>
      <c r="G36" s="230">
        <f t="shared" si="17"/>
        <v>10</v>
      </c>
      <c r="H36" s="230">
        <f t="shared" si="18"/>
        <v>10</v>
      </c>
    </row>
    <row r="37" spans="2:22" x14ac:dyDescent="0.25">
      <c r="B37" s="54" t="s">
        <v>154</v>
      </c>
      <c r="C37" s="284" t="str">
        <f>VAC_Optim_Scenario!B23</f>
        <v>HCC Paid Search</v>
      </c>
      <c r="D37" s="230">
        <f t="shared" si="14"/>
        <v>0.24</v>
      </c>
      <c r="E37" s="230">
        <f t="shared" si="15"/>
        <v>1.5030225591430741</v>
      </c>
      <c r="F37" s="230">
        <f t="shared" si="16"/>
        <v>1.7915768000000001</v>
      </c>
      <c r="G37" s="230">
        <f t="shared" si="17"/>
        <v>0.24</v>
      </c>
      <c r="H37" s="230">
        <f t="shared" si="18"/>
        <v>0.24</v>
      </c>
      <c r="J37" s="251"/>
      <c r="K37" s="236"/>
      <c r="L37" s="236"/>
      <c r="M37" s="236"/>
      <c r="N37" s="236"/>
      <c r="O37" s="236"/>
      <c r="P37" s="236"/>
      <c r="Q37" s="236"/>
      <c r="R37" s="236"/>
    </row>
    <row r="38" spans="2:22" x14ac:dyDescent="0.25">
      <c r="B38" s="54" t="s">
        <v>154</v>
      </c>
      <c r="C38" s="284" t="e">
        <f>VAC_Optim_Scenario!#REF!</f>
        <v>#REF!</v>
      </c>
      <c r="D38" s="230" t="e">
        <f t="shared" si="14"/>
        <v>#REF!</v>
      </c>
      <c r="E38" s="230">
        <f t="shared" si="15"/>
        <v>0.85561189999999998</v>
      </c>
      <c r="F38" s="230">
        <f t="shared" si="16"/>
        <v>0.85561189999999998</v>
      </c>
      <c r="G38" s="230" t="e">
        <f t="shared" si="17"/>
        <v>#REF!</v>
      </c>
      <c r="H38" s="230" t="e">
        <f t="shared" si="18"/>
        <v>#REF!</v>
      </c>
      <c r="J38" s="252"/>
      <c r="K38" s="237"/>
      <c r="L38" s="237"/>
      <c r="M38" s="237"/>
      <c r="N38" s="237"/>
      <c r="O38" s="237"/>
      <c r="P38" s="237"/>
      <c r="Q38" s="237"/>
      <c r="R38" s="237"/>
    </row>
    <row r="39" spans="2:22" x14ac:dyDescent="0.25">
      <c r="B39" s="99" t="s">
        <v>154</v>
      </c>
      <c r="C39" s="285" t="str">
        <f>VAC_Optim_Scenario!B24</f>
        <v>HCC Linear TV</v>
      </c>
      <c r="D39" s="230">
        <f t="shared" si="14"/>
        <v>32.753689229299368</v>
      </c>
      <c r="E39" s="230">
        <f t="shared" si="15"/>
        <v>15.717664872</v>
      </c>
      <c r="F39" s="230">
        <f t="shared" si="16"/>
        <v>21.525379182791276</v>
      </c>
      <c r="G39" s="230">
        <f t="shared" si="17"/>
        <v>32.753689229299368</v>
      </c>
      <c r="H39" s="230">
        <f t="shared" si="18"/>
        <v>32.753689229299368</v>
      </c>
      <c r="J39" s="251"/>
      <c r="K39" s="236"/>
      <c r="L39" s="236"/>
      <c r="M39" s="236"/>
      <c r="N39" s="236"/>
      <c r="O39" s="236"/>
      <c r="P39" s="236"/>
      <c r="Q39" s="236"/>
      <c r="R39" s="236"/>
    </row>
    <row r="40" spans="2:22" x14ac:dyDescent="0.25">
      <c r="L40" s="167"/>
      <c r="M40" s="167"/>
      <c r="O40" s="167"/>
      <c r="P40" s="167"/>
    </row>
    <row r="41" spans="2:22" x14ac:dyDescent="0.25">
      <c r="L41" s="235"/>
      <c r="M41" s="235"/>
      <c r="N41" s="235"/>
      <c r="O41" s="235"/>
      <c r="P41" s="235"/>
    </row>
    <row r="42" spans="2:22" x14ac:dyDescent="0.25">
      <c r="L42" s="235"/>
      <c r="M42" s="235"/>
      <c r="N42" s="235"/>
      <c r="O42" s="235"/>
      <c r="P42" s="235"/>
    </row>
    <row r="43" spans="2:22" x14ac:dyDescent="0.25">
      <c r="L43" s="235"/>
      <c r="M43" s="235"/>
      <c r="N43" s="235"/>
      <c r="O43" s="235"/>
      <c r="P43" s="235"/>
    </row>
    <row r="44" spans="2:22" x14ac:dyDescent="0.25">
      <c r="L44" s="235"/>
      <c r="M44" s="235"/>
      <c r="N44" s="235"/>
      <c r="O44" s="235"/>
      <c r="P44" s="235"/>
      <c r="S44" s="238"/>
      <c r="T44" s="238"/>
      <c r="V44" s="238"/>
    </row>
    <row r="45" spans="2:22" x14ac:dyDescent="0.25">
      <c r="L45" s="235"/>
      <c r="M45" s="235"/>
      <c r="N45" s="235"/>
      <c r="O45" s="235"/>
      <c r="P45" s="239"/>
      <c r="S45" s="240"/>
      <c r="T45" s="240"/>
      <c r="U45" s="240"/>
      <c r="V45" s="240"/>
    </row>
    <row r="46" spans="2:22" x14ac:dyDescent="0.25">
      <c r="L46" s="235"/>
      <c r="M46" s="235"/>
      <c r="N46" s="235"/>
      <c r="O46" s="235"/>
      <c r="P46" s="235"/>
      <c r="S46" s="240"/>
      <c r="T46" s="240"/>
      <c r="U46" s="240"/>
      <c r="V46" s="240"/>
    </row>
    <row r="47" spans="2:22" x14ac:dyDescent="0.25">
      <c r="L47" s="235"/>
      <c r="M47" s="235"/>
      <c r="N47" s="235"/>
      <c r="O47" s="235"/>
      <c r="P47" s="235"/>
    </row>
    <row r="48" spans="2:22" x14ac:dyDescent="0.25">
      <c r="L48" s="235"/>
      <c r="M48" s="235"/>
      <c r="N48" s="235"/>
      <c r="O48" s="235"/>
      <c r="P48" s="235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pageSetUpPr autoPageBreaks="0"/>
  </sheetPr>
  <dimension ref="A2:R27"/>
  <sheetViews>
    <sheetView zoomScale="90" zoomScaleNormal="90" workbookViewId="0">
      <selection activeCell="R5" sqref="R5"/>
    </sheetView>
  </sheetViews>
  <sheetFormatPr defaultColWidth="8.85546875" defaultRowHeight="15" x14ac:dyDescent="0.25"/>
  <cols>
    <col min="1" max="1" width="8.85546875" style="99"/>
    <col min="2" max="2" width="18.5703125" style="99" bestFit="1" customWidth="1"/>
    <col min="3" max="3" width="18.42578125" style="99" bestFit="1" customWidth="1"/>
    <col min="4" max="4" width="12.140625" style="99" bestFit="1" customWidth="1"/>
    <col min="5" max="5" width="22.42578125" style="99" bestFit="1" customWidth="1"/>
    <col min="6" max="6" width="13.42578125" style="99" bestFit="1" customWidth="1"/>
    <col min="7" max="7" width="8.7109375" style="99" bestFit="1" customWidth="1"/>
    <col min="8" max="8" width="10.85546875" style="99" hidden="1" customWidth="1"/>
    <col min="9" max="9" width="16.140625" style="99" bestFit="1" customWidth="1"/>
    <col min="10" max="11" width="16.140625" style="99" customWidth="1"/>
    <col min="12" max="12" width="10.140625" style="99" customWidth="1"/>
    <col min="13" max="13" width="8.85546875" style="99"/>
    <col min="14" max="14" width="11.42578125" style="99" bestFit="1" customWidth="1"/>
    <col min="15" max="16" width="8.85546875" style="99"/>
    <col min="17" max="17" width="10" style="99" bestFit="1" customWidth="1"/>
    <col min="18" max="16384" width="8.85546875" style="99"/>
  </cols>
  <sheetData>
    <row r="2" spans="1:18" x14ac:dyDescent="0.25">
      <c r="D2" s="368">
        <v>2023</v>
      </c>
      <c r="E2" s="368"/>
      <c r="F2" s="368"/>
      <c r="G2" s="368"/>
      <c r="H2" s="368"/>
      <c r="I2" s="368"/>
      <c r="J2" s="329"/>
      <c r="K2" s="329"/>
      <c r="N2" s="99" t="s">
        <v>276</v>
      </c>
    </row>
    <row r="3" spans="1:18" ht="51" x14ac:dyDescent="0.25">
      <c r="B3" s="206" t="s">
        <v>2</v>
      </c>
      <c r="C3" s="207" t="s">
        <v>3</v>
      </c>
      <c r="D3" s="207" t="s">
        <v>272</v>
      </c>
      <c r="E3" s="207" t="s">
        <v>273</v>
      </c>
      <c r="F3" s="207" t="s">
        <v>274</v>
      </c>
      <c r="G3" s="207" t="s">
        <v>275</v>
      </c>
      <c r="H3" s="207" t="s">
        <v>204</v>
      </c>
      <c r="I3" s="207" t="s">
        <v>205</v>
      </c>
      <c r="J3" s="207" t="s">
        <v>258</v>
      </c>
      <c r="K3" s="207" t="s">
        <v>259</v>
      </c>
      <c r="L3" s="279" t="s">
        <v>192</v>
      </c>
      <c r="M3"/>
      <c r="N3" s="355">
        <v>4647854</v>
      </c>
    </row>
    <row r="4" spans="1:18" x14ac:dyDescent="0.25">
      <c r="A4" s="99" t="s">
        <v>277</v>
      </c>
      <c r="B4" s="342" t="s">
        <v>228</v>
      </c>
      <c r="C4" s="343" t="str">
        <f>VAC_Optim_Scenario!B17</f>
        <v>HCC InOffice</v>
      </c>
      <c r="D4" s="344">
        <f>VAC_Optim_Scenario!E17</f>
        <v>1134710</v>
      </c>
      <c r="E4" s="345">
        <f>VAC_Optim_Scenario!F17</f>
        <v>7367.8666140222922</v>
      </c>
      <c r="F4" s="344">
        <f>VAC_Optim_Scenario!G36</f>
        <v>1664695.7827721967</v>
      </c>
      <c r="G4" s="210">
        <f t="shared" ref="G4:G13" si="0">F4/D4</f>
        <v>1.4670671649780092</v>
      </c>
      <c r="H4" s="211" t="e">
        <f>E4/#REF!</f>
        <v>#REF!</v>
      </c>
      <c r="I4" s="353">
        <f>D4/E4</f>
        <v>154.00794550765286</v>
      </c>
      <c r="J4" s="356">
        <f>E4/N$3</f>
        <v>1.5852190309812427E-3</v>
      </c>
      <c r="K4" s="356">
        <f>J4*0.54</f>
        <v>8.5601827672987106E-4</v>
      </c>
      <c r="L4" s="359">
        <f ca="1">(VLOOKUP($Q4,INDIRECT("'"&amp;A4&amp;"'!"&amp;"A20:E42"),5,0)-VLOOKUP($R4,INDIRECT("'"&amp;A4&amp;"'!"&amp;"A20:E42"),5,0))/(Q4-R4)</f>
        <v>1.0281350987444842</v>
      </c>
      <c r="M4"/>
      <c r="Q4" s="358" cm="1">
        <f t="array" aca="1" ref="Q4" ca="1">MAX(_xlfn._xlws.FILTER(INDIRECT("'"&amp;A4&amp;"'!"&amp;"A20:A42"),INDIRECT("'"&amp;A4&amp;"'!"&amp;"A20:A42")&lt;$D4))</f>
        <v>1000000</v>
      </c>
      <c r="R4" s="358" cm="1">
        <f t="array" aca="1" ref="R4" ca="1">MIN(_xlfn._xlws.FILTER(INDIRECT("'"&amp;A4&amp;"'!"&amp;"A20:A42"),INDIRECT("'"&amp;A4&amp;"'!"&amp;"A20:A42")&gt;=$D4))</f>
        <v>1200000</v>
      </c>
    </row>
    <row r="5" spans="1:18" x14ac:dyDescent="0.25">
      <c r="A5" s="99" t="s">
        <v>278</v>
      </c>
      <c r="B5" s="346" t="s">
        <v>228</v>
      </c>
      <c r="C5" s="347" t="str">
        <f>VAC_Optim_Scenario!B18</f>
        <v>HCP MCM</v>
      </c>
      <c r="D5" s="344">
        <f>VAC_Optim_Scenario!E18</f>
        <v>10503728.719999999</v>
      </c>
      <c r="E5" s="348">
        <f>VAC_Optim_Scenario!F18</f>
        <v>288339.09761974216</v>
      </c>
      <c r="F5" s="344">
        <f>VAC_Optim_Scenario!G37</f>
        <v>65147335.716204539</v>
      </c>
      <c r="G5" s="213">
        <f t="shared" si="0"/>
        <v>6.2023056243025803</v>
      </c>
      <c r="H5" s="214" t="e">
        <f>E5/#REF!</f>
        <v>#REF!</v>
      </c>
      <c r="I5" s="353">
        <f t="shared" ref="I5:I13" si="1">D5/E5</f>
        <v>36.428388680927966</v>
      </c>
      <c r="J5" s="356">
        <f t="shared" ref="J5:J11" si="2">E5/N$3</f>
        <v>6.2037038517075226E-2</v>
      </c>
      <c r="K5" s="356">
        <f t="shared" ref="K5:K11" si="3">J5*0.54</f>
        <v>3.3500000799220622E-2</v>
      </c>
      <c r="L5" s="359">
        <f ca="1">(VLOOKUP($Q5,INDIRECT("'"&amp;A5&amp;"'!"&amp;"A20:E42"),5,0)-VLOOKUP($R5,INDIRECT("'"&amp;A5&amp;"'!"&amp;"A20:E42"),5,0))/(Q5-R5)</f>
        <v>4.9357259150992991</v>
      </c>
      <c r="M5"/>
      <c r="Q5" s="358" cm="1">
        <f t="array" aca="1" ref="Q5" ca="1">MAX(_xlfn._xlws.FILTER(INDIRECT("'"&amp;A5&amp;"'!"&amp;"A20:A42"),INDIRECT("'"&amp;A5&amp;"'!"&amp;"A20:A42")&lt;$D5))</f>
        <v>10000000</v>
      </c>
      <c r="R5" s="358" cm="1">
        <f t="array" aca="1" ref="R5" ca="1">MIN(_xlfn._xlws.FILTER(INDIRECT("'"&amp;A5&amp;"'!"&amp;"A20:A42"),INDIRECT("'"&amp;A5&amp;"'!"&amp;"A20:A42")&gt;=$D5))</f>
        <v>10625000</v>
      </c>
    </row>
    <row r="6" spans="1:18" x14ac:dyDescent="0.25">
      <c r="A6" s="99" t="s">
        <v>279</v>
      </c>
      <c r="B6" s="346" t="s">
        <v>228</v>
      </c>
      <c r="C6" s="347" t="str">
        <f>VAC_Optim_Scenario!B19</f>
        <v>HCC Social</v>
      </c>
      <c r="D6" s="344">
        <f>VAC_Optim_Scenario!E19</f>
        <v>1751000</v>
      </c>
      <c r="E6" s="348">
        <f>VAC_Optim_Scenario!F19</f>
        <v>23820.403572058858</v>
      </c>
      <c r="F6" s="344">
        <f>VAC_Optim_Scenario!G38</f>
        <v>5381981.983070978</v>
      </c>
      <c r="G6" s="213">
        <f t="shared" si="0"/>
        <v>3.0736618978132371</v>
      </c>
      <c r="H6" s="214" t="e">
        <f>E6/#REF!</f>
        <v>#REF!</v>
      </c>
      <c r="I6" s="353">
        <f t="shared" si="1"/>
        <v>73.508410329953804</v>
      </c>
      <c r="J6" s="356">
        <f t="shared" si="2"/>
        <v>5.1250326649801949E-3</v>
      </c>
      <c r="K6" s="356">
        <f t="shared" si="3"/>
        <v>2.7675176390893055E-3</v>
      </c>
      <c r="L6" s="359">
        <f t="shared" ref="L6:L12" ca="1" si="4">(VLOOKUP($Q6,INDIRECT("'"&amp;A6&amp;"'!"&amp;"A20:E42"),3,0)-VLOOKUP($R6,INDIRECT("'"&amp;A6&amp;"'!"&amp;"A20:E42"),3,0))/(Q6-R6)</f>
        <v>1.7951540998233295</v>
      </c>
      <c r="M6"/>
      <c r="Q6" s="358" cm="1">
        <f t="array" aca="1" ref="Q6" ca="1">MAX(_xlfn._xlws.FILTER(INDIRECT("'"&amp;A6&amp;"'!"&amp;"A20:A42"),INDIRECT("'"&amp;A6&amp;"'!"&amp;"A20:A42")&lt;$D6))</f>
        <v>1750000</v>
      </c>
      <c r="R6" s="358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9" t="s">
        <v>280</v>
      </c>
      <c r="B7" s="346" t="s">
        <v>228</v>
      </c>
      <c r="C7" s="347" t="str">
        <f>VAC_Optim_Scenario!B20</f>
        <v>HCC Online Video</v>
      </c>
      <c r="D7" s="344">
        <f>VAC_Optim_Scenario!E20</f>
        <v>1111779.04</v>
      </c>
      <c r="E7" s="348">
        <f>VAC_Optim_Scenario!F20</f>
        <v>21646.235649615526</v>
      </c>
      <c r="F7" s="344">
        <f>VAC_Optim_Scenario!G39</f>
        <v>4890750.4826741321</v>
      </c>
      <c r="G7" s="213">
        <f t="shared" si="0"/>
        <v>4.3990310184963839</v>
      </c>
      <c r="H7" s="214" t="e">
        <f>E7/#REF!</f>
        <v>#REF!</v>
      </c>
      <c r="I7" s="353">
        <f t="shared" si="1"/>
        <v>51.361310945524473</v>
      </c>
      <c r="J7" s="356">
        <f t="shared" si="2"/>
        <v>4.6572537884398968E-3</v>
      </c>
      <c r="K7" s="356">
        <f t="shared" si="3"/>
        <v>2.5149170457575446E-3</v>
      </c>
      <c r="L7" s="359">
        <f ca="1">(VLOOKUP($Q7,INDIRECT("'"&amp;A7&amp;"'!"&amp;"A20:E42"),5,0)-VLOOKUP($R7,INDIRECT("'"&amp;A7&amp;"'!"&amp;"A20:E42"),5,0))/(Q7-R7)</f>
        <v>3.0799076810741566</v>
      </c>
      <c r="M7"/>
      <c r="Q7" s="358" cm="1">
        <f t="array" aca="1" ref="Q7" ca="1">MAX(_xlfn._xlws.FILTER(INDIRECT("'"&amp;A7&amp;"'!"&amp;"A20:A42"),INDIRECT("'"&amp;A7&amp;"'!"&amp;"A20:A42")&lt;$D7))</f>
        <v>1000000</v>
      </c>
      <c r="R7" s="358" cm="1">
        <f t="array" aca="1" ref="R7" ca="1">MIN(_xlfn._xlws.FILTER(INDIRECT("'"&amp;A7&amp;"'!"&amp;"A20:A42"),INDIRECT("'"&amp;A7&amp;"'!"&amp;"A20:A42")&gt;=$D7))</f>
        <v>1200000</v>
      </c>
    </row>
    <row r="8" spans="1:18" x14ac:dyDescent="0.25">
      <c r="A8" s="99" t="s">
        <v>281</v>
      </c>
      <c r="B8" s="346" t="s">
        <v>228</v>
      </c>
      <c r="C8" s="347" t="str">
        <f>VAC_Optim_Scenario!B21</f>
        <v>HCC Streaming Video</v>
      </c>
      <c r="D8" s="344">
        <f>VAC_Optim_Scenario!E21</f>
        <v>13418576</v>
      </c>
      <c r="E8" s="348">
        <f>VAC_Optim_Scenario!F21</f>
        <v>100808.3256282994</v>
      </c>
      <c r="F8" s="344">
        <f>VAC_Optim_Scenario!G40</f>
        <v>22776633.092457965</v>
      </c>
      <c r="G8" s="213">
        <f t="shared" si="0"/>
        <v>1.6973956917975472</v>
      </c>
      <c r="H8" s="214" t="e">
        <f>E8/#REF!</f>
        <v>#REF!</v>
      </c>
      <c r="I8" s="353">
        <f t="shared" si="1"/>
        <v>133.10979937785092</v>
      </c>
      <c r="J8" s="356">
        <f t="shared" si="2"/>
        <v>2.1689219503947282E-2</v>
      </c>
      <c r="K8" s="356">
        <f t="shared" si="3"/>
        <v>1.1712178532131533E-2</v>
      </c>
      <c r="L8" s="359">
        <f t="shared" ca="1" si="4"/>
        <v>1.1961518650093477</v>
      </c>
      <c r="M8"/>
      <c r="Q8" s="358" cm="1">
        <f t="array" aca="1" ref="Q8" ca="1">MAX(_xlfn._xlws.FILTER(INDIRECT("'"&amp;A8&amp;"'!"&amp;"A20:A42"),INDIRECT("'"&amp;A8&amp;"'!"&amp;"A20:A42")&lt;$D8))</f>
        <v>12750000</v>
      </c>
      <c r="R8" s="358" cm="1">
        <f t="array" aca="1" ref="R8" ca="1">MIN(_xlfn._xlws.FILTER(INDIRECT("'"&amp;A8&amp;"'!"&amp;"A20:A42"),INDIRECT("'"&amp;A8&amp;"'!"&amp;"A20:A42")&gt;=$D8))</f>
        <v>13500000</v>
      </c>
    </row>
    <row r="9" spans="1:18" x14ac:dyDescent="0.25">
      <c r="A9" s="99" t="s">
        <v>282</v>
      </c>
      <c r="B9" s="346" t="s">
        <v>228</v>
      </c>
      <c r="C9" s="347" t="str">
        <f>VAC_Optim_Scenario!B22</f>
        <v>HCC Display</v>
      </c>
      <c r="D9" s="344">
        <f>VAC_Optim_Scenario!E22</f>
        <v>2859426.82</v>
      </c>
      <c r="E9" s="348">
        <f>VAC_Optim_Scenario!F22</f>
        <v>76065.012406995462</v>
      </c>
      <c r="F9" s="344">
        <f>VAC_Optim_Scenario!G41</f>
        <v>17186128.903236553</v>
      </c>
      <c r="G9" s="213">
        <f t="shared" si="0"/>
        <v>6.010340528049098</v>
      </c>
      <c r="H9" s="214" t="e">
        <f>E9/#REF!</f>
        <v>#REF!</v>
      </c>
      <c r="I9" s="353">
        <f t="shared" si="1"/>
        <v>37.591880018375271</v>
      </c>
      <c r="J9" s="356">
        <f t="shared" si="2"/>
        <v>1.6365620005920036E-2</v>
      </c>
      <c r="K9" s="356">
        <f t="shared" si="3"/>
        <v>8.8374348031968197E-3</v>
      </c>
      <c r="L9" s="359">
        <f t="shared" ca="1" si="4"/>
        <v>3.5990133726234732</v>
      </c>
      <c r="M9"/>
      <c r="Q9" s="358" cm="1">
        <f t="array" aca="1" ref="Q9" ca="1">MAX(_xlfn._xlws.FILTER(INDIRECT("'"&amp;A9&amp;"'!"&amp;"A20:A42"),INDIRECT("'"&amp;A9&amp;"'!"&amp;"A20:A42")&lt;$D9))</f>
        <v>2750000</v>
      </c>
      <c r="R9" s="358" cm="1">
        <f t="array" aca="1" ref="R9" ca="1">MIN(_xlfn._xlws.FILTER(INDIRECT("'"&amp;A9&amp;"'!"&amp;"A20:A42"),INDIRECT("'"&amp;A9&amp;"'!"&amp;"A20:A42")&gt;=$D9))</f>
        <v>3000000</v>
      </c>
    </row>
    <row r="10" spans="1:18" x14ac:dyDescent="0.25">
      <c r="A10" s="99" t="s">
        <v>283</v>
      </c>
      <c r="B10" s="346" t="s">
        <v>228</v>
      </c>
      <c r="C10" s="347" t="str">
        <f>VAC_Optim_Scenario!B23</f>
        <v>HCC Paid Search</v>
      </c>
      <c r="D10" s="344">
        <f>VAC_Optim_Scenario!E23</f>
        <v>50000</v>
      </c>
      <c r="E10" s="348">
        <f>VAC_Optim_Scenario!F23</f>
        <v>30136.792938374307</v>
      </c>
      <c r="F10" s="344">
        <f>VAC_Optim_Scenario!G42</f>
        <v>6809106.9964962909</v>
      </c>
      <c r="G10" s="213">
        <f t="shared" si="0"/>
        <v>136.18213992992582</v>
      </c>
      <c r="H10" s="214" t="e">
        <f>E10/#REF!</f>
        <v>#REF!</v>
      </c>
      <c r="I10" s="353">
        <f t="shared" si="1"/>
        <v>1.6591015541117227</v>
      </c>
      <c r="J10" s="356">
        <f t="shared" si="2"/>
        <v>6.4840231509798512E-3</v>
      </c>
      <c r="K10" s="356">
        <f t="shared" si="3"/>
        <v>3.5013725015291199E-3</v>
      </c>
      <c r="L10" s="359">
        <f t="shared" ca="1" si="4"/>
        <v>84.028991834438983</v>
      </c>
      <c r="M10"/>
      <c r="Q10" s="358" cm="1">
        <f t="array" aca="1" ref="Q10" ca="1">MAX(_xlfn._xlws.FILTER(INDIRECT("'"&amp;A10&amp;"'!"&amp;"A20:A42"),INDIRECT("'"&amp;A10&amp;"'!"&amp;"A20:A42")&lt;$D10))</f>
        <v>0</v>
      </c>
      <c r="R10" s="358" cm="1">
        <f t="array" aca="1" ref="R10" ca="1">MIN(_xlfn._xlws.FILTER(INDIRECT("'"&amp;A10&amp;"'!"&amp;"A20:A42"),INDIRECT("'"&amp;A10&amp;"'!"&amp;"A20:A42")&gt;=$D10))</f>
        <v>250000</v>
      </c>
    </row>
    <row r="11" spans="1:18" x14ac:dyDescent="0.25">
      <c r="A11" s="99" t="s">
        <v>285</v>
      </c>
      <c r="B11" s="346" t="s">
        <v>228</v>
      </c>
      <c r="C11" s="347" t="str">
        <f>VAC_Optim_Scenario!B24</f>
        <v>HCC Linear TV</v>
      </c>
      <c r="D11" s="344">
        <f>VAC_Optim_Scenario!E24</f>
        <v>25810928.600000001</v>
      </c>
      <c r="E11" s="348">
        <f>VAC_Optim_Scenario!F24</f>
        <v>168508.00202805389</v>
      </c>
      <c r="F11" s="344">
        <f>VAC_Optim_Scenario!G43</f>
        <v>38072697.978218496</v>
      </c>
      <c r="G11" s="213">
        <f t="shared" si="0"/>
        <v>1.4750611482540188</v>
      </c>
      <c r="H11" s="214" t="e">
        <f>E11/#REF!</f>
        <v>#REF!</v>
      </c>
      <c r="I11" s="353">
        <f t="shared" si="1"/>
        <v>153.17331099625105</v>
      </c>
      <c r="J11" s="356">
        <f t="shared" si="2"/>
        <v>3.6255011888939259E-2</v>
      </c>
      <c r="K11" s="356">
        <f t="shared" si="3"/>
        <v>1.9577706420027201E-2</v>
      </c>
      <c r="L11" s="359">
        <f t="shared" ca="1" si="4"/>
        <v>1.0273854514533429</v>
      </c>
      <c r="M11"/>
      <c r="Q11" s="358" cm="1">
        <f t="array" aca="1" ref="Q11" ca="1">MAX(_xlfn._xlws.FILTER(INDIRECT("'"&amp;A11&amp;"'!"&amp;"A20:A42"),INDIRECT("'"&amp;A11&amp;"'!"&amp;"A20:A42")&lt;$D11))</f>
        <v>25500000</v>
      </c>
      <c r="R11" s="358" cm="1">
        <f t="array" aca="1" ref="R11" ca="1">MIN(_xlfn._xlws.FILTER(INDIRECT("'"&amp;A11&amp;"'!"&amp;"A20:A42"),INDIRECT("'"&amp;A11&amp;"'!"&amp;"A20:A42")&gt;=$D11))</f>
        <v>27000000</v>
      </c>
    </row>
    <row r="12" spans="1:18" x14ac:dyDescent="0.25">
      <c r="A12" s="99" t="s">
        <v>284</v>
      </c>
      <c r="B12" s="346" t="s">
        <v>228</v>
      </c>
      <c r="C12" s="347" t="str">
        <f>VAC_Optim_Scenario!B25</f>
        <v>HCC Radio</v>
      </c>
      <c r="D12" s="344">
        <f>VAC_Optim_Scenario!E25</f>
        <v>923975</v>
      </c>
      <c r="E12" s="348">
        <f>VAC_Optim_Scenario!F25</f>
        <v>26581.559263521289</v>
      </c>
      <c r="F12" s="344">
        <f>VAC_Optim_Scenario!G44</f>
        <v>6005837.5</v>
      </c>
      <c r="G12" s="213">
        <f t="shared" si="0"/>
        <v>6.5</v>
      </c>
      <c r="H12" s="214"/>
      <c r="I12" s="353">
        <f t="shared" si="1"/>
        <v>34.76</v>
      </c>
      <c r="J12" s="356">
        <f t="shared" ref="J12:J13" si="5">E12/N$3</f>
        <v>5.7191037548772593E-3</v>
      </c>
      <c r="K12" s="356">
        <f t="shared" ref="K12:K13" si="6">J12*0.54</f>
        <v>3.0883160276337202E-3</v>
      </c>
      <c r="L12" s="359">
        <f t="shared" ca="1" si="4"/>
        <v>3.9935476442957931</v>
      </c>
      <c r="M12"/>
      <c r="Q12" s="358" cm="1">
        <f t="array" aca="1" ref="Q12" ca="1">MAX(_xlfn._xlws.FILTER(INDIRECT("'"&amp;A12&amp;"'!"&amp;"A20:A42"),INDIRECT("'"&amp;A12&amp;"'!"&amp;"A20:A42")&lt;$D12))</f>
        <v>750000</v>
      </c>
      <c r="R12" s="358" cm="1">
        <f t="array" aca="1" ref="R12" ca="1">MIN(_xlfn._xlws.FILTER(INDIRECT("'"&amp;A12&amp;"'!"&amp;"A20:A42"),INDIRECT("'"&amp;A12&amp;"'!"&amp;"A20:A42")&gt;=$D12))</f>
        <v>1000000</v>
      </c>
    </row>
    <row r="13" spans="1:18" x14ac:dyDescent="0.25">
      <c r="A13" s="99" t="s">
        <v>286</v>
      </c>
      <c r="B13" s="346" t="s">
        <v>228</v>
      </c>
      <c r="C13" s="347" t="str">
        <f>VAC_Optim_Scenario!B26</f>
        <v>HCC Pharmacy</v>
      </c>
      <c r="D13" s="344">
        <f>VAC_Optim_Scenario!E26</f>
        <v>2411968</v>
      </c>
      <c r="E13" s="348">
        <f>VAC_Optim_Scenario!F26</f>
        <v>18205.929821531288</v>
      </c>
      <c r="F13" s="344">
        <f>VAC_Optim_Scenario!G45</f>
        <v>4113447.783876779</v>
      </c>
      <c r="G13" s="213">
        <f t="shared" si="0"/>
        <v>1.7054321549360436</v>
      </c>
      <c r="H13" s="214"/>
      <c r="I13" s="353">
        <f t="shared" si="1"/>
        <v>132.48254956731077</v>
      </c>
      <c r="J13" s="356">
        <f t="shared" si="5"/>
        <v>3.9170614699883619E-3</v>
      </c>
      <c r="K13" s="356">
        <f t="shared" si="6"/>
        <v>2.1152131937937158E-3</v>
      </c>
      <c r="L13" s="359">
        <f ca="1">(VLOOKUP($Q13,INDIRECT("'"&amp;A13&amp;"'!"&amp;"A20:E42"),5,0)-VLOOKUP($R13,INDIRECT("'"&amp;A13&amp;"'!"&amp;"A20:E42"),5,0))/(Q13-R13)</f>
        <v>1.2851107311617118</v>
      </c>
      <c r="M13"/>
      <c r="Q13" s="358" cm="1">
        <f t="array" aca="1" ref="Q13" ca="1">MAX(_xlfn._xlws.FILTER(INDIRECT("'"&amp;A13&amp;"'!"&amp;"A20:A42"),INDIRECT("'"&amp;A13&amp;"'!"&amp;"A20:A42")&lt;$D13))</f>
        <v>2400000</v>
      </c>
      <c r="R13" s="358" cm="1">
        <f t="array" aca="1" ref="R13" ca="1">MIN(_xlfn._xlws.FILTER(INDIRECT("'"&amp;A13&amp;"'!"&amp;"A20:A42"),INDIRECT("'"&amp;A13&amp;"'!"&amp;"A20:A42")&gt;=$D13))</f>
        <v>2600000</v>
      </c>
    </row>
    <row r="14" spans="1:18" x14ac:dyDescent="0.25">
      <c r="B14" s="349" t="s">
        <v>154</v>
      </c>
      <c r="C14" s="350" t="s">
        <v>211</v>
      </c>
      <c r="D14" s="351">
        <f>SUM(D4:D13)</f>
        <v>59976092.18</v>
      </c>
      <c r="E14" s="352">
        <f>SUM(E4:E13)</f>
        <v>761479.22554221447</v>
      </c>
      <c r="F14" s="351">
        <f>SUM(F4:F13)</f>
        <v>172048616.21900794</v>
      </c>
      <c r="G14" s="280">
        <f>F14/D14</f>
        <v>2.8686199778181005</v>
      </c>
      <c r="H14" s="215" t="e">
        <f>SUM(H4:H11)</f>
        <v>#REF!</v>
      </c>
      <c r="I14" s="354">
        <f>D14/E14</f>
        <v>78.762611202286934</v>
      </c>
      <c r="J14" s="357">
        <f>SUM(J4:J13)</f>
        <v>0.16383458377612858</v>
      </c>
      <c r="K14" s="357">
        <f>SUM(K4:K13)</f>
        <v>8.8470675239109453E-2</v>
      </c>
      <c r="L14" s="281"/>
    </row>
    <row r="15" spans="1:18" x14ac:dyDescent="0.25">
      <c r="G15" s="216"/>
      <c r="H15" s="217"/>
    </row>
    <row r="17" spans="5:6" ht="38.25" x14ac:dyDescent="0.25">
      <c r="E17" s="207" t="s">
        <v>3</v>
      </c>
      <c r="F17" s="208" t="s">
        <v>287</v>
      </c>
    </row>
    <row r="18" spans="5:6" x14ac:dyDescent="0.25">
      <c r="E18" s="209" t="s">
        <v>210</v>
      </c>
      <c r="F18" s="250">
        <f t="shared" ref="F18:F27" si="7">VLOOKUP(E18,$C$4:$I$13,7,0)</f>
        <v>1.6591015541117227</v>
      </c>
    </row>
    <row r="19" spans="5:6" x14ac:dyDescent="0.25">
      <c r="E19" s="209" t="s">
        <v>177</v>
      </c>
      <c r="F19" s="250">
        <f t="shared" si="7"/>
        <v>34.76</v>
      </c>
    </row>
    <row r="20" spans="5:6" x14ac:dyDescent="0.25">
      <c r="E20" s="212" t="s">
        <v>207</v>
      </c>
      <c r="F20" s="250">
        <f t="shared" si="7"/>
        <v>36.428388680927966</v>
      </c>
    </row>
    <row r="21" spans="5:6" x14ac:dyDescent="0.25">
      <c r="E21" s="212" t="s">
        <v>209</v>
      </c>
      <c r="F21" s="250">
        <f t="shared" si="7"/>
        <v>37.591880018375271</v>
      </c>
    </row>
    <row r="22" spans="5:6" x14ac:dyDescent="0.25">
      <c r="E22" s="212" t="s">
        <v>224</v>
      </c>
      <c r="F22" s="250">
        <f t="shared" si="7"/>
        <v>51.361310945524473</v>
      </c>
    </row>
    <row r="23" spans="5:6" x14ac:dyDescent="0.25">
      <c r="E23" s="212" t="s">
        <v>208</v>
      </c>
      <c r="F23" s="250">
        <f t="shared" si="7"/>
        <v>73.508410329953804</v>
      </c>
    </row>
    <row r="24" spans="5:6" x14ac:dyDescent="0.25">
      <c r="E24" s="212" t="s">
        <v>226</v>
      </c>
      <c r="F24" s="250">
        <f t="shared" si="7"/>
        <v>133.10979937785092</v>
      </c>
    </row>
    <row r="25" spans="5:6" x14ac:dyDescent="0.25">
      <c r="E25" s="212" t="s">
        <v>267</v>
      </c>
      <c r="F25" s="250">
        <f t="shared" si="7"/>
        <v>132.48254956731077</v>
      </c>
    </row>
    <row r="26" spans="5:6" x14ac:dyDescent="0.25">
      <c r="E26" s="212" t="s">
        <v>231</v>
      </c>
      <c r="F26" s="250">
        <f t="shared" si="7"/>
        <v>154.00794550765286</v>
      </c>
    </row>
    <row r="27" spans="5:6" x14ac:dyDescent="0.25">
      <c r="E27" s="212" t="s">
        <v>232</v>
      </c>
      <c r="F27" s="250">
        <f t="shared" si="7"/>
        <v>153.17331099625105</v>
      </c>
    </row>
  </sheetData>
  <autoFilter ref="E17:F25" xr:uid="{380EE44D-258D-4367-AB3A-04116EB0896D}">
    <sortState xmlns:xlrd2="http://schemas.microsoft.com/office/spreadsheetml/2017/richdata2" ref="E18:F27">
      <sortCondition ref="F17:F2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L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pageSetUpPr autoPageBreaks="0"/>
  </sheetPr>
  <dimension ref="B3:V56"/>
  <sheetViews>
    <sheetView zoomScaleNormal="100" workbookViewId="0">
      <selection activeCell="K6" sqref="K6:K8"/>
    </sheetView>
  </sheetViews>
  <sheetFormatPr defaultColWidth="8.85546875" defaultRowHeight="15" x14ac:dyDescent="0.25"/>
  <cols>
    <col min="1" max="1" width="4.5703125" style="99" customWidth="1"/>
    <col min="2" max="2" width="12.140625" style="99" customWidth="1"/>
    <col min="3" max="3" width="13.7109375" style="99" bestFit="1" customWidth="1"/>
    <col min="4" max="4" width="12.140625" style="99" customWidth="1"/>
    <col min="5" max="5" width="16.5703125" style="99" bestFit="1" customWidth="1"/>
    <col min="6" max="6" width="13.7109375" style="99" bestFit="1" customWidth="1"/>
    <col min="7" max="7" width="18.85546875" style="99" customWidth="1"/>
    <col min="8" max="8" width="21.85546875" style="99" customWidth="1"/>
    <col min="9" max="9" width="14.42578125" style="99" bestFit="1" customWidth="1"/>
    <col min="10" max="10" width="14.42578125" style="99" customWidth="1"/>
    <col min="11" max="11" width="17.42578125" style="99" customWidth="1"/>
    <col min="12" max="15" width="12.140625" style="99" customWidth="1"/>
    <col min="16" max="16" width="11.85546875" style="99" bestFit="1" customWidth="1"/>
    <col min="17" max="17" width="0.5703125" style="99" customWidth="1"/>
    <col min="18" max="18" width="11.140625" style="99" bestFit="1" customWidth="1"/>
    <col min="19" max="19" width="8.85546875" style="99"/>
    <col min="20" max="20" width="11.85546875" style="99" bestFit="1" customWidth="1"/>
    <col min="21" max="16384" width="8.85546875" style="99"/>
  </cols>
  <sheetData>
    <row r="3" spans="2:13" x14ac:dyDescent="0.25">
      <c r="G3" s="160"/>
    </row>
    <row r="4" spans="2:13" ht="34.35" customHeight="1" x14ac:dyDescent="0.25">
      <c r="G4" s="369" t="s">
        <v>185</v>
      </c>
      <c r="H4" s="369"/>
      <c r="I4" s="370" t="s">
        <v>186</v>
      </c>
      <c r="J4" s="370"/>
      <c r="K4" s="371" t="s">
        <v>187</v>
      </c>
      <c r="L4" s="371"/>
    </row>
    <row r="5" spans="2:13" ht="38.85" customHeight="1" x14ac:dyDescent="0.25">
      <c r="B5" s="173"/>
      <c r="C5" s="249" t="s">
        <v>188</v>
      </c>
      <c r="D5" s="249" t="s">
        <v>189</v>
      </c>
      <c r="E5" s="158" t="s">
        <v>190</v>
      </c>
      <c r="F5" s="249" t="s">
        <v>269</v>
      </c>
      <c r="G5" s="271" t="s">
        <v>241</v>
      </c>
      <c r="H5" s="271"/>
      <c r="I5" s="271" t="s">
        <v>292</v>
      </c>
      <c r="J5" s="271"/>
      <c r="K5" s="271" t="s">
        <v>292</v>
      </c>
      <c r="L5" s="271"/>
      <c r="M5" s="272"/>
    </row>
    <row r="6" spans="2:13" ht="15" customHeight="1" x14ac:dyDescent="0.25">
      <c r="B6" s="173"/>
      <c r="C6" s="160">
        <f>$C$8+E6</f>
        <v>119952184.36</v>
      </c>
      <c r="D6" s="161">
        <v>1</v>
      </c>
      <c r="E6" s="162">
        <f>D6*$C$8</f>
        <v>59976092.18</v>
      </c>
      <c r="F6" s="249"/>
      <c r="G6" s="160">
        <f>'Scenario deep dive_dz'!P17</f>
        <v>308630172.89317989</v>
      </c>
      <c r="H6" s="271"/>
      <c r="I6" s="160">
        <f t="shared" ref="I6:J8" si="0">G6-$F$8</f>
        <v>136581556.67417195</v>
      </c>
      <c r="J6" s="160">
        <f t="shared" si="0"/>
        <v>-172048616.21900794</v>
      </c>
      <c r="K6" s="163">
        <f t="shared" ref="K6" si="1">G6/$C6</f>
        <v>2.5729433318773114</v>
      </c>
      <c r="L6" s="163">
        <f t="shared" ref="L6" si="2">H6/$C6</f>
        <v>0</v>
      </c>
      <c r="M6" s="272"/>
    </row>
    <row r="7" spans="2:13" ht="15" customHeight="1" x14ac:dyDescent="0.25">
      <c r="B7" s="173"/>
      <c r="C7" s="160">
        <f>$C$8+E7</f>
        <v>89964138.269999996</v>
      </c>
      <c r="D7" s="161">
        <v>0.5</v>
      </c>
      <c r="E7" s="162">
        <f>D7*$C$8</f>
        <v>29988046.09</v>
      </c>
      <c r="F7" s="249"/>
      <c r="G7" s="160">
        <f>'Scenario deep dive_dz'!L17</f>
        <v>275999167.72966444</v>
      </c>
      <c r="H7" s="271"/>
      <c r="I7" s="160">
        <f t="shared" si="0"/>
        <v>103950551.51065651</v>
      </c>
      <c r="J7" s="160">
        <f t="shared" si="0"/>
        <v>-172048616.21900794</v>
      </c>
      <c r="K7" s="163">
        <f t="shared" ref="K7:L8" si="3">G7/$C7</f>
        <v>3.0678798578755559</v>
      </c>
      <c r="L7" s="163">
        <f t="shared" si="3"/>
        <v>0</v>
      </c>
      <c r="M7" s="272"/>
    </row>
    <row r="8" spans="2:13" x14ac:dyDescent="0.25">
      <c r="B8" s="164">
        <f>F8/C8</f>
        <v>2.8686199778181005</v>
      </c>
      <c r="C8" s="160">
        <f>'Scenario deep dive_dz'!C17</f>
        <v>59976092.18</v>
      </c>
      <c r="D8" s="161">
        <v>0</v>
      </c>
      <c r="E8" s="162">
        <f>D8*$C$8</f>
        <v>0</v>
      </c>
      <c r="F8" s="160">
        <f>'Scenario deep dive_dz'!D17</f>
        <v>172048616.21900794</v>
      </c>
      <c r="G8" s="160">
        <f>'Scenario deep dive_dz'!H17</f>
        <v>191062791.81631523</v>
      </c>
      <c r="H8" s="160"/>
      <c r="I8" s="160">
        <f t="shared" si="0"/>
        <v>19014175.597307295</v>
      </c>
      <c r="J8" s="160">
        <f t="shared" si="0"/>
        <v>-172048616.21900794</v>
      </c>
      <c r="K8" s="163">
        <f t="shared" si="3"/>
        <v>3.1856492290777862</v>
      </c>
      <c r="L8" s="163">
        <f t="shared" si="3"/>
        <v>0</v>
      </c>
    </row>
    <row r="9" spans="2:13" x14ac:dyDescent="0.25">
      <c r="D9" s="165"/>
      <c r="E9" s="165"/>
    </row>
    <row r="10" spans="2:13" x14ac:dyDescent="0.25">
      <c r="F10" s="372" t="s">
        <v>191</v>
      </c>
      <c r="G10" s="372"/>
      <c r="H10" s="372" t="s">
        <v>192</v>
      </c>
      <c r="I10" s="372"/>
    </row>
    <row r="11" spans="2:13" ht="30" x14ac:dyDescent="0.25">
      <c r="C11" s="157" t="s">
        <v>188</v>
      </c>
      <c r="D11" s="157" t="s">
        <v>189</v>
      </c>
      <c r="E11" s="99" t="s">
        <v>193</v>
      </c>
      <c r="F11" s="271" t="s">
        <v>292</v>
      </c>
      <c r="G11" s="159"/>
      <c r="H11" s="271" t="s">
        <v>292</v>
      </c>
      <c r="I11" s="159"/>
    </row>
    <row r="12" spans="2:13" x14ac:dyDescent="0.25">
      <c r="C12" s="166">
        <f t="shared" ref="C12:D14" si="4">C6</f>
        <v>119952184.36</v>
      </c>
      <c r="D12" s="167">
        <f t="shared" si="4"/>
        <v>1</v>
      </c>
      <c r="E12" s="166">
        <f>C12-C13</f>
        <v>29988046.090000004</v>
      </c>
      <c r="F12" s="168">
        <f>G6-G7</f>
        <v>32631005.163515449</v>
      </c>
      <c r="G12" s="159"/>
      <c r="H12" s="163">
        <f t="shared" ref="H12:I13" si="5">F12/$E12</f>
        <v>1.0881337538825773</v>
      </c>
      <c r="I12" s="163">
        <f t="shared" si="5"/>
        <v>0</v>
      </c>
    </row>
    <row r="13" spans="2:13" x14ac:dyDescent="0.25">
      <c r="C13" s="166">
        <f t="shared" si="4"/>
        <v>89964138.269999996</v>
      </c>
      <c r="D13" s="167">
        <f t="shared" si="4"/>
        <v>0.5</v>
      </c>
      <c r="E13" s="166">
        <f>C13-C14</f>
        <v>29988046.089999996</v>
      </c>
      <c r="F13" s="168">
        <f>G7-G8</f>
        <v>84936375.913349211</v>
      </c>
      <c r="G13" s="168">
        <f>H7-H8</f>
        <v>0</v>
      </c>
      <c r="H13" s="163">
        <f t="shared" si="5"/>
        <v>2.8323411154710953</v>
      </c>
      <c r="I13" s="163">
        <f t="shared" si="5"/>
        <v>0</v>
      </c>
    </row>
    <row r="14" spans="2:13" x14ac:dyDescent="0.25">
      <c r="C14" s="166">
        <f t="shared" si="4"/>
        <v>59976092.18</v>
      </c>
      <c r="D14" s="167">
        <f t="shared" si="4"/>
        <v>0</v>
      </c>
      <c r="E14" s="166"/>
      <c r="F14" s="168"/>
      <c r="G14" s="168"/>
      <c r="H14" s="163"/>
      <c r="I14" s="163"/>
    </row>
    <row r="49" spans="21:22" x14ac:dyDescent="0.25">
      <c r="U49" s="169"/>
      <c r="V49" s="169"/>
    </row>
    <row r="50" spans="21:22" x14ac:dyDescent="0.25">
      <c r="U50" s="169"/>
      <c r="V50" s="169"/>
    </row>
    <row r="51" spans="21:22" x14ac:dyDescent="0.25">
      <c r="U51" s="169"/>
      <c r="V51" s="169"/>
    </row>
    <row r="52" spans="21:22" x14ac:dyDescent="0.25">
      <c r="U52" s="169"/>
      <c r="V52" s="169"/>
    </row>
    <row r="53" spans="21:22" x14ac:dyDescent="0.25">
      <c r="U53" s="169"/>
      <c r="V53" s="169"/>
    </row>
    <row r="54" spans="21:22" x14ac:dyDescent="0.25">
      <c r="U54" s="169"/>
      <c r="V54" s="169"/>
    </row>
    <row r="55" spans="21:22" x14ac:dyDescent="0.25">
      <c r="U55" s="169"/>
      <c r="V55" s="169"/>
    </row>
    <row r="56" spans="21:22" x14ac:dyDescent="0.25">
      <c r="U56" s="169"/>
      <c r="V56" s="169"/>
    </row>
  </sheetData>
  <mergeCells count="5">
    <mergeCell ref="G4:H4"/>
    <mergeCell ref="I4:J4"/>
    <mergeCell ref="K4:L4"/>
    <mergeCell ref="F10:G10"/>
    <mergeCell ref="H10:I10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pageSetUpPr autoPageBreaks="0"/>
  </sheetPr>
  <dimension ref="B3:U76"/>
  <sheetViews>
    <sheetView showGridLines="0" tabSelected="1" topLeftCell="A20" zoomScale="75" zoomScaleNormal="75" workbookViewId="0">
      <selection activeCell="B20" sqref="B20:P36"/>
    </sheetView>
  </sheetViews>
  <sheetFormatPr defaultColWidth="8.85546875" defaultRowHeight="15" x14ac:dyDescent="0.25"/>
  <cols>
    <col min="1" max="1" width="4" style="99" customWidth="1"/>
    <col min="2" max="2" width="33.85546875" style="99" customWidth="1"/>
    <col min="3" max="3" width="12.7109375" style="99" customWidth="1"/>
    <col min="4" max="4" width="13.5703125" style="99" customWidth="1"/>
    <col min="5" max="5" width="0.42578125" style="99" customWidth="1"/>
    <col min="6" max="6" width="12" style="99" customWidth="1"/>
    <col min="7" max="7" width="13" style="99" bestFit="1" customWidth="1"/>
    <col min="8" max="8" width="13.85546875" style="99" customWidth="1"/>
    <col min="9" max="9" width="0.42578125" style="99" customWidth="1"/>
    <col min="10" max="10" width="12.42578125" style="99" customWidth="1"/>
    <col min="11" max="11" width="12.140625" style="99" bestFit="1" customWidth="1"/>
    <col min="12" max="12" width="14.85546875" style="99" bestFit="1" customWidth="1"/>
    <col min="13" max="13" width="0.5703125" style="99" customWidth="1"/>
    <col min="14" max="14" width="12" style="99" customWidth="1"/>
    <col min="15" max="15" width="13.140625" style="99" customWidth="1"/>
    <col min="16" max="16" width="14.85546875" style="99" customWidth="1"/>
    <col min="17" max="17" width="8.85546875" style="99"/>
    <col min="18" max="18" width="17.85546875" style="99" bestFit="1" customWidth="1"/>
    <col min="19" max="19" width="16.85546875" style="99" bestFit="1" customWidth="1"/>
    <col min="20" max="20" width="14.85546875" style="99" bestFit="1" customWidth="1"/>
    <col min="21" max="21" width="14.5703125" style="99" bestFit="1" customWidth="1"/>
    <col min="22" max="16384" width="8.85546875" style="99"/>
  </cols>
  <sheetData>
    <row r="3" spans="2:20" x14ac:dyDescent="0.25">
      <c r="B3" s="170">
        <f>SUM(C9:C13)</f>
        <v>19190781.859999999</v>
      </c>
      <c r="C3" s="170">
        <f>SUM(D9:D13)</f>
        <v>57044601.457935914</v>
      </c>
    </row>
    <row r="4" spans="2:20" x14ac:dyDescent="0.25">
      <c r="F4" s="376" t="s">
        <v>288</v>
      </c>
      <c r="G4" s="376"/>
      <c r="H4" s="376"/>
      <c r="I4" s="376"/>
      <c r="J4" s="376"/>
      <c r="K4" s="376"/>
      <c r="L4" s="376"/>
      <c r="M4" s="376"/>
      <c r="N4" s="376"/>
      <c r="O4" s="376"/>
      <c r="P4" s="376"/>
    </row>
    <row r="5" spans="2:20" x14ac:dyDescent="0.25">
      <c r="F5" s="373" t="s">
        <v>289</v>
      </c>
      <c r="G5" s="374"/>
      <c r="H5" s="375"/>
      <c r="I5" s="171"/>
      <c r="J5" s="373" t="s">
        <v>290</v>
      </c>
      <c r="K5" s="374"/>
      <c r="L5" s="375"/>
      <c r="M5" s="171"/>
      <c r="N5" s="373" t="s">
        <v>291</v>
      </c>
      <c r="O5" s="374"/>
      <c r="P5" s="375"/>
      <c r="R5" s="99" t="s">
        <v>227</v>
      </c>
    </row>
    <row r="6" spans="2:20" ht="38.1" customHeight="1" x14ac:dyDescent="0.25">
      <c r="B6" s="172" t="s">
        <v>194</v>
      </c>
      <c r="C6" s="99" t="s">
        <v>195</v>
      </c>
      <c r="D6" s="173" t="s">
        <v>196</v>
      </c>
      <c r="E6" s="173"/>
      <c r="F6" s="173" t="s">
        <v>203</v>
      </c>
      <c r="G6" s="173" t="s">
        <v>197</v>
      </c>
      <c r="H6" s="173" t="s">
        <v>198</v>
      </c>
      <c r="I6" s="173"/>
      <c r="J6" s="173" t="s">
        <v>203</v>
      </c>
      <c r="K6" s="173" t="s">
        <v>197</v>
      </c>
      <c r="L6" s="173" t="s">
        <v>198</v>
      </c>
      <c r="M6" s="173"/>
      <c r="N6" s="173" t="s">
        <v>203</v>
      </c>
      <c r="O6" s="173" t="s">
        <v>197</v>
      </c>
      <c r="P6" s="173" t="s">
        <v>198</v>
      </c>
      <c r="R6" s="173" t="s">
        <v>203</v>
      </c>
      <c r="S6" s="173" t="s">
        <v>197</v>
      </c>
      <c r="T6" s="173" t="s">
        <v>198</v>
      </c>
    </row>
    <row r="7" spans="2:20" x14ac:dyDescent="0.25">
      <c r="B7" s="174" t="str">
        <f>VAC_Optim_Scenario!B17</f>
        <v>HCC InOffice</v>
      </c>
      <c r="C7" s="175">
        <f>VAC_Optim_Scenario!E17</f>
        <v>1134710</v>
      </c>
      <c r="D7" s="175">
        <f>VAC_Optim_Scenario!G36</f>
        <v>1664695.7827721967</v>
      </c>
      <c r="E7" s="175"/>
      <c r="F7" s="175">
        <v>900000</v>
      </c>
      <c r="G7" s="167">
        <v>-0.20684580201108654</v>
      </c>
      <c r="H7" s="175">
        <v>1410431.7445188572</v>
      </c>
      <c r="I7" s="175"/>
      <c r="J7" s="175">
        <v>900000</v>
      </c>
      <c r="K7" s="167">
        <v>-0.20684580201108654</v>
      </c>
      <c r="L7" s="175">
        <v>1410431.7445188572</v>
      </c>
      <c r="M7" s="175"/>
      <c r="N7" s="175">
        <v>1205654.5761903645</v>
      </c>
      <c r="O7" s="167">
        <v>6.2522209366591058E-2</v>
      </c>
      <c r="P7" s="175">
        <v>1734443.2408094781</v>
      </c>
      <c r="R7" s="175">
        <f>VAC_Optim_Scenario!$H36</f>
        <v>1205648.4257292538</v>
      </c>
      <c r="S7" s="167">
        <f>IFERROR((R7-$C7)/$C7,"")</f>
        <v>6.2516789073202669E-2</v>
      </c>
      <c r="T7" s="175">
        <f>VAC_Optim_Scenario!$J36</f>
        <v>1734437.3281754742</v>
      </c>
    </row>
    <row r="8" spans="2:20" x14ac:dyDescent="0.25">
      <c r="B8" s="174" t="str">
        <f>VAC_Optim_Scenario!B18</f>
        <v>HCP MCM</v>
      </c>
      <c r="C8" s="175">
        <f>VAC_Optim_Scenario!E18</f>
        <v>10503728.719999999</v>
      </c>
      <c r="D8" s="175">
        <f>VAC_Optim_Scenario!G37</f>
        <v>65147335.716204539</v>
      </c>
      <c r="E8" s="175"/>
      <c r="F8" s="175">
        <v>12488864.37738057</v>
      </c>
      <c r="G8" s="167">
        <v>0.1889934241733322</v>
      </c>
      <c r="H8" s="175">
        <v>74432868.816610605</v>
      </c>
      <c r="I8" s="175"/>
      <c r="J8" s="175">
        <v>28000000</v>
      </c>
      <c r="K8" s="167">
        <v>1.6657200263260419</v>
      </c>
      <c r="L8" s="175">
        <v>123284278.49031536</v>
      </c>
      <c r="M8" s="175"/>
      <c r="N8" s="175">
        <v>28000000</v>
      </c>
      <c r="O8" s="167">
        <v>1.6657200263260419</v>
      </c>
      <c r="P8" s="175">
        <v>123284278.49031536</v>
      </c>
      <c r="R8" s="175">
        <f>VAC_Optim_Scenario!$H37</f>
        <v>27999999.999999996</v>
      </c>
      <c r="S8" s="167">
        <f t="shared" ref="S8:S16" si="0">IFERROR((R8-$C8)/$C8,"")</f>
        <v>1.6657200263260417</v>
      </c>
      <c r="T8" s="175">
        <f>VAC_Optim_Scenario!$J37</f>
        <v>123284278.49031536</v>
      </c>
    </row>
    <row r="9" spans="2:20" x14ac:dyDescent="0.25">
      <c r="B9" s="174" t="str">
        <f>VAC_Optim_Scenario!B19</f>
        <v>HCC Social</v>
      </c>
      <c r="C9" s="175">
        <f>VAC_Optim_Scenario!E19</f>
        <v>1751000</v>
      </c>
      <c r="D9" s="175">
        <f>VAC_Optim_Scenario!G38</f>
        <v>5381981.983070978</v>
      </c>
      <c r="E9" s="175"/>
      <c r="F9" s="175">
        <v>1800000</v>
      </c>
      <c r="G9" s="167">
        <v>2.7984009137635636E-2</v>
      </c>
      <c r="H9" s="175">
        <v>5471848.3801533533</v>
      </c>
      <c r="I9" s="175"/>
      <c r="J9" s="175">
        <v>3728786.1507968083</v>
      </c>
      <c r="K9" s="167">
        <v>1.129518075840553</v>
      </c>
      <c r="L9" s="175">
        <v>8470538.8378552049</v>
      </c>
      <c r="M9" s="175"/>
      <c r="N9" s="175">
        <v>8925334.2009883299</v>
      </c>
      <c r="O9" s="167">
        <v>4.097278241569577</v>
      </c>
      <c r="P9" s="175">
        <v>14300303.147426583</v>
      </c>
      <c r="R9" s="175">
        <f>VAC_Optim_Scenario!$H38</f>
        <v>8925323.295826504</v>
      </c>
      <c r="S9" s="167">
        <f t="shared" si="0"/>
        <v>4.0972720136073697</v>
      </c>
      <c r="T9" s="175">
        <f>VAC_Optim_Scenario!$J38</f>
        <v>14300292.66397658</v>
      </c>
    </row>
    <row r="10" spans="2:20" x14ac:dyDescent="0.25">
      <c r="B10" s="174" t="str">
        <f>VAC_Optim_Scenario!B20</f>
        <v>HCC Online Video</v>
      </c>
      <c r="C10" s="175">
        <f>VAC_Optim_Scenario!E20</f>
        <v>1111779.04</v>
      </c>
      <c r="D10" s="175">
        <f>VAC_Optim_Scenario!G39</f>
        <v>4890750.4826741321</v>
      </c>
      <c r="E10" s="175"/>
      <c r="F10" s="175">
        <v>1100000</v>
      </c>
      <c r="G10" s="167">
        <v>-1.0594767104082154E-2</v>
      </c>
      <c r="H10" s="175">
        <v>4854627.720414157</v>
      </c>
      <c r="I10" s="175"/>
      <c r="J10" s="175">
        <v>2406141.2478490984</v>
      </c>
      <c r="K10" s="167">
        <v>1.1642261288260105</v>
      </c>
      <c r="L10" s="175">
        <v>7605447.9334028987</v>
      </c>
      <c r="M10" s="175"/>
      <c r="N10" s="175">
        <v>2964309.5952478638</v>
      </c>
      <c r="O10" s="167">
        <v>1.6662758413289243</v>
      </c>
      <c r="P10" s="175">
        <v>8247645.469408649</v>
      </c>
      <c r="R10" s="175">
        <f>VAC_Optim_Scenario!$H39</f>
        <v>2964315.5405303156</v>
      </c>
      <c r="S10" s="167">
        <f t="shared" si="0"/>
        <v>1.6662811888685323</v>
      </c>
      <c r="T10" s="175">
        <f>VAC_Optim_Scenario!$J39</f>
        <v>8247651.1848041052</v>
      </c>
    </row>
    <row r="11" spans="2:20" x14ac:dyDescent="0.25">
      <c r="B11" s="174" t="str">
        <f>VAC_Optim_Scenario!B21</f>
        <v>HCC Streaming Video</v>
      </c>
      <c r="C11" s="175">
        <f>VAC_Optim_Scenario!E21</f>
        <v>13418576</v>
      </c>
      <c r="D11" s="175">
        <f>VAC_Optim_Scenario!G40</f>
        <v>22776633.092457965</v>
      </c>
      <c r="E11" s="175"/>
      <c r="F11" s="175">
        <v>9400000</v>
      </c>
      <c r="G11" s="167">
        <v>-0.29947857358336682</v>
      </c>
      <c r="H11" s="175">
        <v>17753521.979413368</v>
      </c>
      <c r="I11" s="175"/>
      <c r="J11" s="175">
        <v>9400000</v>
      </c>
      <c r="K11" s="167">
        <v>-0.29947857358336682</v>
      </c>
      <c r="L11" s="175">
        <v>17753521.979413368</v>
      </c>
      <c r="M11" s="175"/>
      <c r="N11" s="175">
        <v>27189674.894946974</v>
      </c>
      <c r="O11" s="167">
        <v>1.0262712597034866</v>
      </c>
      <c r="P11" s="175">
        <v>37340302.763540663</v>
      </c>
      <c r="R11" s="175">
        <f>VAC_Optim_Scenario!$H40</f>
        <v>27189753.440885648</v>
      </c>
      <c r="S11" s="167">
        <f t="shared" si="0"/>
        <v>1.0262771132261461</v>
      </c>
      <c r="T11" s="175">
        <f>VAC_Optim_Scenario!$J40</f>
        <v>37340378.271964729</v>
      </c>
    </row>
    <row r="12" spans="2:20" x14ac:dyDescent="0.25">
      <c r="B12" s="174" t="str">
        <f>VAC_Optim_Scenario!B22</f>
        <v>HCC Display</v>
      </c>
      <c r="C12" s="175">
        <f>VAC_Optim_Scenario!E22</f>
        <v>2859426.82</v>
      </c>
      <c r="D12" s="175">
        <f>VAC_Optim_Scenario!G41</f>
        <v>17186128.903236553</v>
      </c>
      <c r="E12" s="175"/>
      <c r="F12" s="175">
        <v>2900000</v>
      </c>
      <c r="G12" s="167">
        <v>1.4189270281797305E-2</v>
      </c>
      <c r="H12" s="175">
        <v>17332031.585250624</v>
      </c>
      <c r="I12" s="175"/>
      <c r="J12" s="175">
        <v>10000000</v>
      </c>
      <c r="K12" s="167">
        <v>2.4972043802820596</v>
      </c>
      <c r="L12" s="175">
        <v>36425932.046151049</v>
      </c>
      <c r="M12" s="175"/>
      <c r="N12" s="175">
        <v>10000000</v>
      </c>
      <c r="O12" s="167">
        <v>2.4972043802820596</v>
      </c>
      <c r="P12" s="175">
        <v>36425932.046151049</v>
      </c>
      <c r="R12" s="175">
        <f>VAC_Optim_Scenario!$H41</f>
        <v>10000000</v>
      </c>
      <c r="S12" s="167">
        <f t="shared" si="0"/>
        <v>2.4972043802820596</v>
      </c>
      <c r="T12" s="175">
        <f>VAC_Optim_Scenario!$J41</f>
        <v>36425932.046151049</v>
      </c>
    </row>
    <row r="13" spans="2:20" x14ac:dyDescent="0.25">
      <c r="B13" s="174" t="str">
        <f>VAC_Optim_Scenario!B23</f>
        <v>HCC Paid Search</v>
      </c>
      <c r="C13" s="175">
        <f>VAC_Optim_Scenario!E23</f>
        <v>50000</v>
      </c>
      <c r="D13" s="175">
        <f>VAC_Optim_Scenario!G42</f>
        <v>6809106.9964962909</v>
      </c>
      <c r="E13" s="175"/>
      <c r="F13" s="175">
        <v>240000</v>
      </c>
      <c r="G13" s="167">
        <v>3.8</v>
      </c>
      <c r="H13" s="175">
        <v>20415453.17978172</v>
      </c>
      <c r="I13" s="175"/>
      <c r="J13" s="175">
        <v>240000</v>
      </c>
      <c r="K13" s="167">
        <v>3.8</v>
      </c>
      <c r="L13" s="175">
        <v>20415453.17978172</v>
      </c>
      <c r="M13" s="175"/>
      <c r="N13" s="175">
        <v>240000</v>
      </c>
      <c r="O13" s="167">
        <v>3.8</v>
      </c>
      <c r="P13" s="175">
        <v>20415453.17978172</v>
      </c>
      <c r="R13" s="175">
        <f>VAC_Optim_Scenario!$H42</f>
        <v>240000</v>
      </c>
      <c r="S13" s="167">
        <f t="shared" si="0"/>
        <v>3.8</v>
      </c>
      <c r="T13" s="175">
        <f>VAC_Optim_Scenario!$J42</f>
        <v>20415453.17978172</v>
      </c>
    </row>
    <row r="14" spans="2:20" x14ac:dyDescent="0.25">
      <c r="B14" s="174" t="str">
        <f>VAC_Optim_Scenario!B24</f>
        <v>HCC Linear TV</v>
      </c>
      <c r="C14" s="175">
        <f>VAC_Optim_Scenario!E24</f>
        <v>25810928.600000001</v>
      </c>
      <c r="D14" s="175">
        <f>VAC_Optim_Scenario!G43</f>
        <v>38072697.978218496</v>
      </c>
      <c r="E14" s="175"/>
      <c r="F14" s="175">
        <v>28089210.845459402</v>
      </c>
      <c r="G14" s="167">
        <v>8.8268123970533935E-2</v>
      </c>
      <c r="H14" s="175">
        <v>40395109.499387152</v>
      </c>
      <c r="I14" s="175"/>
      <c r="J14" s="175">
        <v>28089210.840000004</v>
      </c>
      <c r="K14" s="167">
        <v>8.8268123759018963E-2</v>
      </c>
      <c r="L14" s="175">
        <v>40395109.493891343</v>
      </c>
      <c r="M14" s="175"/>
      <c r="N14" s="175">
        <v>32753762.361740299</v>
      </c>
      <c r="O14" s="167">
        <v>0.26898814333012011</v>
      </c>
      <c r="P14" s="175">
        <v>44981501.547008812</v>
      </c>
      <c r="R14" s="175">
        <f>VAC_Optim_Scenario!$H43</f>
        <v>32753689.22929937</v>
      </c>
      <c r="S14" s="167">
        <f t="shared" si="0"/>
        <v>0.26898530993957992</v>
      </c>
      <c r="T14" s="175">
        <f>VAC_Optim_Scenario!$J43</f>
        <v>44981431.242851108</v>
      </c>
    </row>
    <row r="15" spans="2:20" x14ac:dyDescent="0.25">
      <c r="B15" s="174" t="str">
        <f>VAC_Optim_Scenario!B25</f>
        <v>HCC Radio</v>
      </c>
      <c r="C15" s="175">
        <f>VAC_Optim_Scenario!E25</f>
        <v>923975</v>
      </c>
      <c r="D15" s="175">
        <f>VAC_Optim_Scenario!G44</f>
        <v>6005837.5</v>
      </c>
      <c r="E15" s="175"/>
      <c r="F15" s="175">
        <v>658016.9571600249</v>
      </c>
      <c r="G15" s="167">
        <v>-0.28784116760732176</v>
      </c>
      <c r="H15" s="175">
        <v>4899138.263069096</v>
      </c>
      <c r="I15" s="175"/>
      <c r="J15" s="175">
        <v>4800000</v>
      </c>
      <c r="K15" s="167">
        <v>4.1949457506967178</v>
      </c>
      <c r="L15" s="175">
        <v>16140693.376618303</v>
      </c>
      <c r="M15" s="175"/>
      <c r="N15" s="175">
        <v>4800000</v>
      </c>
      <c r="O15" s="167">
        <v>4.1949457506967178</v>
      </c>
      <c r="P15" s="175">
        <v>16140693.376618303</v>
      </c>
      <c r="R15" s="175">
        <f>VAC_Optim_Scenario!$H44</f>
        <v>4800000</v>
      </c>
      <c r="S15" s="167">
        <f t="shared" si="0"/>
        <v>4.1949457506967178</v>
      </c>
      <c r="T15" s="175">
        <f>VAC_Optim_Scenario!$J44</f>
        <v>16140693.376618303</v>
      </c>
    </row>
    <row r="16" spans="2:20" x14ac:dyDescent="0.25">
      <c r="B16" s="174" t="str">
        <f>VAC_Optim_Scenario!B26</f>
        <v>HCC Pharmacy</v>
      </c>
      <c r="C16" s="175">
        <f>VAC_Optim_Scenario!E26</f>
        <v>2411968</v>
      </c>
      <c r="D16" s="175">
        <f>VAC_Optim_Scenario!G45</f>
        <v>4113447.783876779</v>
      </c>
      <c r="E16" s="175"/>
      <c r="F16" s="175">
        <v>2400000</v>
      </c>
      <c r="G16" s="167">
        <v>-4.9619232095948207E-3</v>
      </c>
      <c r="H16" s="175">
        <v>4097760.647716294</v>
      </c>
      <c r="I16" s="175"/>
      <c r="J16" s="175">
        <v>2400000</v>
      </c>
      <c r="K16" s="167">
        <v>-4.9619232095948207E-3</v>
      </c>
      <c r="L16" s="175">
        <v>4097760.647716294</v>
      </c>
      <c r="M16" s="175"/>
      <c r="N16" s="175">
        <v>3873448.682964209</v>
      </c>
      <c r="O16" s="167">
        <v>0.60592872001793097</v>
      </c>
      <c r="P16" s="175">
        <v>5759619.6321192309</v>
      </c>
      <c r="R16" s="175">
        <f>VAC_Optim_Scenario!$H45</f>
        <v>3873454.4914096105</v>
      </c>
      <c r="S16" s="167">
        <f t="shared" si="0"/>
        <v>0.60593112819473993</v>
      </c>
      <c r="T16" s="175">
        <f>VAC_Optim_Scenario!$J45</f>
        <v>5759625.2159447474</v>
      </c>
    </row>
    <row r="17" spans="2:21" ht="34.35" customHeight="1" x14ac:dyDescent="0.25">
      <c r="B17" s="176" t="s">
        <v>199</v>
      </c>
      <c r="C17" s="177">
        <f>SUM(C7:C16)</f>
        <v>59976092.18</v>
      </c>
      <c r="D17" s="177">
        <f>SUM(D7:D16)</f>
        <v>172048616.21900794</v>
      </c>
      <c r="E17" s="169"/>
      <c r="F17" s="177">
        <f>SUM(F7:F16)</f>
        <v>59976092.18</v>
      </c>
      <c r="G17" s="178">
        <f>(F17-$C$17)/$C$17</f>
        <v>0</v>
      </c>
      <c r="H17" s="177">
        <f>SUM(H7:H16)</f>
        <v>191062791.81631523</v>
      </c>
      <c r="I17" s="169"/>
      <c r="J17" s="177">
        <f>SUM(J7:J16)</f>
        <v>89964138.238645911</v>
      </c>
      <c r="K17" s="178">
        <f>(J17-$C$17)/$C$17</f>
        <v>0.49999999947722357</v>
      </c>
      <c r="L17" s="177">
        <f>SUM(L7:L16)</f>
        <v>275999167.72966444</v>
      </c>
      <c r="M17" s="177"/>
      <c r="N17" s="177">
        <f>SUM(N7:N16)</f>
        <v>119952184.31207803</v>
      </c>
      <c r="O17" s="178">
        <f>(N17-$C$17)/$C$17</f>
        <v>0.99999999920098215</v>
      </c>
      <c r="P17" s="177">
        <f>SUM(P7:P16)</f>
        <v>308630172.89317989</v>
      </c>
      <c r="R17" s="177">
        <f>SUM(R7:R16)</f>
        <v>119952184.42368071</v>
      </c>
      <c r="S17" s="178">
        <f>(R17-$C$17)/$C$17</f>
        <v>1.0000000010617682</v>
      </c>
      <c r="T17" s="177">
        <f>SUM(T7:T16)</f>
        <v>308630173.00058323</v>
      </c>
      <c r="U17" s="332">
        <f>T17/193.91</f>
        <v>1591615.558767383</v>
      </c>
    </row>
    <row r="18" spans="2:21" x14ac:dyDescent="0.25">
      <c r="D18" s="99">
        <f>D17/C17</f>
        <v>2.8686199778181005</v>
      </c>
    </row>
    <row r="20" spans="2:21" ht="15" customHeight="1" x14ac:dyDescent="0.25">
      <c r="F20" s="377" t="str">
        <f>F4</f>
        <v>Optimal channel spend allowed to vary based on custom constrains of the 2023 channel spend</v>
      </c>
      <c r="G20" s="378"/>
      <c r="H20" s="378"/>
      <c r="I20" s="378"/>
      <c r="J20" s="378"/>
      <c r="K20" s="378"/>
      <c r="L20" s="378"/>
      <c r="M20" s="378"/>
      <c r="N20" s="378"/>
      <c r="O20" s="378"/>
      <c r="P20" s="379"/>
    </row>
    <row r="21" spans="2:21" ht="30.2" customHeight="1" x14ac:dyDescent="0.25">
      <c r="C21" s="381" t="s">
        <v>268</v>
      </c>
      <c r="D21" s="382"/>
      <c r="E21" s="179"/>
      <c r="F21" s="373" t="str">
        <f>F5</f>
        <v>Current Optimal ($60MM)</v>
      </c>
      <c r="G21" s="374"/>
      <c r="H21" s="375"/>
      <c r="I21" s="180"/>
      <c r="J21" s="373" t="str">
        <f>J5</f>
        <v>50% increase optimal ($90M)</v>
      </c>
      <c r="K21" s="374"/>
      <c r="L21" s="375"/>
      <c r="M21" s="333"/>
      <c r="N21" s="380" t="str">
        <f>N5</f>
        <v>100% increase optimal ($120M)</v>
      </c>
      <c r="O21" s="380"/>
      <c r="P21" s="380"/>
    </row>
    <row r="22" spans="2:21" ht="30" x14ac:dyDescent="0.25">
      <c r="B22" s="172" t="s">
        <v>194</v>
      </c>
      <c r="C22" s="181" t="s">
        <v>200</v>
      </c>
      <c r="D22" s="182" t="s">
        <v>201</v>
      </c>
      <c r="E22" s="183"/>
      <c r="F22" s="204" t="s">
        <v>203</v>
      </c>
      <c r="G22" s="182" t="s">
        <v>197</v>
      </c>
      <c r="H22" s="184" t="s">
        <v>198</v>
      </c>
      <c r="I22" s="183"/>
      <c r="J22" s="204" t="s">
        <v>203</v>
      </c>
      <c r="K22" s="182" t="s">
        <v>197</v>
      </c>
      <c r="L22" s="184" t="s">
        <v>198</v>
      </c>
      <c r="M22" s="334"/>
      <c r="N22" s="204" t="s">
        <v>203</v>
      </c>
      <c r="O22" s="182" t="s">
        <v>197</v>
      </c>
      <c r="P22" s="184" t="s">
        <v>198</v>
      </c>
    </row>
    <row r="23" spans="2:21" x14ac:dyDescent="0.25">
      <c r="B23" s="174" t="str">
        <f t="shared" ref="B23:B32" si="1">B7</f>
        <v>HCC InOffice</v>
      </c>
      <c r="C23" s="185">
        <f t="shared" ref="C23:D30" si="2">C7/1000000</f>
        <v>1.1347100000000001</v>
      </c>
      <c r="D23" s="274">
        <f t="shared" si="2"/>
        <v>1.6646957827721967</v>
      </c>
      <c r="E23" s="187"/>
      <c r="F23" s="188">
        <f t="shared" ref="F23:F30" si="3">F7/1000000</f>
        <v>0.9</v>
      </c>
      <c r="G23" s="189">
        <f t="shared" ref="G23:G30" si="4">IFERROR(G7,"")</f>
        <v>-0.20684580201108654</v>
      </c>
      <c r="H23" s="190">
        <f t="shared" ref="H23:H30" si="5">H7/1000000</f>
        <v>1.4104317445188572</v>
      </c>
      <c r="I23" s="187"/>
      <c r="J23" s="188">
        <f t="shared" ref="J23:J30" si="6">J7/1000000</f>
        <v>0.9</v>
      </c>
      <c r="K23" s="189">
        <f t="shared" ref="K23:K30" si="7">K7</f>
        <v>-0.20684580201108654</v>
      </c>
      <c r="L23" s="190">
        <f t="shared" ref="L23:L30" si="8">L7/1000000</f>
        <v>1.4104317445188572</v>
      </c>
      <c r="M23" s="335"/>
      <c r="N23" s="188">
        <f t="shared" ref="N23:N30" si="9">N7/1000000</f>
        <v>1.2056545761903645</v>
      </c>
      <c r="O23" s="189">
        <f t="shared" ref="O23:O30" si="10">O7</f>
        <v>6.2522209366591058E-2</v>
      </c>
      <c r="P23" s="190">
        <f t="shared" ref="P23:P30" si="11">P7/1000000</f>
        <v>1.7344432408094781</v>
      </c>
    </row>
    <row r="24" spans="2:21" x14ac:dyDescent="0.25">
      <c r="B24" s="174" t="str">
        <f t="shared" si="1"/>
        <v>HCP MCM</v>
      </c>
      <c r="C24" s="191">
        <f t="shared" si="2"/>
        <v>10.503728719999998</v>
      </c>
      <c r="D24" s="275">
        <f t="shared" si="2"/>
        <v>65.147335716204537</v>
      </c>
      <c r="E24" s="187"/>
      <c r="F24" s="192">
        <f t="shared" si="3"/>
        <v>12.488864377380571</v>
      </c>
      <c r="G24" s="193">
        <f t="shared" si="4"/>
        <v>0.1889934241733322</v>
      </c>
      <c r="H24" s="194">
        <f t="shared" si="5"/>
        <v>74.432868816610608</v>
      </c>
      <c r="I24" s="187"/>
      <c r="J24" s="192">
        <f t="shared" si="6"/>
        <v>28</v>
      </c>
      <c r="K24" s="189">
        <f t="shared" si="7"/>
        <v>1.6657200263260419</v>
      </c>
      <c r="L24" s="194">
        <f t="shared" si="8"/>
        <v>123.28427849031536</v>
      </c>
      <c r="M24" s="335"/>
      <c r="N24" s="192">
        <f t="shared" si="9"/>
        <v>28</v>
      </c>
      <c r="O24" s="189">
        <f t="shared" si="10"/>
        <v>1.6657200263260419</v>
      </c>
      <c r="P24" s="194">
        <f t="shared" si="11"/>
        <v>123.28427849031536</v>
      </c>
    </row>
    <row r="25" spans="2:21" x14ac:dyDescent="0.25">
      <c r="B25" s="174" t="str">
        <f t="shared" si="1"/>
        <v>HCC Social</v>
      </c>
      <c r="C25" s="191">
        <f t="shared" si="2"/>
        <v>1.7509999999999999</v>
      </c>
      <c r="D25" s="275">
        <f t="shared" si="2"/>
        <v>5.3819819830709781</v>
      </c>
      <c r="E25" s="187"/>
      <c r="F25" s="192">
        <f t="shared" si="3"/>
        <v>1.8</v>
      </c>
      <c r="G25" s="193">
        <f t="shared" si="4"/>
        <v>2.7984009137635636E-2</v>
      </c>
      <c r="H25" s="194">
        <f t="shared" si="5"/>
        <v>5.4718483801533537</v>
      </c>
      <c r="I25" s="187"/>
      <c r="J25" s="192">
        <f t="shared" si="6"/>
        <v>3.7287861507968083</v>
      </c>
      <c r="K25" s="189">
        <f t="shared" si="7"/>
        <v>1.129518075840553</v>
      </c>
      <c r="L25" s="194">
        <f t="shared" si="8"/>
        <v>8.4705388378552051</v>
      </c>
      <c r="M25" s="335"/>
      <c r="N25" s="192">
        <f t="shared" si="9"/>
        <v>8.9253342009883294</v>
      </c>
      <c r="O25" s="189">
        <f t="shared" si="10"/>
        <v>4.097278241569577</v>
      </c>
      <c r="P25" s="194">
        <f t="shared" si="11"/>
        <v>14.300303147426582</v>
      </c>
    </row>
    <row r="26" spans="2:21" x14ac:dyDescent="0.25">
      <c r="B26" s="174" t="str">
        <f t="shared" si="1"/>
        <v>HCC Online Video</v>
      </c>
      <c r="C26" s="191">
        <f t="shared" si="2"/>
        <v>1.1117790400000001</v>
      </c>
      <c r="D26" s="275">
        <f t="shared" si="2"/>
        <v>4.8907504826741324</v>
      </c>
      <c r="E26" s="187"/>
      <c r="F26" s="192">
        <f t="shared" si="3"/>
        <v>1.1000000000000001</v>
      </c>
      <c r="G26" s="193">
        <f t="shared" si="4"/>
        <v>-1.0594767104082154E-2</v>
      </c>
      <c r="H26" s="194">
        <f t="shared" si="5"/>
        <v>4.8546277204141575</v>
      </c>
      <c r="I26" s="187"/>
      <c r="J26" s="192">
        <f t="shared" si="6"/>
        <v>2.4061412478490984</v>
      </c>
      <c r="K26" s="189">
        <f t="shared" si="7"/>
        <v>1.1642261288260105</v>
      </c>
      <c r="L26" s="194">
        <f t="shared" si="8"/>
        <v>7.6054479334028988</v>
      </c>
      <c r="M26" s="335"/>
      <c r="N26" s="192">
        <f t="shared" si="9"/>
        <v>2.964309595247864</v>
      </c>
      <c r="O26" s="189">
        <f t="shared" si="10"/>
        <v>1.6662758413289243</v>
      </c>
      <c r="P26" s="194">
        <f t="shared" si="11"/>
        <v>8.2476454694086492</v>
      </c>
    </row>
    <row r="27" spans="2:21" x14ac:dyDescent="0.25">
      <c r="B27" s="174" t="str">
        <f t="shared" si="1"/>
        <v>HCC Streaming Video</v>
      </c>
      <c r="C27" s="191">
        <f t="shared" si="2"/>
        <v>13.418576</v>
      </c>
      <c r="D27" s="275">
        <f t="shared" si="2"/>
        <v>22.776633092457963</v>
      </c>
      <c r="E27" s="187"/>
      <c r="F27" s="192">
        <f t="shared" si="3"/>
        <v>9.4</v>
      </c>
      <c r="G27" s="331">
        <f t="shared" si="4"/>
        <v>-0.29947857358336682</v>
      </c>
      <c r="H27" s="194">
        <f t="shared" si="5"/>
        <v>17.753521979413367</v>
      </c>
      <c r="I27" s="187"/>
      <c r="J27" s="192">
        <f t="shared" si="6"/>
        <v>9.4</v>
      </c>
      <c r="K27" s="189">
        <f t="shared" si="7"/>
        <v>-0.29947857358336682</v>
      </c>
      <c r="L27" s="194">
        <f t="shared" si="8"/>
        <v>17.753521979413367</v>
      </c>
      <c r="M27" s="335"/>
      <c r="N27" s="192">
        <f t="shared" si="9"/>
        <v>27.189674894946975</v>
      </c>
      <c r="O27" s="189">
        <f t="shared" si="10"/>
        <v>1.0262712597034866</v>
      </c>
      <c r="P27" s="194">
        <f t="shared" si="11"/>
        <v>37.340302763540663</v>
      </c>
    </row>
    <row r="28" spans="2:21" x14ac:dyDescent="0.25">
      <c r="B28" s="174" t="str">
        <f t="shared" si="1"/>
        <v>HCC Display</v>
      </c>
      <c r="C28" s="191">
        <f t="shared" si="2"/>
        <v>2.8594268199999999</v>
      </c>
      <c r="D28" s="275">
        <f t="shared" si="2"/>
        <v>17.186128903236554</v>
      </c>
      <c r="E28" s="187"/>
      <c r="F28" s="192">
        <f t="shared" si="3"/>
        <v>2.9</v>
      </c>
      <c r="G28" s="331">
        <f t="shared" si="4"/>
        <v>1.4189270281797305E-2</v>
      </c>
      <c r="H28" s="194">
        <f t="shared" si="5"/>
        <v>17.332031585250622</v>
      </c>
      <c r="I28" s="187"/>
      <c r="J28" s="192">
        <f t="shared" si="6"/>
        <v>10</v>
      </c>
      <c r="K28" s="189">
        <f t="shared" si="7"/>
        <v>2.4972043802820596</v>
      </c>
      <c r="L28" s="194">
        <f t="shared" si="8"/>
        <v>36.425932046151047</v>
      </c>
      <c r="M28" s="335"/>
      <c r="N28" s="192">
        <f t="shared" si="9"/>
        <v>10</v>
      </c>
      <c r="O28" s="189">
        <f t="shared" si="10"/>
        <v>2.4972043802820596</v>
      </c>
      <c r="P28" s="194">
        <f t="shared" si="11"/>
        <v>36.425932046151047</v>
      </c>
    </row>
    <row r="29" spans="2:21" x14ac:dyDescent="0.25">
      <c r="B29" s="174" t="str">
        <f t="shared" si="1"/>
        <v>HCC Paid Search</v>
      </c>
      <c r="C29" s="191">
        <f t="shared" si="2"/>
        <v>0.05</v>
      </c>
      <c r="D29" s="275">
        <f t="shared" si="2"/>
        <v>6.8091069964962907</v>
      </c>
      <c r="E29" s="187"/>
      <c r="F29" s="192">
        <f t="shared" si="3"/>
        <v>0.24</v>
      </c>
      <c r="G29" s="193">
        <f t="shared" si="4"/>
        <v>3.8</v>
      </c>
      <c r="H29" s="194">
        <f t="shared" si="5"/>
        <v>20.415453179781721</v>
      </c>
      <c r="I29" s="187"/>
      <c r="J29" s="192">
        <f t="shared" si="6"/>
        <v>0.24</v>
      </c>
      <c r="K29" s="189">
        <f t="shared" si="7"/>
        <v>3.8</v>
      </c>
      <c r="L29" s="194">
        <f t="shared" si="8"/>
        <v>20.415453179781721</v>
      </c>
      <c r="M29" s="335"/>
      <c r="N29" s="192">
        <f t="shared" si="9"/>
        <v>0.24</v>
      </c>
      <c r="O29" s="189">
        <f t="shared" si="10"/>
        <v>3.8</v>
      </c>
      <c r="P29" s="194">
        <f t="shared" si="11"/>
        <v>20.415453179781721</v>
      </c>
    </row>
    <row r="30" spans="2:21" x14ac:dyDescent="0.25">
      <c r="B30" s="174" t="str">
        <f t="shared" si="1"/>
        <v>HCC Linear TV</v>
      </c>
      <c r="C30" s="191">
        <f t="shared" si="2"/>
        <v>25.8109286</v>
      </c>
      <c r="D30" s="275">
        <f t="shared" si="2"/>
        <v>38.072697978218493</v>
      </c>
      <c r="E30" s="187"/>
      <c r="F30" s="192">
        <f t="shared" si="3"/>
        <v>28.089210845459402</v>
      </c>
      <c r="G30" s="193">
        <f t="shared" si="4"/>
        <v>8.8268123970533935E-2</v>
      </c>
      <c r="H30" s="194">
        <f t="shared" si="5"/>
        <v>40.395109499387154</v>
      </c>
      <c r="I30" s="187"/>
      <c r="J30" s="192">
        <f t="shared" si="6"/>
        <v>28.089210840000003</v>
      </c>
      <c r="K30" s="189">
        <f t="shared" si="7"/>
        <v>8.8268123759018963E-2</v>
      </c>
      <c r="L30" s="194">
        <f t="shared" si="8"/>
        <v>40.39510949389134</v>
      </c>
      <c r="M30" s="335"/>
      <c r="N30" s="192">
        <f t="shared" si="9"/>
        <v>32.7537623617403</v>
      </c>
      <c r="O30" s="189">
        <f t="shared" si="10"/>
        <v>0.26898814333012011</v>
      </c>
      <c r="P30" s="194">
        <f t="shared" si="11"/>
        <v>44.981501547008811</v>
      </c>
      <c r="S30" s="361"/>
    </row>
    <row r="31" spans="2:21" x14ac:dyDescent="0.25">
      <c r="B31" s="341" t="str">
        <f t="shared" si="1"/>
        <v>HCC Radio</v>
      </c>
      <c r="C31" s="191">
        <f t="shared" ref="C31:D31" si="12">C15/1000000</f>
        <v>0.92397499999999999</v>
      </c>
      <c r="D31" s="275">
        <f t="shared" si="12"/>
        <v>6.0058375000000002</v>
      </c>
      <c r="E31" s="187"/>
      <c r="F31" s="192">
        <f t="shared" ref="F31:F32" si="13">F15/1000000</f>
        <v>0.65801695716002495</v>
      </c>
      <c r="G31" s="193">
        <f t="shared" ref="G31:G32" si="14">IFERROR(G15,"")</f>
        <v>-0.28784116760732176</v>
      </c>
      <c r="H31" s="194">
        <f t="shared" ref="H31:H32" si="15">H15/1000000</f>
        <v>4.8991382630690961</v>
      </c>
      <c r="I31" s="187"/>
      <c r="J31" s="192">
        <f t="shared" ref="J31:J32" si="16">J15/1000000</f>
        <v>4.8</v>
      </c>
      <c r="K31" s="189">
        <f t="shared" ref="K31:K32" si="17">K15</f>
        <v>4.1949457506967178</v>
      </c>
      <c r="L31" s="194">
        <f t="shared" ref="L31:L32" si="18">L15/1000000</f>
        <v>16.140693376618302</v>
      </c>
      <c r="M31" s="335"/>
      <c r="N31" s="192">
        <f t="shared" ref="N31:N32" si="19">N15/1000000</f>
        <v>4.8</v>
      </c>
      <c r="O31" s="189">
        <f t="shared" ref="O31:O32" si="20">O15</f>
        <v>4.1949457506967178</v>
      </c>
      <c r="P31" s="194">
        <f t="shared" ref="P31:P32" si="21">P15/1000000</f>
        <v>16.140693376618302</v>
      </c>
    </row>
    <row r="32" spans="2:21" x14ac:dyDescent="0.25">
      <c r="B32" s="341" t="str">
        <f t="shared" si="1"/>
        <v>HCC Pharmacy</v>
      </c>
      <c r="C32" s="191">
        <f t="shared" ref="C32:D32" si="22">C16/1000000</f>
        <v>2.4119679999999999</v>
      </c>
      <c r="D32" s="275">
        <f t="shared" si="22"/>
        <v>4.1134477838767793</v>
      </c>
      <c r="E32" s="187"/>
      <c r="F32" s="192">
        <f t="shared" si="13"/>
        <v>2.4</v>
      </c>
      <c r="G32" s="193">
        <f t="shared" si="14"/>
        <v>-4.9619232095948207E-3</v>
      </c>
      <c r="H32" s="194">
        <f t="shared" si="15"/>
        <v>4.097760647716294</v>
      </c>
      <c r="I32" s="187"/>
      <c r="J32" s="192">
        <f t="shared" si="16"/>
        <v>2.4</v>
      </c>
      <c r="K32" s="189">
        <f t="shared" si="17"/>
        <v>-4.9619232095948207E-3</v>
      </c>
      <c r="L32" s="194">
        <f t="shared" si="18"/>
        <v>4.097760647716294</v>
      </c>
      <c r="M32" s="335"/>
      <c r="N32" s="192">
        <f t="shared" si="19"/>
        <v>3.873448682964209</v>
      </c>
      <c r="O32" s="189">
        <f t="shared" si="20"/>
        <v>0.60592872001793097</v>
      </c>
      <c r="P32" s="194">
        <f t="shared" si="21"/>
        <v>5.7596196321192306</v>
      </c>
      <c r="S32" s="170"/>
    </row>
    <row r="33" spans="2:19" ht="29.45" customHeight="1" x14ac:dyDescent="0.25">
      <c r="B33" s="362" t="s">
        <v>199</v>
      </c>
      <c r="C33" s="196">
        <f t="shared" ref="C33:D33" si="23">C17/1000000</f>
        <v>59.976092180000002</v>
      </c>
      <c r="D33" s="197">
        <f t="shared" si="23"/>
        <v>172.04861621900793</v>
      </c>
      <c r="E33" s="198"/>
      <c r="F33" s="199">
        <f t="shared" ref="F33" si="24">F17/1000000</f>
        <v>59.976092180000002</v>
      </c>
      <c r="G33" s="200">
        <f>G17</f>
        <v>0</v>
      </c>
      <c r="H33" s="201">
        <f t="shared" ref="H33" si="25">H17/1000000</f>
        <v>191.06279181631524</v>
      </c>
      <c r="I33" s="198"/>
      <c r="J33" s="199">
        <f t="shared" ref="J33" si="26">J17/1000000</f>
        <v>89.964138238645916</v>
      </c>
      <c r="K33" s="200">
        <f t="shared" ref="K33" si="27">K17</f>
        <v>0.49999999947722357</v>
      </c>
      <c r="L33" s="201">
        <f t="shared" ref="L33" si="28">L17/1000000</f>
        <v>275.99916772966446</v>
      </c>
      <c r="M33" s="336"/>
      <c r="N33" s="199">
        <f t="shared" ref="N33" si="29">N17/1000000</f>
        <v>119.95218431207803</v>
      </c>
      <c r="O33" s="200">
        <f t="shared" ref="O33" si="30">O17</f>
        <v>0.99999999920098215</v>
      </c>
      <c r="P33" s="201">
        <f t="shared" ref="P33" si="31">P17/1000000</f>
        <v>308.63017289317992</v>
      </c>
      <c r="S33" s="170"/>
    </row>
    <row r="34" spans="2:19" ht="30" x14ac:dyDescent="0.25">
      <c r="B34" s="362" t="s">
        <v>260</v>
      </c>
      <c r="C34" s="196" t="str">
        <f>_xlfn.CONCAT("ROI"," ", ,C37)</f>
        <v>ROI 2.87</v>
      </c>
      <c r="D34" s="197"/>
      <c r="E34" s="198"/>
      <c r="F34" s="199" t="str">
        <f>_xlfn.CONCAT("ROI"," ", ,F37)</f>
        <v>ROI 3.19</v>
      </c>
      <c r="G34" s="200"/>
      <c r="H34" s="273" t="s">
        <v>299</v>
      </c>
      <c r="I34" s="198"/>
      <c r="J34" s="199" t="str">
        <f>_xlfn.CONCAT("ROI"," ", ,J37)</f>
        <v>ROI 3.07</v>
      </c>
      <c r="K34" s="200"/>
      <c r="L34" s="273" t="s">
        <v>298</v>
      </c>
      <c r="M34" s="337"/>
      <c r="N34" s="199" t="str">
        <f>_xlfn.CONCAT("ROI"," ", ,N37)</f>
        <v>ROI 2.57</v>
      </c>
      <c r="O34" s="200"/>
      <c r="P34" s="273" t="s">
        <v>295</v>
      </c>
      <c r="S34" s="360"/>
    </row>
    <row r="35" spans="2:19" ht="30" x14ac:dyDescent="0.25">
      <c r="B35" s="362" t="s">
        <v>293</v>
      </c>
      <c r="C35" s="196">
        <f>C33</f>
        <v>59.976092180000002</v>
      </c>
      <c r="D35" s="197">
        <f>D33*1.4</f>
        <v>240.86806270661108</v>
      </c>
      <c r="E35" s="198"/>
      <c r="F35" s="199">
        <f>F33</f>
        <v>59.976092180000002</v>
      </c>
      <c r="G35" s="200">
        <f>G33</f>
        <v>0</v>
      </c>
      <c r="H35" s="201">
        <f>H33*1.4</f>
        <v>267.4879085428413</v>
      </c>
      <c r="I35" s="198"/>
      <c r="J35" s="199">
        <f>J33</f>
        <v>89.964138238645916</v>
      </c>
      <c r="K35" s="200">
        <f>K33</f>
        <v>0.49999999947722357</v>
      </c>
      <c r="L35" s="201">
        <f>L33*1.4</f>
        <v>386.39883482153022</v>
      </c>
      <c r="M35" s="336"/>
      <c r="N35" s="199">
        <f>N33</f>
        <v>119.95218431207803</v>
      </c>
      <c r="O35" s="200">
        <f>O33</f>
        <v>0.99999999920098215</v>
      </c>
      <c r="P35" s="201">
        <f>P33*1.4</f>
        <v>432.08224205045184</v>
      </c>
      <c r="S35" s="360"/>
    </row>
    <row r="36" spans="2:19" ht="30" x14ac:dyDescent="0.25">
      <c r="B36" s="362" t="s">
        <v>294</v>
      </c>
      <c r="C36" s="196" t="str">
        <f>_xlfn.CONCAT("ROI"," ", ,C39)</f>
        <v>ROI 4.02</v>
      </c>
      <c r="D36" s="197"/>
      <c r="E36" s="198"/>
      <c r="F36" s="199" t="str">
        <f>_xlfn.CONCAT("ROI"," ", ,F39)</f>
        <v>ROI 4.46</v>
      </c>
      <c r="G36" s="200"/>
      <c r="H36" s="273" t="s">
        <v>300</v>
      </c>
      <c r="I36" s="198"/>
      <c r="J36" s="199" t="str">
        <f>_xlfn.CONCAT("ROI"," ", ,J39)</f>
        <v>ROI 4.3</v>
      </c>
      <c r="K36" s="200"/>
      <c r="L36" s="273" t="s">
        <v>297</v>
      </c>
      <c r="M36" s="337"/>
      <c r="N36" s="199" t="str">
        <f>_xlfn.CONCAT("ROI"," ", ,N39)</f>
        <v>ROI 3.6</v>
      </c>
      <c r="O36" s="200"/>
      <c r="P36" s="273" t="s">
        <v>296</v>
      </c>
      <c r="S36" s="360"/>
    </row>
    <row r="37" spans="2:19" x14ac:dyDescent="0.25">
      <c r="C37" s="99">
        <f>ROUND(D33/C33,2)</f>
        <v>2.87</v>
      </c>
      <c r="F37" s="99">
        <f>ROUND(H33/F33,2)</f>
        <v>3.19</v>
      </c>
      <c r="H37" s="203">
        <f>(H33-$D$33)</f>
        <v>19.014175597307315</v>
      </c>
      <c r="J37" s="99">
        <f>ROUND(L33/J33,2)</f>
        <v>3.07</v>
      </c>
      <c r="L37" s="203">
        <f>(L33-$D$33)</f>
        <v>103.95055151065654</v>
      </c>
      <c r="M37" s="338"/>
      <c r="N37" s="99">
        <f>ROUND(P33/N33,2)</f>
        <v>2.57</v>
      </c>
      <c r="P37" s="203">
        <f>(P33-$D$33)</f>
        <v>136.58155667417199</v>
      </c>
      <c r="S37" s="332"/>
    </row>
    <row r="38" spans="2:19" x14ac:dyDescent="0.25">
      <c r="H38" s="339">
        <f>H37/$D$33</f>
        <v>0.11051629484251922</v>
      </c>
      <c r="I38" s="238"/>
      <c r="J38" s="238"/>
      <c r="K38" s="238"/>
      <c r="L38" s="339">
        <f>L37/$D$33</f>
        <v>0.60419289497994866</v>
      </c>
      <c r="M38" s="339"/>
      <c r="N38" s="238"/>
      <c r="O38" s="238"/>
      <c r="P38" s="339">
        <f>P37/$D$33</f>
        <v>0.79385443298370728</v>
      </c>
    </row>
    <row r="39" spans="2:19" x14ac:dyDescent="0.25">
      <c r="C39" s="99">
        <f>ROUND(D35/C35,2)</f>
        <v>4.0199999999999996</v>
      </c>
      <c r="F39" s="99">
        <f>ROUND(H35/F35,2)</f>
        <v>4.46</v>
      </c>
      <c r="H39" s="203">
        <f>(H35-$D$35)</f>
        <v>26.619845836230212</v>
      </c>
      <c r="J39" s="99">
        <f>ROUND(L35/J35,2)</f>
        <v>4.3</v>
      </c>
      <c r="L39" s="203">
        <f>(L35-$D$35)</f>
        <v>145.53077211491913</v>
      </c>
      <c r="M39" s="338"/>
      <c r="N39" s="99">
        <f>ROUND(P35/N35,2)</f>
        <v>3.6</v>
      </c>
      <c r="P39" s="203">
        <f>(P35-$D$35)</f>
        <v>191.21417934384075</v>
      </c>
    </row>
    <row r="40" spans="2:19" x14ac:dyDescent="0.25">
      <c r="H40" s="167">
        <f>H39/$D$33</f>
        <v>0.15472281277952674</v>
      </c>
      <c r="I40" s="238"/>
      <c r="J40" s="238"/>
      <c r="K40" s="238"/>
      <c r="L40" s="167">
        <f>L39/$D$33</f>
        <v>0.84587005297192797</v>
      </c>
      <c r="M40" s="167"/>
      <c r="N40" s="238"/>
      <c r="O40" s="238"/>
      <c r="P40" s="167">
        <f>P39/$D$33</f>
        <v>1.1113962061771898</v>
      </c>
    </row>
    <row r="42" spans="2:19" x14ac:dyDescent="0.25">
      <c r="B42" s="383" t="s">
        <v>240</v>
      </c>
      <c r="C42" s="383"/>
      <c r="D42" s="383"/>
      <c r="E42" s="383"/>
      <c r="F42" s="383"/>
      <c r="G42" s="383"/>
      <c r="H42" s="383"/>
      <c r="I42" s="383"/>
    </row>
    <row r="43" spans="2:19" x14ac:dyDescent="0.25">
      <c r="B43" s="383"/>
      <c r="C43" s="383"/>
      <c r="D43" s="383"/>
      <c r="E43" s="383"/>
      <c r="F43" s="383"/>
      <c r="G43" s="383"/>
      <c r="H43" s="383"/>
      <c r="I43" s="383"/>
    </row>
    <row r="45" spans="2:19" x14ac:dyDescent="0.25">
      <c r="F45" s="373" t="s">
        <v>222</v>
      </c>
      <c r="G45" s="374"/>
      <c r="H45" s="375"/>
      <c r="I45" s="171"/>
    </row>
    <row r="46" spans="2:19" ht="30" x14ac:dyDescent="0.25">
      <c r="B46" s="172" t="s">
        <v>194</v>
      </c>
      <c r="C46" s="99" t="s">
        <v>195</v>
      </c>
      <c r="D46" s="173" t="s">
        <v>196</v>
      </c>
      <c r="E46" s="173"/>
      <c r="F46" s="99" t="s">
        <v>195</v>
      </c>
      <c r="G46" s="173" t="s">
        <v>197</v>
      </c>
      <c r="H46" s="173" t="s">
        <v>198</v>
      </c>
      <c r="I46" s="173"/>
    </row>
    <row r="47" spans="2:19" x14ac:dyDescent="0.25">
      <c r="B47" s="174" t="str">
        <f t="shared" ref="B47:D53" si="32">B7</f>
        <v>HCC InOffice</v>
      </c>
      <c r="C47" s="175">
        <f t="shared" si="32"/>
        <v>1134710</v>
      </c>
      <c r="D47" s="175">
        <f t="shared" si="32"/>
        <v>1664695.7827721967</v>
      </c>
      <c r="E47" s="175"/>
      <c r="F47" s="175"/>
      <c r="G47" s="167"/>
      <c r="H47" s="175"/>
      <c r="I47" s="175"/>
      <c r="L47" s="175">
        <f>VAC_Optim_Scenario!$H36</f>
        <v>1205648.4257292538</v>
      </c>
      <c r="M47" s="175"/>
      <c r="N47" s="175"/>
      <c r="O47" s="175"/>
      <c r="P47" s="175"/>
      <c r="Q47" s="167">
        <f>(L47-$C47)/$C47</f>
        <v>6.2516789073202669E-2</v>
      </c>
      <c r="R47" s="175">
        <f>VAC_Optim_Scenario!$J36</f>
        <v>1734437.3281754742</v>
      </c>
    </row>
    <row r="48" spans="2:19" x14ac:dyDescent="0.25">
      <c r="B48" s="174" t="str">
        <f t="shared" si="32"/>
        <v>HCP MCM</v>
      </c>
      <c r="C48" s="175">
        <f t="shared" si="32"/>
        <v>10503728.719999999</v>
      </c>
      <c r="D48" s="175">
        <f t="shared" si="32"/>
        <v>65147335.716204539</v>
      </c>
      <c r="E48" s="175"/>
      <c r="F48" s="175"/>
      <c r="G48" s="167"/>
      <c r="H48" s="175"/>
      <c r="I48" s="175"/>
      <c r="L48" s="175">
        <f>VAC_Optim_Scenario!$H37</f>
        <v>27999999.999999996</v>
      </c>
      <c r="M48" s="175"/>
      <c r="N48" s="175"/>
      <c r="O48" s="175"/>
      <c r="P48" s="175"/>
      <c r="Q48" s="167">
        <f t="shared" ref="Q48:Q56" si="33">(L48-$C48)/$C48</f>
        <v>1.6657200263260417</v>
      </c>
      <c r="R48" s="175">
        <f>VAC_Optim_Scenario!$J37</f>
        <v>123284278.49031536</v>
      </c>
    </row>
    <row r="49" spans="2:18" x14ac:dyDescent="0.25">
      <c r="B49" s="174" t="str">
        <f t="shared" si="32"/>
        <v>HCC Social</v>
      </c>
      <c r="C49" s="175">
        <f t="shared" si="32"/>
        <v>1751000</v>
      </c>
      <c r="D49" s="175">
        <f t="shared" si="32"/>
        <v>5381981.983070978</v>
      </c>
      <c r="E49" s="175"/>
      <c r="F49" s="175"/>
      <c r="G49" s="167"/>
      <c r="H49" s="175"/>
      <c r="I49" s="175"/>
      <c r="L49" s="175">
        <f>VAC_Optim_Scenario!$H38</f>
        <v>8925323.295826504</v>
      </c>
      <c r="M49" s="175"/>
      <c r="N49" s="175"/>
      <c r="O49" s="175"/>
      <c r="P49" s="175"/>
      <c r="Q49" s="167">
        <f t="shared" si="33"/>
        <v>4.0972720136073697</v>
      </c>
      <c r="R49" s="175">
        <f>VAC_Optim_Scenario!$J38</f>
        <v>14300292.66397658</v>
      </c>
    </row>
    <row r="50" spans="2:18" x14ac:dyDescent="0.25">
      <c r="B50" s="174" t="str">
        <f t="shared" si="32"/>
        <v>HCC Online Video</v>
      </c>
      <c r="C50" s="175">
        <f t="shared" si="32"/>
        <v>1111779.04</v>
      </c>
      <c r="D50" s="175">
        <f t="shared" si="32"/>
        <v>4890750.4826741321</v>
      </c>
      <c r="E50" s="175"/>
      <c r="F50" s="175"/>
      <c r="G50" s="167"/>
      <c r="H50" s="175"/>
      <c r="I50" s="175"/>
      <c r="L50" s="175">
        <f>VAC_Optim_Scenario!$H39</f>
        <v>2964315.5405303156</v>
      </c>
      <c r="M50" s="175"/>
      <c r="N50" s="175"/>
      <c r="O50" s="175"/>
      <c r="P50" s="175"/>
      <c r="Q50" s="167">
        <f t="shared" si="33"/>
        <v>1.6662811888685323</v>
      </c>
      <c r="R50" s="175">
        <f>VAC_Optim_Scenario!$J39</f>
        <v>8247651.1848041052</v>
      </c>
    </row>
    <row r="51" spans="2:18" x14ac:dyDescent="0.25">
      <c r="B51" s="174" t="str">
        <f t="shared" si="32"/>
        <v>HCC Streaming Video</v>
      </c>
      <c r="C51" s="175">
        <f t="shared" si="32"/>
        <v>13418576</v>
      </c>
      <c r="D51" s="175">
        <f t="shared" si="32"/>
        <v>22776633.092457965</v>
      </c>
      <c r="E51" s="175"/>
      <c r="F51" s="175"/>
      <c r="G51" s="167"/>
      <c r="H51" s="175"/>
      <c r="I51" s="175"/>
      <c r="L51" s="175">
        <f>VAC_Optim_Scenario!$H40</f>
        <v>27189753.440885648</v>
      </c>
      <c r="M51" s="175"/>
      <c r="N51" s="175"/>
      <c r="O51" s="175"/>
      <c r="P51" s="175"/>
      <c r="Q51" s="167">
        <f t="shared" si="33"/>
        <v>1.0262771132261461</v>
      </c>
      <c r="R51" s="175">
        <f>VAC_Optim_Scenario!$J40</f>
        <v>37340378.271964729</v>
      </c>
    </row>
    <row r="52" spans="2:18" x14ac:dyDescent="0.25">
      <c r="B52" s="174" t="str">
        <f t="shared" si="32"/>
        <v>HCC Display</v>
      </c>
      <c r="C52" s="175">
        <f t="shared" si="32"/>
        <v>2859426.82</v>
      </c>
      <c r="D52" s="175">
        <f t="shared" si="32"/>
        <v>17186128.903236553</v>
      </c>
      <c r="E52" s="175"/>
      <c r="F52" s="175"/>
      <c r="G52" s="167"/>
      <c r="H52" s="175"/>
      <c r="I52" s="175"/>
      <c r="L52" s="175">
        <f>VAC_Optim_Scenario!$H41</f>
        <v>10000000</v>
      </c>
      <c r="M52" s="175"/>
      <c r="N52" s="175"/>
      <c r="O52" s="175"/>
      <c r="P52" s="175"/>
      <c r="Q52" s="167">
        <f t="shared" si="33"/>
        <v>2.4972043802820596</v>
      </c>
      <c r="R52" s="175">
        <f>VAC_Optim_Scenario!$J41</f>
        <v>36425932.046151049</v>
      </c>
    </row>
    <row r="53" spans="2:18" x14ac:dyDescent="0.25">
      <c r="B53" s="174" t="str">
        <f t="shared" si="32"/>
        <v>HCC Paid Search</v>
      </c>
      <c r="C53" s="175">
        <f t="shared" si="32"/>
        <v>50000</v>
      </c>
      <c r="D53" s="175">
        <f t="shared" si="32"/>
        <v>6809106.9964962909</v>
      </c>
      <c r="E53" s="175"/>
      <c r="F53" s="175"/>
      <c r="G53" s="167"/>
      <c r="H53" s="175"/>
      <c r="I53" s="175"/>
      <c r="L53" s="175">
        <f>VAC_Optim_Scenario!$H42</f>
        <v>240000</v>
      </c>
      <c r="M53" s="175"/>
      <c r="N53" s="175"/>
      <c r="O53" s="175"/>
      <c r="P53" s="175"/>
      <c r="Q53" s="167">
        <f t="shared" si="33"/>
        <v>3.8</v>
      </c>
      <c r="R53" s="175">
        <f>VAC_Optim_Scenario!$J42</f>
        <v>20415453.17978172</v>
      </c>
    </row>
    <row r="54" spans="2:18" x14ac:dyDescent="0.25">
      <c r="B54" s="174" t="e">
        <f>#REF!</f>
        <v>#REF!</v>
      </c>
      <c r="C54" s="175" t="e">
        <f>#REF!</f>
        <v>#REF!</v>
      </c>
      <c r="D54" s="175" t="e">
        <f>#REF!</f>
        <v>#REF!</v>
      </c>
      <c r="E54" s="175"/>
      <c r="F54" s="175"/>
      <c r="G54" s="167"/>
      <c r="H54" s="175"/>
      <c r="I54" s="175"/>
      <c r="L54" s="175" t="e">
        <f>VAC_Optim_Scenario!#REF!</f>
        <v>#REF!</v>
      </c>
      <c r="M54" s="175"/>
      <c r="N54" s="175"/>
      <c r="O54" s="175"/>
      <c r="P54" s="175"/>
      <c r="Q54" s="167" t="str">
        <f>IFERROR((L54-$C54)/$C54,"")</f>
        <v/>
      </c>
      <c r="R54" s="175" t="e">
        <f>VAC_Optim_Scenario!#REF!</f>
        <v>#REF!</v>
      </c>
    </row>
    <row r="55" spans="2:18" x14ac:dyDescent="0.25">
      <c r="B55" s="174" t="str">
        <f>B14</f>
        <v>HCC Linear TV</v>
      </c>
      <c r="C55" s="175">
        <f>C14</f>
        <v>25810928.600000001</v>
      </c>
      <c r="D55" s="175">
        <f>D14</f>
        <v>38072697.978218496</v>
      </c>
      <c r="E55" s="175"/>
      <c r="F55" s="175"/>
      <c r="G55" s="167"/>
      <c r="H55" s="175"/>
      <c r="I55" s="175"/>
      <c r="L55" s="175">
        <f>VAC_Optim_Scenario!$H43</f>
        <v>32753689.22929937</v>
      </c>
      <c r="M55" s="175"/>
      <c r="N55" s="175"/>
      <c r="O55" s="175"/>
      <c r="P55" s="175"/>
      <c r="Q55" s="167">
        <f t="shared" si="33"/>
        <v>0.26898530993957992</v>
      </c>
      <c r="R55" s="175">
        <f>VAC_Optim_Scenario!$J43</f>
        <v>44981431.242851108</v>
      </c>
    </row>
    <row r="56" spans="2:18" x14ac:dyDescent="0.25">
      <c r="B56" s="174" t="e">
        <f>#REF!</f>
        <v>#REF!</v>
      </c>
      <c r="C56" s="175" t="e">
        <f>#REF!</f>
        <v>#REF!</v>
      </c>
      <c r="D56" s="175" t="e">
        <f>#REF!</f>
        <v>#REF!</v>
      </c>
      <c r="E56" s="175"/>
      <c r="F56" s="175"/>
      <c r="G56" s="167"/>
      <c r="H56" s="175"/>
      <c r="I56" s="175"/>
      <c r="L56" s="175" t="e">
        <f>VAC_Optim_Scenario!#REF!</f>
        <v>#REF!</v>
      </c>
      <c r="M56" s="175"/>
      <c r="N56" s="175"/>
      <c r="O56" s="175"/>
      <c r="P56" s="175"/>
      <c r="Q56" s="167" t="e">
        <f t="shared" si="33"/>
        <v>#REF!</v>
      </c>
      <c r="R56" s="175" t="e">
        <f>VAC_Optim_Scenario!#REF!</f>
        <v>#REF!</v>
      </c>
    </row>
    <row r="57" spans="2:18" s="179" customFormat="1" x14ac:dyDescent="0.25">
      <c r="B57" s="308" t="s">
        <v>199</v>
      </c>
      <c r="C57" s="309" t="e">
        <f>SUM(C47:C56)</f>
        <v>#REF!</v>
      </c>
      <c r="D57" s="309" t="e">
        <f>SUM(D47:D56)</f>
        <v>#REF!</v>
      </c>
      <c r="E57" s="198"/>
      <c r="F57" s="309">
        <f>SUM(F47:F56)</f>
        <v>0</v>
      </c>
      <c r="G57" s="310">
        <f>(F57-$C$17)/$C$17</f>
        <v>-1</v>
      </c>
      <c r="H57" s="309">
        <f>SUM(H47:H56)</f>
        <v>0</v>
      </c>
      <c r="I57" s="198"/>
    </row>
    <row r="58" spans="2:18" x14ac:dyDescent="0.25">
      <c r="D58" s="99" t="e">
        <f>D57/C57</f>
        <v>#REF!</v>
      </c>
    </row>
    <row r="60" spans="2:18" ht="27.6" customHeight="1" x14ac:dyDescent="0.25">
      <c r="F60" s="384" t="str">
        <f>B42</f>
        <v>Optimal channel spend allowed to vary between constraints defined by marketing team &amp; INI of the 2021 channel spend - LINEAR TV and Streaming TV constraints modified</v>
      </c>
      <c r="G60" s="384"/>
      <c r="H60" s="384"/>
      <c r="I60" s="384"/>
    </row>
    <row r="61" spans="2:18" x14ac:dyDescent="0.25">
      <c r="C61" s="381" t="s">
        <v>223</v>
      </c>
      <c r="D61" s="382"/>
      <c r="E61" s="179"/>
      <c r="F61" s="373" t="str">
        <f>F45</f>
        <v>Current Optimal ($MM)</v>
      </c>
      <c r="G61" s="374"/>
      <c r="H61" s="375"/>
      <c r="I61" s="180"/>
    </row>
    <row r="62" spans="2:18" ht="30" x14ac:dyDescent="0.25">
      <c r="B62" s="172" t="s">
        <v>194</v>
      </c>
      <c r="C62" s="182" t="s">
        <v>203</v>
      </c>
      <c r="D62" s="182" t="s">
        <v>201</v>
      </c>
      <c r="E62" s="183"/>
      <c r="F62" s="204" t="s">
        <v>203</v>
      </c>
      <c r="G62" s="182" t="s">
        <v>197</v>
      </c>
      <c r="H62" s="184" t="s">
        <v>198</v>
      </c>
      <c r="I62" s="183"/>
    </row>
    <row r="63" spans="2:18" x14ac:dyDescent="0.25">
      <c r="B63" s="174" t="str">
        <f>B47</f>
        <v>HCC InOffice</v>
      </c>
      <c r="C63" s="185">
        <f t="shared" ref="C63:D63" si="34">C47/1000000</f>
        <v>1.1347100000000001</v>
      </c>
      <c r="D63" s="186">
        <f t="shared" si="34"/>
        <v>1.6646957827721967</v>
      </c>
      <c r="E63" s="187"/>
      <c r="F63" s="188">
        <f t="shared" ref="F63:F72" si="35">F47/1000000</f>
        <v>0</v>
      </c>
      <c r="G63" s="189">
        <f t="shared" ref="G63:G72" si="36">G47</f>
        <v>0</v>
      </c>
      <c r="H63" s="190">
        <f t="shared" ref="H63:H72" si="37">H47/1000000</f>
        <v>0</v>
      </c>
      <c r="I63" s="187"/>
    </row>
    <row r="64" spans="2:18" x14ac:dyDescent="0.25">
      <c r="B64" s="174" t="str">
        <f t="shared" ref="B64:B72" si="38">B48</f>
        <v>HCP MCM</v>
      </c>
      <c r="C64" s="185">
        <f t="shared" ref="C64:D64" si="39">C48/1000000</f>
        <v>10.503728719999998</v>
      </c>
      <c r="D64" s="186">
        <f t="shared" si="39"/>
        <v>65.147335716204537</v>
      </c>
      <c r="E64" s="187"/>
      <c r="F64" s="192">
        <f t="shared" si="35"/>
        <v>0</v>
      </c>
      <c r="G64" s="193">
        <f t="shared" si="36"/>
        <v>0</v>
      </c>
      <c r="H64" s="194">
        <f t="shared" si="37"/>
        <v>0</v>
      </c>
      <c r="I64" s="187"/>
    </row>
    <row r="65" spans="2:9" x14ac:dyDescent="0.25">
      <c r="B65" s="174" t="str">
        <f t="shared" si="38"/>
        <v>HCC Social</v>
      </c>
      <c r="C65" s="185">
        <f t="shared" ref="C65:D65" si="40">C49/1000000</f>
        <v>1.7509999999999999</v>
      </c>
      <c r="D65" s="186">
        <f t="shared" si="40"/>
        <v>5.3819819830709781</v>
      </c>
      <c r="E65" s="187"/>
      <c r="F65" s="192">
        <f t="shared" si="35"/>
        <v>0</v>
      </c>
      <c r="G65" s="193">
        <f t="shared" si="36"/>
        <v>0</v>
      </c>
      <c r="H65" s="194">
        <f t="shared" si="37"/>
        <v>0</v>
      </c>
      <c r="I65" s="187"/>
    </row>
    <row r="66" spans="2:9" x14ac:dyDescent="0.25">
      <c r="B66" s="174" t="str">
        <f t="shared" si="38"/>
        <v>HCC Online Video</v>
      </c>
      <c r="C66" s="185">
        <f t="shared" ref="C66:D66" si="41">C50/1000000</f>
        <v>1.1117790400000001</v>
      </c>
      <c r="D66" s="186">
        <f t="shared" si="41"/>
        <v>4.8907504826741324</v>
      </c>
      <c r="E66" s="187"/>
      <c r="F66" s="192">
        <f t="shared" si="35"/>
        <v>0</v>
      </c>
      <c r="G66" s="193">
        <f t="shared" si="36"/>
        <v>0</v>
      </c>
      <c r="H66" s="194">
        <f t="shared" si="37"/>
        <v>0</v>
      </c>
      <c r="I66" s="187"/>
    </row>
    <row r="67" spans="2:9" x14ac:dyDescent="0.25">
      <c r="B67" s="174" t="str">
        <f t="shared" si="38"/>
        <v>HCC Streaming Video</v>
      </c>
      <c r="C67" s="185">
        <f t="shared" ref="C67:D67" si="42">C51/1000000</f>
        <v>13.418576</v>
      </c>
      <c r="D67" s="186">
        <f t="shared" si="42"/>
        <v>22.776633092457963</v>
      </c>
      <c r="E67" s="187"/>
      <c r="F67" s="192">
        <f t="shared" si="35"/>
        <v>0</v>
      </c>
      <c r="G67" s="193">
        <f t="shared" si="36"/>
        <v>0</v>
      </c>
      <c r="H67" s="194">
        <f t="shared" si="37"/>
        <v>0</v>
      </c>
      <c r="I67" s="187"/>
    </row>
    <row r="68" spans="2:9" x14ac:dyDescent="0.25">
      <c r="B68" s="174" t="str">
        <f t="shared" si="38"/>
        <v>HCC Display</v>
      </c>
      <c r="C68" s="185">
        <f t="shared" ref="C68:D68" si="43">C52/1000000</f>
        <v>2.8594268199999999</v>
      </c>
      <c r="D68" s="186">
        <f t="shared" si="43"/>
        <v>17.186128903236554</v>
      </c>
      <c r="E68" s="187"/>
      <c r="F68" s="192">
        <f t="shared" si="35"/>
        <v>0</v>
      </c>
      <c r="G68" s="193">
        <f t="shared" si="36"/>
        <v>0</v>
      </c>
      <c r="H68" s="194">
        <f t="shared" si="37"/>
        <v>0</v>
      </c>
      <c r="I68" s="187"/>
    </row>
    <row r="69" spans="2:9" x14ac:dyDescent="0.25">
      <c r="B69" s="174" t="str">
        <f t="shared" si="38"/>
        <v>HCC Paid Search</v>
      </c>
      <c r="C69" s="185">
        <f t="shared" ref="C69:D69" si="44">C53/1000000</f>
        <v>0.05</v>
      </c>
      <c r="D69" s="186">
        <f t="shared" si="44"/>
        <v>6.8091069964962907</v>
      </c>
      <c r="E69" s="187"/>
      <c r="F69" s="192">
        <f t="shared" si="35"/>
        <v>0</v>
      </c>
      <c r="G69" s="193">
        <f t="shared" si="36"/>
        <v>0</v>
      </c>
      <c r="H69" s="194">
        <f t="shared" si="37"/>
        <v>0</v>
      </c>
      <c r="I69" s="187"/>
    </row>
    <row r="70" spans="2:9" x14ac:dyDescent="0.25">
      <c r="B70" s="174" t="e">
        <f t="shared" si="38"/>
        <v>#REF!</v>
      </c>
      <c r="C70" s="185" t="e">
        <f t="shared" ref="C70:D70" si="45">C54/1000000</f>
        <v>#REF!</v>
      </c>
      <c r="D70" s="186" t="e">
        <f t="shared" si="45"/>
        <v>#REF!</v>
      </c>
      <c r="E70" s="187"/>
      <c r="F70" s="192">
        <f t="shared" si="35"/>
        <v>0</v>
      </c>
      <c r="G70" s="193">
        <f t="shared" si="36"/>
        <v>0</v>
      </c>
      <c r="H70" s="194">
        <f t="shared" si="37"/>
        <v>0</v>
      </c>
      <c r="I70" s="187"/>
    </row>
    <row r="71" spans="2:9" x14ac:dyDescent="0.25">
      <c r="B71" s="174" t="str">
        <f t="shared" si="38"/>
        <v>HCC Linear TV</v>
      </c>
      <c r="C71" s="185">
        <f t="shared" ref="C71:D71" si="46">C55/1000000</f>
        <v>25.8109286</v>
      </c>
      <c r="D71" s="186">
        <f t="shared" si="46"/>
        <v>38.072697978218493</v>
      </c>
      <c r="E71" s="187"/>
      <c r="F71" s="311">
        <f t="shared" si="35"/>
        <v>0</v>
      </c>
      <c r="G71" s="312">
        <f t="shared" si="36"/>
        <v>0</v>
      </c>
      <c r="H71" s="313">
        <f t="shared" si="37"/>
        <v>0</v>
      </c>
      <c r="I71" s="187"/>
    </row>
    <row r="72" spans="2:9" x14ac:dyDescent="0.25">
      <c r="B72" s="174" t="e">
        <f t="shared" si="38"/>
        <v>#REF!</v>
      </c>
      <c r="C72" s="185" t="e">
        <f t="shared" ref="C72:D72" si="47">C56/1000000</f>
        <v>#REF!</v>
      </c>
      <c r="D72" s="186" t="e">
        <f t="shared" si="47"/>
        <v>#REF!</v>
      </c>
      <c r="E72" s="187"/>
      <c r="F72" s="311">
        <f t="shared" si="35"/>
        <v>0</v>
      </c>
      <c r="G72" s="312">
        <f t="shared" si="36"/>
        <v>0</v>
      </c>
      <c r="H72" s="313">
        <f t="shared" si="37"/>
        <v>0</v>
      </c>
      <c r="I72" s="187"/>
    </row>
    <row r="73" spans="2:9" x14ac:dyDescent="0.25">
      <c r="B73" s="195" t="s">
        <v>199</v>
      </c>
      <c r="C73" s="196" t="e">
        <f>C57/1000000</f>
        <v>#REF!</v>
      </c>
      <c r="D73" s="197" t="e">
        <f t="shared" ref="D73" si="48">D57/1000000</f>
        <v>#REF!</v>
      </c>
      <c r="E73" s="198"/>
      <c r="F73" s="199">
        <f t="shared" ref="F73" si="49">F57/1000000</f>
        <v>0</v>
      </c>
      <c r="G73" s="200">
        <f>G57</f>
        <v>-1</v>
      </c>
      <c r="H73" s="201">
        <f t="shared" ref="H73" si="50">H57/1000000</f>
        <v>0</v>
      </c>
      <c r="I73" s="198"/>
    </row>
    <row r="74" spans="2:9" x14ac:dyDescent="0.25">
      <c r="B74" s="195" t="s">
        <v>202</v>
      </c>
      <c r="C74" s="196"/>
      <c r="D74" s="197"/>
      <c r="E74" s="198"/>
      <c r="F74" s="199"/>
      <c r="G74" s="200"/>
      <c r="H74" s="202"/>
      <c r="I74" s="198"/>
    </row>
    <row r="75" spans="2:9" x14ac:dyDescent="0.25">
      <c r="H75" s="205" t="e">
        <f>H73-$D$73</f>
        <v>#REF!</v>
      </c>
    </row>
    <row r="76" spans="2:9" x14ac:dyDescent="0.25">
      <c r="H76" s="167" t="e">
        <f>H75/$D$73</f>
        <v>#REF!</v>
      </c>
      <c r="I76" s="165"/>
    </row>
  </sheetData>
  <mergeCells count="14">
    <mergeCell ref="N5:P5"/>
    <mergeCell ref="F4:P4"/>
    <mergeCell ref="F20:P20"/>
    <mergeCell ref="N21:P21"/>
    <mergeCell ref="C61:D61"/>
    <mergeCell ref="F61:H61"/>
    <mergeCell ref="B42:I43"/>
    <mergeCell ref="F45:H45"/>
    <mergeCell ref="C21:D21"/>
    <mergeCell ref="J5:L5"/>
    <mergeCell ref="J21:L21"/>
    <mergeCell ref="F60:I60"/>
    <mergeCell ref="F5:H5"/>
    <mergeCell ref="F21:H21"/>
  </mergeCells>
  <conditionalFormatting sqref="G23:G32">
    <cfRule type="cellIs" dxfId="8" priority="55" operator="lessThan">
      <formula>0</formula>
    </cfRule>
    <cfRule type="cellIs" dxfId="7" priority="56" operator="greaterThan">
      <formula>0</formula>
    </cfRule>
  </conditionalFormatting>
  <conditionalFormatting sqref="G63:G72">
    <cfRule type="cellIs" dxfId="6" priority="47" operator="lessThan">
      <formula>0</formula>
    </cfRule>
    <cfRule type="cellIs" dxfId="5" priority="48" operator="greaterThan">
      <formula>0</formula>
    </cfRule>
  </conditionalFormatting>
  <conditionalFormatting sqref="K23:K32">
    <cfRule type="cellIs" dxfId="4" priority="39" operator="lessThan">
      <formula>0</formula>
    </cfRule>
    <cfRule type="cellIs" dxfId="3" priority="40" operator="greaterThan">
      <formula>0</formula>
    </cfRule>
  </conditionalFormatting>
  <conditionalFormatting sqref="O23:O32">
    <cfRule type="cellIs" dxfId="2" priority="1" operator="lessThan">
      <formula>0</formula>
    </cfRule>
    <cfRule type="cellIs" dxfId="1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X57"/>
  <sheetViews>
    <sheetView zoomScaleNormal="100" workbookViewId="0">
      <selection activeCell="B11" sqref="B11"/>
    </sheetView>
  </sheetViews>
  <sheetFormatPr defaultColWidth="8.85546875" defaultRowHeight="12.75" x14ac:dyDescent="0.2"/>
  <cols>
    <col min="1" max="1" width="18.42578125" style="1" bestFit="1" customWidth="1"/>
    <col min="2" max="2" width="18.42578125" style="1" customWidth="1"/>
    <col min="3" max="3" width="16.140625" style="1" customWidth="1"/>
    <col min="4" max="4" width="12.42578125" style="1" customWidth="1"/>
    <col min="5" max="5" width="13.85546875" style="1" customWidth="1"/>
    <col min="6" max="6" width="12.42578125" style="1" customWidth="1"/>
    <col min="7" max="7" width="13.5703125" style="1" customWidth="1"/>
    <col min="8" max="8" width="14" style="1" customWidth="1"/>
    <col min="9" max="10" width="14.570312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7" width="8.85546875" style="1"/>
    <col min="18" max="18" width="10.140625" style="1" bestFit="1" customWidth="1"/>
    <col min="19" max="16384" width="8.85546875" style="1"/>
  </cols>
  <sheetData>
    <row r="1" spans="1:15" x14ac:dyDescent="0.2">
      <c r="A1" s="48" t="s">
        <v>0</v>
      </c>
      <c r="B1" s="1" t="s">
        <v>179</v>
      </c>
      <c r="M1" s="1" t="s">
        <v>263</v>
      </c>
    </row>
    <row r="2" spans="1:15" x14ac:dyDescent="0.2">
      <c r="A2" s="48" t="s">
        <v>76</v>
      </c>
      <c r="B2" s="1" t="s">
        <v>235</v>
      </c>
      <c r="M2" s="1" t="s">
        <v>264</v>
      </c>
    </row>
    <row r="3" spans="1:15" x14ac:dyDescent="0.2">
      <c r="A3" s="48" t="s">
        <v>77</v>
      </c>
      <c r="B3" s="1" t="s">
        <v>265</v>
      </c>
    </row>
    <row r="4" spans="1:15" ht="29.1" customHeight="1" x14ac:dyDescent="0.2">
      <c r="A4" s="49" t="s">
        <v>78</v>
      </c>
      <c r="B4" s="389" t="s">
        <v>266</v>
      </c>
      <c r="C4" s="390"/>
      <c r="D4" s="390"/>
      <c r="E4" s="390"/>
      <c r="F4" s="390"/>
      <c r="G4" s="390"/>
      <c r="H4" s="390"/>
      <c r="I4" s="390"/>
    </row>
    <row r="5" spans="1:15" x14ac:dyDescent="0.2">
      <c r="A5" s="48" t="s">
        <v>79</v>
      </c>
      <c r="B5" s="1" t="s">
        <v>127</v>
      </c>
      <c r="E5" s="391" t="s">
        <v>50</v>
      </c>
      <c r="F5" s="392"/>
      <c r="G5" s="392"/>
      <c r="H5" s="392"/>
      <c r="I5" s="393"/>
    </row>
    <row r="6" spans="1:15" x14ac:dyDescent="0.2">
      <c r="A6" s="48" t="s">
        <v>80</v>
      </c>
      <c r="B6" s="1" t="s">
        <v>180</v>
      </c>
      <c r="E6" s="394" t="s">
        <v>51</v>
      </c>
      <c r="F6" s="395"/>
      <c r="G6" s="395"/>
      <c r="H6" s="395"/>
      <c r="I6" s="396"/>
      <c r="K6" s="1">
        <v>695963.28831570828</v>
      </c>
    </row>
    <row r="7" spans="1:15" ht="13.5" thickBot="1" x14ac:dyDescent="0.25"/>
    <row r="8" spans="1:15" ht="13.5" thickBot="1" x14ac:dyDescent="0.25">
      <c r="A8" s="51" t="s">
        <v>81</v>
      </c>
    </row>
    <row r="9" spans="1:15" ht="13.5" thickBot="1" x14ac:dyDescent="0.25">
      <c r="A9" s="29" t="s">
        <v>83</v>
      </c>
      <c r="B9" s="57">
        <f>J27</f>
        <v>1365982.8848392637</v>
      </c>
      <c r="J9" s="1" t="s">
        <v>237</v>
      </c>
      <c r="K9" s="119">
        <f>J27/K6</f>
        <v>1.962722614500344</v>
      </c>
      <c r="N9" s="1" t="s">
        <v>238</v>
      </c>
      <c r="O9" s="301">
        <v>1810000</v>
      </c>
    </row>
    <row r="10" spans="1:15" ht="13.5" thickBot="1" x14ac:dyDescent="0.25">
      <c r="A10" s="50"/>
      <c r="B10" s="1">
        <v>2</v>
      </c>
      <c r="E10" s="1" t="s">
        <v>94</v>
      </c>
    </row>
    <row r="11" spans="1:15" ht="26.25" thickBot="1" x14ac:dyDescent="0.25">
      <c r="A11" s="257" t="s">
        <v>82</v>
      </c>
      <c r="B11" s="254" t="s">
        <v>84</v>
      </c>
      <c r="C11" s="253" t="s">
        <v>97</v>
      </c>
      <c r="D11" s="144" t="s">
        <v>98</v>
      </c>
      <c r="E11" s="253" t="s">
        <v>158</v>
      </c>
      <c r="F11" s="144" t="s">
        <v>159</v>
      </c>
      <c r="M11" s="141"/>
    </row>
    <row r="12" spans="1:15" s="241" customFormat="1" ht="13.5" thickBot="1" x14ac:dyDescent="0.25">
      <c r="A12" s="145" t="s">
        <v>157</v>
      </c>
      <c r="B12" s="146">
        <f>E27*B10</f>
        <v>119952184.36</v>
      </c>
      <c r="C12" s="147">
        <f>B12*E12</f>
        <v>119952184.36</v>
      </c>
      <c r="D12" s="147">
        <f>B12*F12</f>
        <v>119952184.36</v>
      </c>
      <c r="E12" s="148">
        <v>1</v>
      </c>
      <c r="F12" s="149">
        <v>1</v>
      </c>
      <c r="I12" s="255"/>
      <c r="K12" s="256"/>
      <c r="L12" s="256"/>
    </row>
    <row r="13" spans="1:15" ht="13.5" thickBot="1" x14ac:dyDescent="0.25">
      <c r="L13" s="141">
        <f>G46</f>
        <v>172048616.21900794</v>
      </c>
      <c r="M13" s="115">
        <f>J46</f>
        <v>308630173.00058323</v>
      </c>
    </row>
    <row r="14" spans="1:15" ht="60.6" customHeight="1" thickBot="1" x14ac:dyDescent="0.25">
      <c r="A14" s="52" t="s">
        <v>85</v>
      </c>
      <c r="D14" s="98" t="s">
        <v>95</v>
      </c>
      <c r="E14" s="98" t="s">
        <v>95</v>
      </c>
      <c r="F14" s="98" t="s">
        <v>96</v>
      </c>
      <c r="G14" s="262"/>
      <c r="H14" s="262"/>
      <c r="I14" s="56" t="s">
        <v>95</v>
      </c>
      <c r="J14" s="56" t="s">
        <v>96</v>
      </c>
    </row>
    <row r="15" spans="1:15" ht="27.75" customHeight="1" x14ac:dyDescent="0.2">
      <c r="A15" s="363" t="s">
        <v>2</v>
      </c>
      <c r="B15" s="365" t="s">
        <v>3</v>
      </c>
      <c r="C15" s="365" t="s">
        <v>38</v>
      </c>
      <c r="D15" s="365" t="s">
        <v>128</v>
      </c>
      <c r="E15" s="397" t="s">
        <v>86</v>
      </c>
      <c r="F15" s="399"/>
      <c r="G15" s="366" t="s">
        <v>131</v>
      </c>
      <c r="H15" s="367"/>
      <c r="I15" s="366" t="s">
        <v>89</v>
      </c>
      <c r="J15" s="367"/>
      <c r="K15" s="397" t="s">
        <v>90</v>
      </c>
      <c r="L15" s="398"/>
      <c r="M15" s="398"/>
      <c r="N15" s="399"/>
    </row>
    <row r="16" spans="1:15" ht="25.5" x14ac:dyDescent="0.2">
      <c r="A16" s="364"/>
      <c r="B16" s="364"/>
      <c r="C16" s="364"/>
      <c r="D16" s="364"/>
      <c r="E16" s="78" t="s">
        <v>149</v>
      </c>
      <c r="F16" s="78" t="s">
        <v>178</v>
      </c>
      <c r="G16" s="78" t="s">
        <v>87</v>
      </c>
      <c r="H16" s="78" t="s">
        <v>88</v>
      </c>
      <c r="I16" s="55" t="s">
        <v>148</v>
      </c>
      <c r="J16" s="55" t="s">
        <v>181</v>
      </c>
      <c r="K16" s="78" t="s">
        <v>130</v>
      </c>
      <c r="L16" s="78" t="s">
        <v>182</v>
      </c>
      <c r="M16" s="78" t="s">
        <v>91</v>
      </c>
      <c r="N16" s="78" t="s">
        <v>92</v>
      </c>
      <c r="O16" s="1" t="s">
        <v>239</v>
      </c>
    </row>
    <row r="17" spans="1:24" x14ac:dyDescent="0.2">
      <c r="A17" s="258" t="s">
        <v>228</v>
      </c>
      <c r="B17" s="276" t="s">
        <v>231</v>
      </c>
      <c r="C17" s="54" t="s">
        <v>129</v>
      </c>
      <c r="D17" s="302">
        <v>1</v>
      </c>
      <c r="E17" s="290">
        <v>1134710</v>
      </c>
      <c r="F17" s="286">
        <f>GINOFF!I9</f>
        <v>7367.8666140222922</v>
      </c>
      <c r="G17" s="291">
        <v>900000</v>
      </c>
      <c r="H17" s="290">
        <v>11700000</v>
      </c>
      <c r="I17" s="304">
        <v>1205648.4257292538</v>
      </c>
      <c r="J17" s="288">
        <f>GINOFF!F9</f>
        <v>7676.5394714325666</v>
      </c>
      <c r="K17" s="297">
        <f>I17-E17</f>
        <v>70938.425729253795</v>
      </c>
      <c r="L17" s="293">
        <f>J17-F17</f>
        <v>308.67285741027445</v>
      </c>
      <c r="M17" s="294">
        <f>K17/E17</f>
        <v>6.2516789073202669E-2</v>
      </c>
      <c r="N17" s="294">
        <f>L17/F17</f>
        <v>4.1894468722169585E-2</v>
      </c>
      <c r="O17" s="305">
        <f t="shared" ref="O17:O24" si="0">J17/$O$9</f>
        <v>4.2411820284157823E-3</v>
      </c>
      <c r="S17" s="302">
        <v>1.2</v>
      </c>
      <c r="U17" s="278">
        <f t="shared" ref="U17:U23" si="1">G17/1000000</f>
        <v>0.9</v>
      </c>
      <c r="V17" s="278">
        <f t="shared" ref="V17:V23" si="2">H17/1000000</f>
        <v>11.7</v>
      </c>
    </row>
    <row r="18" spans="1:24" x14ac:dyDescent="0.2">
      <c r="A18" s="259" t="s">
        <v>228</v>
      </c>
      <c r="B18" s="277" t="s">
        <v>207</v>
      </c>
      <c r="C18" s="54" t="s">
        <v>129</v>
      </c>
      <c r="D18" s="302">
        <v>1</v>
      </c>
      <c r="E18" s="291">
        <v>10503728.719999999</v>
      </c>
      <c r="F18" s="287">
        <f>GMCM!I9</f>
        <v>288339.09761974216</v>
      </c>
      <c r="G18" s="291">
        <v>10500000</v>
      </c>
      <c r="H18" s="290">
        <v>28000000</v>
      </c>
      <c r="I18" s="304">
        <v>27999999.999999996</v>
      </c>
      <c r="J18" s="289">
        <f>GMCM!F9</f>
        <v>545650.52000670694</v>
      </c>
      <c r="K18" s="298">
        <f t="shared" ref="K18:K23" si="3">I18-E18</f>
        <v>17496271.279999997</v>
      </c>
      <c r="L18" s="295">
        <f t="shared" ref="L18:L24" si="4">J18-F18</f>
        <v>257311.42238696478</v>
      </c>
      <c r="M18" s="296">
        <f t="shared" ref="M18:M23" si="5">K18/E18</f>
        <v>1.6657200263260417</v>
      </c>
      <c r="N18" s="296">
        <f t="shared" ref="N18:N24" si="6">L18/F18</f>
        <v>0.8923917169439981</v>
      </c>
      <c r="O18" s="305">
        <f t="shared" si="0"/>
        <v>0.30146437569431322</v>
      </c>
      <c r="R18" s="141" t="e">
        <f>SUM(R21:R24)</f>
        <v>#REF!</v>
      </c>
      <c r="S18" s="302">
        <v>1</v>
      </c>
      <c r="U18" s="278">
        <f t="shared" si="1"/>
        <v>10.5</v>
      </c>
      <c r="V18" s="278">
        <f t="shared" si="2"/>
        <v>28</v>
      </c>
      <c r="X18" s="87"/>
    </row>
    <row r="19" spans="1:24" s="100" customFormat="1" x14ac:dyDescent="0.2">
      <c r="A19" s="259" t="s">
        <v>228</v>
      </c>
      <c r="B19" s="277" t="s">
        <v>208</v>
      </c>
      <c r="C19" s="54" t="s">
        <v>242</v>
      </c>
      <c r="D19" s="302">
        <v>1</v>
      </c>
      <c r="E19" s="291">
        <v>1751000</v>
      </c>
      <c r="F19" s="287">
        <f>GSOCIAL!I9</f>
        <v>23820.403572058858</v>
      </c>
      <c r="G19" s="291">
        <v>1800000</v>
      </c>
      <c r="H19" s="290">
        <v>13500000</v>
      </c>
      <c r="I19" s="304">
        <v>8925323.295826504</v>
      </c>
      <c r="J19" s="289">
        <f>GSOCIAL!F9</f>
        <v>63292.43455774356</v>
      </c>
      <c r="K19" s="298">
        <f t="shared" si="3"/>
        <v>7174323.295826504</v>
      </c>
      <c r="L19" s="295">
        <f t="shared" si="4"/>
        <v>39472.030985684702</v>
      </c>
      <c r="M19" s="296">
        <f t="shared" si="5"/>
        <v>4.0972720136073697</v>
      </c>
      <c r="N19" s="296">
        <f>L19/F19</f>
        <v>1.6570681040847299</v>
      </c>
      <c r="O19" s="305">
        <f t="shared" si="0"/>
        <v>3.4968195888256108E-2</v>
      </c>
      <c r="S19" s="302">
        <v>1.2</v>
      </c>
      <c r="U19" s="278">
        <f t="shared" si="1"/>
        <v>1.8</v>
      </c>
      <c r="V19" s="278">
        <f t="shared" si="2"/>
        <v>13.5</v>
      </c>
    </row>
    <row r="20" spans="1:24" s="100" customFormat="1" x14ac:dyDescent="0.2">
      <c r="A20" s="259" t="s">
        <v>228</v>
      </c>
      <c r="B20" s="277" t="s">
        <v>224</v>
      </c>
      <c r="C20" s="54" t="s">
        <v>129</v>
      </c>
      <c r="D20" s="302">
        <v>1</v>
      </c>
      <c r="E20" s="291">
        <v>1111779.04</v>
      </c>
      <c r="F20" s="287">
        <f>GOLV!I9</f>
        <v>21646.235649615526</v>
      </c>
      <c r="G20" s="291">
        <v>1100000</v>
      </c>
      <c r="H20" s="290">
        <v>6000000</v>
      </c>
      <c r="I20" s="304">
        <v>2964315.5405303156</v>
      </c>
      <c r="J20" s="289">
        <f>GOLV!F9</f>
        <v>36503.723045074381</v>
      </c>
      <c r="K20" s="298">
        <f t="shared" si="3"/>
        <v>1852536.5005303156</v>
      </c>
      <c r="L20" s="295">
        <f t="shared" si="4"/>
        <v>14857.487395458855</v>
      </c>
      <c r="M20" s="296">
        <f t="shared" si="5"/>
        <v>1.6662811888685323</v>
      </c>
      <c r="N20" s="296">
        <f t="shared" si="6"/>
        <v>0.68637742081139863</v>
      </c>
      <c r="O20" s="305">
        <f t="shared" si="0"/>
        <v>2.0167802787333912E-2</v>
      </c>
      <c r="S20" s="302">
        <v>1.2</v>
      </c>
      <c r="U20" s="278">
        <f t="shared" si="1"/>
        <v>1.1000000000000001</v>
      </c>
      <c r="V20" s="278">
        <f t="shared" si="2"/>
        <v>6</v>
      </c>
    </row>
    <row r="21" spans="1:24" s="100" customFormat="1" x14ac:dyDescent="0.2">
      <c r="A21" s="259" t="s">
        <v>228</v>
      </c>
      <c r="B21" s="277" t="s">
        <v>226</v>
      </c>
      <c r="C21" s="54" t="s">
        <v>242</v>
      </c>
      <c r="D21" s="302">
        <v>1</v>
      </c>
      <c r="E21" s="291">
        <v>13418576</v>
      </c>
      <c r="F21" s="287">
        <f>GSTRTV!I9</f>
        <v>100808.3256282994</v>
      </c>
      <c r="G21" s="291">
        <v>9400000</v>
      </c>
      <c r="H21" s="290">
        <v>41359920</v>
      </c>
      <c r="I21" s="304">
        <v>27189753.440885648</v>
      </c>
      <c r="J21" s="289">
        <f>GSTRTV!F9</f>
        <v>165266.78884644032</v>
      </c>
      <c r="K21" s="298">
        <f t="shared" si="3"/>
        <v>13771177.440885648</v>
      </c>
      <c r="L21" s="295">
        <f t="shared" si="4"/>
        <v>64458.463218140925</v>
      </c>
      <c r="M21" s="296">
        <f>K21/E21</f>
        <v>1.0262771132261461</v>
      </c>
      <c r="N21" s="296">
        <f t="shared" si="6"/>
        <v>0.63941606823043828</v>
      </c>
      <c r="O21" s="305">
        <f t="shared" si="0"/>
        <v>9.1307618147204603E-2</v>
      </c>
      <c r="P21" s="100">
        <v>7932686.9382044151</v>
      </c>
      <c r="Q21" s="100">
        <v>15653037</v>
      </c>
      <c r="R21" s="141">
        <f>Q21-G21</f>
        <v>6253037</v>
      </c>
      <c r="S21" s="302">
        <v>1.2</v>
      </c>
      <c r="U21" s="278">
        <f t="shared" si="1"/>
        <v>9.4</v>
      </c>
      <c r="V21" s="278">
        <f t="shared" si="2"/>
        <v>41.359920000000002</v>
      </c>
    </row>
    <row r="22" spans="1:24" s="100" customFormat="1" x14ac:dyDescent="0.2">
      <c r="A22" s="259" t="s">
        <v>228</v>
      </c>
      <c r="B22" s="277" t="s">
        <v>209</v>
      </c>
      <c r="C22" s="54" t="s">
        <v>242</v>
      </c>
      <c r="D22" s="302">
        <v>1</v>
      </c>
      <c r="E22" s="291">
        <v>2859426.82</v>
      </c>
      <c r="F22" s="287">
        <f>GDISP!I9</f>
        <v>76065.012406995462</v>
      </c>
      <c r="G22" s="291">
        <v>2900000</v>
      </c>
      <c r="H22" s="290">
        <v>10000000</v>
      </c>
      <c r="I22" s="304">
        <v>10000000</v>
      </c>
      <c r="J22" s="289">
        <f>GDISP!F9</f>
        <v>161219.49210476698</v>
      </c>
      <c r="K22" s="298">
        <f t="shared" si="3"/>
        <v>7140573.1799999997</v>
      </c>
      <c r="L22" s="295">
        <f t="shared" si="4"/>
        <v>85154.479697771516</v>
      </c>
      <c r="M22" s="296">
        <f t="shared" si="5"/>
        <v>2.4972043802820596</v>
      </c>
      <c r="N22" s="296">
        <f t="shared" si="6"/>
        <v>1.1194960337630881</v>
      </c>
      <c r="O22" s="305">
        <f t="shared" si="0"/>
        <v>8.9071542599318779E-2</v>
      </c>
      <c r="S22" s="302">
        <v>1</v>
      </c>
      <c r="U22" s="278">
        <f t="shared" si="1"/>
        <v>2.9</v>
      </c>
      <c r="V22" s="278">
        <f t="shared" si="2"/>
        <v>10</v>
      </c>
    </row>
    <row r="23" spans="1:24" s="100" customFormat="1" x14ac:dyDescent="0.2">
      <c r="A23" s="259" t="s">
        <v>228</v>
      </c>
      <c r="B23" s="277" t="s">
        <v>210</v>
      </c>
      <c r="C23" s="54" t="s">
        <v>242</v>
      </c>
      <c r="D23" s="302">
        <v>1</v>
      </c>
      <c r="E23" s="291">
        <v>50000</v>
      </c>
      <c r="F23" s="287">
        <f>GPDSRCH!I9</f>
        <v>30136.792938374307</v>
      </c>
      <c r="G23" s="291">
        <v>100000</v>
      </c>
      <c r="H23" s="290">
        <v>240000</v>
      </c>
      <c r="I23" s="304">
        <v>240000</v>
      </c>
      <c r="J23" s="289">
        <f>GPDSRCH!F9</f>
        <v>90357.852437734444</v>
      </c>
      <c r="K23" s="298">
        <f t="shared" si="3"/>
        <v>190000</v>
      </c>
      <c r="L23" s="295">
        <f t="shared" si="4"/>
        <v>60221.059499360141</v>
      </c>
      <c r="M23" s="296">
        <f t="shared" si="5"/>
        <v>3.8</v>
      </c>
      <c r="N23" s="296">
        <f t="shared" si="6"/>
        <v>1.9982570681128584</v>
      </c>
      <c r="O23" s="305">
        <f t="shared" si="0"/>
        <v>4.9921465435212399E-2</v>
      </c>
      <c r="S23" s="302">
        <v>1.2</v>
      </c>
      <c r="U23" s="278">
        <f t="shared" si="1"/>
        <v>0.1</v>
      </c>
      <c r="V23" s="278">
        <f t="shared" si="2"/>
        <v>0.24</v>
      </c>
    </row>
    <row r="24" spans="1:24" s="100" customFormat="1" x14ac:dyDescent="0.2">
      <c r="A24" s="259" t="s">
        <v>228</v>
      </c>
      <c r="B24" s="277" t="s">
        <v>232</v>
      </c>
      <c r="C24" s="54" t="s">
        <v>242</v>
      </c>
      <c r="D24" s="302">
        <v>1</v>
      </c>
      <c r="E24" s="291">
        <v>25810928.600000001</v>
      </c>
      <c r="F24" s="287">
        <f>GLINEARTV!I9</f>
        <v>168508.00202805389</v>
      </c>
      <c r="G24" s="291">
        <v>28089210.840000004</v>
      </c>
      <c r="H24" s="290">
        <v>81623530</v>
      </c>
      <c r="I24" s="304">
        <v>32753689.22929937</v>
      </c>
      <c r="J24" s="289">
        <f>GLINEARTV!F9</f>
        <v>199085.73622577282</v>
      </c>
      <c r="K24" s="298">
        <f>I24-E24</f>
        <v>6942760.6292993687</v>
      </c>
      <c r="L24" s="295">
        <f t="shared" si="4"/>
        <v>30577.734197718935</v>
      </c>
      <c r="M24" s="296">
        <f>K24/E24</f>
        <v>0.26898530993957992</v>
      </c>
      <c r="N24" s="296">
        <f t="shared" si="6"/>
        <v>0.18146161505510125</v>
      </c>
      <c r="O24" s="305">
        <f t="shared" si="0"/>
        <v>0.10999211946175294</v>
      </c>
      <c r="P24" s="100">
        <v>18647619.061795581</v>
      </c>
      <c r="Q24" s="100">
        <v>28032722</v>
      </c>
      <c r="R24" s="141" t="e">
        <f>Q24-#REF!</f>
        <v>#REF!</v>
      </c>
      <c r="S24" s="302">
        <v>1.2</v>
      </c>
      <c r="U24" s="278" t="e">
        <f>#REF!/1000000</f>
        <v>#REF!</v>
      </c>
      <c r="V24" s="278" t="e">
        <f>#REF!/1000000</f>
        <v>#REF!</v>
      </c>
    </row>
    <row r="25" spans="1:24" s="100" customFormat="1" x14ac:dyDescent="0.2">
      <c r="A25" s="259" t="s">
        <v>228</v>
      </c>
      <c r="B25" s="277" t="s">
        <v>177</v>
      </c>
      <c r="C25" s="54" t="s">
        <v>242</v>
      </c>
      <c r="D25" s="302">
        <v>1</v>
      </c>
      <c r="E25" s="291">
        <v>923975</v>
      </c>
      <c r="F25" s="287">
        <f>GAUDIO!I9</f>
        <v>26581.559263521289</v>
      </c>
      <c r="G25" s="291">
        <v>500000</v>
      </c>
      <c r="H25" s="290">
        <v>4800000</v>
      </c>
      <c r="I25" s="304">
        <v>4800000</v>
      </c>
      <c r="J25" s="289">
        <f>GAUDIO!F9</f>
        <v>71437.963072578132</v>
      </c>
      <c r="K25" s="298"/>
      <c r="L25" s="295"/>
      <c r="M25" s="296"/>
      <c r="N25" s="296"/>
      <c r="O25" s="305"/>
      <c r="R25" s="141"/>
      <c r="S25" s="340"/>
      <c r="U25" s="278"/>
      <c r="V25" s="278"/>
    </row>
    <row r="26" spans="1:24" s="100" customFormat="1" x14ac:dyDescent="0.2">
      <c r="A26" s="259" t="s">
        <v>228</v>
      </c>
      <c r="B26" s="277" t="s">
        <v>267</v>
      </c>
      <c r="C26" s="54" t="s">
        <v>129</v>
      </c>
      <c r="D26" s="302">
        <v>1</v>
      </c>
      <c r="E26" s="291">
        <v>2411968</v>
      </c>
      <c r="F26" s="287">
        <f>GPHRMCY!I9</f>
        <v>18205.929821531288</v>
      </c>
      <c r="G26" s="291">
        <v>2400000</v>
      </c>
      <c r="H26" s="290">
        <v>8000000</v>
      </c>
      <c r="I26" s="304">
        <v>3873454.4914096105</v>
      </c>
      <c r="J26" s="289">
        <f>GPHRMCY!F9</f>
        <v>25491.835071013309</v>
      </c>
      <c r="K26" s="298"/>
      <c r="L26" s="295"/>
      <c r="M26" s="296"/>
      <c r="N26" s="296"/>
      <c r="O26" s="305"/>
      <c r="R26" s="141"/>
      <c r="S26" s="340"/>
      <c r="U26" s="278"/>
      <c r="V26" s="278"/>
    </row>
    <row r="27" spans="1:24" s="100" customFormat="1" x14ac:dyDescent="0.2">
      <c r="A27" s="129" t="s">
        <v>154</v>
      </c>
      <c r="B27" s="129" t="s">
        <v>99</v>
      </c>
      <c r="C27" s="129"/>
      <c r="D27" s="129"/>
      <c r="E27" s="292">
        <f t="shared" ref="E27:L27" si="7">SUM(E17:E26)</f>
        <v>59976092.18</v>
      </c>
      <c r="F27" s="292">
        <f t="shared" si="7"/>
        <v>761479.22554221447</v>
      </c>
      <c r="G27" s="292">
        <f t="shared" si="7"/>
        <v>57689210.840000004</v>
      </c>
      <c r="H27" s="292">
        <f t="shared" si="7"/>
        <v>205223450</v>
      </c>
      <c r="I27" s="292">
        <f t="shared" si="7"/>
        <v>119952184.42368071</v>
      </c>
      <c r="J27" s="292">
        <f t="shared" si="7"/>
        <v>1365982.8848392637</v>
      </c>
      <c r="K27" s="292">
        <f t="shared" si="7"/>
        <v>54638580.752271086</v>
      </c>
      <c r="L27" s="292">
        <f t="shared" si="7"/>
        <v>552361.35023851017</v>
      </c>
      <c r="M27" s="153">
        <f>K27/E27</f>
        <v>0.91100601533507719</v>
      </c>
      <c r="N27" s="153">
        <f>L27/F27</f>
        <v>0.72537940853895122</v>
      </c>
      <c r="O27" s="306">
        <f>SUM(O17:O24)</f>
        <v>0.70113430204180771</v>
      </c>
    </row>
    <row r="28" spans="1:24" x14ac:dyDescent="0.2">
      <c r="B28" s="1" t="s">
        <v>103</v>
      </c>
      <c r="E28" s="301">
        <f>E27-E29</f>
        <v>49472363.460000001</v>
      </c>
      <c r="F28" s="301">
        <f>F27-F29</f>
        <v>473140.12792247231</v>
      </c>
      <c r="I28" s="303">
        <f>I27-I29</f>
        <v>91952184.423680708</v>
      </c>
      <c r="J28" s="301">
        <f>J27-J29</f>
        <v>820332.36483255681</v>
      </c>
    </row>
    <row r="29" spans="1:24" x14ac:dyDescent="0.2">
      <c r="B29" s="1" t="s">
        <v>236</v>
      </c>
      <c r="C29" s="1" t="s">
        <v>261</v>
      </c>
      <c r="E29" s="301">
        <f>E18</f>
        <v>10503728.719999999</v>
      </c>
      <c r="F29" s="301">
        <f>F18</f>
        <v>288339.09761974216</v>
      </c>
      <c r="G29" s="141">
        <f>SUM(G17:G24)</f>
        <v>54789210.840000004</v>
      </c>
      <c r="H29" s="141">
        <f>SUM(H17:H24)</f>
        <v>192423450</v>
      </c>
      <c r="I29" s="303">
        <f>I18</f>
        <v>27999999.999999996</v>
      </c>
      <c r="J29" s="301">
        <f>J18</f>
        <v>545650.52000670694</v>
      </c>
      <c r="K29" s="141" t="s">
        <v>262</v>
      </c>
    </row>
    <row r="30" spans="1:24" x14ac:dyDescent="0.2">
      <c r="C30" s="141">
        <f>(E24+E21 )-14712253</f>
        <v>24517251.600000001</v>
      </c>
      <c r="K30" s="141">
        <f>(I24+I21) - C30</f>
        <v>35426191.070185013</v>
      </c>
    </row>
    <row r="31" spans="1:24" s="100" customFormat="1" x14ac:dyDescent="0.2">
      <c r="D31" s="404" t="s">
        <v>154</v>
      </c>
      <c r="E31" s="404"/>
      <c r="F31" s="404"/>
      <c r="G31" s="404"/>
      <c r="H31" s="404"/>
      <c r="I31" s="404"/>
      <c r="J31" s="403"/>
      <c r="K31" s="403"/>
      <c r="L31" s="403"/>
      <c r="M31" s="403"/>
      <c r="N31" s="403"/>
      <c r="O31" s="403"/>
      <c r="P31" s="135"/>
    </row>
    <row r="32" spans="1:24" ht="51" x14ac:dyDescent="0.2">
      <c r="A32" s="386" t="s">
        <v>132</v>
      </c>
      <c r="D32" s="139" t="s">
        <v>126</v>
      </c>
      <c r="E32" s="139" t="s">
        <v>141</v>
      </c>
      <c r="F32" s="139" t="s">
        <v>145</v>
      </c>
      <c r="G32" s="139" t="s">
        <v>142</v>
      </c>
      <c r="H32" s="139" t="s">
        <v>143</v>
      </c>
      <c r="I32" s="139" t="s">
        <v>144</v>
      </c>
      <c r="J32" s="82"/>
      <c r="K32" s="82"/>
      <c r="L32" s="82"/>
      <c r="M32" s="82"/>
      <c r="N32" s="82"/>
      <c r="O32" s="82"/>
      <c r="P32" s="135"/>
    </row>
    <row r="33" spans="1:22" x14ac:dyDescent="0.2">
      <c r="A33" s="386"/>
      <c r="D33" s="155">
        <v>1</v>
      </c>
      <c r="E33" s="128">
        <v>225.94</v>
      </c>
      <c r="F33" s="328">
        <f>E33</f>
        <v>225.94</v>
      </c>
      <c r="G33" s="128">
        <f>E33</f>
        <v>225.94</v>
      </c>
      <c r="H33" s="140"/>
      <c r="I33" s="128">
        <f>E33</f>
        <v>225.94</v>
      </c>
      <c r="J33" s="134"/>
      <c r="K33" s="136"/>
      <c r="L33" s="137"/>
      <c r="M33" s="136"/>
      <c r="N33" s="138"/>
      <c r="O33" s="136"/>
      <c r="P33" s="135"/>
    </row>
    <row r="34" spans="1:22" ht="13.7" customHeight="1" x14ac:dyDescent="0.2">
      <c r="A34" s="385" t="s">
        <v>2</v>
      </c>
      <c r="B34" s="365" t="s">
        <v>3</v>
      </c>
      <c r="C34" s="365" t="str">
        <f t="shared" ref="C34:C45" si="8">D15</f>
        <v>Response Scaling Factor for Sensitivity Analysis</v>
      </c>
      <c r="D34" s="400" t="s">
        <v>86</v>
      </c>
      <c r="E34" s="401"/>
      <c r="F34" s="401"/>
      <c r="G34" s="402"/>
      <c r="H34" s="387" t="s">
        <v>89</v>
      </c>
      <c r="I34" s="388"/>
      <c r="J34" s="388"/>
      <c r="K34" s="400" t="s">
        <v>136</v>
      </c>
      <c r="L34" s="401"/>
      <c r="M34" s="401"/>
      <c r="N34" s="402"/>
      <c r="P34" s="135"/>
      <c r="Q34" s="135"/>
      <c r="R34" s="135"/>
      <c r="S34" s="135"/>
      <c r="T34" s="135"/>
      <c r="U34" s="135"/>
      <c r="V34" s="135"/>
    </row>
    <row r="35" spans="1:22" ht="74.45" customHeight="1" x14ac:dyDescent="0.2">
      <c r="A35" s="364"/>
      <c r="B35" s="364"/>
      <c r="C35" s="364">
        <f t="shared" si="8"/>
        <v>0</v>
      </c>
      <c r="D35" s="95" t="s">
        <v>270</v>
      </c>
      <c r="E35" s="95" t="s">
        <v>133</v>
      </c>
      <c r="F35" s="95" t="s">
        <v>134</v>
      </c>
      <c r="G35" s="95" t="s">
        <v>146</v>
      </c>
      <c r="H35" s="55" t="s">
        <v>271</v>
      </c>
      <c r="I35" s="55" t="s">
        <v>135</v>
      </c>
      <c r="J35" s="55" t="s">
        <v>147</v>
      </c>
      <c r="K35" s="95" t="s">
        <v>137</v>
      </c>
      <c r="L35" s="95" t="s">
        <v>138</v>
      </c>
      <c r="M35" s="95" t="s">
        <v>139</v>
      </c>
      <c r="N35" s="95" t="s">
        <v>140</v>
      </c>
    </row>
    <row r="36" spans="1:22" x14ac:dyDescent="0.2">
      <c r="A36" s="221" t="str">
        <f t="shared" ref="A36:B39" si="9">A17</f>
        <v>Gardasil Adults</v>
      </c>
      <c r="B36" s="221" t="str">
        <f t="shared" si="9"/>
        <v>HCC InOffice</v>
      </c>
      <c r="C36" s="93">
        <f t="shared" si="8"/>
        <v>1</v>
      </c>
      <c r="D36" s="101">
        <f t="shared" ref="D36:D45" si="10">E17</f>
        <v>1134710</v>
      </c>
      <c r="E36" s="243" t="s">
        <v>161</v>
      </c>
      <c r="F36" s="103">
        <f t="shared" ref="F36:F45" si="11">F17/$D$33</f>
        <v>7367.8666140222922</v>
      </c>
      <c r="G36" s="105">
        <f>F36*$F$33</f>
        <v>1664695.7827721967</v>
      </c>
      <c r="H36" s="107">
        <f t="shared" ref="H36:H45" si="12">I17</f>
        <v>1205648.4257292538</v>
      </c>
      <c r="I36" s="103">
        <f t="shared" ref="I36:I45" si="13">J17/$D$33</f>
        <v>7676.5394714325666</v>
      </c>
      <c r="J36" s="109">
        <f>I36*$F$33</f>
        <v>1734437.3281754742</v>
      </c>
      <c r="K36" s="101">
        <f>H36-D36</f>
        <v>70938.425729253795</v>
      </c>
      <c r="L36" s="101">
        <f>J36-G36</f>
        <v>69741.545403277501</v>
      </c>
      <c r="M36" s="111">
        <f>K36/D36</f>
        <v>6.2516789073202669E-2</v>
      </c>
      <c r="N36" s="112">
        <f>L36/G36</f>
        <v>4.1894468722169641E-2</v>
      </c>
      <c r="O36" s="307">
        <f>(J36-G36)/1000000</f>
        <v>6.9741545403277497E-2</v>
      </c>
    </row>
    <row r="37" spans="1:22" x14ac:dyDescent="0.2">
      <c r="A37" s="227" t="str">
        <f t="shared" si="9"/>
        <v>Gardasil Adults</v>
      </c>
      <c r="B37" s="227" t="str">
        <f t="shared" si="9"/>
        <v>HCP MCM</v>
      </c>
      <c r="C37" s="94">
        <f t="shared" si="8"/>
        <v>1</v>
      </c>
      <c r="D37" s="102">
        <f t="shared" si="10"/>
        <v>10503728.719999999</v>
      </c>
      <c r="E37" s="244" t="s">
        <v>161</v>
      </c>
      <c r="F37" s="104">
        <f t="shared" si="11"/>
        <v>288339.09761974216</v>
      </c>
      <c r="G37" s="106">
        <f t="shared" ref="G37:G45" si="14">F37*$F$33</f>
        <v>65147335.716204539</v>
      </c>
      <c r="H37" s="108">
        <f t="shared" si="12"/>
        <v>27999999.999999996</v>
      </c>
      <c r="I37" s="104">
        <f t="shared" si="13"/>
        <v>545650.52000670694</v>
      </c>
      <c r="J37" s="110">
        <f t="shared" ref="J37" si="15">I37*$F$33</f>
        <v>123284278.49031536</v>
      </c>
      <c r="K37" s="102">
        <f t="shared" ref="K37" si="16">H37-D37</f>
        <v>17496271.279999997</v>
      </c>
      <c r="L37" s="102">
        <f t="shared" ref="L37" si="17">J37-G37</f>
        <v>58136942.774110824</v>
      </c>
      <c r="M37" s="113">
        <f t="shared" ref="M37" si="18">K37/D37</f>
        <v>1.6657200263260417</v>
      </c>
      <c r="N37" s="114">
        <f t="shared" ref="N37" si="19">L37/G37</f>
        <v>0.89239171694399821</v>
      </c>
      <c r="O37" s="307">
        <f t="shared" ref="O37:O45" si="20">(J37-G37)/1000000</f>
        <v>58.136942774110821</v>
      </c>
    </row>
    <row r="38" spans="1:22" s="100" customFormat="1" x14ac:dyDescent="0.2">
      <c r="A38" s="227" t="str">
        <f t="shared" si="9"/>
        <v>Gardasil Adults</v>
      </c>
      <c r="B38" s="227" t="str">
        <f t="shared" si="9"/>
        <v>HCC Social</v>
      </c>
      <c r="C38" s="94">
        <f t="shared" si="8"/>
        <v>1</v>
      </c>
      <c r="D38" s="102">
        <f t="shared" si="10"/>
        <v>1751000</v>
      </c>
      <c r="E38" s="244" t="s">
        <v>161</v>
      </c>
      <c r="F38" s="104">
        <f t="shared" si="11"/>
        <v>23820.403572058858</v>
      </c>
      <c r="G38" s="106">
        <f t="shared" si="14"/>
        <v>5381981.983070978</v>
      </c>
      <c r="H38" s="108">
        <f t="shared" si="12"/>
        <v>8925323.295826504</v>
      </c>
      <c r="I38" s="104">
        <f t="shared" si="13"/>
        <v>63292.43455774356</v>
      </c>
      <c r="J38" s="110">
        <f t="shared" ref="J38:J45" si="21">I38*$F$33</f>
        <v>14300292.66397658</v>
      </c>
      <c r="K38" s="102">
        <f t="shared" ref="K38:K45" si="22">H38-D38</f>
        <v>7174323.295826504</v>
      </c>
      <c r="L38" s="102">
        <f t="shared" ref="L38:L45" si="23">J38-G38</f>
        <v>8918310.6809056029</v>
      </c>
      <c r="M38" s="113">
        <f t="shared" ref="M38:M45" si="24">K38/D38</f>
        <v>4.0972720136073697</v>
      </c>
      <c r="N38" s="114">
        <f t="shared" ref="N38:N45" si="25">L38/G38</f>
        <v>1.6570681040847304</v>
      </c>
      <c r="O38" s="307">
        <f t="shared" si="20"/>
        <v>8.9183106809056021</v>
      </c>
      <c r="P38" s="115"/>
    </row>
    <row r="39" spans="1:22" s="100" customFormat="1" x14ac:dyDescent="0.2">
      <c r="A39" s="227" t="str">
        <f t="shared" si="9"/>
        <v>Gardasil Adults</v>
      </c>
      <c r="B39" s="227" t="str">
        <f t="shared" si="9"/>
        <v>HCC Online Video</v>
      </c>
      <c r="C39" s="94">
        <f t="shared" si="8"/>
        <v>1</v>
      </c>
      <c r="D39" s="102">
        <f t="shared" si="10"/>
        <v>1111779.04</v>
      </c>
      <c r="E39" s="244" t="s">
        <v>161</v>
      </c>
      <c r="F39" s="104">
        <f t="shared" si="11"/>
        <v>21646.235649615526</v>
      </c>
      <c r="G39" s="106">
        <f t="shared" si="14"/>
        <v>4890750.4826741321</v>
      </c>
      <c r="H39" s="108">
        <f t="shared" si="12"/>
        <v>2964315.5405303156</v>
      </c>
      <c r="I39" s="104">
        <f t="shared" si="13"/>
        <v>36503.723045074381</v>
      </c>
      <c r="J39" s="110">
        <f t="shared" si="21"/>
        <v>8247651.1848041052</v>
      </c>
      <c r="K39" s="102">
        <f t="shared" si="22"/>
        <v>1852536.5005303156</v>
      </c>
      <c r="L39" s="102">
        <f t="shared" si="23"/>
        <v>3356900.7021299731</v>
      </c>
      <c r="M39" s="113">
        <f t="shared" si="24"/>
        <v>1.6662811888685323</v>
      </c>
      <c r="N39" s="114">
        <f t="shared" si="25"/>
        <v>0.68637742081139852</v>
      </c>
      <c r="O39" s="307">
        <f t="shared" si="20"/>
        <v>3.3569007021299733</v>
      </c>
    </row>
    <row r="40" spans="1:22" s="100" customFormat="1" x14ac:dyDescent="0.2">
      <c r="A40" s="259" t="s">
        <v>228</v>
      </c>
      <c r="B40" s="227" t="str">
        <f>B21</f>
        <v>HCC Streaming Video</v>
      </c>
      <c r="C40" s="94">
        <f t="shared" si="8"/>
        <v>1</v>
      </c>
      <c r="D40" s="102">
        <f t="shared" si="10"/>
        <v>13418576</v>
      </c>
      <c r="E40" s="244" t="s">
        <v>161</v>
      </c>
      <c r="F40" s="104">
        <f t="shared" si="11"/>
        <v>100808.3256282994</v>
      </c>
      <c r="G40" s="106">
        <f t="shared" si="14"/>
        <v>22776633.092457965</v>
      </c>
      <c r="H40" s="108">
        <f t="shared" si="12"/>
        <v>27189753.440885648</v>
      </c>
      <c r="I40" s="104">
        <f t="shared" si="13"/>
        <v>165266.78884644032</v>
      </c>
      <c r="J40" s="110">
        <f t="shared" si="21"/>
        <v>37340378.271964729</v>
      </c>
      <c r="K40" s="102">
        <f t="shared" si="22"/>
        <v>13771177.440885648</v>
      </c>
      <c r="L40" s="102">
        <f t="shared" si="23"/>
        <v>14563745.179506764</v>
      </c>
      <c r="M40" s="113">
        <f t="shared" si="24"/>
        <v>1.0262771132261461</v>
      </c>
      <c r="N40" s="114">
        <f t="shared" si="25"/>
        <v>0.63941606823043839</v>
      </c>
      <c r="O40" s="307">
        <f t="shared" si="20"/>
        <v>14.563745179506764</v>
      </c>
    </row>
    <row r="41" spans="1:22" s="100" customFormat="1" x14ac:dyDescent="0.2">
      <c r="A41" s="227" t="str">
        <f>A22</f>
        <v>Gardasil Adults</v>
      </c>
      <c r="B41" s="227" t="str">
        <f>B22</f>
        <v>HCC Display</v>
      </c>
      <c r="C41" s="94">
        <f t="shared" si="8"/>
        <v>1</v>
      </c>
      <c r="D41" s="102">
        <f t="shared" si="10"/>
        <v>2859426.82</v>
      </c>
      <c r="E41" s="244" t="s">
        <v>161</v>
      </c>
      <c r="F41" s="104">
        <f t="shared" si="11"/>
        <v>76065.012406995462</v>
      </c>
      <c r="G41" s="106">
        <f t="shared" si="14"/>
        <v>17186128.903236553</v>
      </c>
      <c r="H41" s="108">
        <f t="shared" si="12"/>
        <v>10000000</v>
      </c>
      <c r="I41" s="104">
        <f t="shared" si="13"/>
        <v>161219.49210476698</v>
      </c>
      <c r="J41" s="110">
        <f t="shared" si="21"/>
        <v>36425932.046151049</v>
      </c>
      <c r="K41" s="102">
        <f t="shared" si="22"/>
        <v>7140573.1799999997</v>
      </c>
      <c r="L41" s="102">
        <f t="shared" si="23"/>
        <v>19239803.142914496</v>
      </c>
      <c r="M41" s="113">
        <f t="shared" si="24"/>
        <v>2.4972043802820596</v>
      </c>
      <c r="N41" s="114">
        <f t="shared" si="25"/>
        <v>1.1194960337630884</v>
      </c>
      <c r="O41" s="307">
        <f t="shared" si="20"/>
        <v>19.239803142914496</v>
      </c>
    </row>
    <row r="42" spans="1:22" x14ac:dyDescent="0.2">
      <c r="A42" s="227" t="str">
        <f>A23</f>
        <v>Gardasil Adults</v>
      </c>
      <c r="B42" s="227" t="str">
        <f>B23</f>
        <v>HCC Paid Search</v>
      </c>
      <c r="C42" s="94">
        <f t="shared" si="8"/>
        <v>1</v>
      </c>
      <c r="D42" s="102">
        <f t="shared" si="10"/>
        <v>50000</v>
      </c>
      <c r="E42" s="244" t="s">
        <v>161</v>
      </c>
      <c r="F42" s="104">
        <f t="shared" si="11"/>
        <v>30136.792938374307</v>
      </c>
      <c r="G42" s="106">
        <f t="shared" si="14"/>
        <v>6809106.9964962909</v>
      </c>
      <c r="H42" s="108">
        <f t="shared" si="12"/>
        <v>240000</v>
      </c>
      <c r="I42" s="104">
        <f t="shared" si="13"/>
        <v>90357.852437734444</v>
      </c>
      <c r="J42" s="110">
        <f t="shared" si="21"/>
        <v>20415453.17978172</v>
      </c>
      <c r="K42" s="102">
        <f t="shared" si="22"/>
        <v>190000</v>
      </c>
      <c r="L42" s="102">
        <f t="shared" si="23"/>
        <v>13606346.18328543</v>
      </c>
      <c r="M42" s="113">
        <f t="shared" si="24"/>
        <v>3.8</v>
      </c>
      <c r="N42" s="114">
        <f t="shared" si="25"/>
        <v>1.9982570681128584</v>
      </c>
      <c r="O42" s="307">
        <f t="shared" si="20"/>
        <v>13.60634618328543</v>
      </c>
    </row>
    <row r="43" spans="1:22" s="100" customFormat="1" x14ac:dyDescent="0.2">
      <c r="A43" s="227" t="str">
        <f>A24</f>
        <v>Gardasil Adults</v>
      </c>
      <c r="B43" s="227" t="str">
        <f>B24</f>
        <v>HCC Linear TV</v>
      </c>
      <c r="C43" s="94">
        <f t="shared" si="8"/>
        <v>1</v>
      </c>
      <c r="D43" s="102">
        <f>E24</f>
        <v>25810928.600000001</v>
      </c>
      <c r="E43" s="244" t="s">
        <v>161</v>
      </c>
      <c r="F43" s="104">
        <f t="shared" si="11"/>
        <v>168508.00202805389</v>
      </c>
      <c r="G43" s="106">
        <f t="shared" si="14"/>
        <v>38072697.978218496</v>
      </c>
      <c r="H43" s="108">
        <f t="shared" si="12"/>
        <v>32753689.22929937</v>
      </c>
      <c r="I43" s="104">
        <f t="shared" si="13"/>
        <v>199085.73622577282</v>
      </c>
      <c r="J43" s="110">
        <f t="shared" si="21"/>
        <v>44981431.242851108</v>
      </c>
      <c r="K43" s="102">
        <f t="shared" si="22"/>
        <v>6942760.6292993687</v>
      </c>
      <c r="L43" s="102">
        <f t="shared" si="23"/>
        <v>6908733.2646326125</v>
      </c>
      <c r="M43" s="113">
        <f t="shared" si="24"/>
        <v>0.26898530993957992</v>
      </c>
      <c r="N43" s="114">
        <f t="shared" si="25"/>
        <v>0.18146161505510114</v>
      </c>
      <c r="O43" s="307">
        <f t="shared" si="20"/>
        <v>6.9087332646326125</v>
      </c>
    </row>
    <row r="44" spans="1:22" s="100" customFormat="1" x14ac:dyDescent="0.2">
      <c r="A44" s="227" t="str">
        <f t="shared" ref="A44:B45" si="26">A25</f>
        <v>Gardasil Adults</v>
      </c>
      <c r="B44" s="227" t="str">
        <f t="shared" si="26"/>
        <v>HCC Radio</v>
      </c>
      <c r="C44" s="94">
        <f t="shared" si="8"/>
        <v>1</v>
      </c>
      <c r="D44" s="102">
        <f>E25</f>
        <v>923975</v>
      </c>
      <c r="E44" s="244" t="s">
        <v>161</v>
      </c>
      <c r="F44" s="104">
        <f t="shared" si="11"/>
        <v>26581.559263521289</v>
      </c>
      <c r="G44" s="106">
        <f t="shared" si="14"/>
        <v>6005837.5</v>
      </c>
      <c r="H44" s="108">
        <f t="shared" si="12"/>
        <v>4800000</v>
      </c>
      <c r="I44" s="104">
        <f t="shared" si="13"/>
        <v>71437.963072578132</v>
      </c>
      <c r="J44" s="110">
        <f t="shared" si="21"/>
        <v>16140693.376618303</v>
      </c>
      <c r="K44" s="102">
        <f t="shared" si="22"/>
        <v>3876025</v>
      </c>
      <c r="L44" s="102">
        <f t="shared" si="23"/>
        <v>10134855.876618303</v>
      </c>
      <c r="M44" s="113">
        <f t="shared" si="24"/>
        <v>4.1949457506967178</v>
      </c>
      <c r="N44" s="114">
        <f t="shared" si="25"/>
        <v>1.6875008484026255</v>
      </c>
      <c r="O44" s="307">
        <f t="shared" si="20"/>
        <v>10.134855876618303</v>
      </c>
    </row>
    <row r="45" spans="1:22" s="100" customFormat="1" x14ac:dyDescent="0.2">
      <c r="A45" s="227" t="str">
        <f t="shared" si="26"/>
        <v>Gardasil Adults</v>
      </c>
      <c r="B45" s="227" t="str">
        <f t="shared" si="26"/>
        <v>HCC Pharmacy</v>
      </c>
      <c r="C45" s="94">
        <f t="shared" si="8"/>
        <v>1</v>
      </c>
      <c r="D45" s="102">
        <f t="shared" si="10"/>
        <v>2411968</v>
      </c>
      <c r="E45" s="244" t="s">
        <v>161</v>
      </c>
      <c r="F45" s="104">
        <f t="shared" si="11"/>
        <v>18205.929821531288</v>
      </c>
      <c r="G45" s="106">
        <f t="shared" si="14"/>
        <v>4113447.783876779</v>
      </c>
      <c r="H45" s="108">
        <f t="shared" si="12"/>
        <v>3873454.4914096105</v>
      </c>
      <c r="I45" s="104">
        <f t="shared" si="13"/>
        <v>25491.835071013309</v>
      </c>
      <c r="J45" s="110">
        <f t="shared" si="21"/>
        <v>5759625.2159447474</v>
      </c>
      <c r="K45" s="102">
        <f t="shared" si="22"/>
        <v>1461486.4914096105</v>
      </c>
      <c r="L45" s="102">
        <f t="shared" si="23"/>
        <v>1646177.4320679684</v>
      </c>
      <c r="M45" s="113">
        <f t="shared" si="24"/>
        <v>0.60593112819473993</v>
      </c>
      <c r="N45" s="114">
        <f t="shared" si="25"/>
        <v>0.40019407527679968</v>
      </c>
      <c r="O45" s="307">
        <f t="shared" si="20"/>
        <v>1.6461774320679685</v>
      </c>
    </row>
    <row r="46" spans="1:22" s="100" customFormat="1" x14ac:dyDescent="0.2">
      <c r="A46" s="130" t="s">
        <v>154</v>
      </c>
      <c r="B46" s="130" t="s">
        <v>99</v>
      </c>
      <c r="C46" s="130"/>
      <c r="D46" s="132">
        <f>SUM(D36:D45)</f>
        <v>59976092.18</v>
      </c>
      <c r="E46" s="245"/>
      <c r="F46" s="132">
        <f t="shared" ref="F46:L46" si="27">SUM(F36:F45)</f>
        <v>761479.22554221447</v>
      </c>
      <c r="G46" s="132">
        <f t="shared" si="27"/>
        <v>172048616.21900794</v>
      </c>
      <c r="H46" s="132">
        <f t="shared" si="27"/>
        <v>119952184.42368071</v>
      </c>
      <c r="I46" s="132">
        <f t="shared" si="27"/>
        <v>1365982.8848392637</v>
      </c>
      <c r="J46" s="132">
        <f t="shared" si="27"/>
        <v>308630173.00058323</v>
      </c>
      <c r="K46" s="132">
        <f t="shared" si="27"/>
        <v>59976092.243680693</v>
      </c>
      <c r="L46" s="132">
        <f t="shared" si="27"/>
        <v>136581556.78157526</v>
      </c>
      <c r="M46" s="131">
        <f>K46/D46</f>
        <v>1.000000001061768</v>
      </c>
      <c r="N46" s="133">
        <f>L46/G46</f>
        <v>0.79385443360796837</v>
      </c>
    </row>
    <row r="47" spans="1:22" x14ac:dyDescent="0.2">
      <c r="D47" s="150"/>
      <c r="E47" s="246"/>
      <c r="F47" s="151"/>
      <c r="G47" s="115"/>
      <c r="H47" s="100"/>
      <c r="I47" s="96"/>
      <c r="J47" s="115"/>
      <c r="K47" s="100"/>
      <c r="L47" s="115"/>
      <c r="M47" s="119"/>
      <c r="N47" s="116"/>
    </row>
    <row r="48" spans="1:22" x14ac:dyDescent="0.2">
      <c r="D48" s="150"/>
      <c r="E48" s="246"/>
      <c r="F48" s="151"/>
      <c r="G48" s="307"/>
      <c r="H48" s="100"/>
      <c r="I48" s="96"/>
      <c r="J48" s="115"/>
      <c r="K48" s="100"/>
      <c r="L48" s="115"/>
      <c r="M48" s="119"/>
      <c r="N48" s="116"/>
    </row>
    <row r="49" spans="4:14" x14ac:dyDescent="0.2">
      <c r="D49" s="150"/>
      <c r="E49" s="246"/>
      <c r="F49" s="151"/>
      <c r="G49" s="330"/>
      <c r="H49" s="100"/>
      <c r="I49" s="96"/>
      <c r="J49" s="330"/>
      <c r="K49" s="100"/>
      <c r="L49" s="115"/>
      <c r="M49" s="119"/>
      <c r="N49" s="116"/>
    </row>
    <row r="50" spans="4:14" x14ac:dyDescent="0.2">
      <c r="D50" s="135"/>
      <c r="E50" s="247"/>
      <c r="F50" s="135"/>
      <c r="G50" s="100"/>
      <c r="H50" s="100"/>
      <c r="I50" s="100"/>
      <c r="J50" s="100"/>
      <c r="K50" s="100"/>
      <c r="L50" s="100"/>
      <c r="M50" s="100"/>
      <c r="N50" s="100"/>
    </row>
    <row r="51" spans="4:14" x14ac:dyDescent="0.2">
      <c r="D51" s="152"/>
      <c r="E51" s="247"/>
      <c r="F51" s="135"/>
      <c r="G51" s="100"/>
      <c r="H51" s="100"/>
      <c r="I51" s="100"/>
      <c r="J51" s="100"/>
      <c r="K51" s="100"/>
      <c r="L51" s="100"/>
      <c r="M51" s="100"/>
      <c r="N51" s="100"/>
    </row>
    <row r="52" spans="4:14" x14ac:dyDescent="0.2">
      <c r="D52" s="135"/>
      <c r="E52" s="247"/>
      <c r="F52" s="135"/>
    </row>
    <row r="53" spans="4:14" x14ac:dyDescent="0.2">
      <c r="E53" s="248"/>
    </row>
    <row r="54" spans="4:14" x14ac:dyDescent="0.2">
      <c r="E54" s="248"/>
    </row>
    <row r="55" spans="4:14" x14ac:dyDescent="0.2">
      <c r="E55" s="248"/>
    </row>
    <row r="56" spans="4:14" x14ac:dyDescent="0.2">
      <c r="E56" s="248"/>
    </row>
    <row r="57" spans="4:14" x14ac:dyDescent="0.2">
      <c r="E57" s="248"/>
    </row>
  </sheetData>
  <mergeCells count="20">
    <mergeCell ref="H34:J34"/>
    <mergeCell ref="B4:I4"/>
    <mergeCell ref="E5:I5"/>
    <mergeCell ref="E6:I6"/>
    <mergeCell ref="K15:N15"/>
    <mergeCell ref="K34:N34"/>
    <mergeCell ref="J31:O31"/>
    <mergeCell ref="C15:C16"/>
    <mergeCell ref="D15:D16"/>
    <mergeCell ref="E15:F15"/>
    <mergeCell ref="G15:H15"/>
    <mergeCell ref="I15:J15"/>
    <mergeCell ref="D31:I31"/>
    <mergeCell ref="C34:C35"/>
    <mergeCell ref="D34:G34"/>
    <mergeCell ref="A34:A35"/>
    <mergeCell ref="B34:B35"/>
    <mergeCell ref="A32:A33"/>
    <mergeCell ref="A15:A16"/>
    <mergeCell ref="B15:B16"/>
  </mergeCells>
  <conditionalFormatting sqref="M17:M26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18" workbookViewId="0">
      <selection activeCell="G14" sqref="G14"/>
    </sheetView>
  </sheetViews>
  <sheetFormatPr defaultColWidth="8.85546875" defaultRowHeight="12.75" x14ac:dyDescent="0.2"/>
  <cols>
    <col min="1" max="1" width="12.140625" style="100" customWidth="1"/>
    <col min="2" max="2" width="13.42578125" style="100" customWidth="1"/>
    <col min="3" max="3" width="12.42578125" style="100" customWidth="1"/>
    <col min="4" max="4" width="13.5703125" style="100" customWidth="1"/>
    <col min="5" max="5" width="14.5703125" style="100" customWidth="1"/>
    <col min="6" max="6" width="12.42578125" style="100" customWidth="1"/>
    <col min="7" max="7" width="12" style="100" customWidth="1"/>
    <col min="8" max="10" width="10.42578125" style="100" customWidth="1"/>
    <col min="11" max="11" width="14.42578125" style="100" bestFit="1" customWidth="1"/>
    <col min="12" max="13" width="12" style="100" bestFit="1" customWidth="1"/>
    <col min="14" max="14" width="12.5703125" style="100" customWidth="1"/>
    <col min="15" max="15" width="9.5703125" style="100" bestFit="1" customWidth="1"/>
    <col min="16" max="16" width="8.85546875" style="100"/>
    <col min="17" max="18" width="10.42578125" style="100" customWidth="1"/>
    <col min="19" max="16384" width="8.85546875" style="100"/>
  </cols>
  <sheetData>
    <row r="1" spans="1:18" ht="13.5" thickBot="1" x14ac:dyDescent="0.25">
      <c r="A1" s="6" t="s">
        <v>0</v>
      </c>
      <c r="B1" s="100" t="s">
        <v>153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122" t="s">
        <v>102</v>
      </c>
      <c r="I2" s="123"/>
      <c r="J2" s="123"/>
      <c r="K2" s="123"/>
      <c r="L2" s="124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15" t="s">
        <v>106</v>
      </c>
      <c r="C4" s="415"/>
      <c r="D4" s="415"/>
      <c r="E4" s="415"/>
      <c r="F4" s="416"/>
      <c r="H4" s="100" t="s">
        <v>107</v>
      </c>
    </row>
    <row r="5" spans="1:18" x14ac:dyDescent="0.2">
      <c r="H5" s="100" t="s">
        <v>166</v>
      </c>
    </row>
    <row r="6" spans="1:18" ht="13.5" thickBot="1" x14ac:dyDescent="0.25">
      <c r="B6" s="96">
        <f>VAC_Optim_Scenario!$G$14</f>
        <v>0</v>
      </c>
      <c r="C6" s="96">
        <f>VAC_Optim_Scenario!$H$14</f>
        <v>0</v>
      </c>
    </row>
    <row r="7" spans="1:18" ht="27.75" customHeight="1" x14ac:dyDescent="0.2">
      <c r="A7" s="413" t="s">
        <v>8</v>
      </c>
      <c r="B7" s="418" t="s">
        <v>9</v>
      </c>
      <c r="C7" s="419"/>
      <c r="D7" s="420" t="s">
        <v>12</v>
      </c>
      <c r="E7" s="421"/>
      <c r="F7" s="422"/>
      <c r="G7" s="418" t="s">
        <v>124</v>
      </c>
      <c r="H7" s="418"/>
      <c r="I7" s="423"/>
      <c r="J7" s="100" t="s">
        <v>125</v>
      </c>
    </row>
    <row r="8" spans="1:18" ht="28.35" customHeight="1" x14ac:dyDescent="0.2">
      <c r="A8" s="417"/>
      <c r="B8" s="121" t="s">
        <v>10</v>
      </c>
      <c r="C8" s="17" t="s">
        <v>11</v>
      </c>
      <c r="D8" s="19" t="s">
        <v>20</v>
      </c>
      <c r="E8" s="121" t="s">
        <v>21</v>
      </c>
      <c r="F8" s="81" t="s">
        <v>117</v>
      </c>
      <c r="G8" s="120" t="s">
        <v>22</v>
      </c>
      <c r="H8" s="121" t="s">
        <v>23</v>
      </c>
      <c r="I8" s="88" t="s">
        <v>123</v>
      </c>
    </row>
    <row r="9" spans="1:18" ht="14.45" customHeight="1" thickBot="1" x14ac:dyDescent="0.25">
      <c r="A9" s="414"/>
      <c r="B9" s="97">
        <f>VAC_Optim_Scenario!G17</f>
        <v>900000</v>
      </c>
      <c r="C9" s="97">
        <f>VAC_Optim_Scenario!H17</f>
        <v>11700000</v>
      </c>
      <c r="D9" s="68">
        <f>VAC_Optim_Scenario!I17</f>
        <v>1205648.4257292538</v>
      </c>
      <c r="E9" s="84">
        <f>((($R$12/(1+EXP($P$12+$Q$12*D9)))-1) - ($F$12-$C$12))*$I$12</f>
        <v>7676.5394714325666</v>
      </c>
      <c r="F9" s="89">
        <f>E9*$G$12</f>
        <v>7676.5394714325666</v>
      </c>
      <c r="G9" s="97">
        <f>VAC_Optim_Scenario!E17</f>
        <v>1134710</v>
      </c>
      <c r="H9" s="85">
        <f>((($R$12/(1+EXP($P$12+$Q$12*G9)))-1) - ($F$12-$C$12))*$I$12</f>
        <v>7367.8666140222922</v>
      </c>
      <c r="I9" s="90">
        <f>H9*$G$12</f>
        <v>7367.8666140222922</v>
      </c>
      <c r="J9" s="87">
        <f>G9/I9</f>
        <v>154.00794550765286</v>
      </c>
      <c r="K9" s="100" t="s">
        <v>167</v>
      </c>
    </row>
    <row r="10" spans="1:18" ht="13.5" thickBot="1" x14ac:dyDescent="0.25"/>
    <row r="11" spans="1:18" ht="51.6" customHeight="1" x14ac:dyDescent="0.2">
      <c r="A11" s="413" t="s">
        <v>15</v>
      </c>
      <c r="B11" s="269" t="s">
        <v>16</v>
      </c>
      <c r="C11" s="269" t="s">
        <v>17</v>
      </c>
      <c r="D11" s="269" t="s">
        <v>18</v>
      </c>
      <c r="E11" s="269" t="s">
        <v>19</v>
      </c>
      <c r="F11" s="270" t="s">
        <v>109</v>
      </c>
      <c r="G11" s="268" t="s">
        <v>168</v>
      </c>
      <c r="H11" s="269" t="s">
        <v>119</v>
      </c>
      <c r="I11" s="92" t="s">
        <v>122</v>
      </c>
      <c r="K11" s="405" t="s">
        <v>25</v>
      </c>
      <c r="L11" s="125" t="s">
        <v>110</v>
      </c>
      <c r="M11" s="125" t="s">
        <v>111</v>
      </c>
      <c r="N11" s="125" t="s">
        <v>112</v>
      </c>
      <c r="O11" s="125" t="s">
        <v>113</v>
      </c>
      <c r="P11" s="125" t="s">
        <v>26</v>
      </c>
      <c r="Q11" s="125" t="s">
        <v>27</v>
      </c>
      <c r="R11" s="126" t="s">
        <v>28</v>
      </c>
    </row>
    <row r="12" spans="1:18" ht="15" customHeight="1" thickBot="1" x14ac:dyDescent="0.25">
      <c r="A12" s="414"/>
      <c r="B12" s="299">
        <f>'[1]HCC Inoffice Curve'!$B$12</f>
        <v>1100000</v>
      </c>
      <c r="C12" s="299">
        <f>'[1]HCC Inoffice Curve'!$C$12</f>
        <v>7211.735697901333</v>
      </c>
      <c r="D12" s="299">
        <f>'[1]HCC Inoffice Curve'!$D$12</f>
        <v>0</v>
      </c>
      <c r="E12" s="299">
        <f>'[1]HCC Inoffice Curve'!$E$12</f>
        <v>14423.471395802664</v>
      </c>
      <c r="F12" s="299">
        <f>'[1]HCC Inoffice Curve'!$F$12</f>
        <v>4647854</v>
      </c>
      <c r="G12" s="156">
        <f>VAC_Optim_Scenario!$D$33</f>
        <v>1</v>
      </c>
      <c r="H12" s="71">
        <f>C12*G12</f>
        <v>7211.735697901333</v>
      </c>
      <c r="I12" s="300">
        <f>VAC_Optim_Scenario!D17</f>
        <v>1</v>
      </c>
      <c r="K12" s="406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73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407" t="s">
        <v>169</v>
      </c>
      <c r="B13" s="408"/>
      <c r="C13" s="408"/>
      <c r="D13" s="408"/>
      <c r="E13" s="408"/>
      <c r="F13" s="409"/>
      <c r="G13" s="121" t="s">
        <v>150</v>
      </c>
      <c r="H13" s="121" t="s">
        <v>151</v>
      </c>
      <c r="K13" s="407" t="s">
        <v>115</v>
      </c>
      <c r="L13" s="408"/>
      <c r="M13" s="408"/>
      <c r="N13" s="408"/>
      <c r="O13" s="408"/>
      <c r="P13" s="408"/>
      <c r="Q13" s="408"/>
      <c r="R13" s="409"/>
    </row>
    <row r="14" spans="1:18" ht="33.6" customHeight="1" thickBot="1" x14ac:dyDescent="0.25">
      <c r="A14" s="410"/>
      <c r="B14" s="411"/>
      <c r="C14" s="411"/>
      <c r="D14" s="411"/>
      <c r="E14" s="411"/>
      <c r="F14" s="412"/>
      <c r="G14" s="97">
        <f>VAC_Optim_Scenario!$I$33</f>
        <v>225.94</v>
      </c>
      <c r="H14" s="97">
        <f>VAC_Optim_Scenario!$F$33</f>
        <v>225.94</v>
      </c>
      <c r="K14" s="410"/>
      <c r="L14" s="411"/>
      <c r="M14" s="411"/>
      <c r="N14" s="411"/>
      <c r="O14" s="411"/>
      <c r="P14" s="411"/>
      <c r="Q14" s="411"/>
      <c r="R14" s="412"/>
    </row>
    <row r="16" spans="1:18" ht="13.5" thickBot="1" x14ac:dyDescent="0.25"/>
    <row r="17" spans="1:8" ht="42.6" customHeight="1" x14ac:dyDescent="0.2">
      <c r="A17" s="405" t="s">
        <v>34</v>
      </c>
      <c r="B17" s="125" t="s">
        <v>32</v>
      </c>
      <c r="C17" s="125" t="s">
        <v>31</v>
      </c>
      <c r="D17" s="126" t="s">
        <v>33</v>
      </c>
      <c r="F17" s="82"/>
      <c r="G17" s="82"/>
      <c r="H17" s="83"/>
    </row>
    <row r="18" spans="1:8" ht="23.45" customHeight="1" thickBot="1" x14ac:dyDescent="0.25">
      <c r="A18" s="406"/>
      <c r="B18" s="75">
        <v>0</v>
      </c>
      <c r="C18" s="76">
        <v>4000000</v>
      </c>
      <c r="D18" s="26">
        <v>20</v>
      </c>
    </row>
    <row r="20" spans="1:8" x14ac:dyDescent="0.2">
      <c r="A20" s="386" t="s">
        <v>37</v>
      </c>
      <c r="B20" s="386"/>
      <c r="C20" s="386"/>
    </row>
    <row r="21" spans="1:8" ht="25.5" x14ac:dyDescent="0.2">
      <c r="A21" s="121" t="s">
        <v>35</v>
      </c>
      <c r="B21" s="121" t="s">
        <v>170</v>
      </c>
      <c r="C21" s="121" t="s">
        <v>171</v>
      </c>
      <c r="D21" s="100" t="s">
        <v>172</v>
      </c>
      <c r="E21" s="121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8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100">
        <f>(B23-B22)/A23</f>
        <v>8.5338966534147034E-3</v>
      </c>
      <c r="E23" s="118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100">
        <f t="shared" ref="D24:D42" si="4">(B24-B23)/A24</f>
        <v>3.7632454011123626E-3</v>
      </c>
      <c r="E24" s="118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100">
        <f t="shared" si="4"/>
        <v>2.2124877088579038E-3</v>
      </c>
      <c r="E25" s="118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100">
        <f t="shared" si="4"/>
        <v>1.4632561153371353E-3</v>
      </c>
      <c r="E26" s="118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100">
        <f t="shared" si="4"/>
        <v>1.0321929564028978E-3</v>
      </c>
      <c r="E27" s="118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100">
        <f t="shared" si="4"/>
        <v>7.5841307334136216E-4</v>
      </c>
      <c r="E28" s="118">
        <f t="shared" si="2"/>
        <v>1728997.6377870329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100">
        <f t="shared" si="4"/>
        <v>5.7314390835551811E-4</v>
      </c>
      <c r="E29" s="118">
        <f t="shared" si="2"/>
        <v>1910292.226302417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100">
        <f t="shared" si="4"/>
        <v>4.4213758305180817E-4</v>
      </c>
      <c r="E30" s="118">
        <f t="shared" si="2"/>
        <v>2070126.7311259778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100">
        <f t="shared" si="4"/>
        <v>3.4647658708401852E-4</v>
      </c>
      <c r="E31" s="118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100">
        <f t="shared" si="4"/>
        <v>2.7489740956714378E-4</v>
      </c>
      <c r="E32" s="118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100">
        <f t="shared" si="4"/>
        <v>2.2030239345421167E-4</v>
      </c>
      <c r="E33" s="118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100">
        <f t="shared" si="4"/>
        <v>1.780165807553567E-4</v>
      </c>
      <c r="E34" s="118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100">
        <f t="shared" si="4"/>
        <v>1.448498512037958E-4</v>
      </c>
      <c r="E35" s="118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100">
        <f t="shared" si="4"/>
        <v>1.1856163375146155E-4</v>
      </c>
      <c r="E36" s="118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100">
        <f t="shared" si="4"/>
        <v>9.7540260742418465E-5</v>
      </c>
      <c r="E37" s="118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100">
        <f t="shared" si="4"/>
        <v>8.0603005183511417E-5</v>
      </c>
      <c r="E38" s="118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100">
        <f t="shared" si="4"/>
        <v>6.6867062695160067E-5</v>
      </c>
      <c r="E39" s="118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100">
        <f t="shared" si="4"/>
        <v>5.5663849944248797E-5</v>
      </c>
      <c r="E40" s="118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100">
        <f t="shared" si="4"/>
        <v>4.6480628058657445E-5</v>
      </c>
      <c r="E41" s="118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100">
        <f t="shared" si="4"/>
        <v>3.8919859350658956E-5</v>
      </c>
      <c r="E42" s="118">
        <f t="shared" si="2"/>
        <v>2997505.1473188438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7"/>
  <sheetViews>
    <sheetView workbookViewId="0">
      <selection activeCell="A13" sqref="A13:F14"/>
    </sheetView>
  </sheetViews>
  <sheetFormatPr defaultColWidth="8.85546875" defaultRowHeight="12.75" x14ac:dyDescent="0.2"/>
  <cols>
    <col min="1" max="1" width="12.140625" style="100" customWidth="1"/>
    <col min="2" max="2" width="13.42578125" style="100" customWidth="1"/>
    <col min="3" max="3" width="12.42578125" style="100" customWidth="1"/>
    <col min="4" max="4" width="13.5703125" style="100" customWidth="1"/>
    <col min="5" max="5" width="14.5703125" style="100" customWidth="1"/>
    <col min="6" max="6" width="12.42578125" style="100" customWidth="1"/>
    <col min="7" max="7" width="12" style="100" customWidth="1"/>
    <col min="8" max="10" width="10.42578125" style="100" customWidth="1"/>
    <col min="11" max="11" width="14.42578125" style="100" bestFit="1" customWidth="1"/>
    <col min="12" max="13" width="12" style="100" bestFit="1" customWidth="1"/>
    <col min="14" max="14" width="12.5703125" style="100" customWidth="1"/>
    <col min="15" max="15" width="10.85546875" style="100" bestFit="1" customWidth="1"/>
    <col min="16" max="16" width="8.85546875" style="100"/>
    <col min="17" max="18" width="10.42578125" style="100" customWidth="1"/>
    <col min="19" max="16384" width="8.85546875" style="100"/>
  </cols>
  <sheetData>
    <row r="1" spans="1:18" ht="13.5" thickBot="1" x14ac:dyDescent="0.25">
      <c r="A1" s="6" t="s">
        <v>0</v>
      </c>
      <c r="B1" s="100" t="s">
        <v>156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122" t="s">
        <v>102</v>
      </c>
      <c r="I2" s="123"/>
      <c r="J2" s="123"/>
      <c r="K2" s="123"/>
      <c r="L2" s="124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15" t="s">
        <v>106</v>
      </c>
      <c r="C4" s="415"/>
      <c r="D4" s="415"/>
      <c r="E4" s="415"/>
      <c r="F4" s="416"/>
      <c r="H4" s="100" t="s">
        <v>107</v>
      </c>
    </row>
    <row r="5" spans="1:18" x14ac:dyDescent="0.2">
      <c r="H5" s="100" t="s">
        <v>173</v>
      </c>
    </row>
    <row r="6" spans="1:18" ht="13.5" thickBot="1" x14ac:dyDescent="0.25">
      <c r="B6" s="96">
        <f>VAC_Optim_Scenario!$G$14</f>
        <v>0</v>
      </c>
      <c r="C6" s="96">
        <f>VAC_Optim_Scenario!$H$14</f>
        <v>0</v>
      </c>
    </row>
    <row r="7" spans="1:18" ht="27.75" customHeight="1" x14ac:dyDescent="0.2">
      <c r="A7" s="413" t="s">
        <v>8</v>
      </c>
      <c r="B7" s="418" t="s">
        <v>9</v>
      </c>
      <c r="C7" s="419"/>
      <c r="D7" s="420" t="s">
        <v>12</v>
      </c>
      <c r="E7" s="421"/>
      <c r="F7" s="422"/>
      <c r="G7" s="418" t="s">
        <v>124</v>
      </c>
      <c r="H7" s="418"/>
      <c r="I7" s="423"/>
      <c r="J7" s="100" t="s">
        <v>125</v>
      </c>
    </row>
    <row r="8" spans="1:18" ht="28.35" customHeight="1" x14ac:dyDescent="0.2">
      <c r="A8" s="417"/>
      <c r="B8" s="121" t="s">
        <v>10</v>
      </c>
      <c r="C8" s="17" t="s">
        <v>11</v>
      </c>
      <c r="D8" s="19" t="s">
        <v>20</v>
      </c>
      <c r="E8" s="121" t="s">
        <v>21</v>
      </c>
      <c r="F8" s="81" t="s">
        <v>117</v>
      </c>
      <c r="G8" s="120" t="s">
        <v>22</v>
      </c>
      <c r="H8" s="121" t="s">
        <v>23</v>
      </c>
      <c r="I8" s="88" t="s">
        <v>123</v>
      </c>
    </row>
    <row r="9" spans="1:18" ht="14.45" customHeight="1" thickBot="1" x14ac:dyDescent="0.25">
      <c r="A9" s="414"/>
      <c r="B9" s="97">
        <f>VAC_Optim_Scenario!G18</f>
        <v>10500000</v>
      </c>
      <c r="C9" s="97">
        <f>VAC_Optim_Scenario!H18</f>
        <v>28000000</v>
      </c>
      <c r="D9" s="68">
        <f>VAC_Optim_Scenario!I18</f>
        <v>27999999.999999996</v>
      </c>
      <c r="E9" s="84">
        <f>((($R$12/(1+EXP($P$12+$Q$12*D9)))-1) - ($F$12-$C$12))*$I$12</f>
        <v>545650.52000670694</v>
      </c>
      <c r="F9" s="89">
        <f>E9*$G$12</f>
        <v>545650.52000670694</v>
      </c>
      <c r="G9" s="97">
        <f>VAC_Optim_Scenario!E18</f>
        <v>10503728.719999999</v>
      </c>
      <c r="H9" s="85">
        <f>((($R$12/(1+EXP($P$12+$Q$12*G9)))-1) - ($F$12-$C$12))*$I$12</f>
        <v>288339.09761974216</v>
      </c>
      <c r="I9" s="90">
        <f>H9*$G$12</f>
        <v>288339.09761974216</v>
      </c>
      <c r="J9" s="87">
        <f>G9/I9</f>
        <v>36.428388680927966</v>
      </c>
      <c r="K9" s="100" t="s">
        <v>167</v>
      </c>
    </row>
    <row r="10" spans="1:18" ht="13.5" thickBot="1" x14ac:dyDescent="0.25"/>
    <row r="11" spans="1:18" ht="51.6" customHeight="1" x14ac:dyDescent="0.2">
      <c r="A11" s="413" t="s">
        <v>15</v>
      </c>
      <c r="B11" s="269" t="s">
        <v>16</v>
      </c>
      <c r="C11" s="269" t="s">
        <v>17</v>
      </c>
      <c r="D11" s="269" t="s">
        <v>18</v>
      </c>
      <c r="E11" s="269" t="s">
        <v>19</v>
      </c>
      <c r="F11" s="270" t="s">
        <v>109</v>
      </c>
      <c r="G11" s="268" t="s">
        <v>168</v>
      </c>
      <c r="H11" s="269" t="s">
        <v>119</v>
      </c>
      <c r="I11" s="92" t="s">
        <v>122</v>
      </c>
      <c r="K11" s="405" t="s">
        <v>25</v>
      </c>
      <c r="L11" s="125" t="s">
        <v>110</v>
      </c>
      <c r="M11" s="125" t="s">
        <v>111</v>
      </c>
      <c r="N11" s="125" t="s">
        <v>112</v>
      </c>
      <c r="O11" s="125" t="s">
        <v>113</v>
      </c>
      <c r="P11" s="125" t="s">
        <v>26</v>
      </c>
      <c r="Q11" s="125" t="s">
        <v>27</v>
      </c>
      <c r="R11" s="126" t="s">
        <v>28</v>
      </c>
    </row>
    <row r="12" spans="1:18" ht="15" customHeight="1" thickBot="1" x14ac:dyDescent="0.25">
      <c r="A12" s="414"/>
      <c r="B12" s="299">
        <f>'[2]HCP MCM SCurve'!$B$12</f>
        <v>10503728.719999999</v>
      </c>
      <c r="C12" s="299">
        <f>'[2]HCP MCM SCurve'!$C$12</f>
        <v>288339.09761974245</v>
      </c>
      <c r="D12" s="299">
        <f>'[2]HCP MCM SCurve'!$D$12</f>
        <v>0</v>
      </c>
      <c r="E12" s="299">
        <f>'[2]HCP MCM SCurve'!$E$12</f>
        <v>720847.7440493562</v>
      </c>
      <c r="F12" s="299">
        <f>'[2]HCP MCM SCurve'!$F$12</f>
        <v>4647854</v>
      </c>
      <c r="G12" s="156">
        <f>VAC_Optim_Scenario!$D$33</f>
        <v>1</v>
      </c>
      <c r="H12" s="71">
        <f>C12*G12</f>
        <v>288339.09761974245</v>
      </c>
      <c r="I12" s="300">
        <f>VAC_Optim_Scenario!D18</f>
        <v>1</v>
      </c>
      <c r="K12" s="406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73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407" t="s">
        <v>174</v>
      </c>
      <c r="B13" s="408"/>
      <c r="C13" s="408"/>
      <c r="D13" s="408"/>
      <c r="E13" s="408"/>
      <c r="F13" s="409"/>
      <c r="G13" s="121" t="s">
        <v>150</v>
      </c>
      <c r="H13" s="121" t="s">
        <v>151</v>
      </c>
      <c r="K13" s="407" t="s">
        <v>115</v>
      </c>
      <c r="L13" s="408"/>
      <c r="M13" s="408"/>
      <c r="N13" s="408"/>
      <c r="O13" s="408"/>
      <c r="P13" s="408"/>
      <c r="Q13" s="408"/>
      <c r="R13" s="409"/>
    </row>
    <row r="14" spans="1:18" ht="33.6" customHeight="1" thickBot="1" x14ac:dyDescent="0.25">
      <c r="A14" s="410"/>
      <c r="B14" s="411"/>
      <c r="C14" s="411"/>
      <c r="D14" s="411"/>
      <c r="E14" s="411"/>
      <c r="F14" s="412"/>
      <c r="G14" s="97">
        <f>VAC_Optim_Scenario!$I$33</f>
        <v>225.94</v>
      </c>
      <c r="H14" s="97">
        <f>VAC_Optim_Scenario!$F$33</f>
        <v>225.94</v>
      </c>
      <c r="K14" s="410"/>
      <c r="L14" s="411"/>
      <c r="M14" s="411"/>
      <c r="N14" s="411"/>
      <c r="O14" s="411"/>
      <c r="P14" s="411"/>
      <c r="Q14" s="411"/>
      <c r="R14" s="412"/>
    </row>
    <row r="16" spans="1:18" ht="13.5" thickBot="1" x14ac:dyDescent="0.25"/>
    <row r="17" spans="1:8" ht="42.6" customHeight="1" x14ac:dyDescent="0.2">
      <c r="A17" s="405" t="s">
        <v>34</v>
      </c>
      <c r="B17" s="125" t="s">
        <v>32</v>
      </c>
      <c r="C17" s="125" t="s">
        <v>31</v>
      </c>
      <c r="D17" s="126" t="s">
        <v>33</v>
      </c>
      <c r="F17" s="82"/>
      <c r="G17" s="82"/>
      <c r="H17" s="83"/>
    </row>
    <row r="18" spans="1:8" ht="23.45" customHeight="1" thickBot="1" x14ac:dyDescent="0.25">
      <c r="A18" s="406"/>
      <c r="B18" s="75">
        <v>0</v>
      </c>
      <c r="C18" s="76">
        <v>12500000</v>
      </c>
      <c r="D18" s="26">
        <v>20</v>
      </c>
    </row>
    <row r="20" spans="1:8" x14ac:dyDescent="0.2">
      <c r="A20" s="386" t="s">
        <v>37</v>
      </c>
      <c r="B20" s="386"/>
      <c r="C20" s="386"/>
    </row>
    <row r="21" spans="1:8" ht="25.5" x14ac:dyDescent="0.2">
      <c r="A21" s="121" t="s">
        <v>35</v>
      </c>
      <c r="B21" s="121" t="s">
        <v>164</v>
      </c>
      <c r="C21" s="121" t="s">
        <v>171</v>
      </c>
      <c r="D21" s="100" t="s">
        <v>175</v>
      </c>
      <c r="E21" s="121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8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100">
        <f>(B23-B22)/A23</f>
        <v>3.3441366024219987E-2</v>
      </c>
      <c r="E23" s="118">
        <f t="shared" ref="E23:E42" si="2">B23*$H$14</f>
        <v>4722338.8996951655</v>
      </c>
    </row>
    <row r="24" spans="1:8" x14ac:dyDescent="0.2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100">
        <f t="shared" ref="D24:D42" si="4">(B24-B23)/A24</f>
        <v>1.6311442019212245E-2</v>
      </c>
      <c r="E24" s="118">
        <f t="shared" si="2"/>
        <v>9329097.9119711835</v>
      </c>
    </row>
    <row r="25" spans="1:8" x14ac:dyDescent="0.2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100">
        <f t="shared" si="4"/>
        <v>1.060523245087713E-2</v>
      </c>
      <c r="E25" s="118">
        <f t="shared" si="2"/>
        <v>13821872.074379643</v>
      </c>
    </row>
    <row r="26" spans="1:8" x14ac:dyDescent="0.2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100">
        <f t="shared" si="4"/>
        <v>7.755043734577298E-3</v>
      </c>
      <c r="E26" s="118">
        <f t="shared" si="2"/>
        <v>18202308.527855631</v>
      </c>
    </row>
    <row r="27" spans="1:8" x14ac:dyDescent="0.2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100">
        <f t="shared" si="4"/>
        <v>6.047329649992883E-3</v>
      </c>
      <c r="E27" s="118">
        <f t="shared" si="2"/>
        <v>22472101.218853731</v>
      </c>
    </row>
    <row r="28" spans="1:8" x14ac:dyDescent="0.2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100">
        <f t="shared" si="4"/>
        <v>4.9109020852699872E-3</v>
      </c>
      <c r="E28" s="118">
        <f t="shared" si="2"/>
        <v>26632985.783150859</v>
      </c>
    </row>
    <row r="29" spans="1:8" x14ac:dyDescent="0.2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100">
        <f t="shared" si="4"/>
        <v>4.1009611494183537E-3</v>
      </c>
      <c r="E29" s="118">
        <f t="shared" si="2"/>
        <v>30686734.617336534</v>
      </c>
    </row>
    <row r="30" spans="1:8" x14ac:dyDescent="0.2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100">
        <f t="shared" si="4"/>
        <v>3.4951027045670895E-3</v>
      </c>
      <c r="E30" s="118">
        <f t="shared" si="2"/>
        <v>34635152.142685972</v>
      </c>
    </row>
    <row r="31" spans="1:8" x14ac:dyDescent="0.2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100">
        <f t="shared" si="4"/>
        <v>3.0253208794463011E-3</v>
      </c>
      <c r="E31" s="118">
        <f t="shared" si="2"/>
        <v>38480070.264885277</v>
      </c>
    </row>
    <row r="32" spans="1:8" x14ac:dyDescent="0.2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100">
        <f t="shared" si="4"/>
        <v>2.6508090764144061E-3</v>
      </c>
      <c r="E32" s="118">
        <f t="shared" si="2"/>
        <v>42223344.031916969</v>
      </c>
    </row>
    <row r="33" spans="1:5" x14ac:dyDescent="0.2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100">
        <f t="shared" si="4"/>
        <v>2.3455967936373569E-3</v>
      </c>
      <c r="E33" s="118">
        <f t="shared" si="2"/>
        <v>45866847.491353631</v>
      </c>
    </row>
    <row r="34" spans="1:5" x14ac:dyDescent="0.2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100">
        <f t="shared" si="4"/>
        <v>2.0923680363303669E-3</v>
      </c>
      <c r="E34" s="118">
        <f t="shared" si="2"/>
        <v>49412469.747317255</v>
      </c>
    </row>
    <row r="35" spans="1:5" x14ac:dyDescent="0.2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100">
        <f t="shared" si="4"/>
        <v>1.8791327686213529E-3</v>
      </c>
      <c r="E35" s="118">
        <f t="shared" si="2"/>
        <v>52862111.216473512</v>
      </c>
    </row>
    <row r="36" spans="1:5" x14ac:dyDescent="0.2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100">
        <f t="shared" si="4"/>
        <v>1.6973248853062945E-3</v>
      </c>
      <c r="E36" s="118">
        <f t="shared" si="2"/>
        <v>56217680.081601925</v>
      </c>
    </row>
    <row r="37" spans="1:5" x14ac:dyDescent="0.2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100">
        <f t="shared" si="4"/>
        <v>1.5406609938678146E-3</v>
      </c>
      <c r="E37" s="118">
        <f t="shared" si="2"/>
        <v>59481088.940550305</v>
      </c>
    </row>
    <row r="38" spans="1:5" x14ac:dyDescent="0.2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100">
        <f t="shared" si="4"/>
        <v>1.4044271519752219E-3</v>
      </c>
      <c r="E38" s="118">
        <f t="shared" si="2"/>
        <v>62654251.647723123</v>
      </c>
    </row>
    <row r="39" spans="1:5" x14ac:dyDescent="0.2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100">
        <f t="shared" si="4"/>
        <v>1.2850173432559652E-3</v>
      </c>
      <c r="E39" s="118">
        <f t="shared" si="2"/>
        <v>65739080.344660185</v>
      </c>
    </row>
    <row r="40" spans="1:5" x14ac:dyDescent="0.2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100">
        <f t="shared" si="4"/>
        <v>1.1796257929186855E-3</v>
      </c>
      <c r="E40" s="118">
        <f t="shared" si="2"/>
        <v>68737482.675745726</v>
      </c>
    </row>
    <row r="41" spans="1:5" x14ac:dyDescent="0.2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100">
        <f t="shared" si="4"/>
        <v>1.0860364452239715E-3</v>
      </c>
      <c r="E41" s="118">
        <f t="shared" si="2"/>
        <v>71651359.184648335</v>
      </c>
    </row>
    <row r="42" spans="1:5" x14ac:dyDescent="0.2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100">
        <f t="shared" si="4"/>
        <v>1.0024755960136651E-3</v>
      </c>
      <c r="E42" s="118">
        <f t="shared" si="2"/>
        <v>74482600.886689931</v>
      </c>
    </row>
    <row r="43" spans="1:5" x14ac:dyDescent="0.2">
      <c r="A43" s="86">
        <f t="shared" si="3"/>
        <v>13125000</v>
      </c>
      <c r="B43" s="79">
        <f t="shared" si="0"/>
        <v>341830.07440926041</v>
      </c>
    </row>
    <row r="44" spans="1:5" x14ac:dyDescent="0.2">
      <c r="A44" s="86">
        <f t="shared" si="3"/>
        <v>13750000</v>
      </c>
      <c r="B44" s="79">
        <f t="shared" si="0"/>
        <v>353654.43442621827</v>
      </c>
    </row>
    <row r="45" spans="1:5" x14ac:dyDescent="0.2">
      <c r="A45" s="86">
        <f t="shared" si="3"/>
        <v>14375000</v>
      </c>
      <c r="B45" s="79">
        <f t="shared" si="0"/>
        <v>365137.81596368551</v>
      </c>
    </row>
    <row r="46" spans="1:5" x14ac:dyDescent="0.2">
      <c r="A46" s="86">
        <f t="shared" si="3"/>
        <v>15000000</v>
      </c>
      <c r="B46" s="79">
        <f t="shared" si="0"/>
        <v>376288.32719086111</v>
      </c>
    </row>
    <row r="47" spans="1:5" x14ac:dyDescent="0.2">
      <c r="A47" s="86">
        <f t="shared" si="3"/>
        <v>15625000</v>
      </c>
      <c r="B47" s="79">
        <f t="shared" si="0"/>
        <v>387113.99123165384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D0250-25DD-43AA-B95C-2038F69807EB}">
  <sheetPr codeName="Sheet13">
    <tabColor theme="0" tint="-4.9989318521683403E-2"/>
  </sheetPr>
  <dimension ref="A1:I41"/>
  <sheetViews>
    <sheetView workbookViewId="0">
      <selection activeCell="B12" sqref="B12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247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247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229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24"/>
      <c r="C4" s="425"/>
      <c r="D4" s="425"/>
      <c r="E4" s="425"/>
      <c r="F4" s="426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06">
        <v>0.8</v>
      </c>
      <c r="C6" s="306">
        <v>1.3</v>
      </c>
      <c r="D6" s="100"/>
      <c r="E6" s="100"/>
      <c r="F6" s="100"/>
      <c r="G6" s="100"/>
      <c r="H6" s="100"/>
      <c r="I6" s="100"/>
    </row>
    <row r="7" spans="1:9" x14ac:dyDescent="0.25">
      <c r="A7" s="413" t="s">
        <v>8</v>
      </c>
      <c r="B7" s="418" t="s">
        <v>9</v>
      </c>
      <c r="C7" s="418"/>
      <c r="D7" s="418" t="s">
        <v>12</v>
      </c>
      <c r="E7" s="418"/>
      <c r="F7" s="418"/>
      <c r="G7" s="418" t="s">
        <v>124</v>
      </c>
      <c r="H7" s="418"/>
      <c r="I7" s="423"/>
    </row>
    <row r="8" spans="1:9" x14ac:dyDescent="0.25">
      <c r="A8" s="417"/>
      <c r="B8" s="314" t="s">
        <v>10</v>
      </c>
      <c r="C8" s="314" t="s">
        <v>11</v>
      </c>
      <c r="D8" s="314" t="s">
        <v>20</v>
      </c>
      <c r="E8" s="314" t="s">
        <v>21</v>
      </c>
      <c r="F8" s="314" t="s">
        <v>117</v>
      </c>
      <c r="G8" s="314" t="s">
        <v>22</v>
      </c>
      <c r="H8" s="314" t="s">
        <v>23</v>
      </c>
      <c r="I8" s="4" t="s">
        <v>123</v>
      </c>
    </row>
    <row r="9" spans="1:9" ht="15.75" thickBot="1" x14ac:dyDescent="0.3">
      <c r="A9" s="414"/>
      <c r="B9" s="317">
        <f>VAC_Optim_Scenario!G19</f>
        <v>1800000</v>
      </c>
      <c r="C9" s="317">
        <f>VAC_Optim_Scenario!H19</f>
        <v>13500000</v>
      </c>
      <c r="D9" s="318">
        <f>VAC_Optim_Scenario!I19</f>
        <v>8925323.295826504</v>
      </c>
      <c r="E9" s="84">
        <f>((GSOCIAL!D9/$B$12)^$D$12)*$C$12*$F$12</f>
        <v>63292.43455774356</v>
      </c>
      <c r="F9" s="84">
        <f>E9*F11</f>
        <v>63292.43455774356</v>
      </c>
      <c r="G9" s="76">
        <f>VAC_Optim_Scenario!E19</f>
        <v>1751000</v>
      </c>
      <c r="H9" s="319">
        <f>((GSOCIAL!G9/$B$12)^$D$12)*$C$12*$F$12</f>
        <v>23820.403572058858</v>
      </c>
      <c r="I9" s="320">
        <f>H9*F11</f>
        <v>23820.403572058858</v>
      </c>
    </row>
    <row r="10" spans="1:9" ht="15.75" thickBot="1" x14ac:dyDescent="0.3"/>
    <row r="11" spans="1:9" ht="48.95" customHeight="1" x14ac:dyDescent="0.25">
      <c r="A11" s="386" t="s">
        <v>15</v>
      </c>
      <c r="B11" s="315" t="s">
        <v>16</v>
      </c>
      <c r="C11" s="315" t="s">
        <v>17</v>
      </c>
      <c r="D11" s="315" t="s">
        <v>242</v>
      </c>
      <c r="E11" s="314" t="s">
        <v>126</v>
      </c>
      <c r="F11" s="321">
        <v>1</v>
      </c>
    </row>
    <row r="12" spans="1:9" ht="40.5" customHeight="1" thickBot="1" x14ac:dyDescent="0.3">
      <c r="A12" s="386"/>
      <c r="B12" s="322">
        <f>'[3]HCC Social - Power'!$B$12</f>
        <v>1751000</v>
      </c>
      <c r="C12" s="322">
        <f>'[3]HCC Social - Power'!$C$12</f>
        <v>23820.403572058858</v>
      </c>
      <c r="D12" s="327">
        <f>'[3]HCC Social - Power'!$D$12</f>
        <v>0.6</v>
      </c>
      <c r="E12" s="314" t="s">
        <v>122</v>
      </c>
      <c r="F12" s="323">
        <f>VAC_Optim_Scenario!D19</f>
        <v>1</v>
      </c>
      <c r="G12" s="324">
        <f>B12*2</f>
        <v>3502000</v>
      </c>
    </row>
    <row r="13" spans="1:9" ht="18.75" customHeight="1" x14ac:dyDescent="0.25">
      <c r="A13" s="407" t="s">
        <v>243</v>
      </c>
      <c r="B13" s="408"/>
      <c r="C13" s="408"/>
      <c r="D13" s="408"/>
      <c r="E13" s="314" t="s">
        <v>244</v>
      </c>
      <c r="F13" s="314" t="s">
        <v>245</v>
      </c>
    </row>
    <row r="14" spans="1:9" ht="15.75" thickBot="1" x14ac:dyDescent="0.3">
      <c r="A14" s="410"/>
      <c r="B14" s="411"/>
      <c r="C14" s="411"/>
      <c r="D14" s="411"/>
      <c r="E14" s="97">
        <f>VAC_Optim_Scenario!F33</f>
        <v>225.94</v>
      </c>
      <c r="F14" s="97">
        <f>VAC_Optim_Scenario!E33</f>
        <v>225.94</v>
      </c>
    </row>
    <row r="15" spans="1:9" ht="15.75" thickBot="1" x14ac:dyDescent="0.3"/>
    <row r="16" spans="1:9" x14ac:dyDescent="0.25">
      <c r="A16" s="405" t="s">
        <v>34</v>
      </c>
      <c r="B16" s="315" t="s">
        <v>32</v>
      </c>
      <c r="C16" s="315" t="s">
        <v>31</v>
      </c>
      <c r="D16" s="316" t="s">
        <v>33</v>
      </c>
    </row>
    <row r="17" spans="1:4" ht="15.75" thickBot="1" x14ac:dyDescent="0.3">
      <c r="A17" s="406"/>
      <c r="B17" s="76">
        <v>0</v>
      </c>
      <c r="C17" s="76">
        <v>5000000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386" t="s">
        <v>37</v>
      </c>
      <c r="B19" s="386"/>
      <c r="C19" s="386"/>
      <c r="D19" s="100"/>
    </row>
    <row r="20" spans="1:4" ht="25.5" x14ac:dyDescent="0.25">
      <c r="A20" s="314" t="s">
        <v>35</v>
      </c>
      <c r="B20" s="314" t="s">
        <v>164</v>
      </c>
      <c r="C20" s="314" t="s">
        <v>246</v>
      </c>
    </row>
    <row r="21" spans="1:4" x14ac:dyDescent="0.25">
      <c r="A21" s="325">
        <f>B17</f>
        <v>0</v>
      </c>
      <c r="B21" s="319">
        <f>((A21/$B$12)^$D$12)*$C$12</f>
        <v>0</v>
      </c>
      <c r="C21" s="326">
        <f>B21*$F$14</f>
        <v>0</v>
      </c>
    </row>
    <row r="22" spans="1:4" x14ac:dyDescent="0.25">
      <c r="A22" s="325">
        <f>A21+(($C$17-$B$17)/$D$17)</f>
        <v>250000</v>
      </c>
      <c r="B22" s="319">
        <f t="shared" ref="B22:B41" si="0">((A22/$B$12)^$D$12)*$C$12</f>
        <v>7408.6901640745618</v>
      </c>
      <c r="C22" s="326">
        <f t="shared" ref="C22:C41" si="1">B22*$F$14</f>
        <v>1673919.4556710066</v>
      </c>
    </row>
    <row r="23" spans="1:4" x14ac:dyDescent="0.25">
      <c r="A23" s="325">
        <f t="shared" ref="A23:A41" si="2">A22+(($C$17-$B$17)/$D$17)</f>
        <v>500000</v>
      </c>
      <c r="B23" s="319">
        <f t="shared" si="0"/>
        <v>11229.474417830452</v>
      </c>
      <c r="C23" s="326">
        <f t="shared" si="1"/>
        <v>2537187.4499646123</v>
      </c>
    </row>
    <row r="24" spans="1:4" x14ac:dyDescent="0.25">
      <c r="A24" s="325">
        <f t="shared" si="2"/>
        <v>750000</v>
      </c>
      <c r="B24" s="319">
        <f t="shared" si="0"/>
        <v>14322.346801651498</v>
      </c>
      <c r="C24" s="326">
        <f t="shared" si="1"/>
        <v>3235991.0363651393</v>
      </c>
    </row>
    <row r="25" spans="1:4" x14ac:dyDescent="0.25">
      <c r="A25" s="325">
        <f t="shared" si="2"/>
        <v>1000000</v>
      </c>
      <c r="B25" s="319">
        <f t="shared" si="0"/>
        <v>17020.700408310324</v>
      </c>
      <c r="C25" s="326">
        <f t="shared" si="1"/>
        <v>3845657.0502536343</v>
      </c>
    </row>
    <row r="26" spans="1:4" x14ac:dyDescent="0.25">
      <c r="A26" s="325">
        <f t="shared" si="2"/>
        <v>1250000</v>
      </c>
      <c r="B26" s="319">
        <f t="shared" si="0"/>
        <v>19459.130710154546</v>
      </c>
      <c r="C26" s="326">
        <f t="shared" si="1"/>
        <v>4396595.9926523184</v>
      </c>
    </row>
    <row r="27" spans="1:4" x14ac:dyDescent="0.25">
      <c r="A27" s="325">
        <f t="shared" si="2"/>
        <v>1500000</v>
      </c>
      <c r="B27" s="319">
        <f t="shared" si="0"/>
        <v>21708.618318570392</v>
      </c>
      <c r="C27" s="326">
        <f t="shared" si="1"/>
        <v>4904845.2228977941</v>
      </c>
    </row>
    <row r="28" spans="1:4" x14ac:dyDescent="0.25">
      <c r="A28" s="325">
        <f t="shared" si="2"/>
        <v>1750000</v>
      </c>
      <c r="B28" s="319">
        <f t="shared" si="0"/>
        <v>23812.240308184086</v>
      </c>
      <c r="C28" s="326">
        <f t="shared" si="1"/>
        <v>5380137.5752311125</v>
      </c>
    </row>
    <row r="29" spans="1:4" x14ac:dyDescent="0.25">
      <c r="A29" s="325">
        <f t="shared" si="2"/>
        <v>2000000</v>
      </c>
      <c r="B29" s="319">
        <f t="shared" si="0"/>
        <v>25798.557582486257</v>
      </c>
      <c r="C29" s="326">
        <f t="shared" si="1"/>
        <v>5828926.1001869449</v>
      </c>
    </row>
    <row r="30" spans="1:4" x14ac:dyDescent="0.25">
      <c r="A30" s="325">
        <f t="shared" si="2"/>
        <v>2250000</v>
      </c>
      <c r="B30" s="319">
        <f t="shared" si="0"/>
        <v>27687.703678238533</v>
      </c>
      <c r="C30" s="326">
        <f t="shared" si="1"/>
        <v>6255759.7690612143</v>
      </c>
    </row>
    <row r="31" spans="1:4" x14ac:dyDescent="0.25">
      <c r="A31" s="325">
        <f t="shared" si="2"/>
        <v>2500000</v>
      </c>
      <c r="B31" s="319">
        <f t="shared" si="0"/>
        <v>29494.526787272491</v>
      </c>
      <c r="C31" s="326">
        <f t="shared" si="1"/>
        <v>6663993.3823163463</v>
      </c>
    </row>
    <row r="32" spans="1:4" x14ac:dyDescent="0.25">
      <c r="A32" s="325">
        <f t="shared" si="2"/>
        <v>2750000</v>
      </c>
      <c r="B32" s="319">
        <f t="shared" si="0"/>
        <v>31230.363834281474</v>
      </c>
      <c r="C32" s="326">
        <f t="shared" si="1"/>
        <v>7056188.4047175562</v>
      </c>
    </row>
    <row r="33" spans="1:3" x14ac:dyDescent="0.25">
      <c r="A33" s="325">
        <f t="shared" si="2"/>
        <v>3000000</v>
      </c>
      <c r="B33" s="319">
        <f t="shared" si="0"/>
        <v>32904.112421508238</v>
      </c>
      <c r="C33" s="326">
        <f t="shared" si="1"/>
        <v>7434355.160515571</v>
      </c>
    </row>
    <row r="34" spans="1:3" x14ac:dyDescent="0.25">
      <c r="A34" s="325">
        <f t="shared" si="2"/>
        <v>3250000</v>
      </c>
      <c r="B34" s="319">
        <f t="shared" si="0"/>
        <v>34522.913816809414</v>
      </c>
      <c r="C34" s="326">
        <f t="shared" si="1"/>
        <v>7800107.1477699187</v>
      </c>
    </row>
    <row r="35" spans="1:3" x14ac:dyDescent="0.25">
      <c r="A35" s="325">
        <f t="shared" si="2"/>
        <v>3500000</v>
      </c>
      <c r="B35" s="319">
        <f t="shared" si="0"/>
        <v>36092.607120841283</v>
      </c>
      <c r="C35" s="326">
        <f t="shared" si="1"/>
        <v>8154763.6528828796</v>
      </c>
    </row>
    <row r="36" spans="1:3" x14ac:dyDescent="0.25">
      <c r="A36" s="325">
        <f t="shared" si="2"/>
        <v>3750000</v>
      </c>
      <c r="B36" s="319">
        <f t="shared" si="0"/>
        <v>37618.042098851023</v>
      </c>
      <c r="C36" s="326">
        <f t="shared" si="1"/>
        <v>8499420.4318144005</v>
      </c>
    </row>
    <row r="37" spans="1:3" x14ac:dyDescent="0.25">
      <c r="A37" s="325">
        <f t="shared" si="2"/>
        <v>4000000</v>
      </c>
      <c r="B37" s="319">
        <f t="shared" si="0"/>
        <v>39103.301119846867</v>
      </c>
      <c r="C37" s="326">
        <f t="shared" si="1"/>
        <v>8834999.8550182004</v>
      </c>
    </row>
    <row r="38" spans="1:3" x14ac:dyDescent="0.25">
      <c r="A38" s="325">
        <f t="shared" si="2"/>
        <v>4250000</v>
      </c>
      <c r="B38" s="319">
        <f t="shared" si="0"/>
        <v>40551.860621591703</v>
      </c>
      <c r="C38" s="326">
        <f t="shared" si="1"/>
        <v>9162287.38884243</v>
      </c>
    </row>
    <row r="39" spans="1:3" x14ac:dyDescent="0.25">
      <c r="A39" s="325">
        <f t="shared" si="2"/>
        <v>4500000</v>
      </c>
      <c r="B39" s="319">
        <f t="shared" si="0"/>
        <v>41966.711153737037</v>
      </c>
      <c r="C39" s="326">
        <f t="shared" si="1"/>
        <v>9481958.7180753462</v>
      </c>
    </row>
    <row r="40" spans="1:3" x14ac:dyDescent="0.25">
      <c r="A40" s="325">
        <f t="shared" si="2"/>
        <v>4750000</v>
      </c>
      <c r="B40" s="319">
        <f t="shared" si="0"/>
        <v>43350.448326913778</v>
      </c>
      <c r="C40" s="326">
        <f t="shared" si="1"/>
        <v>9794600.294982899</v>
      </c>
    </row>
    <row r="41" spans="1:3" x14ac:dyDescent="0.25">
      <c r="A41" s="325">
        <f t="shared" si="2"/>
        <v>5000000</v>
      </c>
      <c r="B41" s="319">
        <f t="shared" si="0"/>
        <v>44705.342872853616</v>
      </c>
      <c r="C41" s="326">
        <f t="shared" si="1"/>
        <v>10100725.168692546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9CADA-FEFC-48BF-9235-D45904B6F40C}">
  <sheetPr codeName="Sheet17">
    <tabColor theme="3" tint="0.79998168889431442"/>
  </sheetPr>
  <dimension ref="A1:R42"/>
  <sheetViews>
    <sheetView workbookViewId="0">
      <selection activeCell="I12" sqref="I12"/>
    </sheetView>
  </sheetViews>
  <sheetFormatPr defaultColWidth="8.85546875" defaultRowHeight="12.75" x14ac:dyDescent="0.2"/>
  <cols>
    <col min="1" max="1" width="12.140625" style="100" customWidth="1"/>
    <col min="2" max="2" width="13.42578125" style="100" customWidth="1"/>
    <col min="3" max="3" width="12.42578125" style="100" customWidth="1"/>
    <col min="4" max="4" width="13.5703125" style="100" customWidth="1"/>
    <col min="5" max="5" width="14.5703125" style="100" customWidth="1"/>
    <col min="6" max="6" width="12.42578125" style="100" customWidth="1"/>
    <col min="7" max="7" width="12" style="100" customWidth="1"/>
    <col min="8" max="10" width="10.42578125" style="100" customWidth="1"/>
    <col min="11" max="11" width="14.42578125" style="100" bestFit="1" customWidth="1"/>
    <col min="12" max="13" width="12" style="100" bestFit="1" customWidth="1"/>
    <col min="14" max="14" width="12.5703125" style="100" customWidth="1"/>
    <col min="15" max="15" width="9.5703125" style="100" bestFit="1" customWidth="1"/>
    <col min="16" max="16" width="8.85546875" style="100"/>
    <col min="17" max="18" width="10.42578125" style="100" customWidth="1"/>
    <col min="19" max="16384" width="8.85546875" style="100"/>
  </cols>
  <sheetData>
    <row r="1" spans="1:18" ht="13.5" thickBot="1" x14ac:dyDescent="0.25">
      <c r="A1" s="6" t="s">
        <v>0</v>
      </c>
      <c r="B1" s="100" t="s">
        <v>230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264" t="s">
        <v>102</v>
      </c>
      <c r="I2" s="265"/>
      <c r="J2" s="265"/>
      <c r="K2" s="265"/>
      <c r="L2" s="266"/>
    </row>
    <row r="3" spans="1:18" ht="13.5" thickBot="1" x14ac:dyDescent="0.25">
      <c r="A3" s="11" t="s">
        <v>3</v>
      </c>
      <c r="B3" s="12" t="s">
        <v>225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15" t="s">
        <v>106</v>
      </c>
      <c r="C4" s="415"/>
      <c r="D4" s="415"/>
      <c r="E4" s="415"/>
      <c r="F4" s="416"/>
      <c r="H4" s="100" t="s">
        <v>107</v>
      </c>
    </row>
    <row r="5" spans="1:18" x14ac:dyDescent="0.2">
      <c r="H5" s="100" t="s">
        <v>166</v>
      </c>
    </row>
    <row r="6" spans="1:18" ht="13.5" thickBot="1" x14ac:dyDescent="0.25">
      <c r="B6" s="96">
        <f>VAC_Optim_Scenario!$G$14</f>
        <v>0</v>
      </c>
      <c r="C6" s="96">
        <f>VAC_Optim_Scenario!$H$14</f>
        <v>0</v>
      </c>
    </row>
    <row r="7" spans="1:18" ht="27.75" customHeight="1" x14ac:dyDescent="0.2">
      <c r="A7" s="413" t="s">
        <v>8</v>
      </c>
      <c r="B7" s="418" t="s">
        <v>9</v>
      </c>
      <c r="C7" s="419"/>
      <c r="D7" s="420" t="s">
        <v>12</v>
      </c>
      <c r="E7" s="421"/>
      <c r="F7" s="422"/>
      <c r="G7" s="418" t="s">
        <v>124</v>
      </c>
      <c r="H7" s="418"/>
      <c r="I7" s="423"/>
      <c r="J7" s="100" t="s">
        <v>125</v>
      </c>
    </row>
    <row r="8" spans="1:18" ht="28.35" customHeight="1" x14ac:dyDescent="0.2">
      <c r="A8" s="417"/>
      <c r="B8" s="263" t="s">
        <v>10</v>
      </c>
      <c r="C8" s="17" t="s">
        <v>11</v>
      </c>
      <c r="D8" s="19" t="s">
        <v>20</v>
      </c>
      <c r="E8" s="263" t="s">
        <v>21</v>
      </c>
      <c r="F8" s="81" t="s">
        <v>117</v>
      </c>
      <c r="G8" s="267" t="s">
        <v>22</v>
      </c>
      <c r="H8" s="263" t="s">
        <v>23</v>
      </c>
      <c r="I8" s="88" t="s">
        <v>123</v>
      </c>
    </row>
    <row r="9" spans="1:18" ht="14.45" customHeight="1" thickBot="1" x14ac:dyDescent="0.25">
      <c r="A9" s="414"/>
      <c r="B9" s="97">
        <f>VAC_Optim_Scenario!G20</f>
        <v>1100000</v>
      </c>
      <c r="C9" s="97">
        <f>VAC_Optim_Scenario!H20</f>
        <v>6000000</v>
      </c>
      <c r="D9" s="68">
        <f>VAC_Optim_Scenario!I20</f>
        <v>2964315.5405303156</v>
      </c>
      <c r="E9" s="84">
        <f>((($R$12/(1+EXP($P$12+$Q$12*D9)))-1) - ($F$12-$C$12))*$I$12</f>
        <v>36503.723045074381</v>
      </c>
      <c r="F9" s="89">
        <f>E9*$G$12</f>
        <v>36503.723045074381</v>
      </c>
      <c r="G9" s="97">
        <f>VAC_Optim_Scenario!E20</f>
        <v>1111779.04</v>
      </c>
      <c r="H9" s="85">
        <f>((($R$12/(1+EXP($P$12+$Q$12*G9)))-1) - ($F$12-$C$12))*$I$12</f>
        <v>21646.235649615526</v>
      </c>
      <c r="I9" s="90">
        <f>H9*$G$12</f>
        <v>21646.235649615526</v>
      </c>
      <c r="J9" s="87">
        <f>G9/I9</f>
        <v>51.361310945524473</v>
      </c>
      <c r="K9" s="100" t="s">
        <v>167</v>
      </c>
    </row>
    <row r="10" spans="1:18" ht="13.5" thickBot="1" x14ac:dyDescent="0.25"/>
    <row r="11" spans="1:18" ht="51.6" customHeight="1" x14ac:dyDescent="0.2">
      <c r="A11" s="413" t="s">
        <v>15</v>
      </c>
      <c r="B11" s="269" t="s">
        <v>16</v>
      </c>
      <c r="C11" s="269" t="s">
        <v>17</v>
      </c>
      <c r="D11" s="269" t="s">
        <v>18</v>
      </c>
      <c r="E11" s="269" t="s">
        <v>19</v>
      </c>
      <c r="F11" s="270" t="s">
        <v>109</v>
      </c>
      <c r="G11" s="268" t="s">
        <v>168</v>
      </c>
      <c r="H11" s="269" t="s">
        <v>119</v>
      </c>
      <c r="I11" s="92" t="s">
        <v>122</v>
      </c>
      <c r="K11" s="405" t="s">
        <v>25</v>
      </c>
      <c r="L11" s="269" t="s">
        <v>110</v>
      </c>
      <c r="M11" s="269" t="s">
        <v>111</v>
      </c>
      <c r="N11" s="269" t="s">
        <v>112</v>
      </c>
      <c r="O11" s="269" t="s">
        <v>113</v>
      </c>
      <c r="P11" s="269" t="s">
        <v>26</v>
      </c>
      <c r="Q11" s="269" t="s">
        <v>27</v>
      </c>
      <c r="R11" s="270" t="s">
        <v>28</v>
      </c>
    </row>
    <row r="12" spans="1:18" ht="15" customHeight="1" thickBot="1" x14ac:dyDescent="0.25">
      <c r="A12" s="414"/>
      <c r="B12" s="299">
        <f>'[4]HCC Online Video Curve'!$B$12</f>
        <v>1111779.04</v>
      </c>
      <c r="C12" s="299">
        <f>'[4]HCC Online Video Curve'!$C$12</f>
        <v>21646.235649615326</v>
      </c>
      <c r="D12" s="299">
        <f>'[4]HCC Online Video Curve'!$D$12</f>
        <v>0</v>
      </c>
      <c r="E12" s="299">
        <f>'[4]HCC Online Video Curve'!$E$12</f>
        <v>43292.471299230652</v>
      </c>
      <c r="F12" s="299">
        <f>'[4]HCC Online Video Curve'!$F$12</f>
        <v>4647854</v>
      </c>
      <c r="G12" s="156">
        <f>VAC_Optim_Scenario!$D$33</f>
        <v>1</v>
      </c>
      <c r="H12" s="71">
        <f>C12*G12</f>
        <v>21646.235649615326</v>
      </c>
      <c r="I12" s="300">
        <f>VAC_Optim_Scenario!D20</f>
        <v>1</v>
      </c>
      <c r="K12" s="406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73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407" t="s">
        <v>169</v>
      </c>
      <c r="B13" s="408"/>
      <c r="C13" s="408"/>
      <c r="D13" s="408"/>
      <c r="E13" s="408"/>
      <c r="F13" s="409"/>
      <c r="G13" s="263" t="s">
        <v>150</v>
      </c>
      <c r="H13" s="263" t="s">
        <v>151</v>
      </c>
      <c r="K13" s="407" t="s">
        <v>115</v>
      </c>
      <c r="L13" s="408"/>
      <c r="M13" s="408"/>
      <c r="N13" s="408"/>
      <c r="O13" s="408"/>
      <c r="P13" s="408"/>
      <c r="Q13" s="408"/>
      <c r="R13" s="409"/>
    </row>
    <row r="14" spans="1:18" ht="33.6" customHeight="1" thickBot="1" x14ac:dyDescent="0.25">
      <c r="A14" s="410"/>
      <c r="B14" s="411"/>
      <c r="C14" s="411"/>
      <c r="D14" s="411"/>
      <c r="E14" s="411"/>
      <c r="F14" s="412"/>
      <c r="G14" s="97">
        <f>VAC_Optim_Scenario!$I$33</f>
        <v>225.94</v>
      </c>
      <c r="H14" s="97">
        <f>VAC_Optim_Scenario!$F$33</f>
        <v>225.94</v>
      </c>
      <c r="K14" s="410"/>
      <c r="L14" s="411"/>
      <c r="M14" s="411"/>
      <c r="N14" s="411"/>
      <c r="O14" s="411"/>
      <c r="P14" s="411"/>
      <c r="Q14" s="411"/>
      <c r="R14" s="412"/>
    </row>
    <row r="16" spans="1:18" ht="13.5" thickBot="1" x14ac:dyDescent="0.25"/>
    <row r="17" spans="1:8" ht="42.6" customHeight="1" x14ac:dyDescent="0.2">
      <c r="A17" s="405" t="s">
        <v>34</v>
      </c>
      <c r="B17" s="269" t="s">
        <v>32</v>
      </c>
      <c r="C17" s="269" t="s">
        <v>31</v>
      </c>
      <c r="D17" s="270" t="s">
        <v>33</v>
      </c>
      <c r="F17" s="82"/>
      <c r="G17" s="82"/>
      <c r="H17" s="83"/>
    </row>
    <row r="18" spans="1:8" ht="23.45" customHeight="1" thickBot="1" x14ac:dyDescent="0.25">
      <c r="A18" s="406"/>
      <c r="B18" s="75">
        <v>0</v>
      </c>
      <c r="C18" s="76">
        <v>4000000</v>
      </c>
      <c r="D18" s="26">
        <v>20</v>
      </c>
    </row>
    <row r="20" spans="1:8" x14ac:dyDescent="0.2">
      <c r="A20" s="386" t="s">
        <v>37</v>
      </c>
      <c r="B20" s="386"/>
      <c r="C20" s="386"/>
    </row>
    <row r="21" spans="1:8" ht="25.5" x14ac:dyDescent="0.2">
      <c r="A21" s="263" t="s">
        <v>35</v>
      </c>
      <c r="B21" s="263" t="s">
        <v>170</v>
      </c>
      <c r="C21" s="263" t="s">
        <v>171</v>
      </c>
      <c r="D21" s="100" t="s">
        <v>172</v>
      </c>
      <c r="E21" s="263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8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100">
        <f>(B23-B22)/A23</f>
        <v>2.5327407355965115E-2</v>
      </c>
      <c r="E23" s="118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100">
        <f t="shared" ref="D24:D42" si="4">(B24-B23)/A24</f>
        <v>1.1192783372448757E-2</v>
      </c>
      <c r="E24" s="118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100">
        <f t="shared" si="4"/>
        <v>6.5935513548972084E-3</v>
      </c>
      <c r="E25" s="118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100">
        <f t="shared" si="4"/>
        <v>4.3687842692760751E-3</v>
      </c>
      <c r="E26" s="118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100">
        <f t="shared" si="4"/>
        <v>3.0870858893077822E-3</v>
      </c>
      <c r="E27" s="118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100">
        <f t="shared" si="4"/>
        <v>2.2719215138784299E-3</v>
      </c>
      <c r="E28" s="118">
        <f t="shared" si="2"/>
        <v>5153046.2858302863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100">
        <f t="shared" si="4"/>
        <v>1.7195252946291917E-3</v>
      </c>
      <c r="E29" s="118">
        <f t="shared" si="2"/>
        <v>5696959.6489262134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100">
        <f t="shared" si="4"/>
        <v>1.3283799122640631E-3</v>
      </c>
      <c r="E30" s="118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100">
        <f t="shared" si="4"/>
        <v>1.0423791071089606E-3</v>
      </c>
      <c r="E31" s="118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100">
        <f t="shared" si="4"/>
        <v>8.2809507802966979E-4</v>
      </c>
      <c r="E32" s="118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100">
        <f t="shared" si="4"/>
        <v>6.6444760640956121E-4</v>
      </c>
      <c r="E33" s="118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100">
        <f t="shared" si="4"/>
        <v>5.3754048861485591E-4</v>
      </c>
      <c r="E34" s="118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100">
        <f t="shared" si="4"/>
        <v>4.3788278774716536E-4</v>
      </c>
      <c r="E35" s="118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100">
        <f t="shared" si="4"/>
        <v>3.588023975082407E-4</v>
      </c>
      <c r="E36" s="118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100">
        <f t="shared" si="4"/>
        <v>2.9549540935084223E-4</v>
      </c>
      <c r="E37" s="118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100">
        <f t="shared" si="4"/>
        <v>2.4443302716448671E-4</v>
      </c>
      <c r="E38" s="118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100">
        <f t="shared" si="4"/>
        <v>2.0297871889217811E-4</v>
      </c>
      <c r="E39" s="118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100">
        <f t="shared" si="4"/>
        <v>1.6913376869323352E-4</v>
      </c>
      <c r="E40" s="118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100">
        <f t="shared" si="4"/>
        <v>1.4136385440899942E-4</v>
      </c>
      <c r="E41" s="118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100">
        <f t="shared" si="4"/>
        <v>1.1847822932642885E-4</v>
      </c>
      <c r="E42" s="118">
        <f t="shared" si="2"/>
        <v>8980247.6466075294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24040-8F9F-4C7B-B12C-DF8D1E46DD97}">
  <sheetPr codeName="Sheet16">
    <tabColor theme="0" tint="-4.9989318521683403E-2"/>
  </sheetPr>
  <dimension ref="A1:I41"/>
  <sheetViews>
    <sheetView workbookViewId="0">
      <selection activeCell="B12" sqref="B12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248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248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229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24"/>
      <c r="C4" s="425"/>
      <c r="D4" s="425"/>
      <c r="E4" s="425"/>
      <c r="F4" s="426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06">
        <v>0.8</v>
      </c>
      <c r="C6" s="306">
        <v>1.3</v>
      </c>
      <c r="D6" s="100"/>
      <c r="E6" s="100"/>
      <c r="F6" s="100"/>
      <c r="G6" s="100"/>
      <c r="H6" s="100"/>
      <c r="I6" s="100"/>
    </row>
    <row r="7" spans="1:9" x14ac:dyDescent="0.25">
      <c r="A7" s="413" t="s">
        <v>8</v>
      </c>
      <c r="B7" s="418" t="s">
        <v>9</v>
      </c>
      <c r="C7" s="418"/>
      <c r="D7" s="418" t="s">
        <v>12</v>
      </c>
      <c r="E7" s="418"/>
      <c r="F7" s="418"/>
      <c r="G7" s="418" t="s">
        <v>124</v>
      </c>
      <c r="H7" s="418"/>
      <c r="I7" s="423"/>
    </row>
    <row r="8" spans="1:9" x14ac:dyDescent="0.25">
      <c r="A8" s="417"/>
      <c r="B8" s="314" t="s">
        <v>10</v>
      </c>
      <c r="C8" s="314" t="s">
        <v>11</v>
      </c>
      <c r="D8" s="314" t="s">
        <v>20</v>
      </c>
      <c r="E8" s="314" t="s">
        <v>21</v>
      </c>
      <c r="F8" s="314" t="s">
        <v>117</v>
      </c>
      <c r="G8" s="314" t="s">
        <v>22</v>
      </c>
      <c r="H8" s="314" t="s">
        <v>23</v>
      </c>
      <c r="I8" s="4" t="s">
        <v>123</v>
      </c>
    </row>
    <row r="9" spans="1:9" ht="15.75" thickBot="1" x14ac:dyDescent="0.3">
      <c r="A9" s="414"/>
      <c r="B9" s="317">
        <f>VAC_Optim_Scenario!G21</f>
        <v>9400000</v>
      </c>
      <c r="C9" s="317">
        <f>VAC_Optim_Scenario!H21</f>
        <v>41359920</v>
      </c>
      <c r="D9" s="318">
        <f>VAC_Optim_Scenario!I21</f>
        <v>27189753.440885648</v>
      </c>
      <c r="E9" s="84">
        <f>((GSTRTV!D9/$B$12)^$D$12)*$C$12*$F$12</f>
        <v>165266.78884644032</v>
      </c>
      <c r="F9" s="84">
        <f>E9*F11</f>
        <v>165266.78884644032</v>
      </c>
      <c r="G9" s="76">
        <f>VAC_Optim_Scenario!E21</f>
        <v>13418576</v>
      </c>
      <c r="H9" s="319">
        <f>((GSTRTV!G9/$B$12)^$D$12)*$C$12*$F$12</f>
        <v>100808.3256282994</v>
      </c>
      <c r="I9" s="320">
        <f>H9*F11</f>
        <v>100808.3256282994</v>
      </c>
    </row>
    <row r="10" spans="1:9" ht="15.75" thickBot="1" x14ac:dyDescent="0.3"/>
    <row r="11" spans="1:9" ht="48.95" customHeight="1" x14ac:dyDescent="0.25">
      <c r="A11" s="386" t="s">
        <v>15</v>
      </c>
      <c r="B11" s="315" t="s">
        <v>16</v>
      </c>
      <c r="C11" s="315" t="s">
        <v>17</v>
      </c>
      <c r="D11" s="315" t="s">
        <v>242</v>
      </c>
      <c r="E11" s="314" t="s">
        <v>126</v>
      </c>
      <c r="F11" s="321">
        <v>1</v>
      </c>
    </row>
    <row r="12" spans="1:9" ht="40.5" customHeight="1" thickBot="1" x14ac:dyDescent="0.3">
      <c r="A12" s="386"/>
      <c r="B12" s="322">
        <f>'[5]Streaming Video - Power'!$B$12</f>
        <v>13418576</v>
      </c>
      <c r="C12" s="322">
        <f>'[5]Streaming Video - Power'!$C$12</f>
        <v>100808.3256282994</v>
      </c>
      <c r="D12" s="327">
        <f>'[5]Streaming Video - Power'!$D$12</f>
        <v>0.7</v>
      </c>
      <c r="E12" s="314" t="s">
        <v>122</v>
      </c>
      <c r="F12" s="323">
        <f>VAC_Optim_Scenario!D21</f>
        <v>1</v>
      </c>
      <c r="G12" s="324">
        <f>B12*2</f>
        <v>26837152</v>
      </c>
    </row>
    <row r="13" spans="1:9" ht="18.75" customHeight="1" x14ac:dyDescent="0.25">
      <c r="A13" s="407" t="s">
        <v>243</v>
      </c>
      <c r="B13" s="408"/>
      <c r="C13" s="408"/>
      <c r="D13" s="408"/>
      <c r="E13" s="314" t="s">
        <v>244</v>
      </c>
      <c r="F13" s="314" t="s">
        <v>245</v>
      </c>
    </row>
    <row r="14" spans="1:9" ht="15.75" thickBot="1" x14ac:dyDescent="0.3">
      <c r="A14" s="410"/>
      <c r="B14" s="411"/>
      <c r="C14" s="411"/>
      <c r="D14" s="411"/>
      <c r="E14" s="97">
        <f>VAC_Optim_Scenario!F33</f>
        <v>225.94</v>
      </c>
      <c r="F14" s="97">
        <f>VAC_Optim_Scenario!E33</f>
        <v>225.94</v>
      </c>
    </row>
    <row r="15" spans="1:9" ht="15.75" thickBot="1" x14ac:dyDescent="0.3"/>
    <row r="16" spans="1:9" x14ac:dyDescent="0.25">
      <c r="A16" s="405" t="s">
        <v>34</v>
      </c>
      <c r="B16" s="315" t="s">
        <v>32</v>
      </c>
      <c r="C16" s="315" t="s">
        <v>31</v>
      </c>
      <c r="D16" s="316" t="s">
        <v>33</v>
      </c>
    </row>
    <row r="17" spans="1:4" ht="15.75" thickBot="1" x14ac:dyDescent="0.3">
      <c r="A17" s="406"/>
      <c r="B17" s="76">
        <v>0</v>
      </c>
      <c r="C17" s="76">
        <v>15000000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386" t="s">
        <v>37</v>
      </c>
      <c r="B19" s="386"/>
      <c r="C19" s="386"/>
      <c r="D19" s="100"/>
    </row>
    <row r="20" spans="1:4" ht="25.5" x14ac:dyDescent="0.25">
      <c r="A20" s="314" t="s">
        <v>35</v>
      </c>
      <c r="B20" s="314" t="s">
        <v>164</v>
      </c>
      <c r="C20" s="314" t="s">
        <v>246</v>
      </c>
    </row>
    <row r="21" spans="1:4" x14ac:dyDescent="0.25">
      <c r="A21" s="325">
        <f>B17</f>
        <v>0</v>
      </c>
      <c r="B21" s="319">
        <f>((A21/$B$12)^$D$12)*$C$12</f>
        <v>0</v>
      </c>
      <c r="C21" s="326">
        <f>B21*$F$14</f>
        <v>0</v>
      </c>
    </row>
    <row r="22" spans="1:4" x14ac:dyDescent="0.25">
      <c r="A22" s="325">
        <f>A21+(($C$17-$B$17)/$D$17)</f>
        <v>750000</v>
      </c>
      <c r="B22" s="319">
        <f t="shared" ref="B22:B41" si="0">((A22/$B$12)^$D$12)*$C$12</f>
        <v>13385.813954759049</v>
      </c>
      <c r="C22" s="326">
        <f t="shared" ref="C22:C41" si="1">B22*$F$14</f>
        <v>3024390.8049382595</v>
      </c>
    </row>
    <row r="23" spans="1:4" x14ac:dyDescent="0.25">
      <c r="A23" s="325">
        <f t="shared" ref="A23:A41" si="2">A22+(($C$17-$B$17)/$D$17)</f>
        <v>1500000</v>
      </c>
      <c r="B23" s="319">
        <f t="shared" si="0"/>
        <v>21745.318923863546</v>
      </c>
      <c r="C23" s="326">
        <f t="shared" si="1"/>
        <v>4913137.3576577296</v>
      </c>
    </row>
    <row r="24" spans="1:4" x14ac:dyDescent="0.25">
      <c r="A24" s="325">
        <f t="shared" si="2"/>
        <v>2250000</v>
      </c>
      <c r="B24" s="319">
        <f t="shared" si="0"/>
        <v>28882.159557638814</v>
      </c>
      <c r="C24" s="326">
        <f t="shared" si="1"/>
        <v>6525635.1304529132</v>
      </c>
    </row>
    <row r="25" spans="1:4" x14ac:dyDescent="0.25">
      <c r="A25" s="325">
        <f t="shared" si="2"/>
        <v>3000000</v>
      </c>
      <c r="B25" s="319">
        <f t="shared" si="0"/>
        <v>35325.374810877525</v>
      </c>
      <c r="C25" s="326">
        <f t="shared" si="1"/>
        <v>7981415.1847696677</v>
      </c>
    </row>
    <row r="26" spans="1:4" x14ac:dyDescent="0.25">
      <c r="A26" s="325">
        <f t="shared" si="2"/>
        <v>3750000</v>
      </c>
      <c r="B26" s="319">
        <f t="shared" si="0"/>
        <v>41297.502450781918</v>
      </c>
      <c r="C26" s="326">
        <f t="shared" si="1"/>
        <v>9330757.7037296668</v>
      </c>
    </row>
    <row r="27" spans="1:4" x14ac:dyDescent="0.25">
      <c r="A27" s="325">
        <f t="shared" si="2"/>
        <v>4500000</v>
      </c>
      <c r="B27" s="319">
        <f t="shared" si="0"/>
        <v>46919.206625270555</v>
      </c>
      <c r="C27" s="326">
        <f t="shared" si="1"/>
        <v>10600925.544913629</v>
      </c>
    </row>
    <row r="28" spans="1:4" x14ac:dyDescent="0.25">
      <c r="A28" s="325">
        <f t="shared" si="2"/>
        <v>5250000</v>
      </c>
      <c r="B28" s="319">
        <f t="shared" si="0"/>
        <v>52265.295791567616</v>
      </c>
      <c r="C28" s="326">
        <f t="shared" si="1"/>
        <v>11808820.931146787</v>
      </c>
    </row>
    <row r="29" spans="1:4" x14ac:dyDescent="0.25">
      <c r="A29" s="325">
        <f t="shared" si="2"/>
        <v>6000000</v>
      </c>
      <c r="B29" s="319">
        <f t="shared" si="0"/>
        <v>57386.24068463494</v>
      </c>
      <c r="C29" s="326">
        <f t="shared" si="1"/>
        <v>12965847.220286418</v>
      </c>
    </row>
    <row r="30" spans="1:4" x14ac:dyDescent="0.25">
      <c r="A30" s="325">
        <f t="shared" si="2"/>
        <v>6750000</v>
      </c>
      <c r="B30" s="319">
        <f t="shared" si="0"/>
        <v>62318.148416841854</v>
      </c>
      <c r="C30" s="326">
        <f t="shared" si="1"/>
        <v>14080162.453301249</v>
      </c>
    </row>
    <row r="31" spans="1:4" x14ac:dyDescent="0.25">
      <c r="A31" s="325">
        <f t="shared" si="2"/>
        <v>7500000</v>
      </c>
      <c r="B31" s="319">
        <f t="shared" si="0"/>
        <v>67087.990658350245</v>
      </c>
      <c r="C31" s="326">
        <f t="shared" si="1"/>
        <v>15157860.609347655</v>
      </c>
    </row>
    <row r="32" spans="1:4" x14ac:dyDescent="0.25">
      <c r="A32" s="325">
        <f t="shared" si="2"/>
        <v>8250000</v>
      </c>
      <c r="B32" s="319">
        <f t="shared" si="0"/>
        <v>71716.595411188333</v>
      </c>
      <c r="C32" s="326">
        <f t="shared" si="1"/>
        <v>16203647.567203892</v>
      </c>
    </row>
    <row r="33" spans="1:3" x14ac:dyDescent="0.25">
      <c r="A33" s="325">
        <f t="shared" si="2"/>
        <v>9000000</v>
      </c>
      <c r="B33" s="319">
        <f t="shared" si="0"/>
        <v>76220.476033018742</v>
      </c>
      <c r="C33" s="326">
        <f t="shared" si="1"/>
        <v>17221254.354900256</v>
      </c>
    </row>
    <row r="34" spans="1:3" x14ac:dyDescent="0.25">
      <c r="A34" s="325">
        <f t="shared" si="2"/>
        <v>9750000</v>
      </c>
      <c r="B34" s="319">
        <f t="shared" si="0"/>
        <v>80613.00882564421</v>
      </c>
      <c r="C34" s="326">
        <f t="shared" si="1"/>
        <v>18213703.214066051</v>
      </c>
    </row>
    <row r="35" spans="1:3" x14ac:dyDescent="0.25">
      <c r="A35" s="325">
        <f t="shared" si="2"/>
        <v>10500000</v>
      </c>
      <c r="B35" s="319">
        <f t="shared" si="0"/>
        <v>84905.223505936534</v>
      </c>
      <c r="C35" s="326">
        <f t="shared" si="1"/>
        <v>19183486.198931299</v>
      </c>
    </row>
    <row r="36" spans="1:3" x14ac:dyDescent="0.25">
      <c r="A36" s="325">
        <f t="shared" si="2"/>
        <v>11250000</v>
      </c>
      <c r="B36" s="319">
        <f t="shared" si="0"/>
        <v>89106.352377727613</v>
      </c>
      <c r="C36" s="326">
        <f t="shared" si="1"/>
        <v>20132689.256223775</v>
      </c>
    </row>
    <row r="37" spans="1:3" x14ac:dyDescent="0.25">
      <c r="A37" s="325">
        <f t="shared" si="2"/>
        <v>12000000</v>
      </c>
      <c r="B37" s="319">
        <f t="shared" si="0"/>
        <v>93224.223027940854</v>
      </c>
      <c r="C37" s="326">
        <f t="shared" si="1"/>
        <v>21063080.950932957</v>
      </c>
    </row>
    <row r="38" spans="1:3" x14ac:dyDescent="0.25">
      <c r="A38" s="325">
        <f t="shared" si="2"/>
        <v>12750000</v>
      </c>
      <c r="B38" s="319">
        <f t="shared" si="0"/>
        <v>97265.546113132033</v>
      </c>
      <c r="C38" s="326">
        <f t="shared" si="1"/>
        <v>21976177.488801051</v>
      </c>
    </row>
    <row r="39" spans="1:3" x14ac:dyDescent="0.25">
      <c r="A39" s="325">
        <f t="shared" si="2"/>
        <v>13500000</v>
      </c>
      <c r="B39" s="319">
        <f t="shared" si="0"/>
        <v>101236.13077612668</v>
      </c>
      <c r="C39" s="326">
        <f t="shared" si="1"/>
        <v>22873291.387558062</v>
      </c>
    </row>
    <row r="40" spans="1:3" x14ac:dyDescent="0.25">
      <c r="A40" s="325">
        <f t="shared" si="2"/>
        <v>14250000</v>
      </c>
      <c r="B40" s="319">
        <f t="shared" si="0"/>
        <v>105141.04889375818</v>
      </c>
      <c r="C40" s="326">
        <f t="shared" si="1"/>
        <v>23755568.587055724</v>
      </c>
    </row>
    <row r="41" spans="1:3" x14ac:dyDescent="0.25">
      <c r="A41" s="325">
        <f t="shared" si="2"/>
        <v>15000000</v>
      </c>
      <c r="B41" s="319">
        <f t="shared" si="0"/>
        <v>108984.76235793946</v>
      </c>
      <c r="C41" s="326">
        <f t="shared" si="1"/>
        <v>24624017.20715284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51A2A-C499-4689-B371-E9CED1501AC0}">
  <sheetPr codeName="Sheet11">
    <tabColor theme="0" tint="-4.9989318521683403E-2"/>
  </sheetPr>
  <dimension ref="A1:I41"/>
  <sheetViews>
    <sheetView workbookViewId="0">
      <selection activeCell="A13" sqref="A13:D14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250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249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251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24"/>
      <c r="C4" s="425"/>
      <c r="D4" s="425"/>
      <c r="E4" s="425"/>
      <c r="F4" s="426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06">
        <v>0.8</v>
      </c>
      <c r="C6" s="306">
        <v>1.3</v>
      </c>
      <c r="D6" s="100"/>
      <c r="E6" s="100"/>
      <c r="F6" s="100"/>
      <c r="G6" s="100"/>
      <c r="H6" s="100"/>
      <c r="I6" s="100"/>
    </row>
    <row r="7" spans="1:9" x14ac:dyDescent="0.25">
      <c r="A7" s="413" t="s">
        <v>8</v>
      </c>
      <c r="B7" s="418" t="s">
        <v>9</v>
      </c>
      <c r="C7" s="418"/>
      <c r="D7" s="418" t="s">
        <v>12</v>
      </c>
      <c r="E7" s="418"/>
      <c r="F7" s="418"/>
      <c r="G7" s="418" t="s">
        <v>124</v>
      </c>
      <c r="H7" s="418"/>
      <c r="I7" s="423"/>
    </row>
    <row r="8" spans="1:9" x14ac:dyDescent="0.25">
      <c r="A8" s="417"/>
      <c r="B8" s="314" t="s">
        <v>10</v>
      </c>
      <c r="C8" s="314" t="s">
        <v>11</v>
      </c>
      <c r="D8" s="314" t="s">
        <v>20</v>
      </c>
      <c r="E8" s="314" t="s">
        <v>21</v>
      </c>
      <c r="F8" s="314" t="s">
        <v>117</v>
      </c>
      <c r="G8" s="314" t="s">
        <v>22</v>
      </c>
      <c r="H8" s="314" t="s">
        <v>23</v>
      </c>
      <c r="I8" s="4" t="s">
        <v>123</v>
      </c>
    </row>
    <row r="9" spans="1:9" ht="15.75" thickBot="1" x14ac:dyDescent="0.3">
      <c r="A9" s="414"/>
      <c r="B9" s="317">
        <f>VAC_Optim_Scenario!G22</f>
        <v>2900000</v>
      </c>
      <c r="C9" s="317">
        <f>VAC_Optim_Scenario!H22</f>
        <v>10000000</v>
      </c>
      <c r="D9" s="318">
        <f>VAC_Optim_Scenario!I22</f>
        <v>10000000</v>
      </c>
      <c r="E9" s="84">
        <f>((GDISP!D9/$B$12)^$D$12)*$C$12*$F$12</f>
        <v>161219.49210476698</v>
      </c>
      <c r="F9" s="84">
        <f>E9*F11</f>
        <v>161219.49210476698</v>
      </c>
      <c r="G9" s="76">
        <f>VAC_Optim_Scenario!E22</f>
        <v>2859426.82</v>
      </c>
      <c r="H9" s="319">
        <f>((GDISP!G9/$B$12)^$D$12)*$C$12*$F$12</f>
        <v>76065.012406995462</v>
      </c>
      <c r="I9" s="320">
        <f>H9*F11</f>
        <v>76065.012406995462</v>
      </c>
    </row>
    <row r="10" spans="1:9" ht="15.75" thickBot="1" x14ac:dyDescent="0.3"/>
    <row r="11" spans="1:9" ht="48.95" customHeight="1" x14ac:dyDescent="0.25">
      <c r="A11" s="386" t="s">
        <v>15</v>
      </c>
      <c r="B11" s="315" t="s">
        <v>16</v>
      </c>
      <c r="C11" s="315" t="s">
        <v>17</v>
      </c>
      <c r="D11" s="315" t="s">
        <v>242</v>
      </c>
      <c r="E11" s="314" t="s">
        <v>126</v>
      </c>
      <c r="F11" s="321">
        <v>1</v>
      </c>
    </row>
    <row r="12" spans="1:9" ht="40.5" customHeight="1" thickBot="1" x14ac:dyDescent="0.3">
      <c r="A12" s="386"/>
      <c r="B12" s="322">
        <f>'[6]HCC Display - Power'!$B$12</f>
        <v>2859426.82</v>
      </c>
      <c r="C12" s="322">
        <f>'[6]HCC Display - Power'!$C$12</f>
        <v>76065.012406995462</v>
      </c>
      <c r="D12" s="327">
        <f>'[6]HCC Display - Power'!$D$12</f>
        <v>0.6</v>
      </c>
      <c r="E12" s="314" t="s">
        <v>122</v>
      </c>
      <c r="F12" s="323">
        <f>VAC_Optim_Scenario!D22</f>
        <v>1</v>
      </c>
      <c r="G12" s="324">
        <f>B12*2</f>
        <v>5718853.6399999997</v>
      </c>
    </row>
    <row r="13" spans="1:9" ht="18.75" customHeight="1" x14ac:dyDescent="0.25">
      <c r="A13" s="407" t="s">
        <v>243</v>
      </c>
      <c r="B13" s="408"/>
      <c r="C13" s="408"/>
      <c r="D13" s="408"/>
      <c r="E13" s="314" t="s">
        <v>244</v>
      </c>
      <c r="F13" s="314" t="s">
        <v>245</v>
      </c>
    </row>
    <row r="14" spans="1:9" ht="15.75" thickBot="1" x14ac:dyDescent="0.3">
      <c r="A14" s="410"/>
      <c r="B14" s="411"/>
      <c r="C14" s="411"/>
      <c r="D14" s="411"/>
      <c r="E14" s="97">
        <f>VAC_Optim_Scenario!F33</f>
        <v>225.94</v>
      </c>
      <c r="F14" s="97">
        <f>VAC_Optim_Scenario!E33</f>
        <v>225.94</v>
      </c>
    </row>
    <row r="15" spans="1:9" ht="15.75" thickBot="1" x14ac:dyDescent="0.3"/>
    <row r="16" spans="1:9" x14ac:dyDescent="0.25">
      <c r="A16" s="405" t="s">
        <v>34</v>
      </c>
      <c r="B16" s="315" t="s">
        <v>32</v>
      </c>
      <c r="C16" s="315" t="s">
        <v>31</v>
      </c>
      <c r="D16" s="316" t="s">
        <v>33</v>
      </c>
    </row>
    <row r="17" spans="1:4" ht="15.75" thickBot="1" x14ac:dyDescent="0.3">
      <c r="A17" s="406"/>
      <c r="B17" s="76">
        <v>0</v>
      </c>
      <c r="C17" s="76">
        <v>5000000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386" t="s">
        <v>37</v>
      </c>
      <c r="B19" s="386"/>
      <c r="C19" s="386"/>
      <c r="D19" s="100"/>
    </row>
    <row r="20" spans="1:4" ht="25.5" x14ac:dyDescent="0.25">
      <c r="A20" s="314" t="s">
        <v>35</v>
      </c>
      <c r="B20" s="314" t="s">
        <v>164</v>
      </c>
      <c r="C20" s="314" t="s">
        <v>246</v>
      </c>
    </row>
    <row r="21" spans="1:4" x14ac:dyDescent="0.25">
      <c r="A21" s="325">
        <f>B17</f>
        <v>0</v>
      </c>
      <c r="B21" s="319">
        <f>((A21/$B$12)^$D$12)*$C$12</f>
        <v>0</v>
      </c>
      <c r="C21" s="326">
        <f>B21*$F$14</f>
        <v>0</v>
      </c>
    </row>
    <row r="22" spans="1:4" x14ac:dyDescent="0.25">
      <c r="A22" s="325">
        <f>A21+(($C$17-$B$17)/$D$17)</f>
        <v>250000</v>
      </c>
      <c r="B22" s="319">
        <f t="shared" ref="B22:B41" si="0">((A22/$B$12)^$D$12)*$C$12</f>
        <v>17627.127824775001</v>
      </c>
      <c r="C22" s="326">
        <f t="shared" ref="C22:C41" si="1">B22*$F$14</f>
        <v>3982673.260729664</v>
      </c>
    </row>
    <row r="23" spans="1:4" x14ac:dyDescent="0.25">
      <c r="A23" s="325">
        <f t="shared" ref="A23:A41" si="2">A22+(($C$17-$B$17)/$D$17)</f>
        <v>500000</v>
      </c>
      <c r="B23" s="319">
        <f t="shared" si="0"/>
        <v>26717.729664007864</v>
      </c>
      <c r="C23" s="326">
        <f t="shared" si="1"/>
        <v>6036603.8402859364</v>
      </c>
    </row>
    <row r="24" spans="1:4" x14ac:dyDescent="0.25">
      <c r="A24" s="325">
        <f t="shared" si="2"/>
        <v>750000</v>
      </c>
      <c r="B24" s="319">
        <f t="shared" si="0"/>
        <v>34076.447014572113</v>
      </c>
      <c r="C24" s="326">
        <f t="shared" si="1"/>
        <v>7699232.4384724228</v>
      </c>
    </row>
    <row r="25" spans="1:4" x14ac:dyDescent="0.25">
      <c r="A25" s="325">
        <f t="shared" si="2"/>
        <v>1000000</v>
      </c>
      <c r="B25" s="319">
        <f t="shared" si="0"/>
        <v>40496.50547128301</v>
      </c>
      <c r="C25" s="326">
        <f t="shared" si="1"/>
        <v>9149780.4461816829</v>
      </c>
    </row>
    <row r="26" spans="1:4" x14ac:dyDescent="0.25">
      <c r="A26" s="325">
        <f t="shared" si="2"/>
        <v>1250000</v>
      </c>
      <c r="B26" s="319">
        <f t="shared" si="0"/>
        <v>46298.141343550837</v>
      </c>
      <c r="C26" s="326">
        <f t="shared" si="1"/>
        <v>10460602.055161877</v>
      </c>
    </row>
    <row r="27" spans="1:4" x14ac:dyDescent="0.25">
      <c r="A27" s="325">
        <f t="shared" si="2"/>
        <v>1500000</v>
      </c>
      <c r="B27" s="319">
        <f t="shared" si="0"/>
        <v>51650.235267800737</v>
      </c>
      <c r="C27" s="326">
        <f t="shared" si="1"/>
        <v>11669854.156406898</v>
      </c>
    </row>
    <row r="28" spans="1:4" x14ac:dyDescent="0.25">
      <c r="A28" s="325">
        <f t="shared" si="2"/>
        <v>1750000</v>
      </c>
      <c r="B28" s="319">
        <f t="shared" si="0"/>
        <v>56655.278384023426</v>
      </c>
      <c r="C28" s="326">
        <f t="shared" si="1"/>
        <v>12800693.598086253</v>
      </c>
    </row>
    <row r="29" spans="1:4" x14ac:dyDescent="0.25">
      <c r="A29" s="325">
        <f t="shared" si="2"/>
        <v>2000000</v>
      </c>
      <c r="B29" s="319">
        <f t="shared" si="0"/>
        <v>61381.22422860263</v>
      </c>
      <c r="C29" s="326">
        <f t="shared" si="1"/>
        <v>13868473.802210478</v>
      </c>
    </row>
    <row r="30" spans="1:4" x14ac:dyDescent="0.25">
      <c r="A30" s="325">
        <f t="shared" si="2"/>
        <v>2250000</v>
      </c>
      <c r="B30" s="319">
        <f t="shared" si="0"/>
        <v>65875.975523639368</v>
      </c>
      <c r="C30" s="326">
        <f t="shared" si="1"/>
        <v>14884017.90981108</v>
      </c>
    </row>
    <row r="31" spans="1:4" x14ac:dyDescent="0.25">
      <c r="A31" s="325">
        <f t="shared" si="2"/>
        <v>2500000</v>
      </c>
      <c r="B31" s="319">
        <f t="shared" si="0"/>
        <v>70174.859833059978</v>
      </c>
      <c r="C31" s="326">
        <f t="shared" si="1"/>
        <v>15855307.830681572</v>
      </c>
    </row>
    <row r="32" spans="1:4" x14ac:dyDescent="0.25">
      <c r="A32" s="325">
        <f t="shared" si="2"/>
        <v>2750000</v>
      </c>
      <c r="B32" s="319">
        <f t="shared" si="0"/>
        <v>74304.850537621896</v>
      </c>
      <c r="C32" s="326">
        <f t="shared" si="1"/>
        <v>16788437.930470292</v>
      </c>
    </row>
    <row r="33" spans="1:3" x14ac:dyDescent="0.25">
      <c r="A33" s="325">
        <f t="shared" si="2"/>
        <v>3000000</v>
      </c>
      <c r="B33" s="319">
        <f t="shared" si="0"/>
        <v>78287.117259565202</v>
      </c>
      <c r="C33" s="326">
        <f t="shared" si="1"/>
        <v>17688191.27362616</v>
      </c>
    </row>
    <row r="34" spans="1:3" x14ac:dyDescent="0.25">
      <c r="A34" s="325">
        <f t="shared" si="2"/>
        <v>3250000</v>
      </c>
      <c r="B34" s="319">
        <f t="shared" si="0"/>
        <v>82138.650862126422</v>
      </c>
      <c r="C34" s="326">
        <f t="shared" si="1"/>
        <v>18558406.775788844</v>
      </c>
    </row>
    <row r="35" spans="1:3" x14ac:dyDescent="0.25">
      <c r="A35" s="325">
        <f t="shared" si="2"/>
        <v>3500000</v>
      </c>
      <c r="B35" s="319">
        <f t="shared" si="0"/>
        <v>85873.344026922772</v>
      </c>
      <c r="C35" s="326">
        <f t="shared" si="1"/>
        <v>19402223.349442933</v>
      </c>
    </row>
    <row r="36" spans="1:3" x14ac:dyDescent="0.25">
      <c r="A36" s="325">
        <f t="shared" si="2"/>
        <v>3750000</v>
      </c>
      <c r="B36" s="319">
        <f t="shared" si="0"/>
        <v>89502.735559065375</v>
      </c>
      <c r="C36" s="326">
        <f t="shared" si="1"/>
        <v>20222248.072215229</v>
      </c>
    </row>
    <row r="37" spans="1:3" x14ac:dyDescent="0.25">
      <c r="A37" s="325">
        <f t="shared" si="2"/>
        <v>4000000</v>
      </c>
      <c r="B37" s="319">
        <f t="shared" si="0"/>
        <v>93036.538435982438</v>
      </c>
      <c r="C37" s="326">
        <f t="shared" si="1"/>
        <v>21020675.494225871</v>
      </c>
    </row>
    <row r="38" spans="1:3" x14ac:dyDescent="0.25">
      <c r="A38" s="325">
        <f t="shared" si="2"/>
        <v>4250000</v>
      </c>
      <c r="B38" s="319">
        <f t="shared" si="0"/>
        <v>96483.023973043382</v>
      </c>
      <c r="C38" s="326">
        <f t="shared" si="1"/>
        <v>21799374.436469421</v>
      </c>
    </row>
    <row r="39" spans="1:3" x14ac:dyDescent="0.25">
      <c r="A39" s="325">
        <f t="shared" si="2"/>
        <v>4500000</v>
      </c>
      <c r="B39" s="319">
        <f t="shared" si="0"/>
        <v>99849.307436213683</v>
      </c>
      <c r="C39" s="326">
        <f t="shared" si="1"/>
        <v>22559952.522138119</v>
      </c>
    </row>
    <row r="40" spans="1:3" x14ac:dyDescent="0.25">
      <c r="A40" s="325">
        <f t="shared" si="2"/>
        <v>4750000</v>
      </c>
      <c r="B40" s="319">
        <f t="shared" si="0"/>
        <v>103141.56443270072</v>
      </c>
      <c r="C40" s="326">
        <f t="shared" si="1"/>
        <v>23303805.067924399</v>
      </c>
    </row>
    <row r="41" spans="1:3" x14ac:dyDescent="0.25">
      <c r="A41" s="325">
        <f t="shared" si="2"/>
        <v>5000000</v>
      </c>
      <c r="B41" s="319">
        <f t="shared" si="0"/>
        <v>106365.19760151411</v>
      </c>
      <c r="C41" s="326">
        <f t="shared" si="1"/>
        <v>24032152.746086098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45B40-75CD-4CE7-AFC6-3E2F6258F466}">
  <sheetPr codeName="Sheet18">
    <tabColor theme="0" tint="-4.9989318521683403E-2"/>
  </sheetPr>
  <dimension ref="A1:I41"/>
  <sheetViews>
    <sheetView topLeftCell="A5" workbookViewId="0">
      <selection activeCell="F12" sqref="F12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252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252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253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24"/>
      <c r="C4" s="425"/>
      <c r="D4" s="425"/>
      <c r="E4" s="425"/>
      <c r="F4" s="426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06">
        <v>0.8</v>
      </c>
      <c r="C6" s="306">
        <v>1.3</v>
      </c>
      <c r="D6" s="100"/>
      <c r="E6" s="100"/>
      <c r="F6" s="100"/>
      <c r="G6" s="100"/>
      <c r="H6" s="100"/>
      <c r="I6" s="100"/>
    </row>
    <row r="7" spans="1:9" x14ac:dyDescent="0.25">
      <c r="A7" s="413" t="s">
        <v>8</v>
      </c>
      <c r="B7" s="418" t="s">
        <v>9</v>
      </c>
      <c r="C7" s="418"/>
      <c r="D7" s="418" t="s">
        <v>12</v>
      </c>
      <c r="E7" s="418"/>
      <c r="F7" s="418"/>
      <c r="G7" s="418" t="s">
        <v>124</v>
      </c>
      <c r="H7" s="418"/>
      <c r="I7" s="423"/>
    </row>
    <row r="8" spans="1:9" x14ac:dyDescent="0.25">
      <c r="A8" s="417"/>
      <c r="B8" s="314" t="s">
        <v>10</v>
      </c>
      <c r="C8" s="314" t="s">
        <v>11</v>
      </c>
      <c r="D8" s="314" t="s">
        <v>20</v>
      </c>
      <c r="E8" s="314" t="s">
        <v>21</v>
      </c>
      <c r="F8" s="314" t="s">
        <v>117</v>
      </c>
      <c r="G8" s="314" t="s">
        <v>22</v>
      </c>
      <c r="H8" s="314" t="s">
        <v>23</v>
      </c>
      <c r="I8" s="4" t="s">
        <v>123</v>
      </c>
    </row>
    <row r="9" spans="1:9" ht="15.75" thickBot="1" x14ac:dyDescent="0.3">
      <c r="A9" s="414"/>
      <c r="B9" s="317">
        <f>VAC_Optim_Scenario!G23</f>
        <v>100000</v>
      </c>
      <c r="C9" s="317">
        <f>VAC_Optim_Scenario!H23</f>
        <v>240000</v>
      </c>
      <c r="D9" s="318">
        <f>VAC_Optim_Scenario!I23</f>
        <v>240000</v>
      </c>
      <c r="E9" s="84">
        <f>((GPDSRCH!D9/$B$12)^$D$12)*$C$12*$F$12</f>
        <v>90357.852437734444</v>
      </c>
      <c r="F9" s="84">
        <f>E9*F11</f>
        <v>90357.852437734444</v>
      </c>
      <c r="G9" s="76">
        <f>VAC_Optim_Scenario!E23</f>
        <v>50000</v>
      </c>
      <c r="H9" s="319">
        <f>((GPDSRCH!G9/$B$12)^$D$12)*$C$12*$F$12</f>
        <v>30136.792938374307</v>
      </c>
      <c r="I9" s="320">
        <f>H9*F11</f>
        <v>30136.792938374307</v>
      </c>
    </row>
    <row r="10" spans="1:9" ht="15.75" thickBot="1" x14ac:dyDescent="0.3"/>
    <row r="11" spans="1:9" ht="48.95" customHeight="1" x14ac:dyDescent="0.25">
      <c r="A11" s="386" t="s">
        <v>15</v>
      </c>
      <c r="B11" s="315" t="s">
        <v>16</v>
      </c>
      <c r="C11" s="315" t="s">
        <v>17</v>
      </c>
      <c r="D11" s="315" t="s">
        <v>242</v>
      </c>
      <c r="E11" s="314" t="s">
        <v>126</v>
      </c>
      <c r="F11" s="321">
        <v>1</v>
      </c>
    </row>
    <row r="12" spans="1:9" ht="40.5" customHeight="1" thickBot="1" x14ac:dyDescent="0.3">
      <c r="A12" s="386"/>
      <c r="B12" s="322">
        <f>'[7]HCC Paid Search - Power'!$B$12</f>
        <v>50000</v>
      </c>
      <c r="C12" s="322">
        <f>'[7]HCC Paid Search - Power'!$C$12</f>
        <v>30136.792938374307</v>
      </c>
      <c r="D12" s="327">
        <f>'[7]HCC Paid Search - Power'!$D$12</f>
        <v>0.7</v>
      </c>
      <c r="E12" s="314" t="s">
        <v>122</v>
      </c>
      <c r="F12" s="323">
        <f>VAC_Optim_Scenario!D23</f>
        <v>1</v>
      </c>
      <c r="G12" s="324">
        <f>B12*2</f>
        <v>100000</v>
      </c>
    </row>
    <row r="13" spans="1:9" ht="18.75" customHeight="1" x14ac:dyDescent="0.25">
      <c r="A13" s="407" t="s">
        <v>243</v>
      </c>
      <c r="B13" s="408"/>
      <c r="C13" s="408"/>
      <c r="D13" s="408"/>
      <c r="E13" s="314" t="s">
        <v>244</v>
      </c>
      <c r="F13" s="314" t="s">
        <v>245</v>
      </c>
    </row>
    <row r="14" spans="1:9" ht="15.75" thickBot="1" x14ac:dyDescent="0.3">
      <c r="A14" s="410"/>
      <c r="B14" s="411"/>
      <c r="C14" s="411"/>
      <c r="D14" s="411"/>
      <c r="E14" s="97">
        <f>VAC_Optim_Scenario!F33</f>
        <v>225.94</v>
      </c>
      <c r="F14" s="97">
        <f>VAC_Optim_Scenario!E33</f>
        <v>225.94</v>
      </c>
    </row>
    <row r="15" spans="1:9" ht="15.75" thickBot="1" x14ac:dyDescent="0.3"/>
    <row r="16" spans="1:9" x14ac:dyDescent="0.25">
      <c r="A16" s="405" t="s">
        <v>34</v>
      </c>
      <c r="B16" s="315" t="s">
        <v>32</v>
      </c>
      <c r="C16" s="315" t="s">
        <v>31</v>
      </c>
      <c r="D16" s="316" t="s">
        <v>33</v>
      </c>
    </row>
    <row r="17" spans="1:4" ht="15.75" thickBot="1" x14ac:dyDescent="0.3">
      <c r="A17" s="406"/>
      <c r="B17" s="76">
        <v>0</v>
      </c>
      <c r="C17" s="76">
        <v>5000000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386" t="s">
        <v>37</v>
      </c>
      <c r="B19" s="386"/>
      <c r="C19" s="386"/>
      <c r="D19" s="100"/>
    </row>
    <row r="20" spans="1:4" ht="25.5" x14ac:dyDescent="0.25">
      <c r="A20" s="314" t="s">
        <v>35</v>
      </c>
      <c r="B20" s="314" t="s">
        <v>164</v>
      </c>
      <c r="C20" s="314" t="s">
        <v>246</v>
      </c>
    </row>
    <row r="21" spans="1:4" x14ac:dyDescent="0.25">
      <c r="A21" s="325">
        <f>B17</f>
        <v>0</v>
      </c>
      <c r="B21" s="319">
        <f>((A21/$B$12)^$D$12)*$C$12</f>
        <v>0</v>
      </c>
      <c r="C21" s="326">
        <f>B21*$F$14</f>
        <v>0</v>
      </c>
    </row>
    <row r="22" spans="1:4" x14ac:dyDescent="0.25">
      <c r="A22" s="325">
        <f>A21+(($C$17-$B$17)/$D$17)</f>
        <v>250000</v>
      </c>
      <c r="B22" s="319">
        <f t="shared" ref="B22:B41" si="0">((A22/$B$12)^$D$12)*$C$12</f>
        <v>92977.108783791031</v>
      </c>
      <c r="C22" s="326">
        <f t="shared" ref="C22:C41" si="1">B22*$F$14</f>
        <v>21007247.958609745</v>
      </c>
    </row>
    <row r="23" spans="1:4" x14ac:dyDescent="0.25">
      <c r="A23" s="325">
        <f t="shared" ref="A23:A41" si="2">A22+(($C$17-$B$17)/$D$17)</f>
        <v>500000</v>
      </c>
      <c r="B23" s="319">
        <f t="shared" si="0"/>
        <v>151041.75883181734</v>
      </c>
      <c r="C23" s="326">
        <f t="shared" si="1"/>
        <v>34126374.990460806</v>
      </c>
    </row>
    <row r="24" spans="1:4" x14ac:dyDescent="0.25">
      <c r="A24" s="325">
        <f t="shared" si="2"/>
        <v>750000</v>
      </c>
      <c r="B24" s="319">
        <f t="shared" si="0"/>
        <v>200613.85136364179</v>
      </c>
      <c r="C24" s="326">
        <f t="shared" si="1"/>
        <v>45326693.577101223</v>
      </c>
    </row>
    <row r="25" spans="1:4" x14ac:dyDescent="0.25">
      <c r="A25" s="325">
        <f t="shared" si="2"/>
        <v>1000000</v>
      </c>
      <c r="B25" s="319">
        <f t="shared" si="0"/>
        <v>245368.06112200834</v>
      </c>
      <c r="C25" s="326">
        <f t="shared" si="1"/>
        <v>55438459.729906566</v>
      </c>
    </row>
    <row r="26" spans="1:4" x14ac:dyDescent="0.25">
      <c r="A26" s="325">
        <f t="shared" si="2"/>
        <v>1250000</v>
      </c>
      <c r="B26" s="319">
        <f t="shared" si="0"/>
        <v>286850.12288700556</v>
      </c>
      <c r="C26" s="326">
        <f t="shared" si="1"/>
        <v>64810916.765090033</v>
      </c>
    </row>
    <row r="27" spans="1:4" x14ac:dyDescent="0.25">
      <c r="A27" s="325">
        <f t="shared" si="2"/>
        <v>1500000</v>
      </c>
      <c r="B27" s="319">
        <f t="shared" si="0"/>
        <v>325898.16302474338</v>
      </c>
      <c r="C27" s="326">
        <f t="shared" si="1"/>
        <v>73633430.953810513</v>
      </c>
    </row>
    <row r="28" spans="1:4" x14ac:dyDescent="0.25">
      <c r="A28" s="325">
        <f t="shared" si="2"/>
        <v>1750000</v>
      </c>
      <c r="B28" s="319">
        <f t="shared" si="0"/>
        <v>363031.79685998178</v>
      </c>
      <c r="C28" s="326">
        <f t="shared" si="1"/>
        <v>82023404.182544276</v>
      </c>
    </row>
    <row r="29" spans="1:4" x14ac:dyDescent="0.25">
      <c r="A29" s="325">
        <f t="shared" si="2"/>
        <v>2000000</v>
      </c>
      <c r="B29" s="319">
        <f t="shared" si="0"/>
        <v>398601.59127126914</v>
      </c>
      <c r="C29" s="326">
        <f t="shared" si="1"/>
        <v>90060043.531830549</v>
      </c>
    </row>
    <row r="30" spans="1:4" x14ac:dyDescent="0.25">
      <c r="A30" s="325">
        <f t="shared" si="2"/>
        <v>2250000</v>
      </c>
      <c r="B30" s="319">
        <f t="shared" si="0"/>
        <v>432858.34422471898</v>
      </c>
      <c r="C30" s="326">
        <f t="shared" si="1"/>
        <v>97800014.294133008</v>
      </c>
    </row>
    <row r="31" spans="1:4" x14ac:dyDescent="0.25">
      <c r="A31" s="325">
        <f t="shared" si="2"/>
        <v>2500000</v>
      </c>
      <c r="B31" s="319">
        <f t="shared" si="0"/>
        <v>465989.39942010184</v>
      </c>
      <c r="C31" s="326">
        <f t="shared" si="1"/>
        <v>105285644.90497781</v>
      </c>
    </row>
    <row r="32" spans="1:4" x14ac:dyDescent="0.25">
      <c r="A32" s="325">
        <f t="shared" si="2"/>
        <v>2750000</v>
      </c>
      <c r="B32" s="319">
        <f t="shared" si="0"/>
        <v>498139.42698482808</v>
      </c>
      <c r="C32" s="326">
        <f t="shared" si="1"/>
        <v>112549622.13295205</v>
      </c>
    </row>
    <row r="33" spans="1:3" x14ac:dyDescent="0.25">
      <c r="A33" s="325">
        <f t="shared" si="2"/>
        <v>3000000</v>
      </c>
      <c r="B33" s="319">
        <f t="shared" si="0"/>
        <v>529423.1277698857</v>
      </c>
      <c r="C33" s="326">
        <f t="shared" si="1"/>
        <v>119617861.48832798</v>
      </c>
    </row>
    <row r="34" spans="1:3" x14ac:dyDescent="0.25">
      <c r="A34" s="325">
        <f t="shared" si="2"/>
        <v>3250000</v>
      </c>
      <c r="B34" s="319">
        <f t="shared" si="0"/>
        <v>559933.41281318781</v>
      </c>
      <c r="C34" s="326">
        <f t="shared" si="1"/>
        <v>126511355.29101165</v>
      </c>
    </row>
    <row r="35" spans="1:3" x14ac:dyDescent="0.25">
      <c r="A35" s="325">
        <f t="shared" si="2"/>
        <v>3500000</v>
      </c>
      <c r="B35" s="319">
        <f t="shared" si="0"/>
        <v>589746.89390606096</v>
      </c>
      <c r="C35" s="326">
        <f t="shared" si="1"/>
        <v>133247413.20913541</v>
      </c>
    </row>
    <row r="36" spans="1:3" x14ac:dyDescent="0.25">
      <c r="A36" s="325">
        <f t="shared" si="2"/>
        <v>3750000</v>
      </c>
      <c r="B36" s="319">
        <f t="shared" si="0"/>
        <v>618927.69811022875</v>
      </c>
      <c r="C36" s="326">
        <f t="shared" si="1"/>
        <v>139840524.11102509</v>
      </c>
    </row>
    <row r="37" spans="1:3" x14ac:dyDescent="0.25">
      <c r="A37" s="325">
        <f t="shared" si="2"/>
        <v>4000000</v>
      </c>
      <c r="B37" s="319">
        <f t="shared" si="0"/>
        <v>647530.19540299417</v>
      </c>
      <c r="C37" s="326">
        <f t="shared" si="1"/>
        <v>146302972.34935251</v>
      </c>
    </row>
    <row r="38" spans="1:3" x14ac:dyDescent="0.25">
      <c r="A38" s="325">
        <f t="shared" si="2"/>
        <v>4250000</v>
      </c>
      <c r="B38" s="319">
        <f t="shared" si="0"/>
        <v>675600.99762631929</v>
      </c>
      <c r="C38" s="326">
        <f t="shared" si="1"/>
        <v>152645289.40369058</v>
      </c>
    </row>
    <row r="39" spans="1:3" x14ac:dyDescent="0.25">
      <c r="A39" s="325">
        <f t="shared" si="2"/>
        <v>4500000</v>
      </c>
      <c r="B39" s="319">
        <f t="shared" si="0"/>
        <v>703180.45475864061</v>
      </c>
      <c r="C39" s="326">
        <f t="shared" si="1"/>
        <v>158876591.94816726</v>
      </c>
    </row>
    <row r="40" spans="1:3" x14ac:dyDescent="0.25">
      <c r="A40" s="325">
        <f t="shared" si="2"/>
        <v>4750000</v>
      </c>
      <c r="B40" s="319">
        <f t="shared" si="0"/>
        <v>730303.79577039415</v>
      </c>
      <c r="C40" s="326">
        <f t="shared" si="1"/>
        <v>165004839.61636284</v>
      </c>
    </row>
    <row r="41" spans="1:3" x14ac:dyDescent="0.25">
      <c r="A41" s="325">
        <f t="shared" si="2"/>
        <v>5000000</v>
      </c>
      <c r="B41" s="319">
        <f t="shared" si="0"/>
        <v>757002.0127111614</v>
      </c>
      <c r="C41" s="326">
        <f t="shared" si="1"/>
        <v>171037034.7519598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04B61-7A15-400D-8FBE-269730C1AEA5}">
  <sheetPr codeName="Sheet12">
    <tabColor theme="0" tint="-4.9989318521683403E-2"/>
  </sheetPr>
  <dimension ref="A1:I41"/>
  <sheetViews>
    <sheetView workbookViewId="0">
      <selection activeCell="C10" sqref="C10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254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254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255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24"/>
      <c r="C4" s="425"/>
      <c r="D4" s="425"/>
      <c r="E4" s="425"/>
      <c r="F4" s="426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06">
        <v>0.8</v>
      </c>
      <c r="C6" s="306">
        <v>1.3</v>
      </c>
      <c r="D6" s="100"/>
      <c r="E6" s="100"/>
      <c r="F6" s="100"/>
      <c r="G6" s="100"/>
      <c r="H6" s="100"/>
      <c r="I6" s="100"/>
    </row>
    <row r="7" spans="1:9" x14ac:dyDescent="0.25">
      <c r="A7" s="413" t="s">
        <v>8</v>
      </c>
      <c r="B7" s="418" t="s">
        <v>9</v>
      </c>
      <c r="C7" s="418"/>
      <c r="D7" s="418" t="s">
        <v>12</v>
      </c>
      <c r="E7" s="418"/>
      <c r="F7" s="418"/>
      <c r="G7" s="418" t="s">
        <v>124</v>
      </c>
      <c r="H7" s="418"/>
      <c r="I7" s="423"/>
    </row>
    <row r="8" spans="1:9" x14ac:dyDescent="0.25">
      <c r="A8" s="417"/>
      <c r="B8" s="314" t="s">
        <v>10</v>
      </c>
      <c r="C8" s="314" t="s">
        <v>11</v>
      </c>
      <c r="D8" s="314" t="s">
        <v>20</v>
      </c>
      <c r="E8" s="314" t="s">
        <v>21</v>
      </c>
      <c r="F8" s="314" t="s">
        <v>117</v>
      </c>
      <c r="G8" s="314" t="s">
        <v>22</v>
      </c>
      <c r="H8" s="314" t="s">
        <v>23</v>
      </c>
      <c r="I8" s="4" t="s">
        <v>123</v>
      </c>
    </row>
    <row r="9" spans="1:9" ht="15.75" thickBot="1" x14ac:dyDescent="0.3">
      <c r="A9" s="414"/>
      <c r="B9" s="317">
        <f>VAC_Optim_Scenario!G25</f>
        <v>500000</v>
      </c>
      <c r="C9" s="317">
        <f>VAC_Optim_Scenario!H25</f>
        <v>4800000</v>
      </c>
      <c r="D9" s="318">
        <f>VAC_Optim_Scenario!I25</f>
        <v>4800000</v>
      </c>
      <c r="E9" s="84">
        <f>((GAUDIO!D9/$B$12)^$D$12)*$C$12*$F$12</f>
        <v>71437.963072578132</v>
      </c>
      <c r="F9" s="84">
        <f>E9*F11</f>
        <v>71437.963072578132</v>
      </c>
      <c r="G9" s="76">
        <f>VAC_Optim_Scenario!E25</f>
        <v>923975</v>
      </c>
      <c r="H9" s="319">
        <f>((GAUDIO!G9/$B$12)^$D$12)*$C$12*$F$12</f>
        <v>26581.559263521289</v>
      </c>
      <c r="I9" s="320">
        <f>H9*F11</f>
        <v>26581.559263521289</v>
      </c>
    </row>
    <row r="10" spans="1:9" ht="15.75" thickBot="1" x14ac:dyDescent="0.3"/>
    <row r="11" spans="1:9" ht="48.95" customHeight="1" x14ac:dyDescent="0.25">
      <c r="A11" s="386" t="s">
        <v>15</v>
      </c>
      <c r="B11" s="315" t="s">
        <v>16</v>
      </c>
      <c r="C11" s="315" t="s">
        <v>17</v>
      </c>
      <c r="D11" s="315" t="s">
        <v>242</v>
      </c>
      <c r="E11" s="314" t="s">
        <v>126</v>
      </c>
      <c r="F11" s="321">
        <v>1</v>
      </c>
    </row>
    <row r="12" spans="1:9" ht="40.5" customHeight="1" thickBot="1" x14ac:dyDescent="0.3">
      <c r="A12" s="386"/>
      <c r="B12" s="322">
        <f>'[8]Radio - Power'!$B$12</f>
        <v>923975</v>
      </c>
      <c r="C12" s="322">
        <f>'[8]Radio - Power'!$C$12</f>
        <v>26581.559263521289</v>
      </c>
      <c r="D12" s="327">
        <f>'[8]Radio - Power'!$D$12</f>
        <v>0.6</v>
      </c>
      <c r="E12" s="314" t="s">
        <v>122</v>
      </c>
      <c r="F12" s="323">
        <f>VAC_Optim_Scenario!D25</f>
        <v>1</v>
      </c>
      <c r="G12" s="324">
        <f>B12*2</f>
        <v>1847950</v>
      </c>
    </row>
    <row r="13" spans="1:9" ht="18.75" customHeight="1" x14ac:dyDescent="0.25">
      <c r="A13" s="407" t="s">
        <v>243</v>
      </c>
      <c r="B13" s="408"/>
      <c r="C13" s="408"/>
      <c r="D13" s="408"/>
      <c r="E13" s="314" t="s">
        <v>244</v>
      </c>
      <c r="F13" s="314" t="s">
        <v>245</v>
      </c>
    </row>
    <row r="14" spans="1:9" ht="15.75" thickBot="1" x14ac:dyDescent="0.3">
      <c r="A14" s="410"/>
      <c r="B14" s="411"/>
      <c r="C14" s="411"/>
      <c r="D14" s="411"/>
      <c r="E14" s="97">
        <f>VAC_Optim_Scenario!F33</f>
        <v>225.94</v>
      </c>
      <c r="F14" s="97">
        <f>VAC_Optim_Scenario!E33</f>
        <v>225.94</v>
      </c>
    </row>
    <row r="15" spans="1:9" ht="15.75" thickBot="1" x14ac:dyDescent="0.3"/>
    <row r="16" spans="1:9" x14ac:dyDescent="0.25">
      <c r="A16" s="405" t="s">
        <v>34</v>
      </c>
      <c r="B16" s="315" t="s">
        <v>32</v>
      </c>
      <c r="C16" s="315" t="s">
        <v>31</v>
      </c>
      <c r="D16" s="316" t="s">
        <v>33</v>
      </c>
    </row>
    <row r="17" spans="1:4" ht="15.75" thickBot="1" x14ac:dyDescent="0.3">
      <c r="A17" s="406"/>
      <c r="B17" s="76">
        <v>0</v>
      </c>
      <c r="C17" s="76">
        <v>5000000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386" t="s">
        <v>37</v>
      </c>
      <c r="B19" s="386"/>
      <c r="C19" s="386"/>
      <c r="D19" s="100"/>
    </row>
    <row r="20" spans="1:4" ht="25.5" x14ac:dyDescent="0.25">
      <c r="A20" s="314" t="s">
        <v>35</v>
      </c>
      <c r="B20" s="314" t="s">
        <v>164</v>
      </c>
      <c r="C20" s="314" t="s">
        <v>246</v>
      </c>
    </row>
    <row r="21" spans="1:4" x14ac:dyDescent="0.25">
      <c r="A21" s="325">
        <f>B17</f>
        <v>0</v>
      </c>
      <c r="B21" s="319">
        <f>((A21/$B$12)^$D$12)*$C$12</f>
        <v>0</v>
      </c>
      <c r="C21" s="326">
        <f>B21*$F$14</f>
        <v>0</v>
      </c>
    </row>
    <row r="22" spans="1:4" x14ac:dyDescent="0.25">
      <c r="A22" s="325">
        <f>A21+(($C$17-$B$17)/$D$17)</f>
        <v>250000</v>
      </c>
      <c r="B22" s="319">
        <f t="shared" ref="B22:B41" si="0">((A22/$B$12)^$D$12)*$C$12</f>
        <v>12132.444846051676</v>
      </c>
      <c r="C22" s="326">
        <f t="shared" ref="C22:C41" si="1">B22*$F$14</f>
        <v>2741204.5885169157</v>
      </c>
    </row>
    <row r="23" spans="1:4" x14ac:dyDescent="0.25">
      <c r="A23" s="325">
        <f t="shared" ref="A23:A41" si="2">A22+(($C$17-$B$17)/$D$17)</f>
        <v>500000</v>
      </c>
      <c r="B23" s="319">
        <f t="shared" si="0"/>
        <v>18389.347645434224</v>
      </c>
      <c r="C23" s="326">
        <f t="shared" si="1"/>
        <v>4154889.2070094086</v>
      </c>
    </row>
    <row r="24" spans="1:4" x14ac:dyDescent="0.25">
      <c r="A24" s="325">
        <f t="shared" si="2"/>
        <v>750000</v>
      </c>
      <c r="B24" s="319">
        <f t="shared" si="0"/>
        <v>23454.224537512007</v>
      </c>
      <c r="C24" s="326">
        <f t="shared" si="1"/>
        <v>5299247.4920054628</v>
      </c>
    </row>
    <row r="25" spans="1:4" x14ac:dyDescent="0.25">
      <c r="A25" s="325">
        <f t="shared" si="2"/>
        <v>1000000</v>
      </c>
      <c r="B25" s="319">
        <f t="shared" si="0"/>
        <v>27873.038873503632</v>
      </c>
      <c r="C25" s="326">
        <f t="shared" si="1"/>
        <v>6297634.403079411</v>
      </c>
    </row>
    <row r="26" spans="1:4" x14ac:dyDescent="0.25">
      <c r="A26" s="325">
        <f t="shared" si="2"/>
        <v>1250000</v>
      </c>
      <c r="B26" s="319">
        <f t="shared" si="0"/>
        <v>31866.203723549908</v>
      </c>
      <c r="C26" s="326">
        <f t="shared" si="1"/>
        <v>7199850.0692988662</v>
      </c>
    </row>
    <row r="27" spans="1:4" x14ac:dyDescent="0.25">
      <c r="A27" s="325">
        <f t="shared" si="2"/>
        <v>1500000</v>
      </c>
      <c r="B27" s="319">
        <f t="shared" si="0"/>
        <v>35549.956686161626</v>
      </c>
      <c r="C27" s="326">
        <f t="shared" si="1"/>
        <v>8032157.2136713574</v>
      </c>
    </row>
    <row r="28" spans="1:4" x14ac:dyDescent="0.25">
      <c r="A28" s="325">
        <f t="shared" si="2"/>
        <v>1750000</v>
      </c>
      <c r="B28" s="319">
        <f t="shared" si="0"/>
        <v>38994.840626603436</v>
      </c>
      <c r="C28" s="326">
        <f t="shared" si="1"/>
        <v>8810494.2911747806</v>
      </c>
    </row>
    <row r="29" spans="1:4" x14ac:dyDescent="0.25">
      <c r="A29" s="325">
        <f t="shared" si="2"/>
        <v>2000000</v>
      </c>
      <c r="B29" s="319">
        <f t="shared" si="0"/>
        <v>42247.626779557781</v>
      </c>
      <c r="C29" s="326">
        <f t="shared" si="1"/>
        <v>9545428.7945732847</v>
      </c>
    </row>
    <row r="30" spans="1:4" x14ac:dyDescent="0.25">
      <c r="A30" s="325">
        <f t="shared" si="2"/>
        <v>2250000</v>
      </c>
      <c r="B30" s="319">
        <f t="shared" si="0"/>
        <v>45341.285753716184</v>
      </c>
      <c r="C30" s="326">
        <f t="shared" si="1"/>
        <v>10244410.103194633</v>
      </c>
    </row>
    <row r="31" spans="1:4" x14ac:dyDescent="0.25">
      <c r="A31" s="325">
        <f t="shared" si="2"/>
        <v>2500000</v>
      </c>
      <c r="B31" s="319">
        <f t="shared" si="0"/>
        <v>48300.132895579933</v>
      </c>
      <c r="C31" s="326">
        <f t="shared" si="1"/>
        <v>10912932.02642733</v>
      </c>
    </row>
    <row r="32" spans="1:4" x14ac:dyDescent="0.25">
      <c r="A32" s="325">
        <f t="shared" si="2"/>
        <v>2750000</v>
      </c>
      <c r="B32" s="319">
        <f t="shared" si="0"/>
        <v>51142.733512986146</v>
      </c>
      <c r="C32" s="326">
        <f t="shared" si="1"/>
        <v>11555189.209924089</v>
      </c>
    </row>
    <row r="33" spans="1:3" x14ac:dyDescent="0.25">
      <c r="A33" s="325">
        <f t="shared" si="2"/>
        <v>3000000</v>
      </c>
      <c r="B33" s="319">
        <f t="shared" si="0"/>
        <v>53883.658287942271</v>
      </c>
      <c r="C33" s="326">
        <f t="shared" si="1"/>
        <v>12174473.753577678</v>
      </c>
    </row>
    <row r="34" spans="1:3" x14ac:dyDescent="0.25">
      <c r="A34" s="325">
        <f t="shared" si="2"/>
        <v>3250000</v>
      </c>
      <c r="B34" s="319">
        <f t="shared" si="0"/>
        <v>56534.601735468168</v>
      </c>
      <c r="C34" s="326">
        <f t="shared" si="1"/>
        <v>12773427.916111678</v>
      </c>
    </row>
    <row r="35" spans="1:3" x14ac:dyDescent="0.25">
      <c r="A35" s="325">
        <f t="shared" si="2"/>
        <v>3500000</v>
      </c>
      <c r="B35" s="319">
        <f t="shared" si="0"/>
        <v>59105.125946175547</v>
      </c>
      <c r="C35" s="326">
        <f t="shared" si="1"/>
        <v>13354212.156278903</v>
      </c>
    </row>
    <row r="36" spans="1:3" x14ac:dyDescent="0.25">
      <c r="A36" s="325">
        <f t="shared" si="2"/>
        <v>3750000</v>
      </c>
      <c r="B36" s="319">
        <f t="shared" si="0"/>
        <v>61603.172878504367</v>
      </c>
      <c r="C36" s="326">
        <f t="shared" si="1"/>
        <v>13918620.880169276</v>
      </c>
    </row>
    <row r="37" spans="1:3" x14ac:dyDescent="0.25">
      <c r="A37" s="325">
        <f t="shared" si="2"/>
        <v>4000000</v>
      </c>
      <c r="B37" s="319">
        <f t="shared" si="0"/>
        <v>64035.427805524065</v>
      </c>
      <c r="C37" s="326">
        <f t="shared" si="1"/>
        <v>14468164.558380106</v>
      </c>
    </row>
    <row r="38" spans="1:3" x14ac:dyDescent="0.25">
      <c r="A38" s="325">
        <f t="shared" si="2"/>
        <v>4250000</v>
      </c>
      <c r="B38" s="319">
        <f t="shared" si="0"/>
        <v>66407.583729436781</v>
      </c>
      <c r="C38" s="326">
        <f t="shared" si="1"/>
        <v>15004129.467828946</v>
      </c>
    </row>
    <row r="39" spans="1:3" x14ac:dyDescent="0.25">
      <c r="A39" s="325">
        <f t="shared" si="2"/>
        <v>4500000</v>
      </c>
      <c r="B39" s="319">
        <f t="shared" si="0"/>
        <v>68724.537963789524</v>
      </c>
      <c r="C39" s="326">
        <f t="shared" si="1"/>
        <v>15527622.107538605</v>
      </c>
    </row>
    <row r="40" spans="1:3" x14ac:dyDescent="0.25">
      <c r="A40" s="325">
        <f t="shared" si="2"/>
        <v>4750000</v>
      </c>
      <c r="B40" s="319">
        <f t="shared" si="0"/>
        <v>70990.541071384083</v>
      </c>
      <c r="C40" s="326">
        <f t="shared" si="1"/>
        <v>16039602.84966852</v>
      </c>
    </row>
    <row r="41" spans="1:3" x14ac:dyDescent="0.25">
      <c r="A41" s="325">
        <f t="shared" si="2"/>
        <v>5000000</v>
      </c>
      <c r="B41" s="319">
        <f t="shared" si="0"/>
        <v>73209.311594484345</v>
      </c>
      <c r="C41" s="326">
        <f t="shared" si="1"/>
        <v>16540911.861657793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47AC-B2DF-4B3E-A614-6BCC2BC38DA4}">
  <sheetPr codeName="Sheet15">
    <tabColor theme="0" tint="-4.9989318521683403E-2"/>
  </sheetPr>
  <dimension ref="A1:I42"/>
  <sheetViews>
    <sheetView workbookViewId="0">
      <selection activeCell="G9" sqref="G9"/>
    </sheetView>
  </sheetViews>
  <sheetFormatPr defaultColWidth="8.85546875" defaultRowHeight="15" x14ac:dyDescent="0.25"/>
  <cols>
    <col min="1" max="1" width="16.42578125" style="99" bestFit="1" customWidth="1"/>
    <col min="2" max="2" width="18" style="99" customWidth="1"/>
    <col min="3" max="3" width="12.42578125" style="99" bestFit="1" customWidth="1"/>
    <col min="4" max="4" width="19.28515625" style="99" customWidth="1"/>
    <col min="5" max="5" width="17.85546875" style="99" customWidth="1"/>
    <col min="6" max="6" width="15.42578125" style="99" customWidth="1"/>
    <col min="7" max="7" width="15.85546875" style="99" customWidth="1"/>
    <col min="8" max="8" width="15" style="99" customWidth="1"/>
    <col min="9" max="9" width="14.140625" style="99" customWidth="1"/>
    <col min="10" max="16384" width="8.85546875" style="99"/>
  </cols>
  <sheetData>
    <row r="1" spans="1:9" ht="15.75" thickBot="1" x14ac:dyDescent="0.3">
      <c r="A1" s="6" t="s">
        <v>0</v>
      </c>
      <c r="B1" s="100" t="s">
        <v>256</v>
      </c>
      <c r="C1" s="100"/>
      <c r="D1" s="100"/>
      <c r="E1" s="100"/>
      <c r="F1" s="100"/>
      <c r="G1" s="100"/>
      <c r="H1" s="100"/>
      <c r="I1" s="100"/>
    </row>
    <row r="2" spans="1:9" x14ac:dyDescent="0.25">
      <c r="A2" s="7" t="s">
        <v>2</v>
      </c>
      <c r="B2" s="8" t="s">
        <v>256</v>
      </c>
      <c r="C2" s="9" t="s">
        <v>4</v>
      </c>
      <c r="D2" s="10" t="s">
        <v>6</v>
      </c>
      <c r="E2" s="9" t="s">
        <v>116</v>
      </c>
      <c r="F2" s="10" t="s">
        <v>163</v>
      </c>
      <c r="G2" s="100"/>
      <c r="H2" s="100"/>
      <c r="I2" s="100"/>
    </row>
    <row r="3" spans="1:9" ht="15.75" thickBot="1" x14ac:dyDescent="0.3">
      <c r="A3" s="11" t="s">
        <v>3</v>
      </c>
      <c r="B3" s="12" t="s">
        <v>257</v>
      </c>
      <c r="C3" s="13" t="s">
        <v>5</v>
      </c>
      <c r="D3" s="14" t="s">
        <v>163</v>
      </c>
      <c r="E3" s="13" t="s">
        <v>104</v>
      </c>
      <c r="F3" s="14" t="s">
        <v>161</v>
      </c>
      <c r="G3" s="100"/>
      <c r="H3" s="100"/>
      <c r="I3" s="100"/>
    </row>
    <row r="4" spans="1:9" ht="15.75" thickBot="1" x14ac:dyDescent="0.3">
      <c r="A4" s="29" t="s">
        <v>38</v>
      </c>
      <c r="B4" s="424"/>
      <c r="C4" s="425"/>
      <c r="D4" s="425"/>
      <c r="E4" s="425"/>
      <c r="F4" s="426"/>
      <c r="G4" s="100"/>
      <c r="H4" s="100"/>
      <c r="I4" s="100"/>
    </row>
    <row r="5" spans="1:9" x14ac:dyDescent="0.25">
      <c r="A5" s="100"/>
      <c r="B5" s="100"/>
      <c r="C5" s="100"/>
      <c r="D5" s="100"/>
      <c r="E5" s="100"/>
      <c r="F5" s="100"/>
      <c r="G5" s="100"/>
      <c r="H5" s="100"/>
      <c r="I5" s="100"/>
    </row>
    <row r="6" spans="1:9" ht="15.75" thickBot="1" x14ac:dyDescent="0.3">
      <c r="A6" s="100"/>
      <c r="B6" s="306">
        <v>0.8</v>
      </c>
      <c r="C6" s="306">
        <v>1.3</v>
      </c>
      <c r="D6" s="100"/>
      <c r="E6" s="100"/>
      <c r="F6" s="100"/>
      <c r="G6" s="100"/>
      <c r="H6" s="100"/>
      <c r="I6" s="100"/>
    </row>
    <row r="7" spans="1:9" x14ac:dyDescent="0.25">
      <c r="A7" s="413" t="s">
        <v>8</v>
      </c>
      <c r="B7" s="418" t="s">
        <v>9</v>
      </c>
      <c r="C7" s="418"/>
      <c r="D7" s="418" t="s">
        <v>12</v>
      </c>
      <c r="E7" s="418"/>
      <c r="F7" s="418"/>
      <c r="G7" s="418" t="s">
        <v>124</v>
      </c>
      <c r="H7" s="418"/>
      <c r="I7" s="423"/>
    </row>
    <row r="8" spans="1:9" x14ac:dyDescent="0.25">
      <c r="A8" s="417"/>
      <c r="B8" s="314" t="s">
        <v>10</v>
      </c>
      <c r="C8" s="314" t="s">
        <v>11</v>
      </c>
      <c r="D8" s="314" t="s">
        <v>20</v>
      </c>
      <c r="E8" s="314" t="s">
        <v>21</v>
      </c>
      <c r="F8" s="314" t="s">
        <v>117</v>
      </c>
      <c r="G8" s="314" t="s">
        <v>22</v>
      </c>
      <c r="H8" s="314" t="s">
        <v>23</v>
      </c>
      <c r="I8" s="4" t="s">
        <v>123</v>
      </c>
    </row>
    <row r="9" spans="1:9" ht="15.75" thickBot="1" x14ac:dyDescent="0.3">
      <c r="A9" s="414"/>
      <c r="B9" s="317">
        <f>VAC_Optim_Scenario!G24</f>
        <v>28089210.840000004</v>
      </c>
      <c r="C9" s="317">
        <f>VAC_Optim_Scenario!H24</f>
        <v>81623530</v>
      </c>
      <c r="D9" s="318">
        <f>VAC_Optim_Scenario!I24</f>
        <v>32753689.22929937</v>
      </c>
      <c r="E9" s="84">
        <f>((GLINEARTV!D9/$B$12)^$D$12)*$C$12*$F$12</f>
        <v>199085.73622577282</v>
      </c>
      <c r="F9" s="84">
        <f>E9*F11</f>
        <v>199085.73622577282</v>
      </c>
      <c r="G9" s="76">
        <f>VAC_Optim_Scenario!E24</f>
        <v>25810928.600000001</v>
      </c>
      <c r="H9" s="319">
        <f>((GLINEARTV!G9/$B$12)^$D$12)*$C$12*$F$12</f>
        <v>168508.00202805389</v>
      </c>
      <c r="I9" s="320">
        <f>H9*F11</f>
        <v>168508.00202805389</v>
      </c>
    </row>
    <row r="10" spans="1:9" ht="15.75" thickBot="1" x14ac:dyDescent="0.3"/>
    <row r="11" spans="1:9" ht="48.95" customHeight="1" x14ac:dyDescent="0.25">
      <c r="A11" s="386" t="s">
        <v>15</v>
      </c>
      <c r="B11" s="315" t="s">
        <v>16</v>
      </c>
      <c r="C11" s="315" t="s">
        <v>17</v>
      </c>
      <c r="D11" s="315" t="s">
        <v>242</v>
      </c>
      <c r="E11" s="314" t="s">
        <v>126</v>
      </c>
      <c r="F11" s="321">
        <v>1</v>
      </c>
    </row>
    <row r="12" spans="1:9" ht="40.5" customHeight="1" thickBot="1" x14ac:dyDescent="0.3">
      <c r="A12" s="386"/>
      <c r="B12" s="322">
        <f>'[9]TV - Power'!$B$12</f>
        <v>25810928.600000001</v>
      </c>
      <c r="C12" s="322">
        <f>'[9]TV - Power'!$C$12</f>
        <v>168508.00202805389</v>
      </c>
      <c r="D12" s="327">
        <f>'[9]TV - Power'!$D$12</f>
        <v>0.7</v>
      </c>
      <c r="E12" s="314" t="s">
        <v>122</v>
      </c>
      <c r="F12" s="323">
        <f>VAC_Optim_Scenario!D24</f>
        <v>1</v>
      </c>
      <c r="G12" s="324">
        <f>B12*2</f>
        <v>51621857.200000003</v>
      </c>
    </row>
    <row r="13" spans="1:9" ht="18.75" customHeight="1" x14ac:dyDescent="0.25">
      <c r="A13" s="407" t="s">
        <v>243</v>
      </c>
      <c r="B13" s="408"/>
      <c r="C13" s="408"/>
      <c r="D13" s="408"/>
      <c r="E13" s="314" t="s">
        <v>244</v>
      </c>
      <c r="F13" s="314" t="s">
        <v>245</v>
      </c>
    </row>
    <row r="14" spans="1:9" ht="15.75" thickBot="1" x14ac:dyDescent="0.3">
      <c r="A14" s="410"/>
      <c r="B14" s="411"/>
      <c r="C14" s="411"/>
      <c r="D14" s="411"/>
      <c r="E14" s="97">
        <f>VAC_Optim_Scenario!F33</f>
        <v>225.94</v>
      </c>
      <c r="F14" s="97">
        <f>VAC_Optim_Scenario!E33</f>
        <v>225.94</v>
      </c>
      <c r="H14" s="99">
        <v>193.91</v>
      </c>
    </row>
    <row r="15" spans="1:9" ht="15.75" thickBot="1" x14ac:dyDescent="0.3"/>
    <row r="16" spans="1:9" x14ac:dyDescent="0.25">
      <c r="A16" s="405" t="s">
        <v>34</v>
      </c>
      <c r="B16" s="315" t="s">
        <v>32</v>
      </c>
      <c r="C16" s="315" t="s">
        <v>31</v>
      </c>
      <c r="D16" s="316" t="s">
        <v>33</v>
      </c>
    </row>
    <row r="17" spans="1:4" ht="15.75" thickBot="1" x14ac:dyDescent="0.3">
      <c r="A17" s="406"/>
      <c r="B17" s="76">
        <v>0</v>
      </c>
      <c r="C17" s="76">
        <v>30000000</v>
      </c>
      <c r="D17" s="26">
        <v>20</v>
      </c>
    </row>
    <row r="18" spans="1:4" x14ac:dyDescent="0.25">
      <c r="A18" s="100"/>
      <c r="B18" s="100"/>
      <c r="C18" s="100"/>
      <c r="D18" s="100"/>
    </row>
    <row r="19" spans="1:4" x14ac:dyDescent="0.25">
      <c r="A19" s="386" t="s">
        <v>37</v>
      </c>
      <c r="B19" s="386"/>
      <c r="C19" s="386"/>
      <c r="D19" s="100"/>
    </row>
    <row r="20" spans="1:4" ht="25.5" x14ac:dyDescent="0.25">
      <c r="A20" s="314" t="s">
        <v>35</v>
      </c>
      <c r="B20" s="314" t="s">
        <v>164</v>
      </c>
      <c r="C20" s="314" t="s">
        <v>246</v>
      </c>
    </row>
    <row r="21" spans="1:4" x14ac:dyDescent="0.25">
      <c r="A21" s="325">
        <f>B17</f>
        <v>0</v>
      </c>
      <c r="B21" s="319">
        <f>((A21/$B$12)^$D$12)*$C$12</f>
        <v>0</v>
      </c>
      <c r="C21" s="326">
        <f>B21*$F$14</f>
        <v>0</v>
      </c>
    </row>
    <row r="22" spans="1:4" x14ac:dyDescent="0.25">
      <c r="A22" s="325">
        <f>A21+(($C$17-$B$17)/$D$17)</f>
        <v>1500000</v>
      </c>
      <c r="B22" s="319">
        <f>((A22/$B$12)^$D$12)*$C$12</f>
        <v>22994.388781683774</v>
      </c>
      <c r="C22" s="326">
        <f t="shared" ref="C22:C41" si="0">B22*$F$14</f>
        <v>5195352.2013336318</v>
      </c>
    </row>
    <row r="23" spans="1:4" x14ac:dyDescent="0.25">
      <c r="A23" s="325">
        <f t="shared" ref="A23:A42" si="1">A22+(($C$17-$B$17)/$D$17)</f>
        <v>3000000</v>
      </c>
      <c r="B23" s="319">
        <f t="shared" ref="B23:B42" si="2">((A23/$B$12)^$D$12)*$C$12</f>
        <v>37354.494781339148</v>
      </c>
      <c r="C23" s="326">
        <f t="shared" si="0"/>
        <v>8439874.5508957673</v>
      </c>
    </row>
    <row r="24" spans="1:4" x14ac:dyDescent="0.25">
      <c r="A24" s="325">
        <f t="shared" si="1"/>
        <v>4500000</v>
      </c>
      <c r="B24" s="319">
        <f t="shared" si="2"/>
        <v>49614.286286031464</v>
      </c>
      <c r="C24" s="326">
        <f t="shared" si="0"/>
        <v>11209851.843465948</v>
      </c>
    </row>
    <row r="25" spans="1:4" x14ac:dyDescent="0.25">
      <c r="A25" s="325">
        <f t="shared" si="1"/>
        <v>6000000</v>
      </c>
      <c r="B25" s="319">
        <f t="shared" si="2"/>
        <v>60682.555801638446</v>
      </c>
      <c r="C25" s="326">
        <f t="shared" si="0"/>
        <v>13710616.65782219</v>
      </c>
    </row>
    <row r="26" spans="1:4" x14ac:dyDescent="0.25">
      <c r="A26" s="325">
        <f t="shared" si="1"/>
        <v>7500000</v>
      </c>
      <c r="B26" s="319">
        <f t="shared" si="2"/>
        <v>70941.582654239959</v>
      </c>
      <c r="C26" s="326">
        <f t="shared" si="0"/>
        <v>16028541.184898976</v>
      </c>
    </row>
    <row r="27" spans="1:4" x14ac:dyDescent="0.25">
      <c r="A27" s="325">
        <f t="shared" si="1"/>
        <v>9000000</v>
      </c>
      <c r="B27" s="319">
        <f t="shared" si="2"/>
        <v>80598.645858666729</v>
      </c>
      <c r="C27" s="326">
        <f t="shared" si="0"/>
        <v>18210458.045307159</v>
      </c>
    </row>
    <row r="28" spans="1:4" x14ac:dyDescent="0.25">
      <c r="A28" s="325">
        <f t="shared" si="1"/>
        <v>10500000</v>
      </c>
      <c r="B28" s="319">
        <f t="shared" si="2"/>
        <v>89782.252710432149</v>
      </c>
      <c r="C28" s="326">
        <f t="shared" si="0"/>
        <v>20285402.177395038</v>
      </c>
    </row>
    <row r="29" spans="1:4" x14ac:dyDescent="0.25">
      <c r="A29" s="325">
        <f t="shared" si="1"/>
        <v>12000000</v>
      </c>
      <c r="B29" s="319">
        <f t="shared" si="2"/>
        <v>98579.102733803622</v>
      </c>
      <c r="C29" s="326">
        <f t="shared" si="0"/>
        <v>22272962.47167559</v>
      </c>
    </row>
    <row r="30" spans="1:4" x14ac:dyDescent="0.25">
      <c r="A30" s="325">
        <f t="shared" si="1"/>
        <v>13500000</v>
      </c>
      <c r="B30" s="319">
        <f t="shared" si="2"/>
        <v>107051.22136723484</v>
      </c>
      <c r="C30" s="326">
        <f t="shared" si="0"/>
        <v>24187152.955713041</v>
      </c>
    </row>
    <row r="31" spans="1:4" x14ac:dyDescent="0.25">
      <c r="A31" s="325">
        <f t="shared" si="1"/>
        <v>15000000</v>
      </c>
      <c r="B31" s="319">
        <f t="shared" si="2"/>
        <v>115244.9410244207</v>
      </c>
      <c r="C31" s="326">
        <f t="shared" si="0"/>
        <v>26038441.975057613</v>
      </c>
    </row>
    <row r="32" spans="1:4" x14ac:dyDescent="0.25">
      <c r="A32" s="325">
        <f t="shared" si="1"/>
        <v>16500000</v>
      </c>
      <c r="B32" s="319">
        <f t="shared" si="2"/>
        <v>123196.0404168987</v>
      </c>
      <c r="C32" s="326">
        <f t="shared" si="0"/>
        <v>27834913.371794093</v>
      </c>
    </row>
    <row r="33" spans="1:3" x14ac:dyDescent="0.25">
      <c r="A33" s="325">
        <f t="shared" si="1"/>
        <v>18000000</v>
      </c>
      <c r="B33" s="319">
        <f t="shared" si="2"/>
        <v>130932.88648353927</v>
      </c>
      <c r="C33" s="326">
        <f t="shared" si="0"/>
        <v>29582976.372090865</v>
      </c>
    </row>
    <row r="34" spans="1:3" x14ac:dyDescent="0.25">
      <c r="A34" s="325">
        <f t="shared" si="1"/>
        <v>19500000</v>
      </c>
      <c r="B34" s="319">
        <f t="shared" si="2"/>
        <v>138478.45727298054</v>
      </c>
      <c r="C34" s="326">
        <f t="shared" si="0"/>
        <v>31287822.636257224</v>
      </c>
    </row>
    <row r="35" spans="1:3" x14ac:dyDescent="0.25">
      <c r="A35" s="325">
        <f t="shared" si="1"/>
        <v>21000000</v>
      </c>
      <c r="B35" s="319">
        <f t="shared" si="2"/>
        <v>145851.69982861925</v>
      </c>
      <c r="C35" s="326">
        <f t="shared" si="0"/>
        <v>32953733.059278235</v>
      </c>
    </row>
    <row r="36" spans="1:3" x14ac:dyDescent="0.25">
      <c r="A36" s="325">
        <f t="shared" si="1"/>
        <v>22500000</v>
      </c>
      <c r="B36" s="319">
        <f t="shared" si="2"/>
        <v>153068.47356583198</v>
      </c>
      <c r="C36" s="326">
        <f t="shared" si="0"/>
        <v>34584290.917464077</v>
      </c>
    </row>
    <row r="37" spans="1:3" x14ac:dyDescent="0.25">
      <c r="A37" s="325">
        <f t="shared" si="1"/>
        <v>24000000</v>
      </c>
      <c r="B37" s="319">
        <f t="shared" si="2"/>
        <v>160142.22485235901</v>
      </c>
      <c r="C37" s="326">
        <f t="shared" si="0"/>
        <v>36182534.283141993</v>
      </c>
    </row>
    <row r="38" spans="1:3" x14ac:dyDescent="0.25">
      <c r="A38" s="325">
        <f t="shared" si="1"/>
        <v>25500000</v>
      </c>
      <c r="B38" s="319">
        <f t="shared" si="2"/>
        <v>167084.48137313194</v>
      </c>
      <c r="C38" s="326">
        <f t="shared" si="0"/>
        <v>37751067.721445434</v>
      </c>
    </row>
    <row r="39" spans="1:3" x14ac:dyDescent="0.25">
      <c r="A39" s="325">
        <f t="shared" si="1"/>
        <v>27000000</v>
      </c>
      <c r="B39" s="319">
        <f t="shared" si="2"/>
        <v>173905.2221767967</v>
      </c>
      <c r="C39" s="326">
        <f t="shared" si="0"/>
        <v>39292145.898625448</v>
      </c>
    </row>
    <row r="40" spans="1:3" x14ac:dyDescent="0.25">
      <c r="A40" s="325">
        <f t="shared" si="1"/>
        <v>28500000</v>
      </c>
      <c r="B40" s="319">
        <f t="shared" si="2"/>
        <v>180613.15982339281</v>
      </c>
      <c r="C40" s="326">
        <f t="shared" si="0"/>
        <v>40807737.330497369</v>
      </c>
    </row>
    <row r="41" spans="1:3" x14ac:dyDescent="0.25">
      <c r="A41" s="325">
        <f t="shared" si="1"/>
        <v>30000000</v>
      </c>
      <c r="B41" s="319">
        <f t="shared" si="2"/>
        <v>187215.95903003748</v>
      </c>
      <c r="C41" s="326">
        <f t="shared" si="0"/>
        <v>42299573.783246666</v>
      </c>
    </row>
    <row r="42" spans="1:3" x14ac:dyDescent="0.25">
      <c r="A42" s="325">
        <f t="shared" si="1"/>
        <v>31500000</v>
      </c>
      <c r="B42" s="319">
        <f t="shared" si="2"/>
        <v>193720.40856021506</v>
      </c>
    </row>
  </sheetData>
  <mergeCells count="9">
    <mergeCell ref="G7:I7"/>
    <mergeCell ref="A11:A12"/>
    <mergeCell ref="A13:D14"/>
    <mergeCell ref="A16:A17"/>
    <mergeCell ref="A19:C19"/>
    <mergeCell ref="B4:F4"/>
    <mergeCell ref="A7:A9"/>
    <mergeCell ref="B7:C7"/>
    <mergeCell ref="D7:F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100" customWidth="1"/>
    <col min="2" max="2" width="13.42578125" style="100" customWidth="1"/>
    <col min="3" max="3" width="12.42578125" style="100" customWidth="1"/>
    <col min="4" max="4" width="13.5703125" style="100" customWidth="1"/>
    <col min="5" max="5" width="14.5703125" style="100" customWidth="1"/>
    <col min="6" max="6" width="12.42578125" style="100" customWidth="1"/>
    <col min="7" max="7" width="12" style="100" customWidth="1"/>
    <col min="8" max="10" width="10.42578125" style="100" customWidth="1"/>
    <col min="11" max="11" width="14.42578125" style="100" bestFit="1" customWidth="1"/>
    <col min="12" max="13" width="12" style="100" bestFit="1" customWidth="1"/>
    <col min="14" max="14" width="12.5703125" style="100" customWidth="1"/>
    <col min="15" max="15" width="9.5703125" style="100" bestFit="1" customWidth="1"/>
    <col min="16" max="16" width="8.85546875" style="100"/>
    <col min="17" max="18" width="10.42578125" style="100" customWidth="1"/>
    <col min="19" max="16384" width="8.85546875" style="100"/>
  </cols>
  <sheetData>
    <row r="1" spans="1:18" ht="13.5" thickBot="1" x14ac:dyDescent="0.25">
      <c r="A1" s="6" t="s">
        <v>0</v>
      </c>
      <c r="B1" s="100" t="s">
        <v>1</v>
      </c>
    </row>
    <row r="2" spans="1:18" x14ac:dyDescent="0.2">
      <c r="A2" s="7" t="s">
        <v>2</v>
      </c>
      <c r="B2" s="8" t="s">
        <v>162</v>
      </c>
      <c r="C2" s="9" t="s">
        <v>4</v>
      </c>
      <c r="D2" s="8" t="s">
        <v>6</v>
      </c>
      <c r="E2" s="9" t="s">
        <v>116</v>
      </c>
      <c r="F2" s="10" t="s">
        <v>163</v>
      </c>
      <c r="H2" s="122" t="s">
        <v>102</v>
      </c>
      <c r="I2" s="123"/>
      <c r="J2" s="123"/>
      <c r="K2" s="123"/>
      <c r="L2" s="124"/>
    </row>
    <row r="3" spans="1:18" ht="13.5" thickBot="1" x14ac:dyDescent="0.25">
      <c r="A3" s="11" t="s">
        <v>3</v>
      </c>
      <c r="B3" s="12" t="s">
        <v>160</v>
      </c>
      <c r="C3" s="13" t="s">
        <v>5</v>
      </c>
      <c r="D3" s="12" t="s">
        <v>163</v>
      </c>
      <c r="E3" s="13" t="s">
        <v>104</v>
      </c>
      <c r="F3" s="14" t="s">
        <v>161</v>
      </c>
    </row>
    <row r="4" spans="1:18" ht="15" customHeight="1" thickBot="1" x14ac:dyDescent="0.25">
      <c r="A4" s="80" t="s">
        <v>38</v>
      </c>
      <c r="B4" s="415" t="s">
        <v>106</v>
      </c>
      <c r="C4" s="415"/>
      <c r="D4" s="415"/>
      <c r="E4" s="415"/>
      <c r="F4" s="416"/>
      <c r="H4" s="100" t="s">
        <v>107</v>
      </c>
    </row>
    <row r="5" spans="1:18" x14ac:dyDescent="0.2">
      <c r="H5" s="100" t="s">
        <v>108</v>
      </c>
    </row>
    <row r="6" spans="1:18" ht="13.5" thickBot="1" x14ac:dyDescent="0.25">
      <c r="B6" s="96">
        <f>VAC_Optim_Scenario!$G$14</f>
        <v>0</v>
      </c>
      <c r="C6" s="96">
        <f>VAC_Optim_Scenario!$H$14</f>
        <v>0</v>
      </c>
    </row>
    <row r="7" spans="1:18" ht="27.75" customHeight="1" x14ac:dyDescent="0.2">
      <c r="A7" s="413" t="s">
        <v>8</v>
      </c>
      <c r="B7" s="418" t="s">
        <v>9</v>
      </c>
      <c r="C7" s="419"/>
      <c r="D7" s="420" t="s">
        <v>12</v>
      </c>
      <c r="E7" s="421"/>
      <c r="F7" s="422"/>
      <c r="G7" s="418" t="s">
        <v>124</v>
      </c>
      <c r="H7" s="418"/>
      <c r="I7" s="423"/>
      <c r="J7" s="100" t="s">
        <v>125</v>
      </c>
    </row>
    <row r="8" spans="1:18" ht="28.35" customHeight="1" x14ac:dyDescent="0.2">
      <c r="A8" s="417"/>
      <c r="B8" s="121" t="s">
        <v>10</v>
      </c>
      <c r="C8" s="17" t="s">
        <v>11</v>
      </c>
      <c r="D8" s="19" t="s">
        <v>20</v>
      </c>
      <c r="E8" s="121" t="s">
        <v>21</v>
      </c>
      <c r="F8" s="81" t="s">
        <v>117</v>
      </c>
      <c r="G8" s="120" t="s">
        <v>22</v>
      </c>
      <c r="H8" s="121" t="s">
        <v>23</v>
      </c>
      <c r="I8" s="88" t="s">
        <v>123</v>
      </c>
    </row>
    <row r="9" spans="1:18" ht="14.45" customHeight="1" thickBot="1" x14ac:dyDescent="0.25">
      <c r="A9" s="414"/>
      <c r="B9" s="97" t="e">
        <f>VAC_Optim_Scenario!#REF!</f>
        <v>#REF!</v>
      </c>
      <c r="C9" s="97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7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100" t="s">
        <v>183</v>
      </c>
    </row>
    <row r="10" spans="1:18" ht="13.5" thickBot="1" x14ac:dyDescent="0.25"/>
    <row r="11" spans="1:18" ht="51.6" customHeight="1" x14ac:dyDescent="0.2">
      <c r="A11" s="413" t="s">
        <v>15</v>
      </c>
      <c r="B11" s="125" t="s">
        <v>16</v>
      </c>
      <c r="C11" s="125" t="s">
        <v>17</v>
      </c>
      <c r="D11" s="125" t="s">
        <v>18</v>
      </c>
      <c r="E11" s="125" t="s">
        <v>19</v>
      </c>
      <c r="F11" s="126" t="s">
        <v>109</v>
      </c>
      <c r="G11" s="127" t="s">
        <v>118</v>
      </c>
      <c r="H11" s="125" t="s">
        <v>119</v>
      </c>
      <c r="I11" s="92" t="s">
        <v>122</v>
      </c>
      <c r="K11" s="405" t="s">
        <v>25</v>
      </c>
      <c r="L11" s="125" t="s">
        <v>110</v>
      </c>
      <c r="M11" s="125" t="s">
        <v>111</v>
      </c>
      <c r="N11" s="125" t="s">
        <v>112</v>
      </c>
      <c r="O11" s="125" t="s">
        <v>113</v>
      </c>
      <c r="P11" s="125" t="s">
        <v>26</v>
      </c>
      <c r="Q11" s="125" t="s">
        <v>27</v>
      </c>
      <c r="R11" s="126" t="s">
        <v>28</v>
      </c>
    </row>
    <row r="12" spans="1:18" ht="15" customHeight="1" thickBot="1" x14ac:dyDescent="0.25">
      <c r="A12" s="414"/>
      <c r="B12" s="97">
        <v>3269319</v>
      </c>
      <c r="C12" s="97">
        <v>54924.559200000003</v>
      </c>
      <c r="D12" s="97">
        <v>0</v>
      </c>
      <c r="E12" s="97">
        <v>178010.42170690201</v>
      </c>
      <c r="F12" s="97">
        <v>11867361.4471268</v>
      </c>
      <c r="G12" s="91">
        <f>VAC_Optim_Scenario!$D$33</f>
        <v>1</v>
      </c>
      <c r="H12" s="71">
        <f>C12*G12</f>
        <v>54924.559200000003</v>
      </c>
      <c r="I12" s="117" t="e">
        <f>VAC_Optim_Scenario!#REF!</f>
        <v>#REF!</v>
      </c>
      <c r="K12" s="406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35" customHeight="1" x14ac:dyDescent="0.2">
      <c r="A13" s="407" t="s">
        <v>114</v>
      </c>
      <c r="B13" s="408"/>
      <c r="C13" s="408"/>
      <c r="D13" s="408"/>
      <c r="E13" s="408"/>
      <c r="F13" s="409"/>
      <c r="G13" s="121" t="s">
        <v>150</v>
      </c>
      <c r="H13" s="121" t="s">
        <v>151</v>
      </c>
      <c r="K13" s="407" t="s">
        <v>115</v>
      </c>
      <c r="L13" s="408"/>
      <c r="M13" s="408"/>
      <c r="N13" s="408"/>
      <c r="O13" s="408"/>
      <c r="P13" s="408"/>
      <c r="Q13" s="408"/>
      <c r="R13" s="409"/>
    </row>
    <row r="14" spans="1:18" ht="33.6" customHeight="1" thickBot="1" x14ac:dyDescent="0.25">
      <c r="A14" s="410"/>
      <c r="B14" s="411"/>
      <c r="C14" s="411"/>
      <c r="D14" s="411"/>
      <c r="E14" s="411"/>
      <c r="F14" s="412"/>
      <c r="G14" s="97">
        <f>VAC_Optim_Scenario!I33</f>
        <v>225.94</v>
      </c>
      <c r="H14" s="97">
        <f>VAC_Optim_Scenario!G33</f>
        <v>225.94</v>
      </c>
      <c r="K14" s="410"/>
      <c r="L14" s="411"/>
      <c r="M14" s="411"/>
      <c r="N14" s="411"/>
      <c r="O14" s="411"/>
      <c r="P14" s="411"/>
      <c r="Q14" s="411"/>
      <c r="R14" s="412"/>
    </row>
    <row r="16" spans="1:18" ht="13.5" thickBot="1" x14ac:dyDescent="0.25"/>
    <row r="17" spans="1:8" ht="42.6" customHeight="1" x14ac:dyDescent="0.2">
      <c r="A17" s="405" t="s">
        <v>34</v>
      </c>
      <c r="B17" s="125" t="s">
        <v>32</v>
      </c>
      <c r="C17" s="125" t="s">
        <v>31</v>
      </c>
      <c r="D17" s="126" t="s">
        <v>33</v>
      </c>
      <c r="F17" s="82"/>
      <c r="G17" s="82"/>
      <c r="H17" s="83"/>
    </row>
    <row r="18" spans="1:8" ht="23.45" customHeight="1" thickBot="1" x14ac:dyDescent="0.25">
      <c r="A18" s="406"/>
      <c r="B18" s="75">
        <v>0</v>
      </c>
      <c r="C18" s="76">
        <v>4000000</v>
      </c>
      <c r="D18" s="26">
        <v>20</v>
      </c>
    </row>
    <row r="20" spans="1:8" x14ac:dyDescent="0.2">
      <c r="A20" s="386" t="s">
        <v>37</v>
      </c>
      <c r="B20" s="386"/>
      <c r="C20" s="386"/>
    </row>
    <row r="21" spans="1:8" ht="25.5" x14ac:dyDescent="0.2">
      <c r="A21" s="121" t="s">
        <v>35</v>
      </c>
      <c r="B21" s="121" t="s">
        <v>120</v>
      </c>
      <c r="C21" s="121" t="s">
        <v>184</v>
      </c>
      <c r="D21" s="100" t="s">
        <v>121</v>
      </c>
      <c r="E21" s="121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8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100" t="e">
        <f>(B23-B22)/A23</f>
        <v>#REF!</v>
      </c>
      <c r="E23" s="118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100" t="e">
        <f t="shared" ref="D24:D42" si="4">(B24-B23)/A24</f>
        <v>#REF!</v>
      </c>
      <c r="E24" s="118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100" t="e">
        <f t="shared" si="4"/>
        <v>#REF!</v>
      </c>
      <c r="E25" s="118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100" t="e">
        <f t="shared" si="4"/>
        <v>#REF!</v>
      </c>
      <c r="E26" s="118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100" t="e">
        <f t="shared" si="4"/>
        <v>#REF!</v>
      </c>
      <c r="E27" s="118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100" t="e">
        <f t="shared" si="4"/>
        <v>#REF!</v>
      </c>
      <c r="E28" s="118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100" t="e">
        <f t="shared" si="4"/>
        <v>#REF!</v>
      </c>
      <c r="E29" s="118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100" t="e">
        <f t="shared" si="4"/>
        <v>#REF!</v>
      </c>
      <c r="E30" s="118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100" t="e">
        <f t="shared" si="4"/>
        <v>#REF!</v>
      </c>
      <c r="E31" s="118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100" t="e">
        <f t="shared" si="4"/>
        <v>#REF!</v>
      </c>
      <c r="E32" s="118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100" t="e">
        <f t="shared" si="4"/>
        <v>#REF!</v>
      </c>
      <c r="E33" s="118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100" t="e">
        <f t="shared" si="4"/>
        <v>#REF!</v>
      </c>
      <c r="E34" s="118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100" t="e">
        <f t="shared" si="4"/>
        <v>#REF!</v>
      </c>
      <c r="E35" s="118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100" t="e">
        <f t="shared" si="4"/>
        <v>#REF!</v>
      </c>
      <c r="E36" s="118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100" t="e">
        <f t="shared" si="4"/>
        <v>#REF!</v>
      </c>
      <c r="E37" s="118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100" t="e">
        <f t="shared" si="4"/>
        <v>#REF!</v>
      </c>
      <c r="E38" s="118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100" t="e">
        <f t="shared" si="4"/>
        <v>#REF!</v>
      </c>
      <c r="E39" s="118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100" t="e">
        <f t="shared" si="4"/>
        <v>#REF!</v>
      </c>
      <c r="E40" s="118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100" t="e">
        <f t="shared" si="4"/>
        <v>#REF!</v>
      </c>
      <c r="E41" s="118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100" t="e">
        <f t="shared" si="4"/>
        <v>#REF!</v>
      </c>
      <c r="E42" s="118" t="e">
        <f t="shared" si="2"/>
        <v>#REF!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449D5-F329-4816-A329-D500E3596889}">
  <sheetPr codeName="Sheet19">
    <tabColor theme="3" tint="0.79998168889431442"/>
  </sheetPr>
  <dimension ref="A1:R42"/>
  <sheetViews>
    <sheetView zoomScaleNormal="100" workbookViewId="0">
      <selection activeCell="D9" sqref="D9"/>
    </sheetView>
  </sheetViews>
  <sheetFormatPr defaultColWidth="8.85546875" defaultRowHeight="12.75" x14ac:dyDescent="0.2"/>
  <cols>
    <col min="1" max="1" width="12.140625" style="100" customWidth="1"/>
    <col min="2" max="2" width="13.42578125" style="100" customWidth="1"/>
    <col min="3" max="3" width="12.42578125" style="100" customWidth="1"/>
    <col min="4" max="4" width="13.5703125" style="100" customWidth="1"/>
    <col min="5" max="5" width="14.5703125" style="100" customWidth="1"/>
    <col min="6" max="6" width="12.42578125" style="100" customWidth="1"/>
    <col min="7" max="7" width="12" style="100" customWidth="1"/>
    <col min="8" max="10" width="10.42578125" style="100" customWidth="1"/>
    <col min="11" max="11" width="14.42578125" style="100" bestFit="1" customWidth="1"/>
    <col min="12" max="13" width="12" style="100" bestFit="1" customWidth="1"/>
    <col min="14" max="14" width="12.5703125" style="100" customWidth="1"/>
    <col min="15" max="15" width="9.5703125" style="100" bestFit="1" customWidth="1"/>
    <col min="16" max="16" width="8.85546875" style="100"/>
    <col min="17" max="18" width="10.42578125" style="100" customWidth="1"/>
    <col min="19" max="16384" width="8.85546875" style="100"/>
  </cols>
  <sheetData>
    <row r="1" spans="1:18" ht="13.5" thickBot="1" x14ac:dyDescent="0.25">
      <c r="A1" s="6" t="s">
        <v>0</v>
      </c>
      <c r="B1" s="100" t="s">
        <v>234</v>
      </c>
    </row>
    <row r="2" spans="1:18" x14ac:dyDescent="0.2">
      <c r="A2" s="7" t="s">
        <v>2</v>
      </c>
      <c r="B2" s="8" t="s">
        <v>228</v>
      </c>
      <c r="C2" s="9" t="s">
        <v>4</v>
      </c>
      <c r="D2" s="8" t="s">
        <v>6</v>
      </c>
      <c r="E2" s="9" t="s">
        <v>116</v>
      </c>
      <c r="F2" s="10" t="s">
        <v>163</v>
      </c>
      <c r="H2" s="264" t="s">
        <v>102</v>
      </c>
      <c r="I2" s="265"/>
      <c r="J2" s="265"/>
      <c r="K2" s="265"/>
      <c r="L2" s="266"/>
    </row>
    <row r="3" spans="1:18" ht="13.5" thickBot="1" x14ac:dyDescent="0.25">
      <c r="A3" s="11" t="s">
        <v>3</v>
      </c>
      <c r="B3" s="12" t="s">
        <v>233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15" t="s">
        <v>106</v>
      </c>
      <c r="C4" s="415"/>
      <c r="D4" s="415"/>
      <c r="E4" s="415"/>
      <c r="F4" s="416"/>
      <c r="H4" s="100" t="s">
        <v>107</v>
      </c>
    </row>
    <row r="5" spans="1:18" x14ac:dyDescent="0.2">
      <c r="H5" s="100" t="s">
        <v>166</v>
      </c>
    </row>
    <row r="6" spans="1:18" ht="13.5" thickBot="1" x14ac:dyDescent="0.25">
      <c r="B6" s="96">
        <f>VAC_Optim_Scenario!$G$14</f>
        <v>0</v>
      </c>
      <c r="C6" s="96">
        <f>VAC_Optim_Scenario!$H$14</f>
        <v>0</v>
      </c>
    </row>
    <row r="7" spans="1:18" ht="27.75" customHeight="1" x14ac:dyDescent="0.2">
      <c r="A7" s="413" t="s">
        <v>8</v>
      </c>
      <c r="B7" s="418" t="s">
        <v>9</v>
      </c>
      <c r="C7" s="419"/>
      <c r="D7" s="420" t="s">
        <v>12</v>
      </c>
      <c r="E7" s="421"/>
      <c r="F7" s="422"/>
      <c r="G7" s="418" t="s">
        <v>124</v>
      </c>
      <c r="H7" s="418"/>
      <c r="I7" s="423"/>
      <c r="J7" s="100" t="s">
        <v>125</v>
      </c>
    </row>
    <row r="8" spans="1:18" ht="28.35" customHeight="1" x14ac:dyDescent="0.2">
      <c r="A8" s="417"/>
      <c r="B8" s="263" t="s">
        <v>10</v>
      </c>
      <c r="C8" s="17" t="s">
        <v>11</v>
      </c>
      <c r="D8" s="19" t="s">
        <v>20</v>
      </c>
      <c r="E8" s="263" t="s">
        <v>21</v>
      </c>
      <c r="F8" s="81" t="s">
        <v>117</v>
      </c>
      <c r="G8" s="267" t="s">
        <v>22</v>
      </c>
      <c r="H8" s="263" t="s">
        <v>23</v>
      </c>
      <c r="I8" s="88" t="s">
        <v>123</v>
      </c>
    </row>
    <row r="9" spans="1:18" ht="14.45" customHeight="1" thickBot="1" x14ac:dyDescent="0.25">
      <c r="A9" s="414"/>
      <c r="B9" s="97">
        <f>VAC_Optim_Scenario!G26</f>
        <v>2400000</v>
      </c>
      <c r="C9" s="97">
        <f>VAC_Optim_Scenario!H26</f>
        <v>8000000</v>
      </c>
      <c r="D9" s="68">
        <f>VAC_Optim_Scenario!I26</f>
        <v>3873454.4914096105</v>
      </c>
      <c r="E9" s="84">
        <f>((($R$12/(1+EXP($P$12+$Q$12*D9)))-1) - ($F$12-$C$12))*$I$12</f>
        <v>25491.835071013309</v>
      </c>
      <c r="F9" s="89">
        <f>E9*$G$12</f>
        <v>25491.835071013309</v>
      </c>
      <c r="G9" s="97">
        <f>VAC_Optim_Scenario!E26</f>
        <v>2411968</v>
      </c>
      <c r="H9" s="85">
        <f>((($R$12/(1+EXP($P$12+$Q$12*G9)))-1) - ($F$12-$C$12))*$I$12</f>
        <v>18205.929821531288</v>
      </c>
      <c r="I9" s="90">
        <f>H9*$G$12</f>
        <v>18205.929821531288</v>
      </c>
      <c r="J9" s="87">
        <f>G9/I9</f>
        <v>132.48254956731077</v>
      </c>
      <c r="K9" s="100" t="s">
        <v>167</v>
      </c>
    </row>
    <row r="10" spans="1:18" ht="13.5" thickBot="1" x14ac:dyDescent="0.25"/>
    <row r="11" spans="1:18" ht="51.6" customHeight="1" x14ac:dyDescent="0.2">
      <c r="A11" s="413" t="s">
        <v>15</v>
      </c>
      <c r="B11" s="269" t="s">
        <v>16</v>
      </c>
      <c r="C11" s="269" t="s">
        <v>17</v>
      </c>
      <c r="D11" s="269" t="s">
        <v>18</v>
      </c>
      <c r="E11" s="269" t="s">
        <v>19</v>
      </c>
      <c r="F11" s="270" t="s">
        <v>109</v>
      </c>
      <c r="G11" s="268" t="s">
        <v>168</v>
      </c>
      <c r="H11" s="269" t="s">
        <v>119</v>
      </c>
      <c r="I11" s="92" t="s">
        <v>122</v>
      </c>
      <c r="K11" s="405" t="s">
        <v>25</v>
      </c>
      <c r="L11" s="269" t="s">
        <v>110</v>
      </c>
      <c r="M11" s="269" t="s">
        <v>111</v>
      </c>
      <c r="N11" s="269" t="s">
        <v>112</v>
      </c>
      <c r="O11" s="269" t="s">
        <v>113</v>
      </c>
      <c r="P11" s="269" t="s">
        <v>26</v>
      </c>
      <c r="Q11" s="269" t="s">
        <v>27</v>
      </c>
      <c r="R11" s="270" t="s">
        <v>28</v>
      </c>
    </row>
    <row r="12" spans="1:18" ht="15" customHeight="1" thickBot="1" x14ac:dyDescent="0.25">
      <c r="A12" s="414"/>
      <c r="B12" s="299">
        <f>'[10]HCC PHARMACY SCurve'!$B$12</f>
        <v>2411882</v>
      </c>
      <c r="C12" s="154">
        <f>'[10]HCC PHARMACY SCurve'!$C$12</f>
        <v>18205.431530494821</v>
      </c>
      <c r="D12" s="154">
        <f>'[10]HCC PHARMACY SCurve'!$D$12</f>
        <v>0</v>
      </c>
      <c r="E12" s="154">
        <f>'[10]HCC PHARMACY SCurve'!$E$12</f>
        <v>45513.578826237055</v>
      </c>
      <c r="F12" s="154">
        <f>'[10]HCC PHARMACY SCurve'!$F$12</f>
        <v>4647854</v>
      </c>
      <c r="G12" s="156">
        <f>VAC_Optim_Scenario!$D$33</f>
        <v>1</v>
      </c>
      <c r="H12" s="71">
        <f>C12*G12</f>
        <v>18205.431530494821</v>
      </c>
      <c r="I12" s="300">
        <f>VAC_Optim_Scenario!D26</f>
        <v>1</v>
      </c>
      <c r="K12" s="406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73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407" t="s">
        <v>169</v>
      </c>
      <c r="B13" s="408"/>
      <c r="C13" s="408"/>
      <c r="D13" s="408"/>
      <c r="E13" s="408"/>
      <c r="F13" s="409"/>
      <c r="G13" s="263" t="s">
        <v>150</v>
      </c>
      <c r="H13" s="263" t="s">
        <v>151</v>
      </c>
      <c r="K13" s="407" t="s">
        <v>115</v>
      </c>
      <c r="L13" s="408"/>
      <c r="M13" s="408"/>
      <c r="N13" s="408"/>
      <c r="O13" s="408"/>
      <c r="P13" s="408"/>
      <c r="Q13" s="408"/>
      <c r="R13" s="409"/>
    </row>
    <row r="14" spans="1:18" ht="33.6" customHeight="1" thickBot="1" x14ac:dyDescent="0.25">
      <c r="A14" s="410"/>
      <c r="B14" s="411"/>
      <c r="C14" s="411"/>
      <c r="D14" s="411"/>
      <c r="E14" s="411"/>
      <c r="F14" s="412"/>
      <c r="G14" s="97">
        <f>VAC_Optim_Scenario!$I$33</f>
        <v>225.94</v>
      </c>
      <c r="H14" s="97">
        <f>VAC_Optim_Scenario!$F$33</f>
        <v>225.94</v>
      </c>
      <c r="K14" s="410"/>
      <c r="L14" s="411"/>
      <c r="M14" s="411"/>
      <c r="N14" s="411"/>
      <c r="O14" s="411"/>
      <c r="P14" s="411"/>
      <c r="Q14" s="411"/>
      <c r="R14" s="412"/>
    </row>
    <row r="16" spans="1:18" ht="13.5" thickBot="1" x14ac:dyDescent="0.25"/>
    <row r="17" spans="1:8" ht="42.6" customHeight="1" x14ac:dyDescent="0.2">
      <c r="A17" s="405" t="s">
        <v>34</v>
      </c>
      <c r="B17" s="269" t="s">
        <v>32</v>
      </c>
      <c r="C17" s="269" t="s">
        <v>31</v>
      </c>
      <c r="D17" s="270" t="s">
        <v>33</v>
      </c>
      <c r="F17" s="82"/>
      <c r="G17" s="82"/>
      <c r="H17" s="83"/>
    </row>
    <row r="18" spans="1:8" ht="23.45" customHeight="1" thickBot="1" x14ac:dyDescent="0.25">
      <c r="A18" s="406"/>
      <c r="B18" s="75">
        <v>0</v>
      </c>
      <c r="C18" s="76">
        <v>4000000</v>
      </c>
      <c r="D18" s="26">
        <v>20</v>
      </c>
    </row>
    <row r="20" spans="1:8" x14ac:dyDescent="0.2">
      <c r="A20" s="386" t="s">
        <v>37</v>
      </c>
      <c r="B20" s="386"/>
      <c r="C20" s="386"/>
    </row>
    <row r="21" spans="1:8" ht="25.5" x14ac:dyDescent="0.2">
      <c r="A21" s="263" t="s">
        <v>35</v>
      </c>
      <c r="B21" s="263" t="s">
        <v>170</v>
      </c>
      <c r="C21" s="263" t="s">
        <v>171</v>
      </c>
      <c r="D21" s="100" t="s">
        <v>172</v>
      </c>
      <c r="E21" s="263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8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100">
        <f>(B23-B22)/A23</f>
        <v>9.4204946470307187E-3</v>
      </c>
      <c r="E23" s="118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100">
        <f t="shared" ref="D24:D42" si="4">(B24-B23)/A24</f>
        <v>4.5170214265957478E-3</v>
      </c>
      <c r="E24" s="118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100">
        <f t="shared" si="4"/>
        <v>2.8877194510695215E-3</v>
      </c>
      <c r="E25" s="118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100">
        <f t="shared" si="4"/>
        <v>2.0768093194591347E-3</v>
      </c>
      <c r="E26" s="118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100">
        <f t="shared" si="4"/>
        <v>1.5931394569259137E-3</v>
      </c>
      <c r="E27" s="118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100">
        <f t="shared" si="4"/>
        <v>1.2729961581349684E-3</v>
      </c>
      <c r="E28" s="118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100">
        <f t="shared" si="4"/>
        <v>1.0462193082053481E-3</v>
      </c>
      <c r="E29" s="118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100">
        <f t="shared" si="4"/>
        <v>8.7773131352849307E-4</v>
      </c>
      <c r="E30" s="118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100">
        <f t="shared" si="4"/>
        <v>7.4804674604545451E-4</v>
      </c>
      <c r="E31" s="118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100">
        <f t="shared" si="4"/>
        <v>6.4547620168561111E-4</v>
      </c>
      <c r="E32" s="118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100">
        <f t="shared" si="4"/>
        <v>5.6258260038935331E-4</v>
      </c>
      <c r="E33" s="118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100">
        <f t="shared" si="4"/>
        <v>4.9440933689824304E-4</v>
      </c>
      <c r="E34" s="118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100">
        <f t="shared" si="4"/>
        <v>4.3752620885112822E-4</v>
      </c>
      <c r="E35" s="118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100">
        <f t="shared" si="4"/>
        <v>3.8948423359276991E-4</v>
      </c>
      <c r="E36" s="118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100">
        <f t="shared" si="4"/>
        <v>3.4848853900097313E-4</v>
      </c>
      <c r="E37" s="118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100">
        <f t="shared" si="4"/>
        <v>3.1319392096658703E-4</v>
      </c>
      <c r="E38" s="118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100">
        <f t="shared" si="4"/>
        <v>2.8257255776456612E-4</v>
      </c>
      <c r="E39" s="118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100">
        <f t="shared" si="4"/>
        <v>2.5582582029902066E-4</v>
      </c>
      <c r="E40" s="118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100">
        <f t="shared" si="4"/>
        <v>2.3232393240727681E-4</v>
      </c>
      <c r="E41" s="118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100">
        <f t="shared" si="4"/>
        <v>2.115637336897198E-4</v>
      </c>
      <c r="E42" s="118">
        <f t="shared" si="2"/>
        <v>5879662.5963875558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workbookViewId="0">
      <selection activeCell="F16" sqref="F16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391" t="s">
        <v>100</v>
      </c>
      <c r="G2" s="392"/>
      <c r="H2" s="392"/>
      <c r="I2" s="392"/>
      <c r="J2" s="392"/>
      <c r="K2" s="392"/>
      <c r="L2" s="393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394" t="s">
        <v>72</v>
      </c>
      <c r="G3" s="395"/>
      <c r="H3" s="395"/>
      <c r="I3" s="395"/>
      <c r="J3" s="395"/>
      <c r="K3" s="395"/>
      <c r="L3" s="396"/>
    </row>
    <row r="4" spans="1:12" ht="13.5" thickBot="1" x14ac:dyDescent="0.25">
      <c r="A4" s="29" t="s">
        <v>38</v>
      </c>
      <c r="B4" s="427" t="s">
        <v>39</v>
      </c>
      <c r="C4" s="427"/>
      <c r="D4" s="428"/>
    </row>
    <row r="6" spans="1:12" ht="13.5" thickBot="1" x14ac:dyDescent="0.25"/>
    <row r="7" spans="1:12" ht="27.75" customHeight="1" x14ac:dyDescent="0.2">
      <c r="A7" s="413" t="s">
        <v>8</v>
      </c>
      <c r="B7" s="418" t="s">
        <v>9</v>
      </c>
      <c r="C7" s="419"/>
      <c r="D7" s="420" t="s">
        <v>12</v>
      </c>
      <c r="E7" s="422"/>
      <c r="F7" s="421" t="s">
        <v>24</v>
      </c>
      <c r="G7" s="435"/>
    </row>
    <row r="8" spans="1:12" ht="25.5" x14ac:dyDescent="0.2">
      <c r="A8" s="417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14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13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13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14"/>
      <c r="B12" s="12">
        <v>20</v>
      </c>
      <c r="C12" s="12">
        <v>30</v>
      </c>
      <c r="D12" s="12">
        <v>0</v>
      </c>
      <c r="E12" s="14">
        <v>70</v>
      </c>
      <c r="G12" s="414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35" customHeight="1" x14ac:dyDescent="0.2">
      <c r="A13" s="407" t="s">
        <v>30</v>
      </c>
      <c r="B13" s="408"/>
      <c r="C13" s="408"/>
      <c r="D13" s="408"/>
      <c r="E13" s="409"/>
      <c r="G13" s="429" t="s">
        <v>29</v>
      </c>
      <c r="H13" s="430"/>
      <c r="I13" s="430"/>
      <c r="J13" s="431"/>
    </row>
    <row r="14" spans="1:12" ht="33.6" customHeight="1" x14ac:dyDescent="0.2">
      <c r="A14" s="410"/>
      <c r="B14" s="411"/>
      <c r="C14" s="411"/>
      <c r="D14" s="411"/>
      <c r="E14" s="412"/>
      <c r="G14" s="432"/>
      <c r="H14" s="433"/>
      <c r="I14" s="433"/>
      <c r="J14" s="434"/>
    </row>
    <row r="16" spans="1:12" ht="13.5" thickBot="1" x14ac:dyDescent="0.25"/>
    <row r="17" spans="1:4" ht="17.100000000000001" customHeight="1" x14ac:dyDescent="0.2">
      <c r="A17" s="405" t="s">
        <v>34</v>
      </c>
      <c r="B17" s="21" t="s">
        <v>32</v>
      </c>
      <c r="C17" s="21" t="s">
        <v>31</v>
      </c>
      <c r="D17" s="15" t="s">
        <v>33</v>
      </c>
    </row>
    <row r="18" spans="1:4" ht="23.45" customHeight="1" thickBot="1" x14ac:dyDescent="0.25">
      <c r="A18" s="406"/>
      <c r="B18" s="12">
        <v>0</v>
      </c>
      <c r="C18" s="12">
        <v>100</v>
      </c>
      <c r="D18" s="26">
        <v>20</v>
      </c>
    </row>
    <row r="20" spans="1:4" x14ac:dyDescent="0.2">
      <c r="A20" s="386" t="s">
        <v>37</v>
      </c>
      <c r="B20" s="386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425781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391" t="s">
        <v>100</v>
      </c>
      <c r="G2" s="392"/>
      <c r="H2" s="392"/>
      <c r="I2" s="392"/>
      <c r="J2" s="392"/>
      <c r="K2" s="392"/>
      <c r="L2" s="393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394" t="s">
        <v>72</v>
      </c>
      <c r="G3" s="395"/>
      <c r="H3" s="395"/>
      <c r="I3" s="395"/>
      <c r="J3" s="395"/>
      <c r="K3" s="395"/>
      <c r="L3" s="396"/>
    </row>
    <row r="4" spans="1:12" ht="31.7" customHeight="1" thickBot="1" x14ac:dyDescent="0.25">
      <c r="A4" s="29" t="s">
        <v>38</v>
      </c>
      <c r="B4" s="436" t="s">
        <v>41</v>
      </c>
      <c r="C4" s="437"/>
      <c r="D4" s="438"/>
    </row>
    <row r="6" spans="1:12" ht="13.5" thickBot="1" x14ac:dyDescent="0.25"/>
    <row r="7" spans="1:12" ht="27.75" customHeight="1" x14ac:dyDescent="0.2">
      <c r="A7" s="413" t="s">
        <v>8</v>
      </c>
      <c r="B7" s="418" t="s">
        <v>9</v>
      </c>
      <c r="C7" s="419"/>
      <c r="D7" s="420" t="s">
        <v>12</v>
      </c>
      <c r="E7" s="422"/>
      <c r="F7" s="421" t="s">
        <v>24</v>
      </c>
      <c r="G7" s="435"/>
      <c r="H7" s="1" t="s">
        <v>54</v>
      </c>
    </row>
    <row r="8" spans="1:12" ht="25.5" x14ac:dyDescent="0.2">
      <c r="A8" s="417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14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13" t="s">
        <v>42</v>
      </c>
      <c r="B11" s="363" t="s">
        <v>47</v>
      </c>
      <c r="C11" s="440" t="s">
        <v>46</v>
      </c>
      <c r="D11" s="421"/>
      <c r="E11" s="421"/>
      <c r="F11" s="3" t="s">
        <v>48</v>
      </c>
      <c r="G11" s="33"/>
      <c r="H11" s="32"/>
      <c r="I11" s="32"/>
      <c r="J11" s="32"/>
    </row>
    <row r="12" spans="1:12" x14ac:dyDescent="0.2">
      <c r="A12" s="441"/>
      <c r="B12" s="364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442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7" customHeight="1" x14ac:dyDescent="0.2">
      <c r="A14" s="439" t="s">
        <v>52</v>
      </c>
      <c r="B14" s="439"/>
      <c r="C14" s="439"/>
      <c r="D14" s="439"/>
      <c r="E14" s="439"/>
      <c r="F14" s="439"/>
      <c r="G14" s="38"/>
      <c r="H14" s="39"/>
      <c r="I14" s="39"/>
      <c r="J14" s="39"/>
    </row>
    <row r="15" spans="1:12" ht="30.6" customHeight="1" x14ac:dyDescent="0.2">
      <c r="A15" s="439"/>
      <c r="B15" s="439"/>
      <c r="C15" s="439"/>
      <c r="D15" s="439"/>
      <c r="E15" s="439"/>
      <c r="F15" s="439"/>
      <c r="G15" s="38"/>
      <c r="H15" s="39"/>
      <c r="I15" s="39"/>
      <c r="J15" s="39"/>
    </row>
    <row r="17" spans="1:4" ht="13.5" thickBot="1" x14ac:dyDescent="0.25"/>
    <row r="18" spans="1:4" ht="17.100000000000001" customHeight="1" x14ac:dyDescent="0.2">
      <c r="A18" s="405" t="s">
        <v>34</v>
      </c>
      <c r="B18" s="21" t="s">
        <v>32</v>
      </c>
      <c r="C18" s="21" t="s">
        <v>31</v>
      </c>
      <c r="D18" s="15" t="s">
        <v>33</v>
      </c>
    </row>
    <row r="19" spans="1:4" ht="23.45" customHeight="1" thickBot="1" x14ac:dyDescent="0.25">
      <c r="A19" s="406"/>
      <c r="B19" s="12">
        <v>0</v>
      </c>
      <c r="C19" s="12">
        <v>20000000</v>
      </c>
      <c r="D19" s="26">
        <v>20</v>
      </c>
    </row>
    <row r="21" spans="1:4" x14ac:dyDescent="0.2">
      <c r="A21" s="386" t="s">
        <v>37</v>
      </c>
      <c r="B21" s="386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391" t="s">
        <v>100</v>
      </c>
      <c r="G2" s="392"/>
      <c r="H2" s="392"/>
      <c r="I2" s="392"/>
      <c r="J2" s="392"/>
      <c r="K2" s="392"/>
      <c r="L2" s="393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394" t="s">
        <v>72</v>
      </c>
      <c r="G3" s="395"/>
      <c r="H3" s="395"/>
      <c r="I3" s="395"/>
      <c r="J3" s="395"/>
      <c r="K3" s="395"/>
      <c r="L3" s="396"/>
    </row>
    <row r="4" spans="1:14" ht="13.5" thickBot="1" x14ac:dyDescent="0.25">
      <c r="A4" s="29" t="s">
        <v>38</v>
      </c>
      <c r="B4" s="427" t="s">
        <v>57</v>
      </c>
      <c r="C4" s="427"/>
      <c r="D4" s="428"/>
    </row>
    <row r="6" spans="1:14" ht="13.5" thickBot="1" x14ac:dyDescent="0.25"/>
    <row r="7" spans="1:14" ht="27.75" customHeight="1" x14ac:dyDescent="0.2">
      <c r="A7" s="413" t="s">
        <v>8</v>
      </c>
      <c r="B7" s="418" t="s">
        <v>9</v>
      </c>
      <c r="C7" s="419"/>
      <c r="D7" s="420" t="s">
        <v>12</v>
      </c>
      <c r="E7" s="422"/>
      <c r="F7" s="421" t="s">
        <v>24</v>
      </c>
      <c r="G7" s="435"/>
      <c r="I7" s="445" t="s">
        <v>73</v>
      </c>
      <c r="J7" s="445"/>
      <c r="K7" s="445"/>
      <c r="L7" s="445"/>
      <c r="N7" s="47" t="s">
        <v>58</v>
      </c>
    </row>
    <row r="8" spans="1:14" ht="25.5" x14ac:dyDescent="0.2">
      <c r="A8" s="417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445"/>
      <c r="J8" s="445"/>
      <c r="K8" s="445"/>
      <c r="L8" s="445"/>
      <c r="N8" s="47" t="s">
        <v>59</v>
      </c>
    </row>
    <row r="9" spans="1:14" ht="13.5" thickBot="1" x14ac:dyDescent="0.25">
      <c r="A9" s="414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7" customHeight="1" x14ac:dyDescent="0.2">
      <c r="A11" s="386" t="s">
        <v>60</v>
      </c>
      <c r="B11" s="3" t="s">
        <v>61</v>
      </c>
      <c r="C11" s="3" t="s">
        <v>62</v>
      </c>
      <c r="D11" s="32"/>
      <c r="E11" s="443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5" customHeight="1" x14ac:dyDescent="0.2">
      <c r="A12" s="386"/>
      <c r="B12" s="41">
        <v>0</v>
      </c>
      <c r="C12" s="41">
        <v>0</v>
      </c>
      <c r="D12" s="32"/>
      <c r="E12" s="444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5" customHeight="1" x14ac:dyDescent="0.2">
      <c r="A13" s="386"/>
      <c r="B13" s="41">
        <v>1</v>
      </c>
      <c r="C13" s="41">
        <v>0.75</v>
      </c>
      <c r="D13" s="32"/>
      <c r="E13" s="444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5" customHeight="1" x14ac:dyDescent="0.2">
      <c r="A14" s="386"/>
      <c r="B14" s="41">
        <v>2</v>
      </c>
      <c r="C14" s="41">
        <v>0</v>
      </c>
      <c r="D14" s="32"/>
      <c r="E14" s="444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5" customHeight="1" x14ac:dyDescent="0.2">
      <c r="A15" s="386"/>
      <c r="B15" s="41">
        <v>3</v>
      </c>
      <c r="C15" s="41">
        <v>-1</v>
      </c>
      <c r="D15" s="32"/>
      <c r="E15" s="444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5" customHeight="1" x14ac:dyDescent="0.2">
      <c r="A16" s="386"/>
      <c r="B16" s="41">
        <v>4</v>
      </c>
      <c r="C16" s="41">
        <v>3</v>
      </c>
      <c r="D16" s="32"/>
      <c r="E16" s="444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386"/>
      <c r="B17" s="42">
        <v>5</v>
      </c>
      <c r="C17" s="42">
        <v>3</v>
      </c>
      <c r="D17" s="40"/>
      <c r="E17" s="444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446" t="s">
        <v>74</v>
      </c>
      <c r="B18" s="447"/>
      <c r="C18" s="448"/>
      <c r="D18" s="33"/>
      <c r="E18" s="439" t="s">
        <v>75</v>
      </c>
      <c r="F18" s="439"/>
      <c r="G18" s="439"/>
      <c r="H18" s="439"/>
      <c r="I18" s="439"/>
      <c r="J18" s="439"/>
      <c r="K18" s="439"/>
      <c r="L18" s="439"/>
      <c r="M18" s="439"/>
    </row>
    <row r="19" spans="1:13" ht="35.450000000000003" customHeight="1" x14ac:dyDescent="0.2">
      <c r="A19" s="410"/>
      <c r="B19" s="411"/>
      <c r="C19" s="412"/>
      <c r="D19" s="33"/>
      <c r="E19" s="439"/>
      <c r="F19" s="439"/>
      <c r="G19" s="439"/>
      <c r="H19" s="439"/>
      <c r="I19" s="439"/>
      <c r="J19" s="439"/>
      <c r="K19" s="439"/>
      <c r="L19" s="439"/>
      <c r="M19" s="439"/>
    </row>
    <row r="21" spans="1:13" ht="13.5" thickBot="1" x14ac:dyDescent="0.25"/>
    <row r="22" spans="1:13" ht="17.100000000000001" customHeight="1" x14ac:dyDescent="0.2">
      <c r="A22" s="405" t="s">
        <v>34</v>
      </c>
      <c r="B22" s="21" t="s">
        <v>32</v>
      </c>
      <c r="C22" s="21" t="s">
        <v>31</v>
      </c>
      <c r="D22" s="15" t="s">
        <v>33</v>
      </c>
    </row>
    <row r="23" spans="1:13" ht="23.45" customHeight="1" thickBot="1" x14ac:dyDescent="0.25">
      <c r="A23" s="406"/>
      <c r="B23" s="12">
        <v>0</v>
      </c>
      <c r="C23" s="12">
        <v>5</v>
      </c>
      <c r="D23" s="26">
        <v>20</v>
      </c>
    </row>
    <row r="25" spans="1:13" x14ac:dyDescent="0.2">
      <c r="A25" s="386" t="s">
        <v>37</v>
      </c>
      <c r="B25" s="386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5703125" style="1" customWidth="1"/>
    <col min="5" max="6" width="12.42578125" style="1" customWidth="1"/>
    <col min="7" max="7" width="12" style="1" customWidth="1"/>
    <col min="8" max="10" width="10.42578125" style="1" customWidth="1"/>
    <col min="11" max="11" width="14.42578125" style="1" bestFit="1" customWidth="1"/>
    <col min="12" max="13" width="12" style="1" bestFit="1" customWidth="1"/>
    <col min="14" max="14" width="11.42578125" style="1" bestFit="1" customWidth="1"/>
    <col min="15" max="15" width="9.570312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449" t="s">
        <v>106</v>
      </c>
      <c r="C4" s="449"/>
      <c r="D4" s="449"/>
      <c r="E4" s="449"/>
      <c r="F4" s="450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13" t="s">
        <v>8</v>
      </c>
      <c r="B7" s="418" t="s">
        <v>9</v>
      </c>
      <c r="C7" s="419"/>
      <c r="D7" s="420" t="s">
        <v>12</v>
      </c>
      <c r="E7" s="422"/>
      <c r="F7" s="421" t="s">
        <v>24</v>
      </c>
      <c r="G7" s="435"/>
    </row>
    <row r="8" spans="1:15" ht="25.5" x14ac:dyDescent="0.2">
      <c r="A8" s="417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14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13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05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14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06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35" customHeight="1" x14ac:dyDescent="0.2">
      <c r="A13" s="407" t="s">
        <v>114</v>
      </c>
      <c r="B13" s="408"/>
      <c r="C13" s="408"/>
      <c r="D13" s="408"/>
      <c r="E13" s="408"/>
      <c r="F13" s="409"/>
      <c r="H13" s="407" t="s">
        <v>115</v>
      </c>
      <c r="I13" s="408"/>
      <c r="J13" s="408"/>
      <c r="K13" s="408"/>
      <c r="L13" s="408"/>
      <c r="M13" s="408"/>
      <c r="N13" s="408"/>
      <c r="O13" s="409"/>
    </row>
    <row r="14" spans="1:15" ht="33.6" customHeight="1" x14ac:dyDescent="0.2">
      <c r="A14" s="410"/>
      <c r="B14" s="411"/>
      <c r="C14" s="411"/>
      <c r="D14" s="411"/>
      <c r="E14" s="411"/>
      <c r="F14" s="412"/>
      <c r="H14" s="410"/>
      <c r="I14" s="411"/>
      <c r="J14" s="411"/>
      <c r="K14" s="411"/>
      <c r="L14" s="411"/>
      <c r="M14" s="411"/>
      <c r="N14" s="411"/>
      <c r="O14" s="412"/>
    </row>
    <row r="16" spans="1:15" ht="13.5" thickBot="1" x14ac:dyDescent="0.25"/>
    <row r="17" spans="1:4" ht="17.100000000000001" customHeight="1" x14ac:dyDescent="0.2">
      <c r="A17" s="405" t="s">
        <v>34</v>
      </c>
      <c r="B17" s="63" t="s">
        <v>32</v>
      </c>
      <c r="C17" s="63" t="s">
        <v>31</v>
      </c>
      <c r="D17" s="15" t="s">
        <v>33</v>
      </c>
    </row>
    <row r="18" spans="1:4" ht="23.45" customHeight="1" thickBot="1" x14ac:dyDescent="0.25">
      <c r="A18" s="406"/>
      <c r="B18" s="75">
        <v>0</v>
      </c>
      <c r="C18" s="76">
        <v>200000000</v>
      </c>
      <c r="D18" s="26">
        <v>20</v>
      </c>
    </row>
    <row r="20" spans="1:4" x14ac:dyDescent="0.2">
      <c r="A20" s="386" t="s">
        <v>37</v>
      </c>
      <c r="B20" s="386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Sensitivity - Template</vt:lpstr>
      <vt:lpstr>Chart - Combined</vt:lpstr>
      <vt:lpstr>Sensitivity</vt:lpstr>
      <vt:lpstr>Contribution, promo eff, ROI</vt:lpstr>
      <vt:lpstr>Scenario summary_dz</vt:lpstr>
      <vt:lpstr>Scenario deep dive_dz</vt:lpstr>
      <vt:lpstr>VAC_Optim_Scenario</vt:lpstr>
      <vt:lpstr>GINOFF</vt:lpstr>
      <vt:lpstr>GMCM</vt:lpstr>
      <vt:lpstr>GSOCIAL</vt:lpstr>
      <vt:lpstr>GOLV</vt:lpstr>
      <vt:lpstr>GSTRTV</vt:lpstr>
      <vt:lpstr>GDISP</vt:lpstr>
      <vt:lpstr>GPDSRCH</vt:lpstr>
      <vt:lpstr>GAUDIO</vt:lpstr>
      <vt:lpstr>GLINEARTV</vt:lpstr>
      <vt:lpstr>GPRNT</vt:lpstr>
      <vt:lpstr>GPHRMCY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2023-09-04T13:52:33Z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2021-10-04T14:18:57Z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60036cc4-b9ee-4646-9f18-9d356e21f455</vt:lpwstr>
  </property>
  <property fmtid="{D5CDD505-2E9C-101B-9397-08002B2CF9AE}" pid="17" name="MSIP_Label_927fd646-07cb-4c4e-a107-4e4d6b30ba1b_ContentBits">
    <vt:lpwstr>1</vt:lpwstr>
  </property>
</Properties>
</file>