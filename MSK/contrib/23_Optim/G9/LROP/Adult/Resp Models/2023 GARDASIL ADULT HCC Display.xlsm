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Resp Models\"/>
    </mc:Choice>
  </mc:AlternateContent>
  <xr:revisionPtr revIDLastSave="0" documentId="13_ncr:1_{15DF493A-BCAE-4E43-99C1-4A6455BF6FFA}" xr6:coauthVersionLast="47" xr6:coauthVersionMax="47" xr10:uidLastSave="{00000000-0000-0000-0000-000000000000}"/>
  <bookViews>
    <workbookView xWindow="-120" yWindow="-120" windowWidth="20730" windowHeight="11160" tabRatio="574" activeTab="2" xr2:uid="{00000000-000D-0000-FFFF-FFFF00000000}"/>
  </bookViews>
  <sheets>
    <sheet name="HCC Display" sheetId="13" r:id="rId1"/>
    <sheet name="Data" sheetId="14" r:id="rId2"/>
    <sheet name="HCC Display - Power" sheetId="15" r:id="rId3"/>
    <sheet name="TV - Scurve" sheetId="8" state="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" i="15" l="1"/>
  <c r="E9" i="15"/>
  <c r="G5" i="13" l="1"/>
  <c r="D6" i="13" l="1"/>
  <c r="H5" i="14" l="1"/>
  <c r="I5" i="14"/>
  <c r="B12" i="15" l="1"/>
  <c r="G9" i="15" s="1"/>
  <c r="A21" i="15"/>
  <c r="A22" i="15" l="1"/>
  <c r="A23" i="15" s="1"/>
  <c r="A24" i="15" s="1"/>
  <c r="A25" i="15" l="1"/>
  <c r="A26" i="15" l="1"/>
  <c r="A27" i="15" l="1"/>
  <c r="A28" i="15" l="1"/>
  <c r="A29" i="15" l="1"/>
  <c r="A30" i="15" l="1"/>
  <c r="A31" i="15" l="1"/>
  <c r="A32" i="15" l="1"/>
  <c r="A33" i="15" l="1"/>
  <c r="A34" i="15" l="1"/>
  <c r="A35" i="15" l="1"/>
  <c r="A36" i="15" l="1"/>
  <c r="A37" i="15" l="1"/>
  <c r="A38" i="15" l="1"/>
  <c r="A39" i="15" l="1"/>
  <c r="A40" i="15" l="1"/>
  <c r="A41" i="15" l="1"/>
  <c r="G12" i="8" l="1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C12" i="8" l="1"/>
  <c r="H9" i="8" s="1"/>
  <c r="E9" i="8" s="1"/>
  <c r="D12" i="8"/>
  <c r="F12" i="8"/>
  <c r="C9" i="8" l="1"/>
  <c r="D9" i="8"/>
  <c r="E17" i="8"/>
  <c r="C17" i="8"/>
  <c r="D17" i="8" s="1"/>
  <c r="I12" i="8"/>
  <c r="I9" i="8"/>
  <c r="G17" i="8" l="1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  <c r="J5" i="14"/>
  <c r="K5" i="14"/>
  <c r="C12" i="15"/>
  <c r="B39" i="15" s="1"/>
  <c r="C39" i="15" s="1"/>
  <c r="B29" i="15" l="1"/>
  <c r="C29" i="15" s="1"/>
  <c r="B31" i="15"/>
  <c r="C31" i="15" s="1"/>
  <c r="B41" i="15"/>
  <c r="C41" i="15" s="1"/>
  <c r="H9" i="15"/>
  <c r="I9" i="15" s="1"/>
  <c r="B27" i="15"/>
  <c r="C27" i="15" s="1"/>
  <c r="D27" i="15" s="1"/>
  <c r="B23" i="15"/>
  <c r="C23" i="15" s="1"/>
  <c r="B32" i="15"/>
  <c r="C32" i="15" s="1"/>
  <c r="B34" i="15"/>
  <c r="C34" i="15" s="1"/>
  <c r="B38" i="15"/>
  <c r="C38" i="15" s="1"/>
  <c r="B30" i="15"/>
  <c r="C30" i="15" s="1"/>
  <c r="B36" i="15"/>
  <c r="C36" i="15" s="1"/>
  <c r="B40" i="15"/>
  <c r="C40" i="15" s="1"/>
  <c r="B26" i="15"/>
  <c r="C26" i="15" s="1"/>
  <c r="D26" i="15" s="1"/>
  <c r="B35" i="15"/>
  <c r="C35" i="15" s="1"/>
  <c r="B22" i="15"/>
  <c r="C22" i="15" s="1"/>
  <c r="B25" i="15"/>
  <c r="C25" i="15" s="1"/>
  <c r="D25" i="15" s="1"/>
  <c r="B37" i="15"/>
  <c r="C37" i="15" s="1"/>
  <c r="B33" i="15"/>
  <c r="C33" i="15" s="1"/>
  <c r="B21" i="15"/>
  <c r="C21" i="15" s="1"/>
  <c r="B28" i="15"/>
  <c r="C28" i="15" s="1"/>
  <c r="B24" i="15"/>
  <c r="C24" i="15" s="1"/>
</calcChain>
</file>

<file path=xl/sharedStrings.xml><?xml version="1.0" encoding="utf-8"?>
<sst xmlns="http://schemas.openxmlformats.org/spreadsheetml/2006/main" count="119" uniqueCount="90">
  <si>
    <t>ROI</t>
  </si>
  <si>
    <t>Parameters for back-calculation of Incremental NRx</t>
  </si>
  <si>
    <t>Pre-Tax Spend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</si>
  <si>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</si>
  <si>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</si>
  <si>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</si>
  <si>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</si>
  <si>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</si>
  <si>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</si>
  <si>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</si>
  <si>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</si>
  <si>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</si>
  <si>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</si>
  <si>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</si>
  <si>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</si>
  <si>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</si>
  <si>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</si>
  <si>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</si>
  <si>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</si>
  <si>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</si>
  <si>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</si>
  <si>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</si>
  <si>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</si>
  <si>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</si>
  <si>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</si>
  <si>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</si>
  <si>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</si>
  <si>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</si>
  <si>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</si>
  <si>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</si>
  <si>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</si>
  <si>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</si>
  <si>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</si>
  <si>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</si>
  <si>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</si>
  <si>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</si>
  <si>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</si>
  <si>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</si>
  <si>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</si>
  <si>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</si>
  <si>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</si>
  <si>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</si>
  <si>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</si>
  <si>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</si>
  <si>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</si>
  <si>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</si>
  <si>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</si>
  <si>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</si>
  <si>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</si>
  <si>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</si>
  <si>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</si>
  <si>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</si>
  <si>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YR (Incr. Rev)</t>
  </si>
  <si>
    <t>Incr. Rx</t>
  </si>
  <si>
    <t>Rx</t>
  </si>
  <si>
    <t>Incr.Rx</t>
  </si>
  <si>
    <t>Y (Incr. Rx</t>
  </si>
  <si>
    <t>TV &amp; Print</t>
  </si>
  <si>
    <t>GARDASIL 9</t>
  </si>
  <si>
    <t>Current Values (optional)</t>
  </si>
  <si>
    <t>Response Function Scaling Factor (for sensitivity analysis)</t>
  </si>
  <si>
    <t>Data Values</t>
  </si>
  <si>
    <t>X</t>
  </si>
  <si>
    <t>2018 Curve</t>
  </si>
  <si>
    <t>3-yr post tax NPV</t>
  </si>
  <si>
    <t>Post Tax PGM ($)</t>
  </si>
  <si>
    <t>3-Yr Adherence Rxs per New Patient</t>
  </si>
  <si>
    <t>Starting YT value</t>
  </si>
  <si>
    <t>Gardasil</t>
  </si>
  <si>
    <t>Incr. Doses</t>
  </si>
  <si>
    <t>Program</t>
  </si>
  <si>
    <t># Incr. NRxs</t>
  </si>
  <si>
    <t>tax rate on revenue</t>
  </si>
  <si>
    <t>Estimated Incr. NRx</t>
  </si>
  <si>
    <t>Estimated Incr. NRx (as % of NPA NRx)</t>
  </si>
  <si>
    <t>Spend per NRx</t>
  </si>
  <si>
    <t>pre-tax 3-year NPV/new patient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</si>
  <si>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</si>
  <si>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</si>
  <si>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</si>
  <si>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</si>
  <si>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Doses</t>
  </si>
  <si>
    <t>Y (Incr. doses)</t>
  </si>
  <si>
    <t>Given a set of X and Y values, a power function (i.e., a smooth continuous curve) is fit for each pair of values</t>
  </si>
  <si>
    <t>HCC Display</t>
  </si>
  <si>
    <t>Merck GARDASIL HCC Display: Incremental Doses per Tactic with ROI, Spend and Incremental Revenue</t>
  </si>
  <si>
    <t>2023 Pre-tax Spend</t>
  </si>
  <si>
    <t>2022 Estimated Pre-tax NPV</t>
  </si>
  <si>
    <r>
      <t xml:space="preserve">PRV GARDASIL </t>
    </r>
    <r>
      <rPr>
        <b/>
        <sz val="10"/>
        <color rgb="FF0000FF"/>
        <rFont val="Arial Narrow"/>
        <family val="2"/>
      </rPr>
      <t xml:space="preserve">Observed </t>
    </r>
    <r>
      <rPr>
        <b/>
        <sz val="10"/>
        <color theme="1"/>
        <rFont val="Arial Narrow"/>
        <family val="2"/>
      </rPr>
      <t>Doses in 2022</t>
    </r>
  </si>
  <si>
    <t>2023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</si>
</sst>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\$##,###,###"/>
    <numFmt numFmtId="170" formatCode="\$#,###,###"/>
    <numFmt numFmtId="171" formatCode="0.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</fonts>
  <fills count="4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4" applyNumberFormat="0" applyAlignment="0" applyProtection="0"/>
    <xf numFmtId="0" fontId="12" fillId="9" borderId="5" applyNumberFormat="0" applyAlignment="0" applyProtection="0"/>
    <xf numFmtId="0" fontId="13" fillId="9" borderId="4" applyNumberFormat="0" applyAlignment="0" applyProtection="0"/>
    <xf numFmtId="0" fontId="14" fillId="0" borderId="6" applyNumberFormat="0" applyFill="0" applyAlignment="0" applyProtection="0"/>
    <xf numFmtId="0" fontId="2" fillId="10" borderId="7" applyNumberFormat="0" applyAlignment="0" applyProtection="0"/>
    <xf numFmtId="0" fontId="15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</cellStyleXfs>
  <cellXfs count="167">
    <xf numFmtId="0" fontId="0" fillId="0" borderId="0" xfId="0"/>
    <xf numFmtId="0" fontId="21" fillId="0" borderId="0" xfId="0" applyFont="1"/>
    <xf numFmtId="0" fontId="21" fillId="37" borderId="13" xfId="0" applyFont="1" applyFill="1" applyBorder="1"/>
    <xf numFmtId="0" fontId="21" fillId="37" borderId="14" xfId="0" applyFont="1" applyFill="1" applyBorder="1"/>
    <xf numFmtId="0" fontId="21" fillId="37" borderId="19" xfId="0" applyFont="1" applyFill="1" applyBorder="1"/>
    <xf numFmtId="0" fontId="21" fillId="37" borderId="20" xfId="0" applyFont="1" applyFill="1" applyBorder="1"/>
    <xf numFmtId="0" fontId="21" fillId="36" borderId="20" xfId="0" applyFont="1" applyFill="1" applyBorder="1"/>
    <xf numFmtId="9" fontId="21" fillId="0" borderId="0" xfId="0" applyNumberFormat="1" applyFont="1"/>
    <xf numFmtId="166" fontId="21" fillId="37" borderId="19" xfId="2" applyNumberFormat="1" applyFont="1" applyFill="1" applyBorder="1"/>
    <xf numFmtId="166" fontId="21" fillId="37" borderId="19" xfId="0" applyNumberFormat="1" applyFont="1" applyFill="1" applyBorder="1"/>
    <xf numFmtId="0" fontId="21" fillId="37" borderId="15" xfId="0" applyFont="1" applyFill="1" applyBorder="1" applyAlignment="1">
      <alignment horizontal="left"/>
    </xf>
    <xf numFmtId="0" fontId="21" fillId="37" borderId="16" xfId="0" applyFont="1" applyFill="1" applyBorder="1" applyAlignment="1">
      <alignment horizontal="left"/>
    </xf>
    <xf numFmtId="0" fontId="21" fillId="37" borderId="17" xfId="0" applyFont="1" applyFill="1" applyBorder="1" applyAlignment="1">
      <alignment horizontal="left"/>
    </xf>
    <xf numFmtId="165" fontId="21" fillId="36" borderId="19" xfId="0" applyNumberFormat="1" applyFont="1" applyFill="1" applyBorder="1" applyAlignment="1">
      <alignment horizontal="center" vertical="center" wrapText="1"/>
    </xf>
    <xf numFmtId="164" fontId="21" fillId="36" borderId="19" xfId="2" applyNumberFormat="1" applyFont="1" applyFill="1" applyBorder="1" applyAlignment="1">
      <alignment horizontal="center" vertical="center" wrapText="1"/>
    </xf>
    <xf numFmtId="165" fontId="21" fillId="0" borderId="0" xfId="0" applyNumberFormat="1" applyFont="1"/>
    <xf numFmtId="0" fontId="20" fillId="0" borderId="0" xfId="0" applyFont="1" applyFill="1" applyBorder="1"/>
    <xf numFmtId="0" fontId="21" fillId="0" borderId="0" xfId="0" applyFont="1" applyFill="1" applyBorder="1" applyAlignment="1">
      <alignment wrapText="1"/>
    </xf>
    <xf numFmtId="164" fontId="21" fillId="37" borderId="11" xfId="2" applyNumberFormat="1" applyFont="1" applyFill="1" applyBorder="1"/>
    <xf numFmtId="3" fontId="21" fillId="37" borderId="11" xfId="0" applyNumberFormat="1" applyFont="1" applyFill="1" applyBorder="1"/>
    <xf numFmtId="0" fontId="21" fillId="37" borderId="11" xfId="0" applyFont="1" applyFill="1" applyBorder="1"/>
    <xf numFmtId="165" fontId="21" fillId="37" borderId="46" xfId="1" applyNumberFormat="1" applyFont="1" applyFill="1" applyBorder="1"/>
    <xf numFmtId="43" fontId="21" fillId="37" borderId="46" xfId="1" applyNumberFormat="1" applyFont="1" applyFill="1" applyBorder="1"/>
    <xf numFmtId="0" fontId="23" fillId="40" borderId="14" xfId="0" applyFont="1" applyFill="1" applyBorder="1" applyAlignment="1">
      <alignment horizontal="center" vertical="center" wrapText="1"/>
    </xf>
    <xf numFmtId="0" fontId="23" fillId="40" borderId="27" xfId="0" applyFont="1" applyFill="1" applyBorder="1" applyAlignment="1">
      <alignment horizontal="center" vertical="center" wrapText="1"/>
    </xf>
    <xf numFmtId="0" fontId="23" fillId="40" borderId="28" xfId="0" applyFont="1" applyFill="1" applyBorder="1" applyAlignment="1">
      <alignment horizontal="center" vertical="center" wrapText="1"/>
    </xf>
    <xf numFmtId="0" fontId="23" fillId="40" borderId="42" xfId="0" applyFont="1" applyFill="1" applyBorder="1" applyAlignment="1">
      <alignment horizontal="center" vertical="center" wrapText="1"/>
    </xf>
    <xf numFmtId="0" fontId="23" fillId="40" borderId="17" xfId="0" applyFont="1" applyFill="1" applyBorder="1" applyAlignment="1">
      <alignment horizontal="center" vertical="center" wrapText="1"/>
    </xf>
    <xf numFmtId="0" fontId="23" fillId="40" borderId="29" xfId="0" applyFont="1" applyFill="1" applyBorder="1" applyAlignment="1">
      <alignment horizontal="center" vertical="center" wrapText="1"/>
    </xf>
    <xf numFmtId="0" fontId="23" fillId="40" borderId="11" xfId="0" applyFont="1" applyFill="1" applyBorder="1"/>
    <xf numFmtId="0" fontId="23" fillId="40" borderId="12" xfId="0" applyFont="1" applyFill="1" applyBorder="1"/>
    <xf numFmtId="0" fontId="23" fillId="40" borderId="18" xfId="0" applyFont="1" applyFill="1" applyBorder="1"/>
    <xf numFmtId="0" fontId="23" fillId="40" borderId="38" xfId="0" applyFont="1" applyFill="1" applyBorder="1"/>
    <xf numFmtId="0" fontId="23" fillId="40" borderId="13" xfId="0" applyFont="1" applyFill="1" applyBorder="1"/>
    <xf numFmtId="0" fontId="23" fillId="40" borderId="19" xfId="0" applyFont="1" applyFill="1" applyBorder="1"/>
    <xf numFmtId="164" fontId="22" fillId="0" borderId="30" xfId="2" applyNumberFormat="1" applyFont="1" applyFill="1" applyBorder="1"/>
    <xf numFmtId="3" fontId="22" fillId="0" borderId="19" xfId="0" applyNumberFormat="1" applyFont="1" applyFill="1" applyBorder="1"/>
    <xf numFmtId="3" fontId="22" fillId="0" borderId="41" xfId="0" applyNumberFormat="1" applyFont="1" applyFill="1" applyBorder="1"/>
    <xf numFmtId="0" fontId="21" fillId="0" borderId="0" xfId="0" applyFont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165" fontId="21" fillId="0" borderId="20" xfId="0" applyNumberFormat="1" applyFont="1" applyFill="1" applyBorder="1" applyAlignment="1">
      <alignment horizontal="center" vertical="center" wrapText="1"/>
    </xf>
    <xf numFmtId="164" fontId="23" fillId="0" borderId="19" xfId="2" applyNumberFormat="1" applyFont="1" applyFill="1" applyBorder="1"/>
    <xf numFmtId="3" fontId="23" fillId="0" borderId="20" xfId="0" applyNumberFormat="1" applyFont="1" applyFill="1" applyBorder="1"/>
    <xf numFmtId="165" fontId="21" fillId="0" borderId="11" xfId="0" applyNumberFormat="1" applyFont="1" applyFill="1" applyBorder="1" applyAlignment="1">
      <alignment horizontal="center" vertical="center" wrapText="1"/>
    </xf>
    <xf numFmtId="0" fontId="23" fillId="40" borderId="10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167" fontId="21" fillId="0" borderId="0" xfId="0" applyNumberFormat="1" applyFont="1"/>
    <xf numFmtId="166" fontId="21" fillId="39" borderId="10" xfId="0" applyNumberFormat="1" applyFont="1" applyFill="1" applyBorder="1" applyAlignment="1">
      <alignment horizontal="center"/>
    </xf>
    <xf numFmtId="0" fontId="21" fillId="39" borderId="10" xfId="0" applyFont="1" applyFill="1" applyBorder="1" applyAlignment="1">
      <alignment horizontal="center"/>
    </xf>
    <xf numFmtId="3" fontId="21" fillId="39" borderId="10" xfId="0" applyNumberFormat="1" applyFont="1" applyFill="1" applyBorder="1" applyAlignment="1">
      <alignment horizontal="center"/>
    </xf>
    <xf numFmtId="166" fontId="21" fillId="38" borderId="10" xfId="0" applyNumberFormat="1" applyFont="1" applyFill="1" applyBorder="1" applyAlignment="1">
      <alignment horizontal="center"/>
    </xf>
    <xf numFmtId="3" fontId="21" fillId="38" borderId="10" xfId="0" applyNumberFormat="1" applyFont="1" applyFill="1" applyBorder="1" applyAlignment="1">
      <alignment horizontal="center"/>
    </xf>
    <xf numFmtId="168" fontId="21" fillId="39" borderId="10" xfId="0" applyNumberFormat="1" applyFont="1" applyFill="1" applyBorder="1" applyAlignment="1">
      <alignment horizontal="center"/>
    </xf>
    <xf numFmtId="168" fontId="21" fillId="38" borderId="10" xfId="0" applyNumberFormat="1" applyFont="1" applyFill="1" applyBorder="1" applyAlignment="1">
      <alignment horizontal="center"/>
    </xf>
    <xf numFmtId="5" fontId="21" fillId="39" borderId="10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38" borderId="0" xfId="0" applyNumberFormat="1" applyFont="1" applyFill="1" applyAlignment="1">
      <alignment horizontal="center"/>
    </xf>
    <xf numFmtId="166" fontId="21" fillId="0" borderId="0" xfId="0" applyNumberFormat="1" applyFont="1"/>
    <xf numFmtId="166" fontId="21" fillId="42" borderId="10" xfId="0" applyNumberFormat="1" applyFont="1" applyFill="1" applyBorder="1" applyAlignment="1">
      <alignment horizontal="center"/>
    </xf>
    <xf numFmtId="3" fontId="21" fillId="42" borderId="10" xfId="0" applyNumberFormat="1" applyFont="1" applyFill="1" applyBorder="1" applyAlignment="1">
      <alignment horizontal="center"/>
    </xf>
    <xf numFmtId="168" fontId="21" fillId="42" borderId="10" xfId="0" applyNumberFormat="1" applyFont="1" applyFill="1" applyBorder="1" applyAlignment="1">
      <alignment horizontal="center"/>
    </xf>
    <xf numFmtId="2" fontId="21" fillId="42" borderId="0" xfId="0" applyNumberFormat="1" applyFont="1" applyFill="1" applyAlignment="1">
      <alignment horizontal="center"/>
    </xf>
    <xf numFmtId="166" fontId="21" fillId="43" borderId="10" xfId="0" applyNumberFormat="1" applyFont="1" applyFill="1" applyBorder="1" applyAlignment="1">
      <alignment horizontal="center"/>
    </xf>
    <xf numFmtId="3" fontId="21" fillId="43" borderId="10" xfId="0" applyNumberFormat="1" applyFont="1" applyFill="1" applyBorder="1" applyAlignment="1">
      <alignment horizontal="center"/>
    </xf>
    <xf numFmtId="168" fontId="21" fillId="43" borderId="10" xfId="0" applyNumberFormat="1" applyFont="1" applyFill="1" applyBorder="1" applyAlignment="1">
      <alignment horizontal="center"/>
    </xf>
    <xf numFmtId="2" fontId="21" fillId="43" borderId="0" xfId="0" applyNumberFormat="1" applyFont="1" applyFill="1" applyAlignment="1">
      <alignment horizontal="center"/>
    </xf>
    <xf numFmtId="0" fontId="25" fillId="44" borderId="11" xfId="0" applyFont="1" applyFill="1" applyBorder="1"/>
    <xf numFmtId="0" fontId="25" fillId="44" borderId="12" xfId="0" applyFont="1" applyFill="1" applyBorder="1"/>
    <xf numFmtId="0" fontId="25" fillId="44" borderId="13" xfId="0" applyFont="1" applyFill="1" applyBorder="1"/>
    <xf numFmtId="0" fontId="25" fillId="44" borderId="18" xfId="0" applyFont="1" applyFill="1" applyBorder="1"/>
    <xf numFmtId="0" fontId="25" fillId="44" borderId="19" xfId="0" applyFont="1" applyFill="1" applyBorder="1"/>
    <xf numFmtId="0" fontId="25" fillId="44" borderId="48" xfId="0" applyFont="1" applyFill="1" applyBorder="1"/>
    <xf numFmtId="164" fontId="21" fillId="37" borderId="19" xfId="2" applyNumberFormat="1" applyFont="1" applyFill="1" applyBorder="1"/>
    <xf numFmtId="0" fontId="25" fillId="44" borderId="29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8" fillId="3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69" fontId="0" fillId="0" borderId="0" xfId="0" applyNumberFormat="1"/>
    <xf numFmtId="0" fontId="17" fillId="45" borderId="0" xfId="0" applyFont="1" applyFill="1"/>
    <xf numFmtId="170" fontId="17" fillId="45" borderId="0" xfId="0" applyNumberFormat="1" applyFont="1" applyFill="1"/>
    <xf numFmtId="165" fontId="17" fillId="45" borderId="0" xfId="0" applyNumberFormat="1" applyFont="1" applyFill="1" applyAlignment="1">
      <alignment horizontal="center"/>
    </xf>
    <xf numFmtId="0" fontId="30" fillId="0" borderId="0" xfId="0" applyFont="1"/>
    <xf numFmtId="0" fontId="31" fillId="2" borderId="0" xfId="3" applyFont="1"/>
    <xf numFmtId="9" fontId="31" fillId="2" borderId="0" xfId="6" applyFont="1" applyFill="1"/>
    <xf numFmtId="0" fontId="32" fillId="33" borderId="10" xfId="0" applyFont="1" applyFill="1" applyBorder="1" applyAlignment="1">
      <alignment wrapText="1"/>
    </xf>
    <xf numFmtId="0" fontId="30" fillId="35" borderId="10" xfId="0" applyFont="1" applyFill="1" applyBorder="1" applyAlignment="1">
      <alignment horizontal="center" vertical="center" wrapText="1"/>
    </xf>
    <xf numFmtId="44" fontId="30" fillId="35" borderId="10" xfId="2" applyFont="1" applyFill="1" applyBorder="1" applyAlignment="1">
      <alignment horizontal="center" vertical="center" wrapText="1"/>
    </xf>
    <xf numFmtId="0" fontId="30" fillId="0" borderId="0" xfId="0" applyFont="1" applyFill="1"/>
    <xf numFmtId="5" fontId="31" fillId="2" borderId="0" xfId="3" applyNumberFormat="1" applyFont="1"/>
    <xf numFmtId="164" fontId="34" fillId="35" borderId="10" xfId="0" applyNumberFormat="1" applyFont="1" applyFill="1" applyBorder="1" applyAlignment="1">
      <alignment horizontal="center" vertical="center"/>
    </xf>
    <xf numFmtId="165" fontId="34" fillId="35" borderId="10" xfId="0" applyNumberFormat="1" applyFont="1" applyFill="1" applyBorder="1" applyAlignment="1">
      <alignment horizontal="center" vertical="center"/>
    </xf>
    <xf numFmtId="10" fontId="28" fillId="35" borderId="10" xfId="6" applyNumberFormat="1" applyFont="1" applyFill="1" applyBorder="1" applyAlignment="1">
      <alignment horizontal="center" vertical="center"/>
    </xf>
    <xf numFmtId="44" fontId="28" fillId="35" borderId="10" xfId="2" applyFont="1" applyFill="1" applyBorder="1" applyAlignment="1">
      <alignment horizontal="center" vertical="center"/>
    </xf>
    <xf numFmtId="0" fontId="31" fillId="0" borderId="0" xfId="3" applyFont="1" applyFill="1"/>
    <xf numFmtId="5" fontId="31" fillId="0" borderId="0" xfId="3" applyNumberFormat="1" applyFont="1" applyFill="1"/>
    <xf numFmtId="0" fontId="35" fillId="0" borderId="0" xfId="0" applyFont="1" applyFill="1"/>
    <xf numFmtId="0" fontId="28" fillId="0" borderId="0" xfId="0" applyFont="1"/>
    <xf numFmtId="166" fontId="21" fillId="37" borderId="19" xfId="0" applyNumberFormat="1" applyFont="1" applyFill="1" applyBorder="1" applyAlignment="1">
      <alignment horizontal="center" vertical="center" wrapText="1"/>
    </xf>
    <xf numFmtId="166" fontId="26" fillId="46" borderId="19" xfId="0" applyNumberFormat="1" applyFont="1" applyFill="1" applyBorder="1" applyAlignment="1">
      <alignment horizontal="center"/>
    </xf>
    <xf numFmtId="3" fontId="21" fillId="45" borderId="10" xfId="0" applyNumberFormat="1" applyFont="1" applyFill="1" applyBorder="1" applyAlignment="1">
      <alignment horizontal="center"/>
    </xf>
    <xf numFmtId="3" fontId="26" fillId="45" borderId="19" xfId="0" applyNumberFormat="1" applyFont="1" applyFill="1" applyBorder="1" applyAlignment="1">
      <alignment horizontal="center"/>
    </xf>
    <xf numFmtId="166" fontId="21" fillId="37" borderId="19" xfId="0" applyNumberFormat="1" applyFont="1" applyFill="1" applyBorder="1" applyAlignment="1">
      <alignment horizontal="center"/>
    </xf>
    <xf numFmtId="3" fontId="21" fillId="45" borderId="20" xfId="0" applyNumberFormat="1" applyFont="1" applyFill="1" applyBorder="1" applyAlignment="1">
      <alignment horizontal="center"/>
    </xf>
    <xf numFmtId="2" fontId="21" fillId="37" borderId="10" xfId="0" applyNumberFormat="1" applyFont="1" applyFill="1" applyBorder="1" applyAlignment="1">
      <alignment horizontal="center"/>
    </xf>
    <xf numFmtId="5" fontId="21" fillId="37" borderId="10" xfId="2" applyNumberFormat="1" applyFont="1" applyFill="1" applyBorder="1" applyAlignment="1">
      <alignment horizontal="center" vertical="center"/>
    </xf>
    <xf numFmtId="3" fontId="21" fillId="37" borderId="10" xfId="0" applyNumberFormat="1" applyFont="1" applyFill="1" applyBorder="1" applyAlignment="1">
      <alignment horizontal="center" vertical="center"/>
    </xf>
    <xf numFmtId="171" fontId="21" fillId="37" borderId="10" xfId="0" applyNumberFormat="1" applyFont="1" applyFill="1" applyBorder="1" applyAlignment="1">
      <alignment horizontal="center" vertical="center"/>
    </xf>
    <xf numFmtId="9" fontId="21" fillId="37" borderId="10" xfId="0" applyNumberFormat="1" applyFont="1" applyFill="1" applyBorder="1" applyAlignment="1">
      <alignment horizontal="center"/>
    </xf>
    <xf numFmtId="166" fontId="21" fillId="0" borderId="10" xfId="0" applyNumberFormat="1" applyFont="1" applyBorder="1" applyAlignment="1">
      <alignment horizontal="center"/>
    </xf>
    <xf numFmtId="5" fontId="21" fillId="46" borderId="10" xfId="2" applyNumberFormat="1" applyFont="1" applyFill="1" applyBorder="1" applyAlignment="1">
      <alignment horizontal="center"/>
    </xf>
    <xf numFmtId="9" fontId="21" fillId="0" borderId="0" xfId="0" applyNumberFormat="1" applyFont="1" applyAlignment="1">
      <alignment horizontal="center"/>
    </xf>
    <xf numFmtId="6" fontId="0" fillId="0" borderId="0" xfId="0" applyNumberFormat="1" applyAlignment="1">
      <alignment horizontal="center" vertical="center" wrapText="1"/>
    </xf>
    <xf numFmtId="170" fontId="17" fillId="45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0" xfId="0" applyNumberFormat="1"/>
    <xf numFmtId="3" fontId="0" fillId="0" borderId="0" xfId="0" applyNumberFormat="1"/>
    <xf numFmtId="0" fontId="29" fillId="3" borderId="0" xfId="4" applyFont="1" applyAlignment="1">
      <alignment horizontal="center"/>
    </xf>
    <xf numFmtId="0" fontId="30" fillId="34" borderId="34" xfId="0" applyFont="1" applyFill="1" applyBorder="1" applyAlignment="1">
      <alignment horizontal="center" wrapText="1"/>
    </xf>
    <xf numFmtId="0" fontId="30" fillId="34" borderId="35" xfId="0" applyFont="1" applyFill="1" applyBorder="1" applyAlignment="1">
      <alignment horizontal="center" wrapText="1"/>
    </xf>
    <xf numFmtId="0" fontId="21" fillId="44" borderId="49" xfId="0" applyFont="1" applyFill="1" applyBorder="1" applyAlignment="1">
      <alignment horizontal="center"/>
    </xf>
    <xf numFmtId="0" fontId="21" fillId="44" borderId="50" xfId="0" applyFont="1" applyFill="1" applyBorder="1" applyAlignment="1">
      <alignment horizontal="center"/>
    </xf>
    <xf numFmtId="0" fontId="21" fillId="44" borderId="51" xfId="0" applyFont="1" applyFill="1" applyBorder="1" applyAlignment="1">
      <alignment horizontal="center"/>
    </xf>
    <xf numFmtId="0" fontId="25" fillId="44" borderId="12" xfId="0" applyFont="1" applyFill="1" applyBorder="1" applyAlignment="1">
      <alignment horizontal="center" vertical="center" wrapText="1"/>
    </xf>
    <xf numFmtId="0" fontId="25" fillId="44" borderId="26" xfId="0" applyFont="1" applyFill="1" applyBorder="1" applyAlignment="1">
      <alignment horizontal="center" vertical="center" wrapText="1"/>
    </xf>
    <xf numFmtId="0" fontId="25" fillId="44" borderId="18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0" fontId="21" fillId="0" borderId="34" xfId="0" applyFont="1" applyBorder="1" applyAlignment="1">
      <alignment horizontal="left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44" borderId="37" xfId="0" applyFont="1" applyFill="1" applyBorder="1" applyAlignment="1">
      <alignment horizontal="center" vertical="center" wrapText="1"/>
    </xf>
    <xf numFmtId="0" fontId="25" fillId="44" borderId="38" xfId="0" applyFont="1" applyFill="1" applyBorder="1" applyAlignment="1">
      <alignment horizontal="center" vertical="center" wrapText="1"/>
    </xf>
    <xf numFmtId="0" fontId="23" fillId="40" borderId="22" xfId="0" applyFont="1" applyFill="1" applyBorder="1" applyAlignment="1">
      <alignment horizontal="center" vertical="center" wrapText="1"/>
    </xf>
    <xf numFmtId="0" fontId="23" fillId="40" borderId="25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3" fillId="40" borderId="37" xfId="0" applyFont="1" applyFill="1" applyBorder="1" applyAlignment="1">
      <alignment horizontal="center" vertical="center" wrapText="1"/>
    </xf>
    <xf numFmtId="0" fontId="23" fillId="40" borderId="38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3" fillId="40" borderId="12" xfId="0" applyFont="1" applyFill="1" applyBorder="1" applyAlignment="1">
      <alignment horizontal="center" vertical="center" wrapText="1"/>
    </xf>
    <xf numFmtId="0" fontId="23" fillId="40" borderId="45" xfId="0" applyFont="1" applyFill="1" applyBorder="1" applyAlignment="1">
      <alignment horizontal="center" vertical="center" wrapText="1"/>
    </xf>
    <xf numFmtId="0" fontId="23" fillId="40" borderId="44" xfId="0" applyFont="1" applyFill="1" applyBorder="1" applyAlignment="1">
      <alignment horizontal="center" wrapText="1"/>
    </xf>
    <xf numFmtId="0" fontId="23" fillId="40" borderId="43" xfId="0" applyFont="1" applyFill="1" applyBorder="1" applyAlignment="1">
      <alignment horizontal="center" wrapText="1"/>
    </xf>
    <xf numFmtId="0" fontId="23" fillId="40" borderId="26" xfId="0" applyFont="1" applyFill="1" applyBorder="1" applyAlignment="1">
      <alignment horizontal="center" vertical="center" wrapText="1"/>
    </xf>
    <xf numFmtId="0" fontId="23" fillId="40" borderId="18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0" fontId="23" fillId="40" borderId="21" xfId="0" applyFont="1" applyFill="1" applyBorder="1" applyAlignment="1">
      <alignment horizontal="center" vertical="center" wrapText="1"/>
    </xf>
    <xf numFmtId="0" fontId="23" fillId="40" borderId="24" xfId="0" applyFont="1" applyFill="1" applyBorder="1" applyAlignment="1">
      <alignment horizontal="center" vertical="center" wrapText="1"/>
    </xf>
    <xf numFmtId="0" fontId="23" fillId="40" borderId="23" xfId="0" applyFont="1" applyFill="1" applyBorder="1" applyAlignment="1">
      <alignment horizontal="center" vertical="center" wrapText="1"/>
    </xf>
    <xf numFmtId="0" fontId="24" fillId="41" borderId="15" xfId="0" applyFont="1" applyFill="1" applyBorder="1" applyAlignment="1">
      <alignment horizontal="center" vertical="center" wrapText="1"/>
    </xf>
    <xf numFmtId="0" fontId="24" fillId="41" borderId="16" xfId="0" applyFont="1" applyFill="1" applyBorder="1" applyAlignment="1">
      <alignment horizontal="center" vertical="center" wrapText="1"/>
    </xf>
    <xf numFmtId="0" fontId="24" fillId="41" borderId="17" xfId="0" applyFont="1" applyFill="1" applyBorder="1" applyAlignment="1">
      <alignment horizontal="center" vertical="center" wrapText="1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'HCC Display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'HCC Display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'HCC Display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487679</xdr:colOff>
      <xdr:row>20</xdr:row>
      <xdr:rowOff>86548</xdr:rowOff>
    </xdr:from>
    <xdr:to>
      <xdr:col>9</xdr:col>
      <xdr:colOff>79953</xdr:colOff>
      <xdr:row>36</xdr:row>
      <xdr:rowOff>117256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7"/>
  <sheetViews>
    <sheetView showGridLines="0" zoomScale="120" zoomScaleNormal="120" workbookViewId="0">
      <selection activeCell="C12" sqref="C12"/>
    </sheetView>
  </sheetViews>
  <sheetFormatPr defaultRowHeight="15" x14ac:dyDescent="0.25"/>
  <cols>
    <col min="3" max="3" width="22.28515625" bestFit="1" customWidth="1"/>
    <col min="4" max="4" width="13.28515625" style="120" customWidth="1"/>
    <col min="5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80" customFormat="1" ht="28.5" customHeight="1" x14ac:dyDescent="0.25">
      <c r="C4" s="79" t="s">
        <v>70</v>
      </c>
      <c r="D4" s="79" t="s">
        <v>86</v>
      </c>
      <c r="E4" s="79" t="s">
        <v>0</v>
      </c>
      <c r="F4" s="79" t="s">
        <v>87</v>
      </c>
      <c r="G4" s="79" t="s">
        <v>71</v>
      </c>
      <c r="L4" s="81"/>
    </row>
    <row r="5" spans="3:12" x14ac:dyDescent="0.25">
      <c r="C5" t="s">
        <v>84</v>
      </c>
      <c r="D5" s="121">
        <v>2859426.82</v>
      </c>
      <c r="E5" s="82">
        <v>6.0103405280490989</v>
      </c>
      <c r="F5" s="118">
        <v>225.94</v>
      </c>
      <c r="G5" s="83">
        <f>(D5*E5)/F5</f>
        <v>76065.012406995462</v>
      </c>
      <c r="L5" s="84"/>
    </row>
    <row r="6" spans="3:12" x14ac:dyDescent="0.25">
      <c r="C6" s="85"/>
      <c r="D6" s="119">
        <f>SUM(D5:D5)</f>
        <v>2859426.82</v>
      </c>
      <c r="E6" s="86"/>
      <c r="F6" s="86"/>
      <c r="G6" s="87"/>
      <c r="L6" s="84"/>
    </row>
    <row r="7" spans="3:12" x14ac:dyDescent="0.25">
      <c r="L7" s="8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zoomScale="120" zoomScaleNormal="120" workbookViewId="0">
      <selection activeCell="H4" sqref="H4"/>
    </sheetView>
  </sheetViews>
  <sheetFormatPr defaultColWidth="9.140625" defaultRowHeight="16.5" x14ac:dyDescent="0.3"/>
  <cols>
    <col min="1" max="1" width="6" style="88" bestFit="1" customWidth="1"/>
    <col min="2" max="2" width="8" style="88" bestFit="1" customWidth="1"/>
    <col min="3" max="3" width="40.28515625" style="88" bestFit="1" customWidth="1"/>
    <col min="4" max="4" width="7.28515625" style="88" bestFit="1" customWidth="1"/>
    <col min="5" max="5" width="4.5703125" style="88" customWidth="1"/>
    <col min="6" max="6" width="18" style="88" bestFit="1" customWidth="1"/>
    <col min="7" max="7" width="3.5703125" style="88" customWidth="1"/>
    <col min="8" max="8" width="14.140625" style="88" bestFit="1" customWidth="1"/>
    <col min="9" max="9" width="12.28515625" style="88" customWidth="1"/>
    <col min="10" max="10" width="12.140625" style="88" customWidth="1"/>
    <col min="11" max="11" width="14.28515625" style="88" customWidth="1"/>
    <col min="12" max="16384" width="9.140625" style="88"/>
  </cols>
  <sheetData>
    <row r="1" spans="1:11" x14ac:dyDescent="0.3">
      <c r="A1" s="123" t="s">
        <v>85</v>
      </c>
      <c r="B1" s="123"/>
      <c r="C1" s="123"/>
      <c r="D1" s="123"/>
      <c r="E1" s="123"/>
      <c r="F1" s="123"/>
      <c r="G1" s="123"/>
      <c r="H1" s="123"/>
      <c r="I1" s="123"/>
      <c r="J1" s="123"/>
    </row>
    <row r="3" spans="1:11" x14ac:dyDescent="0.3">
      <c r="B3" s="89" t="s">
        <v>1</v>
      </c>
      <c r="C3" s="89"/>
      <c r="D3" s="89"/>
      <c r="H3" s="124" t="s">
        <v>89</v>
      </c>
      <c r="I3" s="125"/>
      <c r="J3" s="125"/>
      <c r="K3" s="125"/>
    </row>
    <row r="4" spans="1:11" ht="66" x14ac:dyDescent="0.3">
      <c r="B4" s="89">
        <v>2022</v>
      </c>
      <c r="C4" s="89" t="s">
        <v>72</v>
      </c>
      <c r="D4" s="90"/>
      <c r="F4" s="91" t="s">
        <v>88</v>
      </c>
      <c r="H4" s="92" t="s">
        <v>2</v>
      </c>
      <c r="I4" s="92" t="s">
        <v>73</v>
      </c>
      <c r="J4" s="92" t="s">
        <v>74</v>
      </c>
      <c r="K4" s="93" t="s">
        <v>75</v>
      </c>
    </row>
    <row r="5" spans="1:11" s="94" customFormat="1" ht="25.5" customHeight="1" x14ac:dyDescent="0.3">
      <c r="B5" s="89">
        <v>2022</v>
      </c>
      <c r="C5" s="89" t="s">
        <v>76</v>
      </c>
      <c r="D5" s="95">
        <v>225.94</v>
      </c>
      <c r="F5" s="122">
        <v>4647854</v>
      </c>
      <c r="G5" s="88"/>
      <c r="H5" s="96">
        <f>'HCC Display'!D5</f>
        <v>2859426.82</v>
      </c>
      <c r="I5" s="97">
        <f>'HCC Display'!G5</f>
        <v>76065.012406995462</v>
      </c>
      <c r="J5" s="98">
        <f>I5/F5</f>
        <v>1.6365620005920036E-2</v>
      </c>
      <c r="K5" s="99">
        <f>H5/I5</f>
        <v>37.591880018375271</v>
      </c>
    </row>
    <row r="6" spans="1:11" s="94" customFormat="1" x14ac:dyDescent="0.3">
      <c r="B6" s="100"/>
      <c r="C6" s="100"/>
      <c r="D6" s="101"/>
      <c r="H6" s="102" t="s">
        <v>77</v>
      </c>
    </row>
    <row r="7" spans="1:11" s="94" customFormat="1" x14ac:dyDescent="0.3">
      <c r="B7" s="100"/>
      <c r="C7" s="100"/>
      <c r="D7" s="101"/>
    </row>
    <row r="8" spans="1:11" s="94" customFormat="1" x14ac:dyDescent="0.3">
      <c r="B8" s="100"/>
      <c r="C8" s="100"/>
      <c r="D8" s="101"/>
    </row>
    <row r="10" spans="1:11" x14ac:dyDescent="0.3">
      <c r="H10" s="103"/>
    </row>
  </sheetData>
  <mergeCells count="2">
    <mergeCell ref="A1:J1"/>
    <mergeCell ref="H3:K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tabSelected="1" workbookViewId="0">
      <selection activeCell="H4" sqref="H4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68" t="s">
        <v>3</v>
      </c>
      <c r="B1" s="1" t="s">
        <v>83</v>
      </c>
      <c r="C1" s="1"/>
      <c r="D1" s="1"/>
      <c r="E1" s="1"/>
      <c r="F1" s="1"/>
      <c r="G1" s="1"/>
      <c r="H1" s="1"/>
      <c r="I1" s="1"/>
    </row>
    <row r="2" spans="1:9" x14ac:dyDescent="0.25">
      <c r="A2" s="69" t="s">
        <v>5</v>
      </c>
      <c r="B2" s="2" t="s">
        <v>68</v>
      </c>
      <c r="C2" s="70" t="s">
        <v>6</v>
      </c>
      <c r="D2" s="3" t="s">
        <v>7</v>
      </c>
      <c r="E2" s="70" t="s">
        <v>48</v>
      </c>
      <c r="F2" s="3" t="s">
        <v>69</v>
      </c>
      <c r="G2" s="1"/>
      <c r="H2" s="1"/>
      <c r="I2" s="1"/>
    </row>
    <row r="3" spans="1:9" ht="15.75" thickBot="1" x14ac:dyDescent="0.3">
      <c r="A3" s="71" t="s">
        <v>9</v>
      </c>
      <c r="B3" s="4" t="s">
        <v>84</v>
      </c>
      <c r="C3" s="72" t="s">
        <v>10</v>
      </c>
      <c r="D3" s="5" t="s">
        <v>69</v>
      </c>
      <c r="E3" s="72" t="s">
        <v>47</v>
      </c>
      <c r="F3" s="5" t="s">
        <v>81</v>
      </c>
      <c r="G3" s="1"/>
      <c r="H3" s="1"/>
      <c r="I3" s="1"/>
    </row>
    <row r="4" spans="1:9" ht="15.75" thickBot="1" x14ac:dyDescent="0.3">
      <c r="A4" s="73" t="s">
        <v>11</v>
      </c>
      <c r="B4" s="126"/>
      <c r="C4" s="127"/>
      <c r="D4" s="127"/>
      <c r="E4" s="127"/>
      <c r="F4" s="128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17">
        <v>0.8</v>
      </c>
      <c r="C6" s="117">
        <v>1.2</v>
      </c>
      <c r="D6" s="1"/>
      <c r="E6" s="1"/>
      <c r="F6" s="1"/>
      <c r="G6" s="1"/>
      <c r="H6" s="1"/>
      <c r="I6" s="1"/>
    </row>
    <row r="7" spans="1:9" x14ac:dyDescent="0.25">
      <c r="A7" s="129" t="s">
        <v>12</v>
      </c>
      <c r="B7" s="132" t="s">
        <v>13</v>
      </c>
      <c r="C7" s="132"/>
      <c r="D7" s="132" t="s">
        <v>14</v>
      </c>
      <c r="E7" s="132"/>
      <c r="F7" s="132"/>
      <c r="G7" s="132" t="s">
        <v>59</v>
      </c>
      <c r="H7" s="132"/>
      <c r="I7" s="133"/>
    </row>
    <row r="8" spans="1:9" x14ac:dyDescent="0.25">
      <c r="A8" s="130"/>
      <c r="B8" s="78" t="s">
        <v>16</v>
      </c>
      <c r="C8" s="78" t="s">
        <v>17</v>
      </c>
      <c r="D8" s="78" t="s">
        <v>44</v>
      </c>
      <c r="E8" s="78" t="s">
        <v>43</v>
      </c>
      <c r="F8" s="78" t="s">
        <v>33</v>
      </c>
      <c r="G8" s="78" t="s">
        <v>18</v>
      </c>
      <c r="H8" s="78" t="s">
        <v>19</v>
      </c>
      <c r="I8" s="75" t="s">
        <v>67</v>
      </c>
    </row>
    <row r="9" spans="1:9" ht="15.75" thickBot="1" x14ac:dyDescent="0.3">
      <c r="A9" s="131"/>
      <c r="B9" s="104"/>
      <c r="C9" s="104"/>
      <c r="D9" s="105"/>
      <c r="E9" s="106">
        <f>((D9/$B$12)^$D$12)*$C$12</f>
        <v>0</v>
      </c>
      <c r="F9" s="107">
        <f>E9*F11</f>
        <v>0</v>
      </c>
      <c r="G9" s="108">
        <f>B12</f>
        <v>2859426.82</v>
      </c>
      <c r="H9" s="106">
        <f>((G9/$B$12)^$D$12)*$C$12</f>
        <v>76065.012406995462</v>
      </c>
      <c r="I9" s="109">
        <f>H9*F11</f>
        <v>76065.012406995462</v>
      </c>
    </row>
    <row r="10" spans="1:9" ht="15.75" thickBot="1" x14ac:dyDescent="0.3"/>
    <row r="11" spans="1:9" ht="48.95" customHeight="1" x14ac:dyDescent="0.25">
      <c r="A11" s="134" t="s">
        <v>20</v>
      </c>
      <c r="B11" s="76" t="s">
        <v>21</v>
      </c>
      <c r="C11" s="76" t="s">
        <v>22</v>
      </c>
      <c r="D11" s="76" t="s">
        <v>78</v>
      </c>
      <c r="E11" s="78" t="s">
        <v>66</v>
      </c>
      <c r="F11" s="110">
        <v>1</v>
      </c>
    </row>
    <row r="12" spans="1:9" ht="40.35" customHeight="1" thickBot="1" x14ac:dyDescent="0.3">
      <c r="A12" s="134"/>
      <c r="B12" s="111">
        <f>'HCC Display'!D5</f>
        <v>2859426.82</v>
      </c>
      <c r="C12" s="112">
        <f>Data!I5</f>
        <v>76065.012406995462</v>
      </c>
      <c r="D12" s="113">
        <v>0.6</v>
      </c>
      <c r="E12" s="78" t="s">
        <v>60</v>
      </c>
      <c r="F12" s="114">
        <v>1</v>
      </c>
    </row>
    <row r="13" spans="1:9" ht="18.75" customHeight="1" x14ac:dyDescent="0.25">
      <c r="A13" s="135" t="s">
        <v>79</v>
      </c>
      <c r="B13" s="136"/>
      <c r="C13" s="136"/>
      <c r="D13" s="136"/>
      <c r="E13" s="78" t="s">
        <v>65</v>
      </c>
      <c r="F13" s="78" t="s">
        <v>64</v>
      </c>
    </row>
    <row r="14" spans="1:9" ht="15.75" thickBot="1" x14ac:dyDescent="0.3">
      <c r="A14" s="137"/>
      <c r="B14" s="138"/>
      <c r="C14" s="138"/>
      <c r="D14" s="138"/>
      <c r="E14" s="74"/>
      <c r="F14" s="74"/>
    </row>
    <row r="15" spans="1:9" ht="15.75" thickBot="1" x14ac:dyDescent="0.3"/>
    <row r="16" spans="1:9" x14ac:dyDescent="0.25">
      <c r="A16" s="139" t="s">
        <v>29</v>
      </c>
      <c r="B16" s="76" t="s">
        <v>30</v>
      </c>
      <c r="C16" s="76" t="s">
        <v>31</v>
      </c>
      <c r="D16" s="77" t="s">
        <v>32</v>
      </c>
    </row>
    <row r="17" spans="1:4" ht="15.75" thickBot="1" x14ac:dyDescent="0.3">
      <c r="A17" s="140"/>
      <c r="B17" s="9">
        <v>0</v>
      </c>
      <c r="C17" s="9">
        <v>5000000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134" t="s">
        <v>61</v>
      </c>
      <c r="B19" s="134"/>
      <c r="C19" s="134"/>
      <c r="D19" s="1"/>
    </row>
    <row r="20" spans="1:4" ht="25.5" x14ac:dyDescent="0.25">
      <c r="A20" s="78" t="s">
        <v>62</v>
      </c>
      <c r="B20" s="78" t="s">
        <v>82</v>
      </c>
      <c r="C20" s="78" t="s">
        <v>80</v>
      </c>
    </row>
    <row r="21" spans="1:4" x14ac:dyDescent="0.25">
      <c r="A21" s="115">
        <f>B17</f>
        <v>0</v>
      </c>
      <c r="B21" s="106">
        <f>(('HCC Display - Power'!A21/$B$12)^$D$12)*$C$12</f>
        <v>0</v>
      </c>
      <c r="C21" s="116">
        <f>B21*'HCC Display'!$F$5</f>
        <v>0</v>
      </c>
    </row>
    <row r="22" spans="1:4" x14ac:dyDescent="0.25">
      <c r="A22" s="115">
        <f>A21+(($C$17-$B$17)/$D$17)</f>
        <v>250000</v>
      </c>
      <c r="B22" s="106">
        <f>(('HCC Display - Power'!A22/$B$12)^$D$12)*$C$12</f>
        <v>17627.127824775001</v>
      </c>
      <c r="C22" s="116">
        <f>B22*'HCC Display'!$F$5</f>
        <v>3982673.260729664</v>
      </c>
    </row>
    <row r="23" spans="1:4" x14ac:dyDescent="0.25">
      <c r="A23" s="115">
        <f t="shared" ref="A23:A41" si="0">A22+(($C$17-$B$17)/$D$17)</f>
        <v>500000</v>
      </c>
      <c r="B23" s="106">
        <f>(('HCC Display - Power'!A23/$B$12)^$D$12)*$C$12</f>
        <v>26717.729664007864</v>
      </c>
      <c r="C23" s="116">
        <f>B23*'HCC Display'!$F$5</f>
        <v>6036603.8402859364</v>
      </c>
    </row>
    <row r="24" spans="1:4" x14ac:dyDescent="0.25">
      <c r="A24" s="115">
        <f t="shared" si="0"/>
        <v>750000</v>
      </c>
      <c r="B24" s="106">
        <f>(('HCC Display - Power'!A24/$B$12)^$D$12)*$C$12</f>
        <v>34076.447014572113</v>
      </c>
      <c r="C24" s="116">
        <f>B24*'HCC Display'!$F$5</f>
        <v>7699232.4384724228</v>
      </c>
    </row>
    <row r="25" spans="1:4" x14ac:dyDescent="0.25">
      <c r="A25" s="115">
        <f t="shared" si="0"/>
        <v>1000000</v>
      </c>
      <c r="B25" s="106">
        <f>(('HCC Display - Power'!A25/$B$12)^$D$12)*$C$12</f>
        <v>40496.50547128301</v>
      </c>
      <c r="C25" s="116">
        <f>B25*'HCC Display'!$F$5</f>
        <v>9149780.4461816829</v>
      </c>
      <c r="D25">
        <f>C25/A25</f>
        <v>9.1497804461816834</v>
      </c>
    </row>
    <row r="26" spans="1:4" x14ac:dyDescent="0.25">
      <c r="A26" s="115">
        <f t="shared" si="0"/>
        <v>1250000</v>
      </c>
      <c r="B26" s="106">
        <f>(('HCC Display - Power'!A26/$B$12)^$D$12)*$C$12</f>
        <v>46298.141343550837</v>
      </c>
      <c r="C26" s="116">
        <f>B26*'HCC Display'!$F$5</f>
        <v>10460602.055161877</v>
      </c>
      <c r="D26">
        <f>C26/A26</f>
        <v>8.3684816441295009</v>
      </c>
    </row>
    <row r="27" spans="1:4" x14ac:dyDescent="0.25">
      <c r="A27" s="115">
        <f t="shared" si="0"/>
        <v>1500000</v>
      </c>
      <c r="B27" s="106">
        <f>(('HCC Display - Power'!A27/$B$12)^$D$12)*$C$12</f>
        <v>51650.235267800737</v>
      </c>
      <c r="C27" s="116">
        <f>B27*'HCC Display'!$F$5</f>
        <v>11669854.156406898</v>
      </c>
      <c r="D27">
        <f>C27/A27</f>
        <v>7.779902770937932</v>
      </c>
    </row>
    <row r="28" spans="1:4" x14ac:dyDescent="0.25">
      <c r="A28" s="115">
        <f t="shared" si="0"/>
        <v>1750000</v>
      </c>
      <c r="B28" s="106">
        <f>(('HCC Display - Power'!A28/$B$12)^$D$12)*$C$12</f>
        <v>56655.278384023426</v>
      </c>
      <c r="C28" s="116">
        <f>B28*'HCC Display'!$F$5</f>
        <v>12800693.598086253</v>
      </c>
    </row>
    <row r="29" spans="1:4" x14ac:dyDescent="0.25">
      <c r="A29" s="115">
        <f t="shared" si="0"/>
        <v>2000000</v>
      </c>
      <c r="B29" s="106">
        <f>(('HCC Display - Power'!A29/$B$12)^$D$12)*$C$12</f>
        <v>61381.22422860263</v>
      </c>
      <c r="C29" s="116">
        <f>B29*'HCC Display'!$F$5</f>
        <v>13868473.802210478</v>
      </c>
    </row>
    <row r="30" spans="1:4" x14ac:dyDescent="0.25">
      <c r="A30" s="115">
        <f t="shared" si="0"/>
        <v>2250000</v>
      </c>
      <c r="B30" s="106">
        <f>(('HCC Display - Power'!A30/$B$12)^$D$12)*$C$12</f>
        <v>65875.975523639368</v>
      </c>
      <c r="C30" s="116">
        <f>B30*'HCC Display'!$F$5</f>
        <v>14884017.90981108</v>
      </c>
    </row>
    <row r="31" spans="1:4" x14ac:dyDescent="0.25">
      <c r="A31" s="115">
        <f t="shared" si="0"/>
        <v>2500000</v>
      </c>
      <c r="B31" s="106">
        <f>(('HCC Display - Power'!A31/$B$12)^$D$12)*$C$12</f>
        <v>70174.859833059978</v>
      </c>
      <c r="C31" s="116">
        <f>B31*'HCC Display'!$F$5</f>
        <v>15855307.830681572</v>
      </c>
    </row>
    <row r="32" spans="1:4" x14ac:dyDescent="0.25">
      <c r="A32" s="115">
        <f t="shared" si="0"/>
        <v>2750000</v>
      </c>
      <c r="B32" s="106">
        <f>(('HCC Display - Power'!A32/$B$12)^$D$12)*$C$12</f>
        <v>74304.850537621896</v>
      </c>
      <c r="C32" s="116">
        <f>B32*'HCC Display'!$F$5</f>
        <v>16788437.930470292</v>
      </c>
    </row>
    <row r="33" spans="1:3" x14ac:dyDescent="0.25">
      <c r="A33" s="115">
        <f t="shared" si="0"/>
        <v>3000000</v>
      </c>
      <c r="B33" s="106">
        <f>(('HCC Display - Power'!A33/$B$12)^$D$12)*$C$12</f>
        <v>78287.117259565202</v>
      </c>
      <c r="C33" s="116">
        <f>B33*'HCC Display'!$F$5</f>
        <v>17688191.27362616</v>
      </c>
    </row>
    <row r="34" spans="1:3" x14ac:dyDescent="0.25">
      <c r="A34" s="115">
        <f t="shared" si="0"/>
        <v>3250000</v>
      </c>
      <c r="B34" s="106">
        <f>(('HCC Display - Power'!A34/$B$12)^$D$12)*$C$12</f>
        <v>82138.650862126422</v>
      </c>
      <c r="C34" s="116">
        <f>B34*'HCC Display'!$F$5</f>
        <v>18558406.775788844</v>
      </c>
    </row>
    <row r="35" spans="1:3" x14ac:dyDescent="0.25">
      <c r="A35" s="115">
        <f t="shared" si="0"/>
        <v>3500000</v>
      </c>
      <c r="B35" s="106">
        <f>(('HCC Display - Power'!A35/$B$12)^$D$12)*$C$12</f>
        <v>85873.344026922772</v>
      </c>
      <c r="C35" s="116">
        <f>B35*'HCC Display'!$F$5</f>
        <v>19402223.349442933</v>
      </c>
    </row>
    <row r="36" spans="1:3" x14ac:dyDescent="0.25">
      <c r="A36" s="115">
        <f t="shared" si="0"/>
        <v>3750000</v>
      </c>
      <c r="B36" s="106">
        <f>(('HCC Display - Power'!A36/$B$12)^$D$12)*$C$12</f>
        <v>89502.735559065375</v>
      </c>
      <c r="C36" s="116">
        <f>B36*'HCC Display'!$F$5</f>
        <v>20222248.072215229</v>
      </c>
    </row>
    <row r="37" spans="1:3" x14ac:dyDescent="0.25">
      <c r="A37" s="115">
        <f t="shared" si="0"/>
        <v>4000000</v>
      </c>
      <c r="B37" s="106">
        <f>(('HCC Display - Power'!A37/$B$12)^$D$12)*$C$12</f>
        <v>93036.538435982438</v>
      </c>
      <c r="C37" s="116">
        <f>B37*'HCC Display'!$F$5</f>
        <v>21020675.494225871</v>
      </c>
    </row>
    <row r="38" spans="1:3" x14ac:dyDescent="0.25">
      <c r="A38" s="115">
        <f t="shared" si="0"/>
        <v>4250000</v>
      </c>
      <c r="B38" s="106">
        <f>(('HCC Display - Power'!A38/$B$12)^$D$12)*$C$12</f>
        <v>96483.023973043382</v>
      </c>
      <c r="C38" s="116">
        <f>B38*'HCC Display'!$F$5</f>
        <v>21799374.436469421</v>
      </c>
    </row>
    <row r="39" spans="1:3" x14ac:dyDescent="0.25">
      <c r="A39" s="115">
        <f t="shared" si="0"/>
        <v>4500000</v>
      </c>
      <c r="B39" s="106">
        <f>(('HCC Display - Power'!A39/$B$12)^$D$12)*$C$12</f>
        <v>99849.307436213683</v>
      </c>
      <c r="C39" s="116">
        <f>B39*'HCC Display'!$F$5</f>
        <v>22559952.522138119</v>
      </c>
    </row>
    <row r="40" spans="1:3" x14ac:dyDescent="0.25">
      <c r="A40" s="115">
        <f t="shared" si="0"/>
        <v>4750000</v>
      </c>
      <c r="B40" s="106">
        <f>(('HCC Display - Power'!A40/$B$12)^$D$12)*$C$12</f>
        <v>103141.56443270072</v>
      </c>
      <c r="C40" s="116">
        <f>B40*'HCC Display'!$F$5</f>
        <v>23303805.067924399</v>
      </c>
    </row>
    <row r="41" spans="1:3" x14ac:dyDescent="0.25">
      <c r="A41" s="115">
        <f t="shared" si="0"/>
        <v>5000000</v>
      </c>
      <c r="B41" s="106">
        <f>(('HCC Display - Power'!A41/$B$12)^$D$12)*$C$12</f>
        <v>106365.19760151411</v>
      </c>
      <c r="C41" s="116">
        <f>B41*'HCC Display'!$F$5</f>
        <v>24032152.746086098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3</v>
      </c>
      <c r="C1" s="1" t="s">
        <v>4</v>
      </c>
    </row>
    <row r="2" spans="2:18" x14ac:dyDescent="0.2">
      <c r="B2" s="30" t="s">
        <v>5</v>
      </c>
      <c r="C2" s="2" t="s">
        <v>58</v>
      </c>
      <c r="D2" s="33" t="s">
        <v>6</v>
      </c>
      <c r="E2" s="2" t="s">
        <v>7</v>
      </c>
      <c r="F2" s="33" t="s">
        <v>48</v>
      </c>
      <c r="G2" s="3" t="s">
        <v>53</v>
      </c>
    </row>
    <row r="3" spans="2:18" ht="13.5" thickBot="1" x14ac:dyDescent="0.25">
      <c r="B3" s="31" t="s">
        <v>9</v>
      </c>
      <c r="C3" s="4" t="s">
        <v>57</v>
      </c>
      <c r="D3" s="34" t="s">
        <v>10</v>
      </c>
      <c r="E3" s="4" t="s">
        <v>55</v>
      </c>
      <c r="F3" s="34" t="s">
        <v>47</v>
      </c>
      <c r="G3" s="5" t="s">
        <v>54</v>
      </c>
    </row>
    <row r="4" spans="2:18" ht="15" customHeight="1" thickBot="1" x14ac:dyDescent="0.25">
      <c r="B4" s="32" t="s">
        <v>11</v>
      </c>
      <c r="C4" s="156" t="s">
        <v>46</v>
      </c>
      <c r="D4" s="156"/>
      <c r="E4" s="156"/>
      <c r="F4" s="156"/>
      <c r="G4" s="157"/>
    </row>
    <row r="5" spans="2:18" x14ac:dyDescent="0.2">
      <c r="K5" s="10" t="s">
        <v>8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154" t="s">
        <v>12</v>
      </c>
      <c r="C7" s="160" t="s">
        <v>13</v>
      </c>
      <c r="D7" s="161"/>
      <c r="E7" s="141" t="s">
        <v>14</v>
      </c>
      <c r="F7" s="162"/>
      <c r="G7" s="163"/>
      <c r="H7" s="141" t="s">
        <v>15</v>
      </c>
      <c r="I7" s="142"/>
      <c r="K7" s="1" t="s">
        <v>50</v>
      </c>
    </row>
    <row r="8" spans="2:18" ht="25.5" x14ac:dyDescent="0.2">
      <c r="B8" s="158"/>
      <c r="C8" s="45" t="s">
        <v>16</v>
      </c>
      <c r="D8" s="24" t="s">
        <v>17</v>
      </c>
      <c r="E8" s="25" t="s">
        <v>44</v>
      </c>
      <c r="F8" s="45" t="s">
        <v>43</v>
      </c>
      <c r="G8" s="26" t="s">
        <v>33</v>
      </c>
      <c r="H8" s="27" t="s">
        <v>18</v>
      </c>
      <c r="I8" s="28" t="s">
        <v>19</v>
      </c>
      <c r="K8" s="1" t="s">
        <v>45</v>
      </c>
    </row>
    <row r="9" spans="2:18" ht="13.5" thickBot="1" x14ac:dyDescent="0.25">
      <c r="B9" s="159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154" t="s">
        <v>20</v>
      </c>
      <c r="C11" s="46" t="s">
        <v>21</v>
      </c>
      <c r="D11" s="46" t="s">
        <v>22</v>
      </c>
      <c r="E11" s="46" t="s">
        <v>23</v>
      </c>
      <c r="F11" s="46" t="s">
        <v>24</v>
      </c>
      <c r="G11" s="23" t="s">
        <v>34</v>
      </c>
      <c r="H11" s="23" t="s">
        <v>42</v>
      </c>
      <c r="I11" s="46" t="s">
        <v>41</v>
      </c>
    </row>
    <row r="12" spans="2:18" ht="15" customHeight="1" x14ac:dyDescent="0.2">
      <c r="B12" s="155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143" t="s">
        <v>35</v>
      </c>
      <c r="C13" s="144"/>
      <c r="D13" s="144"/>
      <c r="E13" s="144"/>
      <c r="F13" s="144"/>
      <c r="G13" s="144"/>
      <c r="H13" s="144"/>
      <c r="I13" s="145"/>
    </row>
    <row r="14" spans="2:18" ht="11.25" customHeight="1" x14ac:dyDescent="0.2">
      <c r="B14" s="146"/>
      <c r="C14" s="147"/>
      <c r="D14" s="147"/>
      <c r="E14" s="147"/>
      <c r="F14" s="147"/>
      <c r="G14" s="147"/>
      <c r="H14" s="147"/>
      <c r="I14" s="148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149" t="s">
        <v>25</v>
      </c>
      <c r="C16" s="46" t="s">
        <v>36</v>
      </c>
      <c r="D16" s="46" t="s">
        <v>37</v>
      </c>
      <c r="E16" s="46" t="s">
        <v>38</v>
      </c>
      <c r="F16" s="46" t="s">
        <v>39</v>
      </c>
      <c r="G16" s="46" t="s">
        <v>26</v>
      </c>
      <c r="H16" s="46" t="s">
        <v>27</v>
      </c>
      <c r="I16" s="23" t="s">
        <v>28</v>
      </c>
      <c r="N16" s="38"/>
      <c r="O16" s="38"/>
      <c r="P16" s="38"/>
      <c r="Q16" s="38"/>
      <c r="R16" s="38"/>
    </row>
    <row r="17" spans="2:18" ht="21.75" customHeight="1" thickBot="1" x14ac:dyDescent="0.25">
      <c r="B17" s="150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151" t="s">
        <v>40</v>
      </c>
      <c r="C18" s="152"/>
      <c r="D18" s="152"/>
      <c r="E18" s="152"/>
      <c r="F18" s="152"/>
      <c r="G18" s="152"/>
      <c r="H18" s="152"/>
      <c r="I18" s="153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146"/>
      <c r="C19" s="147"/>
      <c r="D19" s="147"/>
      <c r="E19" s="147"/>
      <c r="F19" s="147"/>
      <c r="G19" s="147"/>
      <c r="H19" s="147"/>
      <c r="I19" s="148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149" t="s">
        <v>29</v>
      </c>
      <c r="C21" s="46" t="s">
        <v>30</v>
      </c>
      <c r="D21" s="46" t="s">
        <v>31</v>
      </c>
      <c r="E21" s="23" t="s">
        <v>32</v>
      </c>
      <c r="G21" s="17"/>
      <c r="H21" s="17"/>
      <c r="I21" s="16"/>
      <c r="O21" s="15"/>
    </row>
    <row r="22" spans="2:18" ht="23.65" customHeight="1" thickBot="1" x14ac:dyDescent="0.25">
      <c r="B22" s="150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164" t="s">
        <v>63</v>
      </c>
      <c r="C25" s="165"/>
      <c r="D25" s="165"/>
      <c r="E25" s="166"/>
    </row>
    <row r="26" spans="2:18" x14ac:dyDescent="0.2">
      <c r="B26" s="45" t="s">
        <v>51</v>
      </c>
      <c r="C26" s="45" t="s">
        <v>56</v>
      </c>
      <c r="D26" s="45" t="s">
        <v>52</v>
      </c>
      <c r="E26" s="45" t="s">
        <v>49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60">
        <f t="shared" si="1"/>
        <v>10000000</v>
      </c>
      <c r="C37" s="61" t="e">
        <f t="shared" si="0"/>
        <v>#REF!</v>
      </c>
      <c r="D37" s="60" t="e">
        <f>C37*#REF!</f>
        <v>#REF!</v>
      </c>
      <c r="E37" s="62" t="e">
        <f t="shared" si="3"/>
        <v>#REF!</v>
      </c>
      <c r="F37" s="63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59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59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59" t="e">
        <f t="shared" si="9"/>
        <v>#REF!</v>
      </c>
    </row>
    <row r="52" spans="2:7" x14ac:dyDescent="0.2">
      <c r="B52" s="64">
        <f t="shared" si="4"/>
        <v>25000000</v>
      </c>
      <c r="C52" s="65" t="e">
        <f t="shared" si="7"/>
        <v>#REF!</v>
      </c>
      <c r="D52" s="64" t="e">
        <f>C52*#REF!</f>
        <v>#REF!</v>
      </c>
      <c r="E52" s="66" t="e">
        <f t="shared" si="8"/>
        <v>#REF!</v>
      </c>
      <c r="F52" s="67" t="e">
        <f t="shared" si="2"/>
        <v>#REF!</v>
      </c>
      <c r="G52" s="59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59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59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59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59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59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59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59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59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59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59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59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59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59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59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59" t="e">
        <f t="shared" si="12"/>
        <v>#REF!</v>
      </c>
    </row>
  </sheetData>
  <mergeCells count="11">
    <mergeCell ref="C4:G4"/>
    <mergeCell ref="B7:B9"/>
    <mergeCell ref="C7:D7"/>
    <mergeCell ref="E7:G7"/>
    <mergeCell ref="B25:E25"/>
    <mergeCell ref="H7:I7"/>
    <mergeCell ref="B13:I14"/>
    <mergeCell ref="B16:B17"/>
    <mergeCell ref="B18:I19"/>
    <mergeCell ref="B21:B22"/>
    <mergeCell ref="B11:B12"/>
  </mergeCells>
  <pageMargins left="0.7" right="0.7" top="0.75" bottom="0.75" header="0.3" footer="0.3"/>
  <pageSetup orientation="portrait" horizontalDpi="90" verticalDpi="9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F95D4AB0-616D-489A-8791-456BC94AB5AB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HCC Display</vt:lpstr>
      <vt:lpstr>Data</vt:lpstr>
      <vt:lpstr>HCC Display - Power</vt:lpstr>
      <vt:lpstr>TV - Scurve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2023-07-20T09:52:25Z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73d6bf99-5f2f-4cf7-ae66-6e3b1bc67d0a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