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Resp Models\"/>
    </mc:Choice>
  </mc:AlternateContent>
  <xr:revisionPtr revIDLastSave="0" documentId="13_ncr:1_{7513DF66-5482-4E7B-AD7A-4F81D16B9B21}" xr6:coauthVersionLast="47" xr6:coauthVersionMax="47" xr10:uidLastSave="{00000000-0000-0000-0000-000000000000}"/>
  <bookViews>
    <workbookView xWindow="-120" yWindow="-120" windowWidth="20730" windowHeight="11160" tabRatio="574" activeTab="2" xr2:uid="{00000000-000D-0000-FFFF-FFFF00000000}"/>
  </bookViews>
  <sheets>
    <sheet name="HCC Paid Search" sheetId="13" r:id="rId1"/>
    <sheet name="Data" sheetId="14" r:id="rId2"/>
    <sheet name="HCC Paid Search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13" l="1"/>
  <c r="H10" i="13"/>
  <c r="D12" i="15" l="1"/>
  <c r="G5" i="13"/>
  <c r="I5" i="14" s="1"/>
  <c r="C12" i="15" s="1"/>
  <c r="H5" i="14" l="1"/>
  <c r="A22" i="15"/>
  <c r="A23" i="15" s="1"/>
  <c r="A21" i="15"/>
  <c r="D6" i="13"/>
  <c r="G9" i="15" l="1"/>
  <c r="H9" i="15" s="1"/>
  <c r="B12" i="15"/>
  <c r="E9" i="15" s="1"/>
  <c r="F9" i="15" s="1"/>
  <c r="A24" i="15"/>
  <c r="B23" i="15"/>
  <c r="C23" i="15" s="1"/>
  <c r="D23" i="15" s="1"/>
  <c r="B22" i="15"/>
  <c r="C22" i="15" s="1"/>
  <c r="D22" i="15" s="1"/>
  <c r="B21" i="15" l="1"/>
  <c r="C21" i="15" s="1"/>
  <c r="I9" i="15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B36" i="15" l="1"/>
  <c r="C36" i="15" s="1"/>
  <c r="A37" i="15"/>
  <c r="B37" i="15" l="1"/>
  <c r="C37" i="15" s="1"/>
  <c r="A38" i="15"/>
  <c r="A39" i="15" l="1"/>
  <c r="B38" i="15"/>
  <c r="C38" i="15" s="1"/>
  <c r="B39" i="15" l="1"/>
  <c r="C39" i="15" s="1"/>
  <c r="A40" i="15"/>
  <c r="B40" i="15" l="1"/>
  <c r="C40" i="15" s="1"/>
  <c r="A41" i="15"/>
  <c r="B41" i="15" s="1"/>
  <c r="C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<sst xmlns="http://schemas.openxmlformats.org/spreadsheetml/2006/main" count="125" uniqueCount="95">
  <si>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</si>
  <si>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</si>
  <si>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</si>
  <si>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</si>
  <si>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</si>
  <si>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</si>
  <si>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</si>
  <si>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</si>
  <si>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</si>
  <si>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</si>
  <si>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</si>
  <si>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</si>
  <si>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</si>
  <si>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</si>
  <si>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</si>
  <si>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</si>
  <si>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</si>
  <si>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</si>
  <si>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</si>
  <si>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</si>
  <si>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</si>
  <si>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</si>
  <si>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</si>
  <si>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</si>
  <si>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</si>
  <si>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</si>
  <si>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</si>
  <si>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</si>
  <si>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</si>
  <si>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</si>
  <si>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</si>
  <si>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</si>
  <si>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</si>
  <si>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</si>
  <si>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</si>
  <si>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</si>
  <si>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</si>
  <si>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</si>
  <si>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</si>
  <si>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</si>
  <si>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</si>
  <si>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</si>
  <si>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</si>
  <si>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</si>
  <si>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</si>
  <si>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</si>
  <si>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</si>
  <si>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</si>
  <si>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</si>
  <si>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</si>
  <si>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</si>
  <si>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</si>
  <si>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</si>
  <si>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</si>
  <si>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</si>
  <si>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</si>
  <si>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</si>
  <si>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</si>
  <si>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</si>
  <si>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</si>
  <si>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</si>
  <si>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</si>
  <si>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</si>
  <si>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</si>
  <si>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</si>
  <si>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</si>
  <si>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</si>
  <si>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</si>
  <si>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</si>
  <si>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</si>
  <si>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</si>
  <si>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</si>
  <si>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</si>
  <si>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</si>
  <si>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</si>
  <si>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</si>
  <si>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</si>
  <si>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</si>
  <si>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</si>
  <si>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</si>
  <si>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</si>
  <si>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</si>
  <si>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</si>
  <si>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</si>
  <si>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</si>
  <si>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</si>
  <si>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Paid Search</t>
  </si>
  <si>
    <t>Merck GARDASIL HCC Paid Search: Incremental Doses per Tactic with ROI, Spend and Incremental Revenue</t>
  </si>
  <si>
    <t>Power Curve</t>
  </si>
  <si>
    <t>Revenue</t>
  </si>
  <si>
    <t>Paid Search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</si>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</sst>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5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3" fontId="34" fillId="0" borderId="10" xfId="0" applyNumberFormat="1" applyFont="1" applyBorder="1" applyAlignment="1">
      <alignment horizontal="center"/>
    </xf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6" fontId="39" fillId="0" borderId="54" xfId="0" applyNumberFormat="1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167" fontId="0" fillId="0" borderId="0" xfId="0" applyNumberFormat="1"/>
    <xf numFmtId="2" fontId="0" fillId="0" borderId="52" xfId="0" applyNumberFormat="1" applyBorder="1" applyAlignment="1">
      <alignment horizontal="center" vertical="center" wrapText="1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Paid Search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Paid Search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'HCC Paid Search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48957.364565372409</c:v>
                </c:pt>
                <c:pt idx="2">
                  <c:v>79531.473375019181</c:v>
                </c:pt>
                <c:pt idx="3">
                  <c:v>105633.80155122073</c:v>
                </c:pt>
                <c:pt idx="4">
                  <c:v>129199.25966920293</c:v>
                </c:pt>
                <c:pt idx="5">
                  <c:v>151041.75883181734</c:v>
                </c:pt>
                <c:pt idx="6">
                  <c:v>171602.61689239615</c:v>
                </c:pt>
                <c:pt idx="7">
                  <c:v>191155.43879758479</c:v>
                </c:pt>
                <c:pt idx="8">
                  <c:v>209884.81654752325</c:v>
                </c:pt>
                <c:pt idx="9">
                  <c:v>227922.80853400149</c:v>
                </c:pt>
                <c:pt idx="10">
                  <c:v>245368.06112200834</c:v>
                </c:pt>
                <c:pt idx="11">
                  <c:v>262296.75078403269</c:v>
                </c:pt>
                <c:pt idx="12">
                  <c:v>278769.27358369966</c:v>
                </c:pt>
                <c:pt idx="13">
                  <c:v>294834.5520957667</c:v>
                </c:pt>
                <c:pt idx="14">
                  <c:v>310532.92647973198</c:v>
                </c:pt>
                <c:pt idx="15">
                  <c:v>325898.16302474338</c:v>
                </c:pt>
                <c:pt idx="16">
                  <c:v>340958.89039902925</c:v>
                </c:pt>
                <c:pt idx="17">
                  <c:v>355739.65220229764</c:v>
                </c:pt>
                <c:pt idx="18">
                  <c:v>370261.69483197236</c:v>
                </c:pt>
                <c:pt idx="19">
                  <c:v>384543.56820395699</c:v>
                </c:pt>
                <c:pt idx="20">
                  <c:v>398601.59127126914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670559</xdr:colOff>
      <xdr:row>21</xdr:row>
      <xdr:rowOff>33208</xdr:rowOff>
    </xdr:from>
    <xdr:to>
      <xdr:col>9</xdr:col>
      <xdr:colOff>262833</xdr:colOff>
      <xdr:row>37</xdr:row>
      <xdr:rowOff>63916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zoomScale="120" zoomScaleNormal="120" workbookViewId="0">
      <selection activeCell="F5" sqref="F5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86</v>
      </c>
      <c r="D5" s="129">
        <v>50000</v>
      </c>
      <c r="E5" s="83">
        <v>136.18213992992582</v>
      </c>
      <c r="F5" s="82">
        <v>225.94</v>
      </c>
      <c r="G5" s="84">
        <f>F10</f>
        <v>30136.792938374307</v>
      </c>
      <c r="L5" s="85"/>
    </row>
    <row r="6" spans="3:12" x14ac:dyDescent="0.25">
      <c r="C6" s="86"/>
      <c r="D6" s="87">
        <f>SUM(D5:D5)</f>
        <v>50000</v>
      </c>
      <c r="E6" s="87"/>
      <c r="F6" s="87"/>
      <c r="G6" s="88"/>
      <c r="L6" s="85"/>
    </row>
    <row r="7" spans="3:12" x14ac:dyDescent="0.25">
      <c r="L7" s="85"/>
    </row>
    <row r="8" spans="3:12" ht="15.75" thickBot="1" x14ac:dyDescent="0.3">
      <c r="C8" s="89"/>
      <c r="K8" s="89"/>
      <c r="L8" s="90"/>
    </row>
    <row r="9" spans="3:12" ht="15.75" thickBot="1" x14ac:dyDescent="0.3">
      <c r="C9" s="122"/>
      <c r="D9" s="123" t="s">
        <v>91</v>
      </c>
      <c r="E9" s="123" t="s">
        <v>92</v>
      </c>
      <c r="F9" s="123" t="s">
        <v>69</v>
      </c>
      <c r="G9" s="123" t="s">
        <v>88</v>
      </c>
      <c r="H9" s="123" t="s">
        <v>89</v>
      </c>
    </row>
    <row r="10" spans="3:12" ht="15.75" thickBot="1" x14ac:dyDescent="0.3">
      <c r="C10" s="127" t="s">
        <v>90</v>
      </c>
      <c r="D10" s="124">
        <v>50000</v>
      </c>
      <c r="E10" s="130">
        <v>136.18213992992582</v>
      </c>
      <c r="F10" s="126">
        <f>H10/F5</f>
        <v>30136.792938374307</v>
      </c>
      <c r="G10" s="125">
        <v>0.7</v>
      </c>
      <c r="H10" s="128">
        <f>E5*D5</f>
        <v>6809106.9964962909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I5" sqref="I5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1" t="s">
        <v>87</v>
      </c>
      <c r="B1" s="131"/>
      <c r="C1" s="131"/>
      <c r="D1" s="131"/>
      <c r="E1" s="131"/>
      <c r="F1" s="131"/>
      <c r="G1" s="131"/>
      <c r="H1" s="131"/>
      <c r="I1" s="131"/>
      <c r="J1" s="131"/>
    </row>
    <row r="3" spans="1:11" x14ac:dyDescent="0.3">
      <c r="B3" s="92" t="s">
        <v>1</v>
      </c>
      <c r="C3" s="92"/>
      <c r="D3" s="92"/>
      <c r="H3" s="132" t="s">
        <v>94</v>
      </c>
      <c r="I3" s="133"/>
      <c r="J3" s="133"/>
      <c r="K3" s="133"/>
    </row>
    <row r="4" spans="1:11" ht="66" x14ac:dyDescent="0.3">
      <c r="B4" s="92">
        <v>2022</v>
      </c>
      <c r="C4" s="92" t="s">
        <v>74</v>
      </c>
      <c r="D4" s="93"/>
      <c r="F4" s="94" t="s">
        <v>93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78</v>
      </c>
      <c r="D5" s="98">
        <v>225.94</v>
      </c>
      <c r="F5" s="99">
        <v>4647854</v>
      </c>
      <c r="G5" s="91"/>
      <c r="H5" s="100">
        <f>'HCC Paid Search'!D5</f>
        <v>50000</v>
      </c>
      <c r="I5" s="101">
        <f>'HCC Paid Search'!G5</f>
        <v>30136.792938374307</v>
      </c>
      <c r="J5" s="102">
        <f>I5/F5</f>
        <v>6.4840231509798512E-3</v>
      </c>
      <c r="K5" s="103">
        <f>H5/I5</f>
        <v>1.6591015541117227</v>
      </c>
    </row>
    <row r="6" spans="1:11" s="97" customFormat="1" x14ac:dyDescent="0.3">
      <c r="B6" s="104"/>
      <c r="C6" s="104"/>
      <c r="D6" s="105"/>
      <c r="H6" s="106" t="s">
        <v>79</v>
      </c>
    </row>
    <row r="7" spans="1:11" s="97" customFormat="1" x14ac:dyDescent="0.3">
      <c r="B7" s="104"/>
      <c r="C7" s="104"/>
      <c r="D7" s="105"/>
    </row>
    <row r="8" spans="1:11" s="97" customFormat="1" x14ac:dyDescent="0.3">
      <c r="B8" s="104"/>
      <c r="C8" s="104"/>
      <c r="D8" s="105"/>
    </row>
    <row r="10" spans="1:11" x14ac:dyDescent="0.3">
      <c r="H10" s="107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H12" sqref="H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85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86</v>
      </c>
      <c r="C3" s="72" t="s">
        <v>10</v>
      </c>
      <c r="D3" s="5" t="s">
        <v>69</v>
      </c>
      <c r="E3" s="72" t="s">
        <v>47</v>
      </c>
      <c r="F3" s="5" t="s">
        <v>83</v>
      </c>
      <c r="G3" s="1"/>
      <c r="H3" s="1"/>
      <c r="I3" s="1"/>
    </row>
    <row r="4" spans="1:9" ht="15.75" thickBot="1" x14ac:dyDescent="0.3">
      <c r="A4" s="73" t="s">
        <v>11</v>
      </c>
      <c r="B4" s="134"/>
      <c r="C4" s="135"/>
      <c r="D4" s="135"/>
      <c r="E4" s="135"/>
      <c r="F4" s="136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1">
        <v>0.8</v>
      </c>
      <c r="C6" s="121">
        <v>1.2</v>
      </c>
      <c r="D6" s="1"/>
      <c r="E6" s="1"/>
      <c r="F6" s="1"/>
      <c r="G6" s="1"/>
      <c r="H6" s="1"/>
      <c r="I6" s="1"/>
    </row>
    <row r="7" spans="1:9" x14ac:dyDescent="0.25">
      <c r="A7" s="137" t="s">
        <v>12</v>
      </c>
      <c r="B7" s="140" t="s">
        <v>13</v>
      </c>
      <c r="C7" s="140"/>
      <c r="D7" s="140" t="s">
        <v>14</v>
      </c>
      <c r="E7" s="140"/>
      <c r="F7" s="140"/>
      <c r="G7" s="140" t="s">
        <v>59</v>
      </c>
      <c r="H7" s="140"/>
      <c r="I7" s="141"/>
    </row>
    <row r="8" spans="1:9" x14ac:dyDescent="0.25">
      <c r="A8" s="138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39"/>
      <c r="B9" s="108"/>
      <c r="C9" s="108"/>
      <c r="D9" s="109"/>
      <c r="E9" s="110">
        <f>(('HCC Paid Search - Power'!D9/$B$12)^$D$12)*$C$12</f>
        <v>0</v>
      </c>
      <c r="F9" s="111">
        <f>E9*F11</f>
        <v>0</v>
      </c>
      <c r="G9" s="112">
        <f>Data!H5</f>
        <v>50000</v>
      </c>
      <c r="H9" s="110">
        <f>(('HCC Paid Search - Power'!G9/$B$12)^$D$12)*$C$12</f>
        <v>30136.792938374307</v>
      </c>
      <c r="I9" s="113">
        <f>H9*F11</f>
        <v>30136.792938374307</v>
      </c>
    </row>
    <row r="10" spans="1:9" ht="15.75" thickBot="1" x14ac:dyDescent="0.3"/>
    <row r="11" spans="1:9" ht="48.95" customHeight="1" x14ac:dyDescent="0.25">
      <c r="A11" s="142" t="s">
        <v>20</v>
      </c>
      <c r="B11" s="76" t="s">
        <v>21</v>
      </c>
      <c r="C11" s="76" t="s">
        <v>22</v>
      </c>
      <c r="D11" s="76" t="s">
        <v>80</v>
      </c>
      <c r="E11" s="78" t="s">
        <v>66</v>
      </c>
      <c r="F11" s="114">
        <v>1</v>
      </c>
    </row>
    <row r="12" spans="1:9" ht="40.35" customHeight="1" thickBot="1" x14ac:dyDescent="0.3">
      <c r="A12" s="142"/>
      <c r="B12" s="115">
        <f>Data!H5</f>
        <v>50000</v>
      </c>
      <c r="C12" s="116">
        <f>Data!I5</f>
        <v>30136.792938374307</v>
      </c>
      <c r="D12" s="117">
        <f>'HCC Paid Search'!G10</f>
        <v>0.7</v>
      </c>
      <c r="E12" s="78" t="s">
        <v>60</v>
      </c>
      <c r="F12" s="118">
        <v>1</v>
      </c>
    </row>
    <row r="13" spans="1:9" ht="18.75" customHeight="1" x14ac:dyDescent="0.25">
      <c r="A13" s="143" t="s">
        <v>81</v>
      </c>
      <c r="B13" s="144"/>
      <c r="C13" s="144"/>
      <c r="D13" s="144"/>
      <c r="E13" s="78" t="s">
        <v>65</v>
      </c>
      <c r="F13" s="78" t="s">
        <v>64</v>
      </c>
    </row>
    <row r="14" spans="1:9" ht="15.75" thickBot="1" x14ac:dyDescent="0.3">
      <c r="A14" s="145"/>
      <c r="B14" s="146"/>
      <c r="C14" s="146"/>
      <c r="D14" s="146"/>
      <c r="E14" s="74"/>
      <c r="F14" s="74"/>
    </row>
    <row r="15" spans="1:9" ht="15.75" thickBot="1" x14ac:dyDescent="0.3"/>
    <row r="16" spans="1:9" x14ac:dyDescent="0.25">
      <c r="A16" s="147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8"/>
      <c r="B17" s="9">
        <v>0</v>
      </c>
      <c r="C17" s="9">
        <v>2000000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42" t="s">
        <v>61</v>
      </c>
      <c r="B19" s="142"/>
      <c r="C19" s="142"/>
      <c r="D19" s="1"/>
    </row>
    <row r="20" spans="1:4" ht="25.5" x14ac:dyDescent="0.25">
      <c r="A20" s="78" t="s">
        <v>62</v>
      </c>
      <c r="B20" s="78" t="s">
        <v>84</v>
      </c>
      <c r="C20" s="78" t="s">
        <v>82</v>
      </c>
    </row>
    <row r="21" spans="1:4" x14ac:dyDescent="0.25">
      <c r="A21" s="119">
        <f>B17</f>
        <v>0</v>
      </c>
      <c r="B21" s="110">
        <f>(('HCC Paid Search - Power'!A21/$B$12)^$D$12)*$C$12</f>
        <v>0</v>
      </c>
      <c r="C21" s="120">
        <f>B21*'HCC Paid Search'!$F$5</f>
        <v>0</v>
      </c>
    </row>
    <row r="22" spans="1:4" x14ac:dyDescent="0.25">
      <c r="A22" s="119">
        <f>A21+(($C$17-$B$17)/$D$17)</f>
        <v>100000</v>
      </c>
      <c r="B22" s="110">
        <f>(('HCC Paid Search - Power'!A22/$B$12)^$D$12)*$C$12</f>
        <v>48957.364565372409</v>
      </c>
      <c r="C22" s="120">
        <f>B22*'HCC Paid Search'!$F$5</f>
        <v>11061426.949900242</v>
      </c>
      <c r="D22">
        <f>C22/A22</f>
        <v>110.61426949900242</v>
      </c>
    </row>
    <row r="23" spans="1:4" x14ac:dyDescent="0.25">
      <c r="A23" s="119">
        <f t="shared" ref="A23:A41" si="0">A22+(($C$17-$B$17)/$D$17)</f>
        <v>200000</v>
      </c>
      <c r="B23" s="110">
        <f>(('HCC Paid Search - Power'!A23/$B$12)^$D$12)*$C$12</f>
        <v>79531.473375019181</v>
      </c>
      <c r="C23" s="120">
        <f>B23*'HCC Paid Search'!$F$5</f>
        <v>17969341.094351832</v>
      </c>
      <c r="D23">
        <f t="shared" ref="D23:D34" si="1">C23/A23</f>
        <v>89.846705471759165</v>
      </c>
    </row>
    <row r="24" spans="1:4" x14ac:dyDescent="0.25">
      <c r="A24" s="119">
        <f t="shared" si="0"/>
        <v>300000</v>
      </c>
      <c r="B24" s="110">
        <f>(('HCC Paid Search - Power'!A24/$B$12)^$D$12)*$C$12</f>
        <v>105633.80155122073</v>
      </c>
      <c r="C24" s="120">
        <f>B24*'HCC Paid Search'!$F$5</f>
        <v>23866901.122482814</v>
      </c>
      <c r="D24">
        <f t="shared" si="1"/>
        <v>79.556337074942718</v>
      </c>
    </row>
    <row r="25" spans="1:4" x14ac:dyDescent="0.25">
      <c r="A25" s="119">
        <f t="shared" si="0"/>
        <v>400000</v>
      </c>
      <c r="B25" s="110">
        <f>(('HCC Paid Search - Power'!A25/$B$12)^$D$12)*$C$12</f>
        <v>129199.25966920293</v>
      </c>
      <c r="C25" s="120">
        <f>B25*'HCC Paid Search'!$F$5</f>
        <v>29191280.72965971</v>
      </c>
      <c r="D25">
        <f t="shared" si="1"/>
        <v>72.978201824149281</v>
      </c>
    </row>
    <row r="26" spans="1:4" x14ac:dyDescent="0.25">
      <c r="A26" s="119">
        <f t="shared" si="0"/>
        <v>500000</v>
      </c>
      <c r="B26" s="110">
        <f>(('HCC Paid Search - Power'!A26/$B$12)^$D$12)*$C$12</f>
        <v>151041.75883181734</v>
      </c>
      <c r="C26" s="120">
        <f>B26*'HCC Paid Search'!$F$5</f>
        <v>34126374.990460806</v>
      </c>
      <c r="D26">
        <f t="shared" si="1"/>
        <v>68.252749980921607</v>
      </c>
    </row>
    <row r="27" spans="1:4" x14ac:dyDescent="0.25">
      <c r="A27" s="119">
        <f t="shared" si="0"/>
        <v>600000</v>
      </c>
      <c r="B27" s="110">
        <f>(('HCC Paid Search - Power'!A27/$B$12)^$D$12)*$C$12</f>
        <v>171602.61689239615</v>
      </c>
      <c r="C27" s="120">
        <f>B27*'HCC Paid Search'!$F$5</f>
        <v>38771895.260667987</v>
      </c>
      <c r="D27">
        <f t="shared" si="1"/>
        <v>64.619825434446639</v>
      </c>
    </row>
    <row r="28" spans="1:4" x14ac:dyDescent="0.25">
      <c r="A28" s="119">
        <f t="shared" si="0"/>
        <v>700000</v>
      </c>
      <c r="B28" s="110">
        <f>(('HCC Paid Search - Power'!A28/$B$12)^$D$12)*$C$12</f>
        <v>191155.43879758479</v>
      </c>
      <c r="C28" s="120">
        <f>B28*'HCC Paid Search'!$F$5</f>
        <v>43189659.841926306</v>
      </c>
      <c r="D28">
        <f t="shared" si="1"/>
        <v>61.699514059894724</v>
      </c>
    </row>
    <row r="29" spans="1:4" x14ac:dyDescent="0.25">
      <c r="A29" s="119">
        <f t="shared" si="0"/>
        <v>800000</v>
      </c>
      <c r="B29" s="110">
        <f>(('HCC Paid Search - Power'!A29/$B$12)^$D$12)*$C$12</f>
        <v>209884.81654752325</v>
      </c>
      <c r="C29" s="120">
        <f>B29*'HCC Paid Search'!$F$5</f>
        <v>47421375.450747401</v>
      </c>
      <c r="D29">
        <f t="shared" si="1"/>
        <v>59.276719313434249</v>
      </c>
    </row>
    <row r="30" spans="1:4" x14ac:dyDescent="0.25">
      <c r="A30" s="119">
        <f t="shared" si="0"/>
        <v>900000</v>
      </c>
      <c r="B30" s="110">
        <f>(('HCC Paid Search - Power'!A30/$B$12)^$D$12)*$C$12</f>
        <v>227922.80853400149</v>
      </c>
      <c r="C30" s="120">
        <f>B30*'HCC Paid Search'!$F$5</f>
        <v>51496879.360172294</v>
      </c>
      <c r="D30">
        <f t="shared" si="1"/>
        <v>57.218754844635882</v>
      </c>
    </row>
    <row r="31" spans="1:4" x14ac:dyDescent="0.25">
      <c r="A31" s="119">
        <f t="shared" si="0"/>
        <v>1000000</v>
      </c>
      <c r="B31" s="110">
        <f>(('HCC Paid Search - Power'!A31/$B$12)^$D$12)*$C$12</f>
        <v>245368.06112200834</v>
      </c>
      <c r="C31" s="120">
        <f>B31*'HCC Paid Search'!$F$5</f>
        <v>55438459.729906566</v>
      </c>
      <c r="D31">
        <f t="shared" si="1"/>
        <v>55.438459729906569</v>
      </c>
    </row>
    <row r="32" spans="1:4" x14ac:dyDescent="0.25">
      <c r="A32" s="119">
        <f t="shared" si="0"/>
        <v>1100000</v>
      </c>
      <c r="B32" s="110">
        <f>(('HCC Paid Search - Power'!A32/$B$12)^$D$12)*$C$12</f>
        <v>262296.75078403269</v>
      </c>
      <c r="C32" s="120">
        <f>B32*'HCC Paid Search'!$F$5</f>
        <v>59263327.872144341</v>
      </c>
      <c r="D32">
        <f t="shared" si="1"/>
        <v>53.875752611040312</v>
      </c>
    </row>
    <row r="33" spans="1:4" x14ac:dyDescent="0.25">
      <c r="A33" s="119">
        <f t="shared" si="0"/>
        <v>1200000</v>
      </c>
      <c r="B33" s="110">
        <f>(('HCC Paid Search - Power'!A33/$B$12)^$D$12)*$C$12</f>
        <v>278769.27358369966</v>
      </c>
      <c r="C33" s="120">
        <f>B33*'HCC Paid Search'!$F$5</f>
        <v>62985129.673501097</v>
      </c>
      <c r="D33">
        <f t="shared" si="1"/>
        <v>52.487608061250917</v>
      </c>
    </row>
    <row r="34" spans="1:4" x14ac:dyDescent="0.25">
      <c r="A34" s="119">
        <f t="shared" si="0"/>
        <v>1300000</v>
      </c>
      <c r="B34" s="110">
        <f>(('HCC Paid Search - Power'!A34/$B$12)^$D$12)*$C$12</f>
        <v>294834.5520957667</v>
      </c>
      <c r="C34" s="120">
        <f>B34*'HCC Paid Search'!$F$5</f>
        <v>66614918.700517528</v>
      </c>
      <c r="D34">
        <f t="shared" si="1"/>
        <v>51.242245154244252</v>
      </c>
    </row>
    <row r="35" spans="1:4" x14ac:dyDescent="0.25">
      <c r="A35" s="119">
        <f t="shared" si="0"/>
        <v>1400000</v>
      </c>
      <c r="B35" s="110">
        <f>(('HCC Paid Search - Power'!A35/$B$12)^$D$12)*$C$12</f>
        <v>310532.92647973198</v>
      </c>
      <c r="C35" s="120">
        <f>B35*'HCC Paid Search'!$F$5</f>
        <v>70161809.408830643</v>
      </c>
    </row>
    <row r="36" spans="1:4" x14ac:dyDescent="0.25">
      <c r="A36" s="119">
        <f t="shared" si="0"/>
        <v>1500000</v>
      </c>
      <c r="B36" s="110">
        <f>(('HCC Paid Search - Power'!A36/$B$12)^$D$12)*$C$12</f>
        <v>325898.16302474338</v>
      </c>
      <c r="C36" s="120">
        <f>B36*'HCC Paid Search'!$F$5</f>
        <v>73633430.953810513</v>
      </c>
    </row>
    <row r="37" spans="1:4" x14ac:dyDescent="0.25">
      <c r="A37" s="119">
        <f t="shared" si="0"/>
        <v>1600000</v>
      </c>
      <c r="B37" s="110">
        <f>(('HCC Paid Search - Power'!A37/$B$12)^$D$12)*$C$12</f>
        <v>340958.89039902925</v>
      </c>
      <c r="C37" s="120">
        <f>B37*'HCC Paid Search'!$F$5</f>
        <v>77036251.696756661</v>
      </c>
    </row>
    <row r="38" spans="1:4" x14ac:dyDescent="0.25">
      <c r="A38" s="119">
        <f t="shared" si="0"/>
        <v>1700000</v>
      </c>
      <c r="B38" s="110">
        <f>(('HCC Paid Search - Power'!A38/$B$12)^$D$12)*$C$12</f>
        <v>355739.65220229764</v>
      </c>
      <c r="C38" s="120">
        <f>B38*'HCC Paid Search'!$F$5</f>
        <v>80375817.018587127</v>
      </c>
    </row>
    <row r="39" spans="1:4" x14ac:dyDescent="0.25">
      <c r="A39" s="119">
        <f t="shared" si="0"/>
        <v>1800000</v>
      </c>
      <c r="B39" s="110">
        <f>(('HCC Paid Search - Power'!A39/$B$12)^$D$12)*$C$12</f>
        <v>370261.69483197236</v>
      </c>
      <c r="C39" s="120">
        <f>B39*'HCC Paid Search'!$F$5</f>
        <v>83656927.330335841</v>
      </c>
    </row>
    <row r="40" spans="1:4" x14ac:dyDescent="0.25">
      <c r="A40" s="119">
        <f t="shared" si="0"/>
        <v>1900000</v>
      </c>
      <c r="B40" s="110">
        <f>(('HCC Paid Search - Power'!A40/$B$12)^$D$12)*$C$12</f>
        <v>384543.56820395699</v>
      </c>
      <c r="C40" s="120">
        <f>B40*'HCC Paid Search'!$F$5</f>
        <v>86883773.800002038</v>
      </c>
    </row>
    <row r="41" spans="1:4" x14ac:dyDescent="0.25">
      <c r="A41" s="119">
        <f t="shared" si="0"/>
        <v>2000000</v>
      </c>
      <c r="B41" s="110">
        <f>(('HCC Paid Search - Power'!A41/$B$12)^$D$12)*$C$12</f>
        <v>398601.59127126914</v>
      </c>
      <c r="C41" s="120">
        <f>B41*'HCC Paid Search'!$F$5</f>
        <v>90060043.531830549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64" t="s">
        <v>46</v>
      </c>
      <c r="D4" s="164"/>
      <c r="E4" s="164"/>
      <c r="F4" s="164"/>
      <c r="G4" s="165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62" t="s">
        <v>12</v>
      </c>
      <c r="C7" s="168" t="s">
        <v>13</v>
      </c>
      <c r="D7" s="169"/>
      <c r="E7" s="149" t="s">
        <v>14</v>
      </c>
      <c r="F7" s="170"/>
      <c r="G7" s="171"/>
      <c r="H7" s="149" t="s">
        <v>15</v>
      </c>
      <c r="I7" s="150"/>
      <c r="K7" s="1" t="s">
        <v>50</v>
      </c>
    </row>
    <row r="8" spans="2:18" ht="25.5" x14ac:dyDescent="0.2">
      <c r="B8" s="166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67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62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63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51" t="s">
        <v>35</v>
      </c>
      <c r="C13" s="152"/>
      <c r="D13" s="152"/>
      <c r="E13" s="152"/>
      <c r="F13" s="152"/>
      <c r="G13" s="152"/>
      <c r="H13" s="152"/>
      <c r="I13" s="153"/>
    </row>
    <row r="14" spans="2:18" ht="11.25" customHeight="1" x14ac:dyDescent="0.2">
      <c r="B14" s="154"/>
      <c r="C14" s="155"/>
      <c r="D14" s="155"/>
      <c r="E14" s="155"/>
      <c r="F14" s="155"/>
      <c r="G14" s="155"/>
      <c r="H14" s="155"/>
      <c r="I14" s="156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57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58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59" t="s">
        <v>40</v>
      </c>
      <c r="C18" s="160"/>
      <c r="D18" s="160"/>
      <c r="E18" s="160"/>
      <c r="F18" s="160"/>
      <c r="G18" s="160"/>
      <c r="H18" s="160"/>
      <c r="I18" s="161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54"/>
      <c r="C19" s="155"/>
      <c r="D19" s="155"/>
      <c r="E19" s="155"/>
      <c r="F19" s="155"/>
      <c r="G19" s="155"/>
      <c r="H19" s="155"/>
      <c r="I19" s="156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57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58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72" t="s">
        <v>63</v>
      </c>
      <c r="C25" s="173"/>
      <c r="D25" s="173"/>
      <c r="E25" s="174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E850C864-C7B8-4D9A-BC0E-BE6501F1F01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Paid Search</vt:lpstr>
      <vt:lpstr>Data</vt:lpstr>
      <vt:lpstr>HCC Paid Search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2023-07-20T09:54:42Z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73d6bf99-5f2f-4cf7-ae66-6e3b1bc67d0a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