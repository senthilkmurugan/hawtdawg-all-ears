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Resp Models\"/>
    </mc:Choice>
  </mc:AlternateContent>
  <xr:revisionPtr revIDLastSave="0" documentId="13_ncr:1_{4CCAD430-7A2C-4C10-8886-4EE4CC5E0F78}" xr6:coauthVersionLast="47" xr6:coauthVersionMax="47" xr10:uidLastSave="{00000000-0000-0000-0000-000000000000}"/>
  <bookViews>
    <workbookView xWindow="-120" yWindow="-120" windowWidth="20730" windowHeight="11160" tabRatio="574" activeTab="2" xr2:uid="{00000000-000D-0000-FFFF-FFFF00000000}"/>
  </bookViews>
  <sheets>
    <sheet name="HCC Social" sheetId="13" r:id="rId1"/>
    <sheet name="Data" sheetId="14" r:id="rId2"/>
    <sheet name="HCC Social - Power" sheetId="15" r:id="rId3"/>
    <sheet name="TV - Scurve" sheetId="8" state="hidden" r:id="rId4"/>
  </sheets>
  <functionGroups builtInGroupCount="19"/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'HCC Social - Power'!$D$12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13" l="1"/>
  <c r="D5" i="13"/>
  <c r="H10" i="13"/>
  <c r="D12" i="15"/>
  <c r="G5" i="13"/>
  <c r="I5" i="14" s="1"/>
  <c r="C12" i="15" s="1"/>
  <c r="H5" i="14" l="1"/>
  <c r="B12" i="15" s="1"/>
  <c r="A21" i="15"/>
  <c r="D6" i="13"/>
  <c r="B21" i="15" l="1"/>
  <c r="C21" i="15" s="1"/>
  <c r="G9" i="15"/>
  <c r="H9" i="15" s="1"/>
  <c r="E9" i="15"/>
  <c r="F9" i="15" s="1"/>
  <c r="A22" i="15"/>
  <c r="A23" i="15" s="1"/>
  <c r="A24" i="15"/>
  <c r="B23" i="15"/>
  <c r="C23" i="15" s="1"/>
  <c r="D23" i="15" s="1"/>
  <c r="B22" i="15"/>
  <c r="C22" i="15" s="1"/>
  <c r="D22" i="15" s="1"/>
  <c r="I9" i="15" l="1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D35" i="15" s="1"/>
  <c r="B36" i="15" l="1"/>
  <c r="C36" i="15" s="1"/>
  <c r="D36" i="15" s="1"/>
  <c r="A37" i="15"/>
  <c r="B37" i="15" l="1"/>
  <c r="C37" i="15" s="1"/>
  <c r="D37" i="15" s="1"/>
  <c r="A38" i="15"/>
  <c r="A39" i="15" l="1"/>
  <c r="B38" i="15"/>
  <c r="C38" i="15" s="1"/>
  <c r="D38" i="15" s="1"/>
  <c r="B39" i="15" l="1"/>
  <c r="C39" i="15" s="1"/>
  <c r="D39" i="15" s="1"/>
  <c r="A40" i="15"/>
  <c r="B40" i="15" l="1"/>
  <c r="C40" i="15" s="1"/>
  <c r="D40" i="15" s="1"/>
  <c r="A41" i="15"/>
  <c r="B41" i="15" s="1"/>
  <c r="C41" i="15" s="1"/>
  <c r="D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K5" i="14" l="1"/>
  <c r="J5" i="14"/>
</calcChain>
</file>

<file path=xl/sharedStrings.xml><?xml version="1.0" encoding="utf-8"?>
<sst xmlns="http://schemas.openxmlformats.org/spreadsheetml/2006/main" count="125" uniqueCount="95">
  <si>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</si>
  <si>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</si>
  <si>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</si>
  <si>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</si>
  <si>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</si>
  <si>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</si>
  <si>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</si>
  <si>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</si>
  <si>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</si>
  <si>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</si>
  <si>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</si>
  <si>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</si>
  <si>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</si>
  <si>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</si>
  <si>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</si>
  <si>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</si>
  <si>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</si>
  <si>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</si>
  <si>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</si>
  <si>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</si>
  <si>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</si>
  <si>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</si>
  <si>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</si>
  <si>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</si>
  <si>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</si>
  <si>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</si>
  <si>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</si>
  <si>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</si>
  <si>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</si>
  <si>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</si>
  <si>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</si>
  <si>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</si>
  <si>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</si>
  <si>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</si>
  <si>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</si>
  <si>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</si>
  <si>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</si>
  <si>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</si>
  <si>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</si>
  <si>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</si>
  <si>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</si>
  <si>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</si>
  <si>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</si>
  <si>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</si>
  <si>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</si>
  <si>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</si>
  <si>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</si>
  <si>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</si>
  <si>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</si>
  <si>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</si>
  <si>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</si>
  <si>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</si>
  <si>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</si>
  <si>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</si>
  <si>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</si>
  <si>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</si>
  <si>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</si>
  <si>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</si>
  <si>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</si>
  <si>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</si>
  <si>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</si>
  <si>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</si>
  <si>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</si>
  <si>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</si>
  <si>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</si>
  <si>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</si>
  <si>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</si>
  <si>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</si>
  <si>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</si>
  <si>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</si>
  <si>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</si>
  <si>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</si>
  <si>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</si>
  <si>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</si>
  <si>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</si>
  <si>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</si>
  <si>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</si>
  <si>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</si>
  <si>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pre-tax 3-year NPV/new patient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</si>
  <si>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</si>
  <si>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</si>
  <si>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</si>
  <si>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</si>
  <si>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Doses</t>
  </si>
  <si>
    <t>Y (Incr. doses)</t>
  </si>
  <si>
    <t>Given a set of X and Y values, a power function (i.e., a smooth continuous curve) is fit for each pair of values</t>
  </si>
  <si>
    <t>HCC Social</t>
  </si>
  <si>
    <t>Merck GARDASIL HCC Social: Incremental Doses per Tactic with ROI, Spend and Incremental Revenue</t>
  </si>
  <si>
    <t>Power Curve</t>
  </si>
  <si>
    <t>Revenue</t>
  </si>
  <si>
    <t>Social</t>
  </si>
  <si>
    <t>2023 Spend</t>
  </si>
  <si>
    <t>2022 ROI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</si>
  <si>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observed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</si>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</sst>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6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3" fontId="34" fillId="0" borderId="10" xfId="0" applyNumberFormat="1" applyFont="1" applyBorder="1" applyAlignment="1">
      <alignment horizontal="center"/>
    </xf>
    <xf numFmtId="164" fontId="35" fillId="35" borderId="10" xfId="0" applyNumberFormat="1" applyFont="1" applyFill="1" applyBorder="1" applyAlignment="1">
      <alignment horizontal="center" vertical="center"/>
    </xf>
    <xf numFmtId="165" fontId="35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6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7" fillId="0" borderId="52" xfId="0" applyFont="1" applyBorder="1"/>
    <xf numFmtId="0" fontId="38" fillId="0" borderId="51" xfId="0" applyFont="1" applyBorder="1" applyAlignment="1">
      <alignment horizontal="center" vertical="center"/>
    </xf>
    <xf numFmtId="0" fontId="39" fillId="0" borderId="54" xfId="0" applyFont="1" applyBorder="1" applyAlignment="1">
      <alignment horizontal="center" vertical="center"/>
    </xf>
    <xf numFmtId="3" fontId="39" fillId="0" borderId="54" xfId="0" applyNumberFormat="1" applyFont="1" applyBorder="1" applyAlignment="1">
      <alignment horizontal="center" vertical="center"/>
    </xf>
    <xf numFmtId="0" fontId="39" fillId="0" borderId="53" xfId="0" applyFont="1" applyBorder="1" applyAlignment="1">
      <alignment vertical="center"/>
    </xf>
    <xf numFmtId="6" fontId="39" fillId="0" borderId="54" xfId="0" applyNumberFormat="1" applyFont="1" applyBorder="1" applyAlignment="1">
      <alignment vertical="center"/>
    </xf>
    <xf numFmtId="7" fontId="0" fillId="0" borderId="0" xfId="0" applyNumberFormat="1"/>
    <xf numFmtId="167" fontId="0" fillId="0" borderId="0" xfId="0" applyNumberFormat="1"/>
    <xf numFmtId="2" fontId="39" fillId="0" borderId="54" xfId="0" applyNumberFormat="1" applyFont="1" applyBorder="1" applyAlignment="1">
      <alignment horizontal="center" vertical="center"/>
    </xf>
    <xf numFmtId="167" fontId="0" fillId="0" borderId="52" xfId="0" applyNumberFormat="1" applyBorder="1"/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'HCC Social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Social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'HCC Social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822959</xdr:colOff>
      <xdr:row>21</xdr:row>
      <xdr:rowOff>25588</xdr:rowOff>
    </xdr:from>
    <xdr:to>
      <xdr:col>9</xdr:col>
      <xdr:colOff>415233</xdr:colOff>
      <xdr:row>37</xdr:row>
      <xdr:rowOff>56296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10"/>
  <sheetViews>
    <sheetView showGridLines="0" zoomScale="120" zoomScaleNormal="120" workbookViewId="0">
      <selection activeCell="I6" sqref="I6"/>
    </sheetView>
  </sheetViews>
  <sheetFormatPr defaultRowHeight="15" x14ac:dyDescent="0.25"/>
  <cols>
    <col min="3" max="3" width="18.5703125" customWidth="1"/>
    <col min="4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70</v>
      </c>
      <c r="D4" s="79" t="s">
        <v>71</v>
      </c>
      <c r="E4" s="79" t="s">
        <v>0</v>
      </c>
      <c r="F4" s="79" t="s">
        <v>72</v>
      </c>
      <c r="G4" s="79" t="s">
        <v>73</v>
      </c>
      <c r="L4" s="81"/>
    </row>
    <row r="5" spans="3:12" x14ac:dyDescent="0.25">
      <c r="C5" t="s">
        <v>86</v>
      </c>
      <c r="D5" s="129">
        <f>D10</f>
        <v>1751000</v>
      </c>
      <c r="E5" s="83">
        <v>3.0736618978132371</v>
      </c>
      <c r="F5" s="82">
        <v>225.94</v>
      </c>
      <c r="G5" s="84">
        <f>F10</f>
        <v>23820.403572058858</v>
      </c>
      <c r="L5" s="85"/>
    </row>
    <row r="6" spans="3:12" x14ac:dyDescent="0.25">
      <c r="C6" s="86"/>
      <c r="D6" s="87">
        <f>SUM(D5:D5)</f>
        <v>1751000</v>
      </c>
      <c r="E6" s="87"/>
      <c r="F6" s="87"/>
      <c r="G6" s="88"/>
      <c r="L6" s="85"/>
    </row>
    <row r="7" spans="3:12" x14ac:dyDescent="0.25">
      <c r="L7" s="85"/>
    </row>
    <row r="8" spans="3:12" ht="15.75" thickBot="1" x14ac:dyDescent="0.3">
      <c r="C8" s="89"/>
      <c r="K8" s="89"/>
      <c r="L8" s="90"/>
    </row>
    <row r="9" spans="3:12" ht="15.75" thickBot="1" x14ac:dyDescent="0.3">
      <c r="C9" s="122"/>
      <c r="D9" s="123" t="s">
        <v>91</v>
      </c>
      <c r="E9" s="123" t="s">
        <v>92</v>
      </c>
      <c r="F9" s="123" t="s">
        <v>69</v>
      </c>
      <c r="G9" s="123" t="s">
        <v>88</v>
      </c>
      <c r="H9" s="123" t="s">
        <v>89</v>
      </c>
    </row>
    <row r="10" spans="3:12" ht="15.75" thickBot="1" x14ac:dyDescent="0.3">
      <c r="C10" s="126" t="s">
        <v>90</v>
      </c>
      <c r="D10" s="131">
        <v>1751000</v>
      </c>
      <c r="E10" s="130">
        <v>3.0736618978132371</v>
      </c>
      <c r="F10" s="125">
        <f>H10/F5</f>
        <v>23820.403572058858</v>
      </c>
      <c r="G10" s="124">
        <v>0.6</v>
      </c>
      <c r="H10" s="127">
        <f>D5*E5</f>
        <v>5381981.983070978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91" bestFit="1" customWidth="1"/>
    <col min="2" max="2" width="8" style="91" bestFit="1" customWidth="1"/>
    <col min="3" max="3" width="40.28515625" style="91" bestFit="1" customWidth="1"/>
    <col min="4" max="4" width="7.28515625" style="91" bestFit="1" customWidth="1"/>
    <col min="5" max="5" width="4.5703125" style="91" customWidth="1"/>
    <col min="6" max="6" width="18" style="91" bestFit="1" customWidth="1"/>
    <col min="7" max="7" width="3.5703125" style="91" customWidth="1"/>
    <col min="8" max="8" width="14.140625" style="91" bestFit="1" customWidth="1"/>
    <col min="9" max="9" width="12.28515625" style="91" customWidth="1"/>
    <col min="10" max="10" width="12.140625" style="91" customWidth="1"/>
    <col min="11" max="11" width="14.28515625" style="91" customWidth="1"/>
    <col min="12" max="12" width="11.7109375" style="91" customWidth="1"/>
    <col min="13" max="16384" width="9.140625" style="91"/>
  </cols>
  <sheetData>
    <row r="1" spans="1:11" x14ac:dyDescent="0.3">
      <c r="A1" s="132" t="s">
        <v>87</v>
      </c>
      <c r="B1" s="132"/>
      <c r="C1" s="132"/>
      <c r="D1" s="132"/>
      <c r="E1" s="132"/>
      <c r="F1" s="132"/>
      <c r="G1" s="132"/>
      <c r="H1" s="132"/>
      <c r="I1" s="132"/>
      <c r="J1" s="132"/>
    </row>
    <row r="3" spans="1:11" x14ac:dyDescent="0.3">
      <c r="B3" s="92" t="s">
        <v>1</v>
      </c>
      <c r="C3" s="92"/>
      <c r="D3" s="92"/>
      <c r="H3" s="133" t="s">
        <v>94</v>
      </c>
      <c r="I3" s="134"/>
      <c r="J3" s="134"/>
      <c r="K3" s="134"/>
    </row>
    <row r="4" spans="1:11" ht="66" x14ac:dyDescent="0.3">
      <c r="B4" s="92">
        <v>2022</v>
      </c>
      <c r="C4" s="92" t="s">
        <v>74</v>
      </c>
      <c r="D4" s="93"/>
      <c r="F4" s="94" t="s">
        <v>93</v>
      </c>
      <c r="H4" s="95" t="s">
        <v>2</v>
      </c>
      <c r="I4" s="95" t="s">
        <v>75</v>
      </c>
      <c r="J4" s="95" t="s">
        <v>76</v>
      </c>
      <c r="K4" s="96" t="s">
        <v>77</v>
      </c>
    </row>
    <row r="5" spans="1:11" s="97" customFormat="1" ht="25.5" customHeight="1" x14ac:dyDescent="0.3">
      <c r="B5" s="92">
        <v>2022</v>
      </c>
      <c r="C5" s="92" t="s">
        <v>78</v>
      </c>
      <c r="D5" s="98">
        <v>225.94</v>
      </c>
      <c r="F5" s="99">
        <v>4647854</v>
      </c>
      <c r="G5" s="91"/>
      <c r="H5" s="100">
        <f>'HCC Social'!D5</f>
        <v>1751000</v>
      </c>
      <c r="I5" s="101">
        <f>'HCC Social'!G5</f>
        <v>23820.403572058858</v>
      </c>
      <c r="J5" s="102">
        <f>I5/F5</f>
        <v>5.1250326649801949E-3</v>
      </c>
      <c r="K5" s="103">
        <f>H5/I5</f>
        <v>73.508410329953804</v>
      </c>
    </row>
    <row r="6" spans="1:11" s="97" customFormat="1" x14ac:dyDescent="0.3">
      <c r="B6" s="104"/>
      <c r="C6" s="104"/>
      <c r="D6" s="105"/>
      <c r="H6" s="106" t="s">
        <v>79</v>
      </c>
    </row>
    <row r="7" spans="1:11" s="97" customFormat="1" x14ac:dyDescent="0.3">
      <c r="B7" s="104"/>
      <c r="C7" s="104"/>
      <c r="D7" s="105"/>
    </row>
    <row r="8" spans="1:11" s="97" customFormat="1" x14ac:dyDescent="0.3">
      <c r="B8" s="104"/>
      <c r="C8" s="104"/>
      <c r="D8" s="105"/>
    </row>
    <row r="10" spans="1:11" x14ac:dyDescent="0.3">
      <c r="H10" s="107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tabSelected="1" workbookViewId="0">
      <selection activeCell="D6" sqref="D6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85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68</v>
      </c>
      <c r="C2" s="70" t="s">
        <v>6</v>
      </c>
      <c r="D2" s="3" t="s">
        <v>7</v>
      </c>
      <c r="E2" s="70" t="s">
        <v>48</v>
      </c>
      <c r="F2" s="3" t="s">
        <v>69</v>
      </c>
      <c r="G2" s="1"/>
      <c r="H2" s="1"/>
      <c r="I2" s="1"/>
    </row>
    <row r="3" spans="1:9" ht="15.75" thickBot="1" x14ac:dyDescent="0.3">
      <c r="A3" s="71" t="s">
        <v>9</v>
      </c>
      <c r="B3" s="4" t="s">
        <v>86</v>
      </c>
      <c r="C3" s="72" t="s">
        <v>10</v>
      </c>
      <c r="D3" s="5" t="s">
        <v>69</v>
      </c>
      <c r="E3" s="72" t="s">
        <v>47</v>
      </c>
      <c r="F3" s="5" t="s">
        <v>83</v>
      </c>
      <c r="G3" s="1"/>
      <c r="H3" s="1"/>
      <c r="I3" s="1"/>
    </row>
    <row r="4" spans="1:9" ht="15.75" thickBot="1" x14ac:dyDescent="0.3">
      <c r="A4" s="73" t="s">
        <v>11</v>
      </c>
      <c r="B4" s="135"/>
      <c r="C4" s="136"/>
      <c r="D4" s="136"/>
      <c r="E4" s="136"/>
      <c r="F4" s="137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21">
        <v>0.8</v>
      </c>
      <c r="C6" s="121">
        <v>1.2</v>
      </c>
      <c r="D6" s="1"/>
      <c r="E6" s="1"/>
      <c r="F6" s="1"/>
      <c r="G6" s="1"/>
      <c r="H6" s="1"/>
      <c r="I6" s="1"/>
    </row>
    <row r="7" spans="1:9" x14ac:dyDescent="0.25">
      <c r="A7" s="138" t="s">
        <v>12</v>
      </c>
      <c r="B7" s="141" t="s">
        <v>13</v>
      </c>
      <c r="C7" s="141"/>
      <c r="D7" s="141" t="s">
        <v>14</v>
      </c>
      <c r="E7" s="141"/>
      <c r="F7" s="141"/>
      <c r="G7" s="141" t="s">
        <v>59</v>
      </c>
      <c r="H7" s="141"/>
      <c r="I7" s="142"/>
    </row>
    <row r="8" spans="1:9" x14ac:dyDescent="0.25">
      <c r="A8" s="139"/>
      <c r="B8" s="78" t="s">
        <v>16</v>
      </c>
      <c r="C8" s="78" t="s">
        <v>17</v>
      </c>
      <c r="D8" s="78" t="s">
        <v>44</v>
      </c>
      <c r="E8" s="78" t="s">
        <v>43</v>
      </c>
      <c r="F8" s="78" t="s">
        <v>33</v>
      </c>
      <c r="G8" s="78" t="s">
        <v>18</v>
      </c>
      <c r="H8" s="78" t="s">
        <v>19</v>
      </c>
      <c r="I8" s="75" t="s">
        <v>67</v>
      </c>
    </row>
    <row r="9" spans="1:9" ht="15.75" thickBot="1" x14ac:dyDescent="0.3">
      <c r="A9" s="140"/>
      <c r="B9" s="108"/>
      <c r="C9" s="108"/>
      <c r="D9" s="109"/>
      <c r="E9" s="110">
        <f>(('HCC Social - Power'!D9/$B$12)^$D$12)*$C$12</f>
        <v>0</v>
      </c>
      <c r="F9" s="111">
        <f>E9*F11</f>
        <v>0</v>
      </c>
      <c r="G9" s="112">
        <f>B12</f>
        <v>1751000</v>
      </c>
      <c r="H9" s="110">
        <f>(('HCC Social - Power'!G9/$B$12)^$D$12)*$C$12</f>
        <v>23820.403572058858</v>
      </c>
      <c r="I9" s="113">
        <f>H9*F11</f>
        <v>23820.403572058858</v>
      </c>
    </row>
    <row r="10" spans="1:9" ht="15.75" thickBot="1" x14ac:dyDescent="0.3"/>
    <row r="11" spans="1:9" ht="48.95" customHeight="1" x14ac:dyDescent="0.25">
      <c r="A11" s="143" t="s">
        <v>20</v>
      </c>
      <c r="B11" s="76" t="s">
        <v>21</v>
      </c>
      <c r="C11" s="76" t="s">
        <v>22</v>
      </c>
      <c r="D11" s="76" t="s">
        <v>80</v>
      </c>
      <c r="E11" s="78" t="s">
        <v>66</v>
      </c>
      <c r="F11" s="114">
        <v>1</v>
      </c>
    </row>
    <row r="12" spans="1:9" ht="40.35" customHeight="1" thickBot="1" x14ac:dyDescent="0.3">
      <c r="A12" s="143"/>
      <c r="B12" s="115">
        <f>Data!H5</f>
        <v>1751000</v>
      </c>
      <c r="C12" s="116">
        <f>Data!I5</f>
        <v>23820.403572058858</v>
      </c>
      <c r="D12" s="117">
        <f>'HCC Social'!G10</f>
        <v>0.6</v>
      </c>
      <c r="E12" s="78" t="s">
        <v>60</v>
      </c>
      <c r="F12" s="118">
        <v>1</v>
      </c>
    </row>
    <row r="13" spans="1:9" ht="18.75" customHeight="1" x14ac:dyDescent="0.25">
      <c r="A13" s="144" t="s">
        <v>81</v>
      </c>
      <c r="B13" s="145"/>
      <c r="C13" s="145"/>
      <c r="D13" s="145"/>
      <c r="E13" s="78" t="s">
        <v>65</v>
      </c>
      <c r="F13" s="78" t="s">
        <v>64</v>
      </c>
    </row>
    <row r="14" spans="1:9" ht="15.75" thickBot="1" x14ac:dyDescent="0.3">
      <c r="A14" s="146"/>
      <c r="B14" s="147"/>
      <c r="C14" s="147"/>
      <c r="D14" s="147"/>
      <c r="E14" s="74"/>
      <c r="F14" s="74"/>
    </row>
    <row r="15" spans="1:9" ht="15.75" thickBot="1" x14ac:dyDescent="0.3"/>
    <row r="16" spans="1:9" x14ac:dyDescent="0.25">
      <c r="A16" s="148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49"/>
      <c r="B17" s="9">
        <v>0</v>
      </c>
      <c r="C17" s="9">
        <v>5000000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43" t="s">
        <v>61</v>
      </c>
      <c r="B19" s="143"/>
      <c r="C19" s="143"/>
      <c r="D19" s="1"/>
    </row>
    <row r="20" spans="1:4" ht="25.5" x14ac:dyDescent="0.25">
      <c r="A20" s="78" t="s">
        <v>62</v>
      </c>
      <c r="B20" s="78" t="s">
        <v>84</v>
      </c>
      <c r="C20" s="78" t="s">
        <v>82</v>
      </c>
    </row>
    <row r="21" spans="1:4" x14ac:dyDescent="0.25">
      <c r="A21" s="119">
        <f>B17</f>
        <v>0</v>
      </c>
      <c r="B21" s="110">
        <f>(('HCC Social - Power'!A21/$B$12)^$D$12)*$C$12</f>
        <v>0</v>
      </c>
      <c r="C21" s="120">
        <f>B21*'HCC Social'!$F$5</f>
        <v>0</v>
      </c>
    </row>
    <row r="22" spans="1:4" x14ac:dyDescent="0.25">
      <c r="A22" s="119">
        <f>A21+(($C$17-$B$17)/$D$17)</f>
        <v>250000</v>
      </c>
      <c r="B22" s="110">
        <f>(('HCC Social - Power'!A22/$B$12)^$D$12)*$C$12</f>
        <v>7408.6901640745618</v>
      </c>
      <c r="C22" s="120">
        <f>B22*'HCC Social'!$F$5</f>
        <v>1673919.4556710066</v>
      </c>
      <c r="D22" s="128">
        <f>C22/A22</f>
        <v>6.6956778226840266</v>
      </c>
    </row>
    <row r="23" spans="1:4" x14ac:dyDescent="0.25">
      <c r="A23" s="119">
        <f t="shared" ref="A23:A41" si="0">A22+(($C$17-$B$17)/$D$17)</f>
        <v>500000</v>
      </c>
      <c r="B23" s="110">
        <f>(('HCC Social - Power'!A23/$B$12)^$D$12)*$C$12</f>
        <v>11229.474417830452</v>
      </c>
      <c r="C23" s="120">
        <f>B23*'HCC Social'!$F$5</f>
        <v>2537187.4499646123</v>
      </c>
      <c r="D23" s="128">
        <f t="shared" ref="D23:D41" si="1">C23/A23</f>
        <v>5.0743748999292242</v>
      </c>
    </row>
    <row r="24" spans="1:4" x14ac:dyDescent="0.25">
      <c r="A24" s="119">
        <f t="shared" si="0"/>
        <v>750000</v>
      </c>
      <c r="B24" s="110">
        <f>(('HCC Social - Power'!A24/$B$12)^$D$12)*$C$12</f>
        <v>14322.346801651498</v>
      </c>
      <c r="C24" s="120">
        <f>B24*'HCC Social'!$F$5</f>
        <v>3235991.0363651393</v>
      </c>
      <c r="D24" s="128">
        <f t="shared" si="1"/>
        <v>4.3146547151535195</v>
      </c>
    </row>
    <row r="25" spans="1:4" x14ac:dyDescent="0.25">
      <c r="A25" s="119">
        <f t="shared" si="0"/>
        <v>1000000</v>
      </c>
      <c r="B25" s="110">
        <f>(('HCC Social - Power'!A25/$B$12)^$D$12)*$C$12</f>
        <v>17020.700408310324</v>
      </c>
      <c r="C25" s="120">
        <f>B25*'HCC Social'!$F$5</f>
        <v>3845657.0502536343</v>
      </c>
      <c r="D25" s="128">
        <f t="shared" si="1"/>
        <v>3.8456570502536342</v>
      </c>
    </row>
    <row r="26" spans="1:4" x14ac:dyDescent="0.25">
      <c r="A26" s="119">
        <f t="shared" si="0"/>
        <v>1250000</v>
      </c>
      <c r="B26" s="110">
        <f>(('HCC Social - Power'!A26/$B$12)^$D$12)*$C$12</f>
        <v>19459.130710154546</v>
      </c>
      <c r="C26" s="120">
        <f>B26*'HCC Social'!$F$5</f>
        <v>4396595.9926523184</v>
      </c>
      <c r="D26" s="128">
        <f t="shared" si="1"/>
        <v>3.5172767941218548</v>
      </c>
    </row>
    <row r="27" spans="1:4" x14ac:dyDescent="0.25">
      <c r="A27" s="119">
        <f t="shared" si="0"/>
        <v>1500000</v>
      </c>
      <c r="B27" s="110">
        <f>(('HCC Social - Power'!A27/$B$12)^$D$12)*$C$12</f>
        <v>21708.618318570392</v>
      </c>
      <c r="C27" s="120">
        <f>B27*'HCC Social'!$F$5</f>
        <v>4904845.2228977941</v>
      </c>
      <c r="D27" s="128">
        <f t="shared" si="1"/>
        <v>3.2698968152651959</v>
      </c>
    </row>
    <row r="28" spans="1:4" x14ac:dyDescent="0.25">
      <c r="A28" s="119">
        <f t="shared" si="0"/>
        <v>1750000</v>
      </c>
      <c r="B28" s="110">
        <f>(('HCC Social - Power'!A28/$B$12)^$D$12)*$C$12</f>
        <v>23812.240308184086</v>
      </c>
      <c r="C28" s="120">
        <f>B28*'HCC Social'!$F$5</f>
        <v>5380137.5752311125</v>
      </c>
      <c r="D28" s="128">
        <f t="shared" si="1"/>
        <v>3.074364328703493</v>
      </c>
    </row>
    <row r="29" spans="1:4" x14ac:dyDescent="0.25">
      <c r="A29" s="119">
        <f t="shared" si="0"/>
        <v>2000000</v>
      </c>
      <c r="B29" s="110">
        <f>(('HCC Social - Power'!A29/$B$12)^$D$12)*$C$12</f>
        <v>25798.557582486257</v>
      </c>
      <c r="C29" s="120">
        <f>B29*'HCC Social'!$F$5</f>
        <v>5828926.1001869449</v>
      </c>
      <c r="D29" s="128">
        <f t="shared" si="1"/>
        <v>2.9144630500934725</v>
      </c>
    </row>
    <row r="30" spans="1:4" x14ac:dyDescent="0.25">
      <c r="A30" s="119">
        <f t="shared" si="0"/>
        <v>2250000</v>
      </c>
      <c r="B30" s="110">
        <f>(('HCC Social - Power'!A30/$B$12)^$D$12)*$C$12</f>
        <v>27687.703678238533</v>
      </c>
      <c r="C30" s="120">
        <f>B30*'HCC Social'!$F$5</f>
        <v>6255759.7690612143</v>
      </c>
      <c r="D30" s="128">
        <f t="shared" si="1"/>
        <v>2.7803376751383175</v>
      </c>
    </row>
    <row r="31" spans="1:4" x14ac:dyDescent="0.25">
      <c r="A31" s="119">
        <f t="shared" si="0"/>
        <v>2500000</v>
      </c>
      <c r="B31" s="110">
        <f>(('HCC Social - Power'!A31/$B$12)^$D$12)*$C$12</f>
        <v>29494.526787272491</v>
      </c>
      <c r="C31" s="120">
        <f>B31*'HCC Social'!$F$5</f>
        <v>6663993.3823163463</v>
      </c>
      <c r="D31" s="128">
        <f t="shared" si="1"/>
        <v>2.6655973529265387</v>
      </c>
    </row>
    <row r="32" spans="1:4" x14ac:dyDescent="0.25">
      <c r="A32" s="119">
        <f t="shared" si="0"/>
        <v>2750000</v>
      </c>
      <c r="B32" s="110">
        <f>(('HCC Social - Power'!A32/$B$12)^$D$12)*$C$12</f>
        <v>31230.363834281474</v>
      </c>
      <c r="C32" s="120">
        <f>B32*'HCC Social'!$F$5</f>
        <v>7056188.4047175562</v>
      </c>
      <c r="D32" s="128">
        <f t="shared" si="1"/>
        <v>2.565886692624566</v>
      </c>
    </row>
    <row r="33" spans="1:4" x14ac:dyDescent="0.25">
      <c r="A33" s="119">
        <f t="shared" si="0"/>
        <v>3000000</v>
      </c>
      <c r="B33" s="110">
        <f>(('HCC Social - Power'!A33/$B$12)^$D$12)*$C$12</f>
        <v>32904.112421508238</v>
      </c>
      <c r="C33" s="120">
        <f>B33*'HCC Social'!$F$5</f>
        <v>7434355.160515571</v>
      </c>
      <c r="D33" s="128">
        <f t="shared" si="1"/>
        <v>2.4781183868385237</v>
      </c>
    </row>
    <row r="34" spans="1:4" x14ac:dyDescent="0.25">
      <c r="A34" s="119">
        <f t="shared" si="0"/>
        <v>3250000</v>
      </c>
      <c r="B34" s="110">
        <f>(('HCC Social - Power'!A34/$B$12)^$D$12)*$C$12</f>
        <v>34522.913816809414</v>
      </c>
      <c r="C34" s="120">
        <f>B34*'HCC Social'!$F$5</f>
        <v>7800107.1477699187</v>
      </c>
      <c r="D34" s="128">
        <f t="shared" si="1"/>
        <v>2.4000329685445903</v>
      </c>
    </row>
    <row r="35" spans="1:4" x14ac:dyDescent="0.25">
      <c r="A35" s="119">
        <f t="shared" si="0"/>
        <v>3500000</v>
      </c>
      <c r="B35" s="110">
        <f>(('HCC Social - Power'!A35/$B$12)^$D$12)*$C$12</f>
        <v>36092.607120841283</v>
      </c>
      <c r="C35" s="120">
        <f>B35*'HCC Social'!$F$5</f>
        <v>8154763.6528828796</v>
      </c>
      <c r="D35" s="128">
        <f t="shared" si="1"/>
        <v>2.3299324722522514</v>
      </c>
    </row>
    <row r="36" spans="1:4" x14ac:dyDescent="0.25">
      <c r="A36" s="119">
        <f t="shared" si="0"/>
        <v>3750000</v>
      </c>
      <c r="B36" s="110">
        <f>(('HCC Social - Power'!A36/$B$12)^$D$12)*$C$12</f>
        <v>37618.042098851023</v>
      </c>
      <c r="C36" s="120">
        <f>B36*'HCC Social'!$F$5</f>
        <v>8499420.4318144005</v>
      </c>
      <c r="D36" s="128">
        <f t="shared" si="1"/>
        <v>2.266512115150507</v>
      </c>
    </row>
    <row r="37" spans="1:4" x14ac:dyDescent="0.25">
      <c r="A37" s="119">
        <f t="shared" si="0"/>
        <v>4000000</v>
      </c>
      <c r="B37" s="110">
        <f>(('HCC Social - Power'!A37/$B$12)^$D$12)*$C$12</f>
        <v>39103.301119846867</v>
      </c>
      <c r="C37" s="120">
        <f>B37*'HCC Social'!$F$5</f>
        <v>8834999.8550182004</v>
      </c>
      <c r="D37" s="128">
        <f t="shared" si="1"/>
        <v>2.20874996375455</v>
      </c>
    </row>
    <row r="38" spans="1:4" x14ac:dyDescent="0.25">
      <c r="A38" s="119">
        <f t="shared" si="0"/>
        <v>4250000</v>
      </c>
      <c r="B38" s="110">
        <f>(('HCC Social - Power'!A38/$B$12)^$D$12)*$C$12</f>
        <v>40551.860621591703</v>
      </c>
      <c r="C38" s="120">
        <f>B38*'HCC Social'!$F$5</f>
        <v>9162287.38884243</v>
      </c>
      <c r="D38" s="128">
        <f t="shared" si="1"/>
        <v>2.1558323267864541</v>
      </c>
    </row>
    <row r="39" spans="1:4" x14ac:dyDescent="0.25">
      <c r="A39" s="119">
        <f t="shared" si="0"/>
        <v>4500000</v>
      </c>
      <c r="B39" s="110">
        <f>(('HCC Social - Power'!A39/$B$12)^$D$12)*$C$12</f>
        <v>41966.711153737037</v>
      </c>
      <c r="C39" s="120">
        <f>B39*'HCC Social'!$F$5</f>
        <v>9481958.7180753462</v>
      </c>
      <c r="D39" s="128">
        <f t="shared" si="1"/>
        <v>2.1071019373500768</v>
      </c>
    </row>
    <row r="40" spans="1:4" x14ac:dyDescent="0.25">
      <c r="A40" s="119">
        <f t="shared" si="0"/>
        <v>4750000</v>
      </c>
      <c r="B40" s="110">
        <f>(('HCC Social - Power'!A40/$B$12)^$D$12)*$C$12</f>
        <v>43350.448326913778</v>
      </c>
      <c r="C40" s="120">
        <f>B40*'HCC Social'!$F$5</f>
        <v>9794600.294982899</v>
      </c>
      <c r="D40" s="128">
        <f t="shared" si="1"/>
        <v>2.0620211147332417</v>
      </c>
    </row>
    <row r="41" spans="1:4" x14ac:dyDescent="0.25">
      <c r="A41" s="119">
        <f t="shared" si="0"/>
        <v>5000000</v>
      </c>
      <c r="B41" s="110">
        <f>(('HCC Social - Power'!A41/$B$12)^$D$12)*$C$12</f>
        <v>44705.342872853616</v>
      </c>
      <c r="C41" s="120">
        <f>B41*'HCC Social'!$F$5</f>
        <v>10100725.168692546</v>
      </c>
      <c r="D41" s="128">
        <f t="shared" si="1"/>
        <v>2.0201450337385092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58</v>
      </c>
      <c r="D2" s="33" t="s">
        <v>6</v>
      </c>
      <c r="E2" s="2" t="s">
        <v>7</v>
      </c>
      <c r="F2" s="33" t="s">
        <v>48</v>
      </c>
      <c r="G2" s="3" t="s">
        <v>53</v>
      </c>
    </row>
    <row r="3" spans="2:18" ht="13.5" thickBot="1" x14ac:dyDescent="0.25">
      <c r="B3" s="31" t="s">
        <v>9</v>
      </c>
      <c r="C3" s="4" t="s">
        <v>57</v>
      </c>
      <c r="D3" s="34" t="s">
        <v>10</v>
      </c>
      <c r="E3" s="4" t="s">
        <v>55</v>
      </c>
      <c r="F3" s="34" t="s">
        <v>47</v>
      </c>
      <c r="G3" s="5" t="s">
        <v>54</v>
      </c>
    </row>
    <row r="4" spans="2:18" ht="15" customHeight="1" thickBot="1" x14ac:dyDescent="0.25">
      <c r="B4" s="32" t="s">
        <v>11</v>
      </c>
      <c r="C4" s="150" t="s">
        <v>46</v>
      </c>
      <c r="D4" s="150"/>
      <c r="E4" s="150"/>
      <c r="F4" s="150"/>
      <c r="G4" s="151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52" t="s">
        <v>12</v>
      </c>
      <c r="C7" s="155" t="s">
        <v>13</v>
      </c>
      <c r="D7" s="156"/>
      <c r="E7" s="157" t="s">
        <v>14</v>
      </c>
      <c r="F7" s="158"/>
      <c r="G7" s="159"/>
      <c r="H7" s="157" t="s">
        <v>15</v>
      </c>
      <c r="I7" s="163"/>
      <c r="K7" s="1" t="s">
        <v>50</v>
      </c>
    </row>
    <row r="8" spans="2:18" ht="25.5" x14ac:dyDescent="0.2">
      <c r="B8" s="153"/>
      <c r="C8" s="45" t="s">
        <v>16</v>
      </c>
      <c r="D8" s="24" t="s">
        <v>17</v>
      </c>
      <c r="E8" s="25" t="s">
        <v>44</v>
      </c>
      <c r="F8" s="45" t="s">
        <v>43</v>
      </c>
      <c r="G8" s="26" t="s">
        <v>33</v>
      </c>
      <c r="H8" s="27" t="s">
        <v>18</v>
      </c>
      <c r="I8" s="28" t="s">
        <v>19</v>
      </c>
      <c r="K8" s="1" t="s">
        <v>45</v>
      </c>
    </row>
    <row r="9" spans="2:18" ht="13.5" thickBot="1" x14ac:dyDescent="0.25">
      <c r="B9" s="154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52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34</v>
      </c>
      <c r="H11" s="23" t="s">
        <v>42</v>
      </c>
      <c r="I11" s="46" t="s">
        <v>41</v>
      </c>
    </row>
    <row r="12" spans="2:18" ht="15" customHeight="1" x14ac:dyDescent="0.2">
      <c r="B12" s="175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64" t="s">
        <v>35</v>
      </c>
      <c r="C13" s="165"/>
      <c r="D13" s="165"/>
      <c r="E13" s="165"/>
      <c r="F13" s="165"/>
      <c r="G13" s="165"/>
      <c r="H13" s="165"/>
      <c r="I13" s="166"/>
    </row>
    <row r="14" spans="2:18" ht="11.25" customHeight="1" x14ac:dyDescent="0.2">
      <c r="B14" s="167"/>
      <c r="C14" s="168"/>
      <c r="D14" s="168"/>
      <c r="E14" s="168"/>
      <c r="F14" s="168"/>
      <c r="G14" s="168"/>
      <c r="H14" s="168"/>
      <c r="I14" s="169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70" t="s">
        <v>25</v>
      </c>
      <c r="C16" s="46" t="s">
        <v>36</v>
      </c>
      <c r="D16" s="46" t="s">
        <v>37</v>
      </c>
      <c r="E16" s="46" t="s">
        <v>38</v>
      </c>
      <c r="F16" s="46" t="s">
        <v>39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71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72" t="s">
        <v>40</v>
      </c>
      <c r="C18" s="173"/>
      <c r="D18" s="173"/>
      <c r="E18" s="173"/>
      <c r="F18" s="173"/>
      <c r="G18" s="173"/>
      <c r="H18" s="173"/>
      <c r="I18" s="174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67"/>
      <c r="C19" s="168"/>
      <c r="D19" s="168"/>
      <c r="E19" s="168"/>
      <c r="F19" s="168"/>
      <c r="G19" s="168"/>
      <c r="H19" s="168"/>
      <c r="I19" s="169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70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71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60" t="s">
        <v>63</v>
      </c>
      <c r="C25" s="161"/>
      <c r="D25" s="161"/>
      <c r="E25" s="162"/>
    </row>
    <row r="26" spans="2:18" x14ac:dyDescent="0.2">
      <c r="B26" s="45" t="s">
        <v>51</v>
      </c>
      <c r="C26" s="45" t="s">
        <v>56</v>
      </c>
      <c r="D26" s="45" t="s">
        <v>52</v>
      </c>
      <c r="E26" s="45" t="s">
        <v>49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H7:I7"/>
    <mergeCell ref="B13:I14"/>
    <mergeCell ref="B16:B17"/>
    <mergeCell ref="B18:I19"/>
    <mergeCell ref="B21:B22"/>
    <mergeCell ref="B11:B12"/>
    <mergeCell ref="C4:G4"/>
    <mergeCell ref="B7:B9"/>
    <mergeCell ref="C7:D7"/>
    <mergeCell ref="E7:G7"/>
    <mergeCell ref="B25:E25"/>
  </mergeCells>
  <pageMargins left="0.7" right="0.7" top="0.75" bottom="0.75" header="0.3" footer="0.3"/>
  <pageSetup orientation="portrait" horizontalDpi="90" verticalDpi="9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D1120B54-2CAF-411F-B1E1-E6E4920527E2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HCC Social</vt:lpstr>
      <vt:lpstr>Data</vt:lpstr>
      <vt:lpstr>HCC Social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2023-07-20T09:44:25Z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78c5063c-26f9-40bf-ba92-07fd9b6c30bf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