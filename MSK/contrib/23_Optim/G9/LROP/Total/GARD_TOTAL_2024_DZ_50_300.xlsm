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PRA\G9 LROP Scenarios\G9\2024\Total\"/>
    </mc:Choice>
  </mc:AlternateContent>
  <xr:revisionPtr revIDLastSave="0" documentId="13_ncr:1_{9B54BC0A-991A-486B-AC0E-7D55964539DB}" xr6:coauthVersionLast="47" xr6:coauthVersionMax="47" xr10:uidLastSave="{00000000-0000-0000-0000-000000000000}"/>
  <bookViews>
    <workbookView xWindow="-120" yWindow="-120" windowWidth="20730" windowHeight="11310" tabRatio="709" firstSheet="7" activeTab="9" xr2:uid="{00000000-000D-0000-FFFF-FFFF00000000}"/>
  </bookViews>
  <sheets>
    <sheet name="YOY Curve comparison" sheetId="85" state="hidden" r:id="rId1"/>
    <sheet name="Scenario summary" sheetId="78" state="hidden" r:id="rId2"/>
    <sheet name="Chart - Combined" sheetId="36" state="hidden" r:id="rId3"/>
    <sheet name="Scenario deep dive" sheetId="79" state="hidden" r:id="rId4"/>
    <sheet name="Scenario deep dive_2023" sheetId="89" state="hidden" r:id="rId5"/>
    <sheet name="Senstivity" sheetId="87" state="hidden" r:id="rId6"/>
    <sheet name="Sensitivity - Template" sheetId="86" state="hidden" r:id="rId7"/>
    <sheet name="Contribution, promo eff, ROI" sheetId="80" r:id="rId8"/>
    <sheet name="Scenario summary_23_dz" sheetId="92" r:id="rId9"/>
    <sheet name="Scenario deep dive_23_dz" sheetId="91" r:id="rId10"/>
    <sheet name="VAC_Optim_Scenario" sheetId="23" r:id="rId11"/>
    <sheet name="GINOFF" sheetId="51" r:id="rId12"/>
    <sheet name="GINOFF_adt" sheetId="93" r:id="rId13"/>
    <sheet name="GMCM" sheetId="50" r:id="rId14"/>
    <sheet name="GMCM_adt" sheetId="94" r:id="rId15"/>
    <sheet name="GSOC" sheetId="82" r:id="rId16"/>
    <sheet name="GSOCIAL_adt" sheetId="95" r:id="rId17"/>
    <sheet name="GOLV" sheetId="59" r:id="rId18"/>
    <sheet name="GOLV_adt" sheetId="96" r:id="rId19"/>
    <sheet name="GSTRV" sheetId="84" r:id="rId20"/>
    <sheet name="GSTRTV_adt" sheetId="97" r:id="rId21"/>
    <sheet name="GDISP" sheetId="88" r:id="rId22"/>
    <sheet name="GDISP_adt" sheetId="98" r:id="rId23"/>
    <sheet name="GSEARCH" sheetId="77" r:id="rId24"/>
    <sheet name="GPDSRCH_adt" sheetId="99" r:id="rId25"/>
    <sheet name="GRADIO" sheetId="75" r:id="rId26"/>
    <sheet name="GAUDIO" sheetId="90" r:id="rId27"/>
    <sheet name="GTV" sheetId="74" r:id="rId28"/>
    <sheet name="GPRNT" sheetId="48" state="hidden" r:id="rId29"/>
    <sheet name="GLINEARTV_adt" sheetId="100" r:id="rId30"/>
    <sheet name="GPHRMCY_adt" sheetId="101" r:id="rId31"/>
    <sheet name="Fn.Templates ==&gt;" sheetId="3" r:id="rId32"/>
    <sheet name="FT_SCurveEst" sheetId="2" r:id="rId33"/>
    <sheet name="FT_Equation" sheetId="4" r:id="rId34"/>
    <sheet name="FT_SCurve3Est" sheetId="13" r:id="rId35"/>
    <sheet name="FT_Interpolate" sheetId="5" r:id="rId36"/>
  </sheets>
  <functionGroups builtInGroupCount="19"/>
  <externalReferences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</externalReferences>
  <definedNames>
    <definedName name="_xlnm._FilterDatabase" localSheetId="7" hidden="1">'Contribution, promo eff, ROI'!$E$26:$F$35</definedName>
    <definedName name="solver_adj" localSheetId="10" hidden="1">VAC_Optim_Scenario!$I$19:$I$27,VAC_Optim_Scenario!$I$29:$I$38</definedName>
    <definedName name="solver_cvg" localSheetId="6" hidden="1">0.0001</definedName>
    <definedName name="solver_cvg" localSheetId="5" hidden="1">0.0001</definedName>
    <definedName name="solver_cvg" localSheetId="10" hidden="1">0.0001</definedName>
    <definedName name="solver_drv" localSheetId="6" hidden="1">1</definedName>
    <definedName name="solver_drv" localSheetId="5" hidden="1">1</definedName>
    <definedName name="solver_drv" localSheetId="10" hidden="1">1</definedName>
    <definedName name="solver_eng" localSheetId="30" hidden="1">1</definedName>
    <definedName name="solver_eng" localSheetId="6" hidden="1">1</definedName>
    <definedName name="solver_eng" localSheetId="5" hidden="1">1</definedName>
    <definedName name="solver_eng" localSheetId="10" hidden="1">1</definedName>
    <definedName name="solver_est" localSheetId="6" hidden="1">1</definedName>
    <definedName name="solver_est" localSheetId="5" hidden="1">1</definedName>
    <definedName name="solver_est" localSheetId="10" hidden="1">1</definedName>
    <definedName name="solver_itr" localSheetId="6" hidden="1">2147483647</definedName>
    <definedName name="solver_itr" localSheetId="5" hidden="1">2147483647</definedName>
    <definedName name="solver_itr" localSheetId="10" hidden="1">2147483647</definedName>
    <definedName name="solver_lhs0" localSheetId="10" hidden="1">VAC_Optim_Scenario!$I$40</definedName>
    <definedName name="solver_lhs1" localSheetId="10" hidden="1">VAC_Optim_Scenario!$B$14</definedName>
    <definedName name="solver_lhs10" localSheetId="10" hidden="1">VAC_Optim_Scenario!$I$39</definedName>
    <definedName name="solver_lhs11" localSheetId="10" hidden="1">VAC_Optim_Scenario!$I$39</definedName>
    <definedName name="solver_lhs2" localSheetId="10" hidden="1">VAC_Optim_Scenario!$G$12:$G$13</definedName>
    <definedName name="solver_lhs3" localSheetId="10" hidden="1">VAC_Optim_Scenario!$G$12:$G$13</definedName>
    <definedName name="solver_lhs4" localSheetId="10" hidden="1">VAC_Optim_Scenario!$I$19:$I$27</definedName>
    <definedName name="solver_lhs5" localSheetId="10" hidden="1">VAC_Optim_Scenario!$I$19:$I$27</definedName>
    <definedName name="solver_lhs6" localSheetId="10" hidden="1">VAC_Optim_Scenario!$I$29:$I$38</definedName>
    <definedName name="solver_lhs7" localSheetId="10" hidden="1">VAC_Optim_Scenario!$I$29:$I$38</definedName>
    <definedName name="solver_lhs8" localSheetId="10" hidden="1">VAC_Optim_Scenario!$I$39</definedName>
    <definedName name="solver_lhs9" localSheetId="10" hidden="1">VAC_Optim_Scenario!$I$39</definedName>
    <definedName name="solver_mip" localSheetId="6" hidden="1">2147483647</definedName>
    <definedName name="solver_mip" localSheetId="5" hidden="1">2147483647</definedName>
    <definedName name="solver_mip" localSheetId="10" hidden="1">2147483647</definedName>
    <definedName name="solver_mni" localSheetId="6" hidden="1">30</definedName>
    <definedName name="solver_mni" localSheetId="5" hidden="1">30</definedName>
    <definedName name="solver_mni" localSheetId="10" hidden="1">30</definedName>
    <definedName name="solver_mrt" localSheetId="6" hidden="1">0.075</definedName>
    <definedName name="solver_mrt" localSheetId="5" hidden="1">0.075</definedName>
    <definedName name="solver_mrt" localSheetId="10" hidden="1">0.075</definedName>
    <definedName name="solver_msl" localSheetId="6" hidden="1">2</definedName>
    <definedName name="solver_msl" localSheetId="5" hidden="1">2</definedName>
    <definedName name="solver_msl" localSheetId="10" hidden="1">2</definedName>
    <definedName name="solver_neg" localSheetId="30" hidden="1">1</definedName>
    <definedName name="solver_neg" localSheetId="6" hidden="1">1</definedName>
    <definedName name="solver_neg" localSheetId="5" hidden="1">1</definedName>
    <definedName name="solver_neg" localSheetId="10" hidden="1">1</definedName>
    <definedName name="solver_nod" localSheetId="6" hidden="1">2147483647</definedName>
    <definedName name="solver_nod" localSheetId="5" hidden="1">2147483647</definedName>
    <definedName name="solver_nod" localSheetId="10" hidden="1">2147483647</definedName>
    <definedName name="solver_num" localSheetId="30" hidden="1">0</definedName>
    <definedName name="solver_num" localSheetId="6" hidden="1">0</definedName>
    <definedName name="solver_num" localSheetId="5" hidden="1">0</definedName>
    <definedName name="solver_num" localSheetId="10" hidden="1">7</definedName>
    <definedName name="solver_nwt" localSheetId="6" hidden="1">1</definedName>
    <definedName name="solver_nwt" localSheetId="5" hidden="1">1</definedName>
    <definedName name="solver_nwt" localSheetId="10" hidden="1">1</definedName>
    <definedName name="solver_opt" localSheetId="30" hidden="1">GPHRMCY_adt!$I$12</definedName>
    <definedName name="solver_opt" localSheetId="6" hidden="1">'Sensitivity - Template'!$F$6</definedName>
    <definedName name="solver_opt" localSheetId="5" hidden="1">Senstivity!$F$6</definedName>
    <definedName name="solver_opt" localSheetId="10" hidden="1">VAC_Optim_Scenario!$B$9</definedName>
    <definedName name="solver_pre" localSheetId="6" hidden="1">0.000001</definedName>
    <definedName name="solver_pre" localSheetId="5" hidden="1">0.000001</definedName>
    <definedName name="solver_pre" localSheetId="10" hidden="1">0.00000001</definedName>
    <definedName name="solver_rbv" localSheetId="6" hidden="1">1</definedName>
    <definedName name="solver_rbv" localSheetId="5" hidden="1">1</definedName>
    <definedName name="solver_rbv" localSheetId="10" hidden="1">1</definedName>
    <definedName name="solver_rel0" localSheetId="10" hidden="1">3</definedName>
    <definedName name="solver_rel1" localSheetId="10" hidden="1">2</definedName>
    <definedName name="solver_rel10" localSheetId="10" hidden="1">3</definedName>
    <definedName name="solver_rel11" localSheetId="10" hidden="1">3</definedName>
    <definedName name="solver_rel2" localSheetId="10" hidden="1">1</definedName>
    <definedName name="solver_rel3" localSheetId="10" hidden="1">3</definedName>
    <definedName name="solver_rel4" localSheetId="10" hidden="1">1</definedName>
    <definedName name="solver_rel5" localSheetId="10" hidden="1">3</definedName>
    <definedName name="solver_rel6" localSheetId="10" hidden="1">1</definedName>
    <definedName name="solver_rel7" localSheetId="10" hidden="1">3</definedName>
    <definedName name="solver_rel8" localSheetId="10" hidden="1">3</definedName>
    <definedName name="solver_rel9" localSheetId="10" hidden="1">3</definedName>
    <definedName name="solver_rhs0" localSheetId="10" hidden="1">VAC_Optim_Scenario!$C$14</definedName>
    <definedName name="solver_rhs1" localSheetId="10" hidden="1">VAC_Optim_Scenario!$I$40</definedName>
    <definedName name="solver_rhs10" localSheetId="10" hidden="1">VAC_Optim_Scenario!$G$39</definedName>
    <definedName name="solver_rhs11" localSheetId="10" hidden="1">VAC_Optim_Scenario!$G$39</definedName>
    <definedName name="solver_rhs2" localSheetId="10" hidden="1">VAC_Optim_Scenario!$D$12:$D$13</definedName>
    <definedName name="solver_rhs3" localSheetId="10" hidden="1">VAC_Optim_Scenario!$C$12:$C$13</definedName>
    <definedName name="solver_rhs4" localSheetId="10" hidden="1">VAC_Optim_Scenario!$H$19:$H$27</definedName>
    <definedName name="solver_rhs5" localSheetId="10" hidden="1">VAC_Optim_Scenario!$G$19:$G$27</definedName>
    <definedName name="solver_rhs6" localSheetId="10" hidden="1">VAC_Optim_Scenario!$H$29:$H$38</definedName>
    <definedName name="solver_rhs7" localSheetId="10" hidden="1">VAC_Optim_Scenario!$G$29:$G$38</definedName>
    <definedName name="solver_rhs8" localSheetId="10" hidden="1">VAC_Optim_Scenario!$G$39</definedName>
    <definedName name="solver_rhs9" localSheetId="10" hidden="1">VAC_Optim_Scenario!$G$39</definedName>
    <definedName name="solver_rlx" localSheetId="6" hidden="1">2</definedName>
    <definedName name="solver_rlx" localSheetId="5" hidden="1">2</definedName>
    <definedName name="solver_rlx" localSheetId="10" hidden="1">2</definedName>
    <definedName name="solver_rsd" localSheetId="6" hidden="1">0</definedName>
    <definedName name="solver_rsd" localSheetId="5" hidden="1">0</definedName>
    <definedName name="solver_rsd" localSheetId="10" hidden="1">0</definedName>
    <definedName name="solver_scl" localSheetId="6" hidden="1">1</definedName>
    <definedName name="solver_scl" localSheetId="5" hidden="1">1</definedName>
    <definedName name="solver_scl" localSheetId="10" hidden="1">1</definedName>
    <definedName name="solver_sho" localSheetId="6" hidden="1">2</definedName>
    <definedName name="solver_sho" localSheetId="5" hidden="1">2</definedName>
    <definedName name="solver_sho" localSheetId="10" hidden="1">2</definedName>
    <definedName name="solver_ssz" localSheetId="6" hidden="1">100</definedName>
    <definedName name="solver_ssz" localSheetId="5" hidden="1">100</definedName>
    <definedName name="solver_ssz" localSheetId="10" hidden="1">100</definedName>
    <definedName name="solver_tim" localSheetId="6" hidden="1">2147483647</definedName>
    <definedName name="solver_tim" localSheetId="5" hidden="1">2147483647</definedName>
    <definedName name="solver_tim" localSheetId="10" hidden="1">2147483647</definedName>
    <definedName name="solver_tol" localSheetId="6" hidden="1">0.01</definedName>
    <definedName name="solver_tol" localSheetId="5" hidden="1">0.01</definedName>
    <definedName name="solver_tol" localSheetId="10" hidden="1">0.01</definedName>
    <definedName name="solver_typ" localSheetId="30" hidden="1">1</definedName>
    <definedName name="solver_typ" localSheetId="6" hidden="1">1</definedName>
    <definedName name="solver_typ" localSheetId="5" hidden="1">1</definedName>
    <definedName name="solver_typ" localSheetId="10" hidden="1">1</definedName>
    <definedName name="solver_val" localSheetId="30" hidden="1">0</definedName>
    <definedName name="solver_val" localSheetId="6" hidden="1">0</definedName>
    <definedName name="solver_val" localSheetId="5" hidden="1">0</definedName>
    <definedName name="solver_val" localSheetId="10" hidden="1">0</definedName>
    <definedName name="solver_ver" localSheetId="30" hidden="1">3</definedName>
    <definedName name="solver_ver" localSheetId="6" hidden="1">3</definedName>
    <definedName name="solver_ver" localSheetId="5" hidden="1">3</definedName>
    <definedName name="solver_ver" localSheetId="1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4" i="90" l="1"/>
  <c r="E14" i="90"/>
  <c r="H14" i="101"/>
  <c r="G14" i="101"/>
  <c r="D23" i="80"/>
  <c r="D14" i="80"/>
  <c r="D15" i="80"/>
  <c r="D16" i="80"/>
  <c r="D17" i="80"/>
  <c r="D18" i="80"/>
  <c r="D19" i="80"/>
  <c r="D20" i="80"/>
  <c r="D21" i="80"/>
  <c r="D22" i="80"/>
  <c r="D13" i="80"/>
  <c r="R13" i="80" a="1"/>
  <c r="Q14" i="80" a="1"/>
  <c r="R21" i="80" a="1"/>
  <c r="R20" i="80" a="1"/>
  <c r="R15" i="80" a="1"/>
  <c r="R22" i="80" a="1"/>
  <c r="Q15" i="80" a="1"/>
  <c r="Q21" i="80" a="1"/>
  <c r="Q22" i="80" a="1"/>
  <c r="R18" i="80" a="1"/>
  <c r="Q17" i="80" a="1"/>
  <c r="R19" i="80" a="1"/>
  <c r="R17" i="80" a="1"/>
  <c r="Q16" i="80" a="1"/>
  <c r="Q19" i="80" a="1"/>
  <c r="Q20" i="80" a="1"/>
  <c r="Q13" i="80" a="1"/>
  <c r="Q18" i="80" a="1"/>
  <c r="R16" i="80" a="1"/>
  <c r="R14" i="80" a="1"/>
  <c r="R22" i="80" l="1"/>
  <c r="R20" i="80"/>
  <c r="R19" i="80"/>
  <c r="R18" i="80"/>
  <c r="R17" i="80"/>
  <c r="R16" i="80"/>
  <c r="R15" i="80"/>
  <c r="R14" i="80"/>
  <c r="R13" i="80"/>
  <c r="R21" i="80"/>
  <c r="Q22" i="80"/>
  <c r="Q21" i="80"/>
  <c r="Q20" i="80"/>
  <c r="Q19" i="80"/>
  <c r="Q18" i="80"/>
  <c r="Q17" i="80"/>
  <c r="Q16" i="80"/>
  <c r="Q15" i="80"/>
  <c r="Q14" i="80"/>
  <c r="Q13" i="80"/>
  <c r="A24" i="88" l="1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42" i="88" s="1"/>
  <c r="A43" i="88" s="1"/>
  <c r="A44" i="88" s="1"/>
  <c r="A23" i="88"/>
  <c r="D5" i="80"/>
  <c r="D6" i="80"/>
  <c r="D7" i="80"/>
  <c r="D8" i="80"/>
  <c r="D9" i="80"/>
  <c r="D10" i="80"/>
  <c r="D11" i="80"/>
  <c r="D12" i="80"/>
  <c r="D4" i="80"/>
  <c r="Q7" i="80" a="1"/>
  <c r="Q6" i="80" a="1"/>
  <c r="R12" i="80" a="1"/>
  <c r="R8" i="80" a="1"/>
  <c r="Q4" i="80" a="1"/>
  <c r="Q9" i="80" a="1"/>
  <c r="R4" i="80" a="1"/>
  <c r="Q12" i="80" a="1"/>
  <c r="Q11" i="80" a="1"/>
  <c r="Q10" i="80" a="1"/>
  <c r="R10" i="80" a="1"/>
  <c r="R9" i="80" a="1"/>
  <c r="Q8" i="80" a="1"/>
  <c r="R7" i="80" a="1"/>
  <c r="R6" i="80" a="1"/>
  <c r="R11" i="80" a="1"/>
  <c r="Q4" i="80" l="1"/>
  <c r="Q6" i="80"/>
  <c r="Q7" i="80"/>
  <c r="Q8" i="80"/>
  <c r="Q9" i="80"/>
  <c r="Q10" i="80"/>
  <c r="Q12" i="80"/>
  <c r="R4" i="80"/>
  <c r="R6" i="80"/>
  <c r="R7" i="80"/>
  <c r="R8" i="80"/>
  <c r="R9" i="80"/>
  <c r="R10" i="80"/>
  <c r="R11" i="80"/>
  <c r="R12" i="80"/>
  <c r="Q11" i="80"/>
  <c r="C54" i="91" l="1"/>
  <c r="B54" i="91"/>
  <c r="B53" i="91"/>
  <c r="P27" i="91"/>
  <c r="P54" i="91" s="1"/>
  <c r="N27" i="91"/>
  <c r="N54" i="91" s="1"/>
  <c r="P26" i="91"/>
  <c r="P53" i="91" s="1"/>
  <c r="N26" i="91"/>
  <c r="N53" i="91" s="1"/>
  <c r="L27" i="91"/>
  <c r="L54" i="91" s="1"/>
  <c r="J27" i="91"/>
  <c r="J54" i="91" s="1"/>
  <c r="L26" i="91"/>
  <c r="L53" i="91" s="1"/>
  <c r="J26" i="91"/>
  <c r="J53" i="91" s="1"/>
  <c r="H27" i="91"/>
  <c r="H54" i="91" s="1"/>
  <c r="H26" i="91"/>
  <c r="H53" i="91" s="1"/>
  <c r="F27" i="91"/>
  <c r="F54" i="91" s="1"/>
  <c r="F26" i="91"/>
  <c r="F53" i="91" s="1"/>
  <c r="G9" i="90" l="1"/>
  <c r="D9" i="90"/>
  <c r="B9" i="90"/>
  <c r="B13" i="23"/>
  <c r="C21" i="80"/>
  <c r="C22" i="80"/>
  <c r="N51" i="91"/>
  <c r="O51" i="91"/>
  <c r="P51" i="91"/>
  <c r="N52" i="91"/>
  <c r="O52" i="91"/>
  <c r="P52" i="91"/>
  <c r="J51" i="91"/>
  <c r="K51" i="91"/>
  <c r="L51" i="91"/>
  <c r="J52" i="91"/>
  <c r="K52" i="91"/>
  <c r="L52" i="91"/>
  <c r="F51" i="91"/>
  <c r="G51" i="91"/>
  <c r="H51" i="91"/>
  <c r="F52" i="91"/>
  <c r="G52" i="91"/>
  <c r="H52" i="91"/>
  <c r="P28" i="91"/>
  <c r="P30" i="91" s="1"/>
  <c r="N28" i="91"/>
  <c r="L28" i="91"/>
  <c r="L30" i="91" s="1"/>
  <c r="J28" i="91"/>
  <c r="H28" i="91"/>
  <c r="H30" i="91" s="1"/>
  <c r="F28" i="91"/>
  <c r="C24" i="91"/>
  <c r="C51" i="91" s="1"/>
  <c r="C25" i="91"/>
  <c r="C52" i="91" s="1"/>
  <c r="B24" i="91"/>
  <c r="B51" i="91" s="1"/>
  <c r="B25" i="91"/>
  <c r="B52" i="91" s="1"/>
  <c r="A24" i="91"/>
  <c r="A51" i="91" s="1"/>
  <c r="A25" i="91"/>
  <c r="A52" i="91" s="1"/>
  <c r="H67" i="23"/>
  <c r="K67" i="23" s="1"/>
  <c r="M67" i="23" s="1"/>
  <c r="H68" i="23"/>
  <c r="K68" i="23" s="1"/>
  <c r="M68" i="23" s="1"/>
  <c r="D67" i="23"/>
  <c r="D68" i="23"/>
  <c r="D69" i="23"/>
  <c r="C60" i="23"/>
  <c r="C61" i="23"/>
  <c r="C62" i="23"/>
  <c r="C63" i="23"/>
  <c r="C64" i="23"/>
  <c r="C65" i="23"/>
  <c r="C66" i="23"/>
  <c r="C67" i="23"/>
  <c r="C68" i="23"/>
  <c r="C59" i="23"/>
  <c r="B60" i="23"/>
  <c r="B61" i="23"/>
  <c r="B62" i="23"/>
  <c r="B63" i="23"/>
  <c r="B64" i="23"/>
  <c r="B65" i="23"/>
  <c r="B66" i="23"/>
  <c r="B67" i="23"/>
  <c r="B68" i="23"/>
  <c r="B69" i="23"/>
  <c r="B59" i="23"/>
  <c r="A58" i="23"/>
  <c r="G38" i="23"/>
  <c r="H38" i="23"/>
  <c r="C9" i="101" s="1"/>
  <c r="G9" i="101"/>
  <c r="D9" i="101"/>
  <c r="B9" i="101"/>
  <c r="A22" i="101"/>
  <c r="A23" i="101" s="1"/>
  <c r="A24" i="101" s="1"/>
  <c r="A25" i="101" s="1"/>
  <c r="A26" i="101" s="1"/>
  <c r="A27" i="101" s="1"/>
  <c r="A28" i="101" s="1"/>
  <c r="A29" i="101" s="1"/>
  <c r="A30" i="101" s="1"/>
  <c r="A31" i="101" s="1"/>
  <c r="A32" i="101" s="1"/>
  <c r="A33" i="101" s="1"/>
  <c r="A34" i="101" s="1"/>
  <c r="A35" i="101" s="1"/>
  <c r="A36" i="101" s="1"/>
  <c r="A37" i="101" s="1"/>
  <c r="A38" i="101" s="1"/>
  <c r="A39" i="101" s="1"/>
  <c r="A40" i="101" s="1"/>
  <c r="A41" i="101" s="1"/>
  <c r="A42" i="101" s="1"/>
  <c r="I12" i="101"/>
  <c r="G12" i="101"/>
  <c r="F12" i="101"/>
  <c r="L12" i="101" s="1"/>
  <c r="M12" i="101" s="1"/>
  <c r="E12" i="101"/>
  <c r="D12" i="101"/>
  <c r="C12" i="101"/>
  <c r="H12" i="101" s="1"/>
  <c r="B12" i="101"/>
  <c r="N12" i="101" s="1"/>
  <c r="C6" i="101"/>
  <c r="B6" i="101"/>
  <c r="K37" i="23"/>
  <c r="M37" i="23" s="1"/>
  <c r="K38" i="23"/>
  <c r="M38" i="23" s="1"/>
  <c r="G37" i="23"/>
  <c r="H37" i="23"/>
  <c r="C9" i="90" s="1"/>
  <c r="I40" i="23"/>
  <c r="I39" i="23"/>
  <c r="H69" i="23" s="1"/>
  <c r="K69" i="23" s="1"/>
  <c r="M69" i="23" s="1"/>
  <c r="E40" i="23"/>
  <c r="E39" i="23"/>
  <c r="R25" i="91" l="1"/>
  <c r="S25" i="91" s="1"/>
  <c r="R24" i="91"/>
  <c r="S24" i="91" s="1"/>
  <c r="P12" i="101"/>
  <c r="Q12" i="101" s="1"/>
  <c r="R12" i="101"/>
  <c r="O12" i="101"/>
  <c r="B41" i="101" l="1"/>
  <c r="B37" i="101"/>
  <c r="B33" i="101"/>
  <c r="B29" i="101"/>
  <c r="B25" i="101"/>
  <c r="B26" i="101"/>
  <c r="B40" i="101"/>
  <c r="B36" i="101"/>
  <c r="B32" i="101"/>
  <c r="B28" i="101"/>
  <c r="B24" i="101"/>
  <c r="B34" i="101"/>
  <c r="B39" i="101"/>
  <c r="B35" i="101"/>
  <c r="B31" i="101"/>
  <c r="B27" i="101"/>
  <c r="B23" i="101"/>
  <c r="B22" i="101"/>
  <c r="E9" i="101"/>
  <c r="F9" i="101" s="1"/>
  <c r="J38" i="23" s="1"/>
  <c r="I68" i="23" s="1"/>
  <c r="J68" i="23" s="1"/>
  <c r="B42" i="101"/>
  <c r="B38" i="101"/>
  <c r="B30" i="101"/>
  <c r="H9" i="101"/>
  <c r="I9" i="101" s="1"/>
  <c r="T25" i="91" l="1"/>
  <c r="J9" i="101"/>
  <c r="F38" i="23"/>
  <c r="E42" i="101"/>
  <c r="D42" i="101"/>
  <c r="C42" i="101"/>
  <c r="C36" i="101"/>
  <c r="E36" i="101"/>
  <c r="D36" i="101"/>
  <c r="D31" i="101"/>
  <c r="C31" i="101"/>
  <c r="E31" i="101"/>
  <c r="E33" i="101"/>
  <c r="D33" i="101"/>
  <c r="C33" i="101"/>
  <c r="E34" i="101"/>
  <c r="D34" i="101"/>
  <c r="C34" i="101"/>
  <c r="C24" i="101"/>
  <c r="E24" i="101"/>
  <c r="D24" i="101"/>
  <c r="E30" i="101"/>
  <c r="D30" i="101"/>
  <c r="C30" i="101"/>
  <c r="D35" i="101"/>
  <c r="C35" i="101"/>
  <c r="E35" i="101"/>
  <c r="C28" i="101"/>
  <c r="E28" i="101"/>
  <c r="D28" i="101"/>
  <c r="E26" i="101"/>
  <c r="D26" i="101"/>
  <c r="C26" i="101"/>
  <c r="E37" i="101"/>
  <c r="C37" i="101"/>
  <c r="D37" i="101"/>
  <c r="D27" i="101"/>
  <c r="C27" i="101"/>
  <c r="E27" i="101"/>
  <c r="E29" i="101"/>
  <c r="C29" i="101"/>
  <c r="D29" i="101"/>
  <c r="C40" i="101"/>
  <c r="D40" i="101"/>
  <c r="E40" i="101"/>
  <c r="E22" i="101"/>
  <c r="C22" i="101"/>
  <c r="E38" i="101"/>
  <c r="D38" i="101"/>
  <c r="C38" i="101"/>
  <c r="D23" i="101"/>
  <c r="C23" i="101"/>
  <c r="E23" i="101"/>
  <c r="D39" i="101"/>
  <c r="C39" i="101"/>
  <c r="E39" i="101"/>
  <c r="C32" i="101"/>
  <c r="D32" i="101"/>
  <c r="E32" i="101"/>
  <c r="E25" i="101"/>
  <c r="C25" i="101"/>
  <c r="D25" i="101"/>
  <c r="E41" i="101"/>
  <c r="C41" i="101"/>
  <c r="D41" i="101"/>
  <c r="J22" i="80"/>
  <c r="L38" i="23" l="1"/>
  <c r="N38" i="23" s="1"/>
  <c r="F68" i="23"/>
  <c r="G68" i="23" s="1"/>
  <c r="F22" i="80" s="1"/>
  <c r="E22" i="80"/>
  <c r="I22" i="80" s="1"/>
  <c r="F50" i="80" s="1"/>
  <c r="D12" i="100"/>
  <c r="C12" i="100"/>
  <c r="B12" i="100"/>
  <c r="H22" i="80" l="1"/>
  <c r="G22" i="80"/>
  <c r="D25" i="91"/>
  <c r="D52" i="91" s="1"/>
  <c r="L68" i="23"/>
  <c r="N68" i="23" s="1"/>
  <c r="D12" i="90"/>
  <c r="C12" i="90"/>
  <c r="B12" i="90"/>
  <c r="D12" i="99" l="1"/>
  <c r="C12" i="99"/>
  <c r="B12" i="99"/>
  <c r="D12" i="98" l="1"/>
  <c r="C12" i="98"/>
  <c r="B12" i="98"/>
  <c r="D12" i="97" l="1"/>
  <c r="C12" i="97"/>
  <c r="B12" i="97"/>
  <c r="F12" i="96" l="1"/>
  <c r="E12" i="96"/>
  <c r="D12" i="96"/>
  <c r="C12" i="96"/>
  <c r="B12" i="96"/>
  <c r="D12" i="95" l="1"/>
  <c r="C12" i="95"/>
  <c r="B12" i="95"/>
  <c r="F12" i="94" l="1"/>
  <c r="E12" i="94"/>
  <c r="D12" i="94"/>
  <c r="C12" i="94"/>
  <c r="B12" i="94"/>
  <c r="F12" i="93" l="1"/>
  <c r="E12" i="93"/>
  <c r="D12" i="93"/>
  <c r="C12" i="93"/>
  <c r="B12" i="93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0" l="1"/>
  <c r="E12" i="50"/>
  <c r="D12" i="50"/>
  <c r="C12" i="50"/>
  <c r="B12" i="50"/>
  <c r="F12" i="51" l="1"/>
  <c r="E12" i="51"/>
  <c r="D12" i="51"/>
  <c r="C12" i="51"/>
  <c r="B12" i="51"/>
  <c r="B12" i="23" l="1"/>
  <c r="I28" i="23"/>
  <c r="G14" i="23"/>
  <c r="B14" i="23"/>
  <c r="G13" i="23"/>
  <c r="E28" i="23"/>
  <c r="D58" i="23" s="1"/>
  <c r="G12" i="23" l="1"/>
  <c r="H58" i="23"/>
  <c r="K58" i="23" s="1"/>
  <c r="M58" i="23" s="1"/>
  <c r="D13" i="23"/>
  <c r="D12" i="23"/>
  <c r="C12" i="23"/>
  <c r="C13" i="23"/>
  <c r="G14" i="92" l="1"/>
  <c r="G13" i="92"/>
  <c r="C12" i="80" l="1"/>
  <c r="C13" i="80"/>
  <c r="C14" i="80"/>
  <c r="C15" i="80"/>
  <c r="C16" i="80"/>
  <c r="C17" i="80"/>
  <c r="C18" i="80"/>
  <c r="C19" i="80"/>
  <c r="C20" i="80"/>
  <c r="J43" i="91"/>
  <c r="K43" i="91"/>
  <c r="L43" i="91"/>
  <c r="J44" i="91"/>
  <c r="K44" i="91"/>
  <c r="L44" i="91"/>
  <c r="J45" i="91"/>
  <c r="K45" i="91"/>
  <c r="L45" i="91"/>
  <c r="J46" i="91"/>
  <c r="K46" i="91"/>
  <c r="L46" i="91"/>
  <c r="J47" i="91"/>
  <c r="K47" i="91"/>
  <c r="L47" i="91"/>
  <c r="J48" i="91"/>
  <c r="K48" i="91"/>
  <c r="L48" i="91"/>
  <c r="J49" i="91"/>
  <c r="K49" i="91"/>
  <c r="L49" i="91"/>
  <c r="J50" i="91"/>
  <c r="K50" i="91"/>
  <c r="L50" i="91"/>
  <c r="N43" i="91"/>
  <c r="O43" i="91"/>
  <c r="P43" i="91"/>
  <c r="N44" i="91"/>
  <c r="O44" i="91"/>
  <c r="P44" i="91"/>
  <c r="N45" i="91"/>
  <c r="O45" i="91"/>
  <c r="P45" i="91"/>
  <c r="N46" i="91"/>
  <c r="O46" i="91"/>
  <c r="P46" i="91"/>
  <c r="N47" i="91"/>
  <c r="O47" i="91"/>
  <c r="P47" i="91"/>
  <c r="N48" i="91"/>
  <c r="O48" i="91"/>
  <c r="P48" i="91"/>
  <c r="N49" i="91"/>
  <c r="O49" i="91"/>
  <c r="P49" i="91"/>
  <c r="N50" i="91"/>
  <c r="O50" i="91"/>
  <c r="P50" i="91"/>
  <c r="F43" i="91"/>
  <c r="G43" i="91"/>
  <c r="H43" i="91"/>
  <c r="F44" i="91"/>
  <c r="G44" i="91"/>
  <c r="H44" i="91"/>
  <c r="F45" i="91"/>
  <c r="G45" i="91"/>
  <c r="H45" i="91"/>
  <c r="F46" i="91"/>
  <c r="G46" i="91"/>
  <c r="H46" i="91"/>
  <c r="F47" i="91"/>
  <c r="G47" i="91"/>
  <c r="H47" i="91"/>
  <c r="F48" i="91"/>
  <c r="G48" i="91"/>
  <c r="H48" i="91"/>
  <c r="F49" i="91"/>
  <c r="G49" i="91"/>
  <c r="H49" i="91"/>
  <c r="F50" i="91"/>
  <c r="G50" i="91"/>
  <c r="H50" i="91"/>
  <c r="C17" i="91"/>
  <c r="C44" i="91" s="1"/>
  <c r="C18" i="91"/>
  <c r="C45" i="91" s="1"/>
  <c r="C19" i="91"/>
  <c r="C46" i="91" s="1"/>
  <c r="C20" i="91"/>
  <c r="C47" i="91" s="1"/>
  <c r="C21" i="91"/>
  <c r="C48" i="91" s="1"/>
  <c r="C22" i="91"/>
  <c r="C49" i="91" s="1"/>
  <c r="C23" i="91"/>
  <c r="C50" i="91" s="1"/>
  <c r="C16" i="91"/>
  <c r="B16" i="91"/>
  <c r="B43" i="91" s="1"/>
  <c r="B17" i="91"/>
  <c r="B44" i="91" s="1"/>
  <c r="B18" i="91"/>
  <c r="B45" i="91" s="1"/>
  <c r="B19" i="91"/>
  <c r="B46" i="91" s="1"/>
  <c r="B20" i="91"/>
  <c r="B47" i="91" s="1"/>
  <c r="B21" i="91"/>
  <c r="B48" i="91" s="1"/>
  <c r="B22" i="91"/>
  <c r="B49" i="91" s="1"/>
  <c r="B23" i="91"/>
  <c r="B50" i="91" s="1"/>
  <c r="A16" i="91"/>
  <c r="A43" i="91" s="1"/>
  <c r="A17" i="91"/>
  <c r="A44" i="91" s="1"/>
  <c r="A18" i="91"/>
  <c r="A45" i="91" s="1"/>
  <c r="A19" i="91"/>
  <c r="A46" i="91" s="1"/>
  <c r="A20" i="91"/>
  <c r="A47" i="91" s="1"/>
  <c r="A21" i="91"/>
  <c r="A48" i="91" s="1"/>
  <c r="A22" i="91"/>
  <c r="A49" i="91" s="1"/>
  <c r="A23" i="91"/>
  <c r="A50" i="91" s="1"/>
  <c r="A11" i="91"/>
  <c r="A38" i="91" s="1"/>
  <c r="H59" i="23"/>
  <c r="H60" i="23"/>
  <c r="H61" i="23"/>
  <c r="H62" i="23"/>
  <c r="H63" i="23"/>
  <c r="H64" i="23"/>
  <c r="H65" i="23"/>
  <c r="H66" i="23"/>
  <c r="D59" i="23"/>
  <c r="D60" i="23"/>
  <c r="D61" i="23"/>
  <c r="D62" i="23"/>
  <c r="D63" i="23"/>
  <c r="D64" i="23"/>
  <c r="D65" i="23"/>
  <c r="D66" i="23"/>
  <c r="F14" i="100"/>
  <c r="F12" i="100"/>
  <c r="G9" i="100"/>
  <c r="D9" i="100"/>
  <c r="A22" i="100"/>
  <c r="A21" i="100"/>
  <c r="F14" i="99"/>
  <c r="F12" i="99"/>
  <c r="G9" i="99"/>
  <c r="D9" i="99"/>
  <c r="A22" i="99"/>
  <c r="A23" i="99" s="1"/>
  <c r="A21" i="99"/>
  <c r="G12" i="99"/>
  <c r="F12" i="98"/>
  <c r="G9" i="98"/>
  <c r="D9" i="98"/>
  <c r="A22" i="98"/>
  <c r="A23" i="98" s="1"/>
  <c r="A21" i="98"/>
  <c r="G12" i="98"/>
  <c r="F14" i="97"/>
  <c r="F12" i="97"/>
  <c r="G9" i="97"/>
  <c r="D9" i="97"/>
  <c r="A22" i="97"/>
  <c r="A23" i="97" s="1"/>
  <c r="A21" i="97"/>
  <c r="G12" i="97"/>
  <c r="G12" i="96"/>
  <c r="I12" i="96"/>
  <c r="G9" i="96"/>
  <c r="D9" i="96"/>
  <c r="A22" i="96"/>
  <c r="A23" i="96" s="1"/>
  <c r="A24" i="96" s="1"/>
  <c r="A25" i="96" s="1"/>
  <c r="A26" i="96" s="1"/>
  <c r="A27" i="96" s="1"/>
  <c r="A28" i="96" s="1"/>
  <c r="A29" i="96" s="1"/>
  <c r="A30" i="96" s="1"/>
  <c r="A31" i="96" s="1"/>
  <c r="A32" i="96" s="1"/>
  <c r="A33" i="96" s="1"/>
  <c r="A34" i="96" s="1"/>
  <c r="A35" i="96" s="1"/>
  <c r="A36" i="96" s="1"/>
  <c r="A37" i="96" s="1"/>
  <c r="A38" i="96" s="1"/>
  <c r="A39" i="96" s="1"/>
  <c r="A40" i="96" s="1"/>
  <c r="A41" i="96" s="1"/>
  <c r="A42" i="96" s="1"/>
  <c r="N12" i="96"/>
  <c r="C6" i="96"/>
  <c r="B6" i="96"/>
  <c r="F12" i="95"/>
  <c r="G9" i="95"/>
  <c r="D9" i="95"/>
  <c r="A22" i="95"/>
  <c r="A23" i="95" s="1"/>
  <c r="A21" i="95"/>
  <c r="G12" i="95"/>
  <c r="G12" i="94"/>
  <c r="I12" i="94"/>
  <c r="G9" i="94"/>
  <c r="D9" i="94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N12" i="94"/>
  <c r="C6" i="94"/>
  <c r="B6" i="94"/>
  <c r="G12" i="93"/>
  <c r="I12" i="93"/>
  <c r="H26" i="23"/>
  <c r="H27" i="23"/>
  <c r="H29" i="23"/>
  <c r="H30" i="23"/>
  <c r="Q30" i="23" s="1"/>
  <c r="H31" i="23"/>
  <c r="Q31" i="23" s="1"/>
  <c r="H32" i="23"/>
  <c r="C9" i="96" s="1"/>
  <c r="H33" i="23"/>
  <c r="C9" i="97" s="1"/>
  <c r="H34" i="23"/>
  <c r="Q34" i="23" s="1"/>
  <c r="H35" i="23"/>
  <c r="C9" i="99" s="1"/>
  <c r="H36" i="23"/>
  <c r="Q36" i="23" s="1"/>
  <c r="G27" i="23"/>
  <c r="G29" i="23"/>
  <c r="G30" i="23"/>
  <c r="P30" i="23" s="1"/>
  <c r="G31" i="23"/>
  <c r="B9" i="95" s="1"/>
  <c r="G32" i="23"/>
  <c r="P32" i="23" s="1"/>
  <c r="G33" i="23"/>
  <c r="P33" i="23" s="1"/>
  <c r="G34" i="23"/>
  <c r="P34" i="23" s="1"/>
  <c r="G35" i="23"/>
  <c r="B9" i="99" s="1"/>
  <c r="G36" i="23"/>
  <c r="P36" i="23" s="1"/>
  <c r="K27" i="23"/>
  <c r="M27" i="23" s="1"/>
  <c r="K29" i="23"/>
  <c r="K30" i="23"/>
  <c r="M30" i="23" s="1"/>
  <c r="K31" i="23"/>
  <c r="M31" i="23" s="1"/>
  <c r="K32" i="23"/>
  <c r="M32" i="23" s="1"/>
  <c r="K33" i="23"/>
  <c r="M33" i="23" s="1"/>
  <c r="K34" i="23"/>
  <c r="M34" i="23" s="1"/>
  <c r="K35" i="23"/>
  <c r="M35" i="23" s="1"/>
  <c r="K36" i="23"/>
  <c r="M36" i="23" s="1"/>
  <c r="G9" i="93"/>
  <c r="D9" i="93"/>
  <c r="A22" i="93"/>
  <c r="A23" i="93" s="1"/>
  <c r="A24" i="93" s="1"/>
  <c r="A25" i="93" s="1"/>
  <c r="A26" i="93" s="1"/>
  <c r="A27" i="93" s="1"/>
  <c r="A28" i="93" s="1"/>
  <c r="A29" i="93" s="1"/>
  <c r="A30" i="93" s="1"/>
  <c r="A31" i="93" s="1"/>
  <c r="A32" i="93" s="1"/>
  <c r="A33" i="93" s="1"/>
  <c r="A34" i="93" s="1"/>
  <c r="A35" i="93" s="1"/>
  <c r="A36" i="93" s="1"/>
  <c r="A37" i="93" s="1"/>
  <c r="A38" i="93" s="1"/>
  <c r="A39" i="93" s="1"/>
  <c r="A40" i="93" s="1"/>
  <c r="A41" i="93" s="1"/>
  <c r="A42" i="93" s="1"/>
  <c r="N12" i="93"/>
  <c r="C6" i="93"/>
  <c r="B6" i="93"/>
  <c r="C43" i="91" l="1"/>
  <c r="C27" i="91"/>
  <c r="G39" i="23"/>
  <c r="H39" i="23"/>
  <c r="K39" i="23"/>
  <c r="M39" i="23" s="1"/>
  <c r="P29" i="23"/>
  <c r="C9" i="93"/>
  <c r="M29" i="23"/>
  <c r="K66" i="23"/>
  <c r="M66" i="23" s="1"/>
  <c r="K62" i="23"/>
  <c r="M62" i="23" s="1"/>
  <c r="K65" i="23"/>
  <c r="M65" i="23" s="1"/>
  <c r="K61" i="23"/>
  <c r="M61" i="23" s="1"/>
  <c r="K64" i="23"/>
  <c r="M64" i="23" s="1"/>
  <c r="K60" i="23"/>
  <c r="M60" i="23" s="1"/>
  <c r="K63" i="23"/>
  <c r="M63" i="23" s="1"/>
  <c r="K59" i="23"/>
  <c r="M59" i="23" s="1"/>
  <c r="L12" i="96"/>
  <c r="M12" i="96" s="1"/>
  <c r="B9" i="93"/>
  <c r="L29" i="91"/>
  <c r="H29" i="91"/>
  <c r="P29" i="91"/>
  <c r="L12" i="93"/>
  <c r="M12" i="93" s="1"/>
  <c r="P12" i="93" s="1"/>
  <c r="L12" i="94"/>
  <c r="M12" i="94" s="1"/>
  <c r="P12" i="94" s="1"/>
  <c r="O12" i="93"/>
  <c r="O12" i="94"/>
  <c r="C9" i="94"/>
  <c r="R23" i="91"/>
  <c r="S23" i="91" s="1"/>
  <c r="R19" i="91"/>
  <c r="R22" i="91"/>
  <c r="S22" i="91" s="1"/>
  <c r="R18" i="91"/>
  <c r="S18" i="91" s="1"/>
  <c r="R21" i="91"/>
  <c r="S21" i="91" s="1"/>
  <c r="R17" i="91"/>
  <c r="S17" i="91" s="1"/>
  <c r="R20" i="91"/>
  <c r="S20" i="91" s="1"/>
  <c r="R16" i="91"/>
  <c r="S16" i="91" s="1"/>
  <c r="E9" i="95"/>
  <c r="F9" i="95" s="1"/>
  <c r="J31" i="23" s="1"/>
  <c r="I61" i="23" s="1"/>
  <c r="E9" i="99"/>
  <c r="F9" i="99" s="1"/>
  <c r="J35" i="23" s="1"/>
  <c r="I65" i="23" s="1"/>
  <c r="B21" i="100"/>
  <c r="C21" i="100" s="1"/>
  <c r="B9" i="94"/>
  <c r="C9" i="95"/>
  <c r="H9" i="95"/>
  <c r="I9" i="95" s="1"/>
  <c r="F31" i="23" s="1"/>
  <c r="H9" i="97"/>
  <c r="I9" i="97" s="1"/>
  <c r="F33" i="23" s="1"/>
  <c r="B9" i="98"/>
  <c r="B21" i="99"/>
  <c r="C21" i="99" s="1"/>
  <c r="H9" i="100"/>
  <c r="I9" i="100" s="1"/>
  <c r="F36" i="23" s="1"/>
  <c r="O36" i="23" s="1"/>
  <c r="Q35" i="23"/>
  <c r="Q33" i="23"/>
  <c r="Q29" i="23"/>
  <c r="B21" i="95"/>
  <c r="B9" i="97"/>
  <c r="E9" i="98"/>
  <c r="F9" i="98" s="1"/>
  <c r="J34" i="23" s="1"/>
  <c r="I64" i="23" s="1"/>
  <c r="C9" i="98"/>
  <c r="B9" i="100"/>
  <c r="P35" i="23"/>
  <c r="P31" i="23"/>
  <c r="B22" i="100"/>
  <c r="C22" i="100" s="1"/>
  <c r="H12" i="94"/>
  <c r="B9" i="96"/>
  <c r="H9" i="98"/>
  <c r="I9" i="98" s="1"/>
  <c r="F34" i="23" s="1"/>
  <c r="B21" i="98"/>
  <c r="E9" i="100"/>
  <c r="F9" i="100" s="1"/>
  <c r="J36" i="23" s="1"/>
  <c r="I66" i="23" s="1"/>
  <c r="C9" i="100"/>
  <c r="Q32" i="23"/>
  <c r="B21" i="97"/>
  <c r="C21" i="97" s="1"/>
  <c r="E9" i="97"/>
  <c r="F9" i="97" s="1"/>
  <c r="J33" i="23" s="1"/>
  <c r="I63" i="23" s="1"/>
  <c r="A23" i="100"/>
  <c r="G12" i="100"/>
  <c r="H9" i="99"/>
  <c r="I9" i="99" s="1"/>
  <c r="F35" i="23" s="1"/>
  <c r="A24" i="99"/>
  <c r="B23" i="99"/>
  <c r="C23" i="99" s="1"/>
  <c r="B22" i="99"/>
  <c r="C22" i="99" s="1"/>
  <c r="A24" i="98"/>
  <c r="B23" i="98"/>
  <c r="B22" i="98"/>
  <c r="B23" i="97"/>
  <c r="C23" i="97" s="1"/>
  <c r="A24" i="97"/>
  <c r="B22" i="97"/>
  <c r="C22" i="97" s="1"/>
  <c r="H12" i="96"/>
  <c r="O12" i="96"/>
  <c r="B23" i="95"/>
  <c r="A24" i="95"/>
  <c r="B22" i="95"/>
  <c r="H12" i="93"/>
  <c r="J19" i="80"/>
  <c r="R12" i="96" l="1"/>
  <c r="P12" i="96"/>
  <c r="Q12" i="96" s="1"/>
  <c r="B41" i="96" s="1"/>
  <c r="O27" i="91"/>
  <c r="O54" i="91" s="1"/>
  <c r="G27" i="91"/>
  <c r="G54" i="91" s="1"/>
  <c r="K27" i="91"/>
  <c r="K54" i="91" s="1"/>
  <c r="Q12" i="94"/>
  <c r="R12" i="94"/>
  <c r="R12" i="93"/>
  <c r="Q12" i="93"/>
  <c r="F64" i="23"/>
  <c r="E18" i="80"/>
  <c r="I18" i="80" s="1"/>
  <c r="F53" i="80" s="1"/>
  <c r="O33" i="23"/>
  <c r="F63" i="23"/>
  <c r="E17" i="80"/>
  <c r="I17" i="80" s="1"/>
  <c r="F49" i="80" s="1"/>
  <c r="E19" i="80"/>
  <c r="I19" i="80" s="1"/>
  <c r="F56" i="80" s="1"/>
  <c r="F65" i="23"/>
  <c r="E20" i="80"/>
  <c r="I20" i="80" s="1"/>
  <c r="F48" i="80" s="1"/>
  <c r="F66" i="23"/>
  <c r="E15" i="80"/>
  <c r="I15" i="80" s="1"/>
  <c r="F51" i="80" s="1"/>
  <c r="F61" i="23"/>
  <c r="S19" i="91"/>
  <c r="L31" i="23"/>
  <c r="N31" i="23" s="1"/>
  <c r="L36" i="23"/>
  <c r="N36" i="23" s="1"/>
  <c r="L33" i="23"/>
  <c r="N33" i="23" s="1"/>
  <c r="O31" i="23"/>
  <c r="L35" i="23"/>
  <c r="N35" i="23" s="1"/>
  <c r="O35" i="23"/>
  <c r="O34" i="23"/>
  <c r="L34" i="23"/>
  <c r="N34" i="23" s="1"/>
  <c r="A24" i="100"/>
  <c r="B23" i="100"/>
  <c r="C23" i="100" s="1"/>
  <c r="B24" i="99"/>
  <c r="C24" i="99" s="1"/>
  <c r="A25" i="99"/>
  <c r="B24" i="98"/>
  <c r="A25" i="98"/>
  <c r="B24" i="97"/>
  <c r="C24" i="97" s="1"/>
  <c r="A25" i="97"/>
  <c r="B24" i="95"/>
  <c r="A25" i="95"/>
  <c r="B45" i="94"/>
  <c r="B31" i="94"/>
  <c r="H9" i="94"/>
  <c r="I9" i="94" s="1"/>
  <c r="B34" i="94"/>
  <c r="B28" i="94"/>
  <c r="B41" i="94"/>
  <c r="B25" i="94"/>
  <c r="B43" i="94" l="1"/>
  <c r="B29" i="94"/>
  <c r="B44" i="94"/>
  <c r="B36" i="94"/>
  <c r="C36" i="94" s="1"/>
  <c r="B38" i="94"/>
  <c r="B22" i="94"/>
  <c r="B35" i="94"/>
  <c r="B47" i="94"/>
  <c r="B32" i="94"/>
  <c r="D32" i="94" s="1"/>
  <c r="B33" i="94"/>
  <c r="B46" i="94"/>
  <c r="B26" i="94"/>
  <c r="C26" i="94" s="1"/>
  <c r="B42" i="94"/>
  <c r="C42" i="94" s="1"/>
  <c r="B23" i="94"/>
  <c r="B39" i="94"/>
  <c r="B40" i="94"/>
  <c r="D41" i="94" s="1"/>
  <c r="B37" i="94"/>
  <c r="B24" i="94"/>
  <c r="B30" i="94"/>
  <c r="E9" i="94"/>
  <c r="F9" i="94" s="1"/>
  <c r="J30" i="23" s="1"/>
  <c r="I60" i="23" s="1"/>
  <c r="B27" i="94"/>
  <c r="D28" i="94" s="1"/>
  <c r="B37" i="93"/>
  <c r="B23" i="96"/>
  <c r="B39" i="96"/>
  <c r="C39" i="96" s="1"/>
  <c r="H9" i="96"/>
  <c r="I9" i="96" s="1"/>
  <c r="J9" i="96" s="1"/>
  <c r="B31" i="96"/>
  <c r="E9" i="96"/>
  <c r="F9" i="96" s="1"/>
  <c r="J32" i="23" s="1"/>
  <c r="I62" i="23" s="1"/>
  <c r="B36" i="96"/>
  <c r="C36" i="96" s="1"/>
  <c r="B42" i="96"/>
  <c r="D42" i="96" s="1"/>
  <c r="B37" i="96"/>
  <c r="C37" i="96" s="1"/>
  <c r="B28" i="96"/>
  <c r="C28" i="96" s="1"/>
  <c r="B30" i="96"/>
  <c r="B29" i="96"/>
  <c r="C29" i="96" s="1"/>
  <c r="B38" i="96"/>
  <c r="D38" i="96" s="1"/>
  <c r="B27" i="96"/>
  <c r="B26" i="96"/>
  <c r="C26" i="96" s="1"/>
  <c r="B32" i="96"/>
  <c r="B34" i="96"/>
  <c r="B33" i="96"/>
  <c r="B22" i="96"/>
  <c r="C22" i="96" s="1"/>
  <c r="B35" i="96"/>
  <c r="D35" i="96" s="1"/>
  <c r="B24" i="96"/>
  <c r="C24" i="96" s="1"/>
  <c r="B40" i="96"/>
  <c r="B25" i="96"/>
  <c r="B23" i="93"/>
  <c r="B24" i="93"/>
  <c r="B26" i="93"/>
  <c r="B41" i="93"/>
  <c r="B42" i="93"/>
  <c r="C42" i="93" s="1"/>
  <c r="B31" i="93"/>
  <c r="B28" i="93"/>
  <c r="B34" i="93"/>
  <c r="C34" i="93" s="1"/>
  <c r="B30" i="93"/>
  <c r="D30" i="93" s="1"/>
  <c r="H9" i="93"/>
  <c r="I9" i="93" s="1"/>
  <c r="B35" i="93"/>
  <c r="B32" i="93"/>
  <c r="C32" i="93" s="1"/>
  <c r="B25" i="93"/>
  <c r="C25" i="93" s="1"/>
  <c r="B22" i="93"/>
  <c r="B39" i="93"/>
  <c r="B40" i="93"/>
  <c r="D40" i="93" s="1"/>
  <c r="B33" i="93"/>
  <c r="B29" i="93"/>
  <c r="B27" i="93"/>
  <c r="D27" i="93" s="1"/>
  <c r="E9" i="93"/>
  <c r="F9" i="93" s="1"/>
  <c r="J29" i="23" s="1"/>
  <c r="B36" i="93"/>
  <c r="C36" i="93" s="1"/>
  <c r="B38" i="93"/>
  <c r="H20" i="80"/>
  <c r="H15" i="80"/>
  <c r="H19" i="80"/>
  <c r="H18" i="80"/>
  <c r="H17" i="80"/>
  <c r="F32" i="23"/>
  <c r="J9" i="94"/>
  <c r="F30" i="23"/>
  <c r="A25" i="100"/>
  <c r="B24" i="100"/>
  <c r="C24" i="100" s="1"/>
  <c r="B25" i="99"/>
  <c r="C25" i="99" s="1"/>
  <c r="A26" i="99"/>
  <c r="B25" i="98"/>
  <c r="A26" i="98"/>
  <c r="A26" i="97"/>
  <c r="B25" i="97"/>
  <c r="C25" i="97" s="1"/>
  <c r="C32" i="96"/>
  <c r="C34" i="96"/>
  <c r="C42" i="96"/>
  <c r="C23" i="96"/>
  <c r="C35" i="96"/>
  <c r="D24" i="96"/>
  <c r="C41" i="96"/>
  <c r="B25" i="95"/>
  <c r="A26" i="95"/>
  <c r="D42" i="94"/>
  <c r="C39" i="94"/>
  <c r="C40" i="94"/>
  <c r="D24" i="94"/>
  <c r="C24" i="94"/>
  <c r="C30" i="94"/>
  <c r="D30" i="94"/>
  <c r="C27" i="94"/>
  <c r="C33" i="94"/>
  <c r="D26" i="94"/>
  <c r="D25" i="94"/>
  <c r="C25" i="94"/>
  <c r="C41" i="94"/>
  <c r="C28" i="94"/>
  <c r="C34" i="94"/>
  <c r="D34" i="94"/>
  <c r="C31" i="94"/>
  <c r="D31" i="94"/>
  <c r="D23" i="94"/>
  <c r="C23" i="94"/>
  <c r="D29" i="94"/>
  <c r="C29" i="94"/>
  <c r="C22" i="94"/>
  <c r="D35" i="94"/>
  <c r="C35" i="94"/>
  <c r="J9" i="93"/>
  <c r="F29" i="23"/>
  <c r="C35" i="93"/>
  <c r="C29" i="93"/>
  <c r="D39" i="93"/>
  <c r="C39" i="93"/>
  <c r="C33" i="93"/>
  <c r="C22" i="93"/>
  <c r="C28" i="93"/>
  <c r="C23" i="93"/>
  <c r="D38" i="93"/>
  <c r="C38" i="93"/>
  <c r="C37" i="93"/>
  <c r="C26" i="93"/>
  <c r="D31" i="93"/>
  <c r="C31" i="93"/>
  <c r="C24" i="93"/>
  <c r="D25" i="93"/>
  <c r="D40" i="94" l="1"/>
  <c r="D36" i="94"/>
  <c r="D23" i="93"/>
  <c r="D37" i="94"/>
  <c r="D39" i="94"/>
  <c r="C30" i="93"/>
  <c r="D27" i="94"/>
  <c r="D38" i="94"/>
  <c r="C37" i="94"/>
  <c r="C32" i="94"/>
  <c r="D24" i="93"/>
  <c r="C38" i="94"/>
  <c r="D33" i="94"/>
  <c r="D42" i="93"/>
  <c r="D33" i="96"/>
  <c r="I59" i="23"/>
  <c r="D39" i="96"/>
  <c r="D32" i="96"/>
  <c r="C38" i="96"/>
  <c r="D25" i="96"/>
  <c r="C31" i="96"/>
  <c r="D40" i="96"/>
  <c r="D27" i="96"/>
  <c r="D34" i="96"/>
  <c r="C40" i="96"/>
  <c r="D26" i="96"/>
  <c r="D30" i="96"/>
  <c r="C25" i="96"/>
  <c r="D23" i="96"/>
  <c r="D37" i="96"/>
  <c r="D36" i="96"/>
  <c r="C33" i="96"/>
  <c r="C27" i="96"/>
  <c r="D28" i="96"/>
  <c r="D31" i="96"/>
  <c r="D29" i="96"/>
  <c r="C30" i="96"/>
  <c r="D41" i="96"/>
  <c r="D28" i="93"/>
  <c r="D26" i="93"/>
  <c r="D35" i="93"/>
  <c r="C40" i="93"/>
  <c r="C27" i="93"/>
  <c r="D29" i="93"/>
  <c r="D41" i="93"/>
  <c r="D34" i="93"/>
  <c r="D32" i="93"/>
  <c r="D33" i="93"/>
  <c r="C41" i="93"/>
  <c r="D36" i="93"/>
  <c r="D37" i="93"/>
  <c r="F60" i="23"/>
  <c r="E14" i="80"/>
  <c r="I14" i="80" s="1"/>
  <c r="F54" i="80" s="1"/>
  <c r="F59" i="23"/>
  <c r="E13" i="80"/>
  <c r="I13" i="80" s="1"/>
  <c r="F47" i="80" s="1"/>
  <c r="E16" i="80"/>
  <c r="I16" i="80" s="1"/>
  <c r="F52" i="80" s="1"/>
  <c r="F62" i="23"/>
  <c r="L32" i="23"/>
  <c r="N32" i="23" s="1"/>
  <c r="O32" i="23"/>
  <c r="L29" i="23"/>
  <c r="O29" i="23"/>
  <c r="L30" i="23"/>
  <c r="N30" i="23" s="1"/>
  <c r="O30" i="23"/>
  <c r="A26" i="100"/>
  <c r="B25" i="100"/>
  <c r="C25" i="100" s="1"/>
  <c r="A27" i="99"/>
  <c r="B26" i="99"/>
  <c r="C26" i="99" s="1"/>
  <c r="A27" i="98"/>
  <c r="B26" i="98"/>
  <c r="A27" i="97"/>
  <c r="B26" i="97"/>
  <c r="C26" i="97" s="1"/>
  <c r="A27" i="95"/>
  <c r="B26" i="95"/>
  <c r="N29" i="23" l="1"/>
  <c r="H13" i="80"/>
  <c r="H14" i="80"/>
  <c r="H16" i="80"/>
  <c r="B26" i="100"/>
  <c r="C26" i="100" s="1"/>
  <c r="A27" i="100"/>
  <c r="A28" i="99"/>
  <c r="B27" i="99"/>
  <c r="C27" i="99" s="1"/>
  <c r="B27" i="98"/>
  <c r="A28" i="98"/>
  <c r="A28" i="97"/>
  <c r="B27" i="97"/>
  <c r="C27" i="97" s="1"/>
  <c r="B27" i="95"/>
  <c r="A28" i="95"/>
  <c r="B27" i="100" l="1"/>
  <c r="C27" i="100" s="1"/>
  <c r="A28" i="100"/>
  <c r="B28" i="99"/>
  <c r="C28" i="99" s="1"/>
  <c r="A29" i="99"/>
  <c r="B28" i="98"/>
  <c r="A29" i="98"/>
  <c r="B28" i="97"/>
  <c r="C28" i="97" s="1"/>
  <c r="A29" i="97"/>
  <c r="B28" i="95"/>
  <c r="A29" i="95"/>
  <c r="A29" i="100" l="1"/>
  <c r="B28" i="100"/>
  <c r="C28" i="100" s="1"/>
  <c r="B29" i="99"/>
  <c r="C29" i="99" s="1"/>
  <c r="A30" i="99"/>
  <c r="A30" i="98"/>
  <c r="B29" i="98"/>
  <c r="B29" i="97"/>
  <c r="C29" i="97" s="1"/>
  <c r="A30" i="97"/>
  <c r="B29" i="95"/>
  <c r="A30" i="95"/>
  <c r="B29" i="100" l="1"/>
  <c r="C29" i="100" s="1"/>
  <c r="A30" i="100"/>
  <c r="A31" i="99"/>
  <c r="B30" i="99"/>
  <c r="C30" i="99" s="1"/>
  <c r="A31" i="98"/>
  <c r="B30" i="98"/>
  <c r="A31" i="97"/>
  <c r="B30" i="97"/>
  <c r="C30" i="97" s="1"/>
  <c r="A31" i="95"/>
  <c r="B30" i="95"/>
  <c r="B30" i="100" l="1"/>
  <c r="C30" i="100" s="1"/>
  <c r="A31" i="100"/>
  <c r="A32" i="99"/>
  <c r="B31" i="99"/>
  <c r="C31" i="99" s="1"/>
  <c r="A32" i="98"/>
  <c r="B31" i="98"/>
  <c r="A32" i="97"/>
  <c r="B31" i="97"/>
  <c r="C31" i="97" s="1"/>
  <c r="A32" i="95"/>
  <c r="B31" i="95"/>
  <c r="B31" i="100" l="1"/>
  <c r="C31" i="100" s="1"/>
  <c r="A32" i="100"/>
  <c r="B32" i="99"/>
  <c r="C32" i="99" s="1"/>
  <c r="A33" i="99"/>
  <c r="B32" i="98"/>
  <c r="A33" i="98"/>
  <c r="B32" i="97"/>
  <c r="C32" i="97" s="1"/>
  <c r="A33" i="97"/>
  <c r="B32" i="95"/>
  <c r="A33" i="95"/>
  <c r="A33" i="100" l="1"/>
  <c r="B32" i="100"/>
  <c r="C32" i="100" s="1"/>
  <c r="B33" i="99"/>
  <c r="C33" i="99" s="1"/>
  <c r="A34" i="99"/>
  <c r="B33" i="98"/>
  <c r="A34" i="98"/>
  <c r="B33" i="97"/>
  <c r="C33" i="97" s="1"/>
  <c r="A34" i="97"/>
  <c r="B33" i="95"/>
  <c r="A34" i="95"/>
  <c r="B33" i="100" l="1"/>
  <c r="C33" i="100" s="1"/>
  <c r="A34" i="100"/>
  <c r="A35" i="99"/>
  <c r="B34" i="99"/>
  <c r="C34" i="99" s="1"/>
  <c r="A35" i="98"/>
  <c r="B34" i="98"/>
  <c r="A35" i="97"/>
  <c r="B34" i="97"/>
  <c r="C34" i="97" s="1"/>
  <c r="A35" i="95"/>
  <c r="B34" i="95"/>
  <c r="B34" i="100" l="1"/>
  <c r="C34" i="100" s="1"/>
  <c r="A35" i="100"/>
  <c r="A36" i="99"/>
  <c r="B35" i="99"/>
  <c r="C35" i="99" s="1"/>
  <c r="A36" i="98"/>
  <c r="B35" i="98"/>
  <c r="B35" i="97"/>
  <c r="C35" i="97" s="1"/>
  <c r="A36" i="97"/>
  <c r="A36" i="95"/>
  <c r="B35" i="95"/>
  <c r="B35" i="100" l="1"/>
  <c r="C35" i="100" s="1"/>
  <c r="A36" i="100"/>
  <c r="B36" i="99"/>
  <c r="C36" i="99" s="1"/>
  <c r="A37" i="99"/>
  <c r="B36" i="98"/>
  <c r="A37" i="98"/>
  <c r="B36" i="97"/>
  <c r="C36" i="97" s="1"/>
  <c r="A37" i="97"/>
  <c r="B36" i="95"/>
  <c r="A37" i="95"/>
  <c r="A37" i="100" l="1"/>
  <c r="B36" i="100"/>
  <c r="C36" i="100" s="1"/>
  <c r="B37" i="99"/>
  <c r="C37" i="99" s="1"/>
  <c r="A38" i="99"/>
  <c r="B37" i="98"/>
  <c r="A38" i="98"/>
  <c r="B37" i="97"/>
  <c r="C37" i="97" s="1"/>
  <c r="A38" i="97"/>
  <c r="B37" i="95"/>
  <c r="A38" i="95"/>
  <c r="B37" i="100" l="1"/>
  <c r="C37" i="100" s="1"/>
  <c r="A38" i="100"/>
  <c r="A39" i="99"/>
  <c r="B38" i="99"/>
  <c r="C38" i="99" s="1"/>
  <c r="A39" i="98"/>
  <c r="B38" i="98"/>
  <c r="A39" i="97"/>
  <c r="B38" i="97"/>
  <c r="C38" i="97" s="1"/>
  <c r="A39" i="95"/>
  <c r="B38" i="95"/>
  <c r="B38" i="100" l="1"/>
  <c r="C38" i="100" s="1"/>
  <c r="A39" i="100"/>
  <c r="A40" i="99"/>
  <c r="B39" i="99"/>
  <c r="C39" i="99" s="1"/>
  <c r="A40" i="98"/>
  <c r="B39" i="98"/>
  <c r="A40" i="97"/>
  <c r="B39" i="97"/>
  <c r="C39" i="97" s="1"/>
  <c r="B39" i="95"/>
  <c r="A40" i="95"/>
  <c r="J17" i="80"/>
  <c r="B39" i="100" l="1"/>
  <c r="C39" i="100" s="1"/>
  <c r="A40" i="100"/>
  <c r="B40" i="99"/>
  <c r="C40" i="99" s="1"/>
  <c r="A41" i="99"/>
  <c r="B41" i="99" s="1"/>
  <c r="C41" i="99" s="1"/>
  <c r="B40" i="98"/>
  <c r="A41" i="98"/>
  <c r="B41" i="98" s="1"/>
  <c r="B40" i="97"/>
  <c r="C40" i="97" s="1"/>
  <c r="A41" i="97"/>
  <c r="B41" i="97" s="1"/>
  <c r="C41" i="97" s="1"/>
  <c r="B40" i="95"/>
  <c r="A41" i="95"/>
  <c r="B41" i="95" s="1"/>
  <c r="J20" i="80"/>
  <c r="A41" i="100" l="1"/>
  <c r="B40" i="100"/>
  <c r="C40" i="100" s="1"/>
  <c r="B41" i="100" l="1"/>
  <c r="C41" i="100" s="1"/>
  <c r="A42" i="100"/>
  <c r="B42" i="100" s="1"/>
  <c r="D15" i="92" l="1"/>
  <c r="D14" i="92"/>
  <c r="L87" i="91"/>
  <c r="K87" i="91"/>
  <c r="J87" i="91"/>
  <c r="L86" i="91"/>
  <c r="K86" i="91"/>
  <c r="J86" i="91"/>
  <c r="L85" i="91"/>
  <c r="K85" i="91"/>
  <c r="J85" i="91"/>
  <c r="L84" i="91"/>
  <c r="K84" i="91"/>
  <c r="J84" i="91"/>
  <c r="L83" i="91"/>
  <c r="K83" i="91"/>
  <c r="J83" i="91"/>
  <c r="L82" i="91"/>
  <c r="K82" i="91"/>
  <c r="J82" i="91"/>
  <c r="L81" i="91"/>
  <c r="K81" i="91"/>
  <c r="J81" i="91"/>
  <c r="L80" i="91"/>
  <c r="K80" i="91"/>
  <c r="J80" i="91"/>
  <c r="L74" i="91"/>
  <c r="L88" i="91" s="1"/>
  <c r="J74" i="91"/>
  <c r="J88" i="91" s="1"/>
  <c r="L42" i="91"/>
  <c r="K42" i="91"/>
  <c r="J42" i="91"/>
  <c r="L41" i="91"/>
  <c r="K41" i="91"/>
  <c r="J41" i="91"/>
  <c r="L40" i="91"/>
  <c r="K40" i="91"/>
  <c r="J40" i="91"/>
  <c r="L39" i="91"/>
  <c r="K39" i="91"/>
  <c r="J39" i="91"/>
  <c r="L38" i="91"/>
  <c r="K38" i="91"/>
  <c r="J38" i="91"/>
  <c r="L37" i="91"/>
  <c r="K37" i="91"/>
  <c r="J37" i="91"/>
  <c r="L36" i="91"/>
  <c r="K36" i="91"/>
  <c r="J36" i="91"/>
  <c r="L35" i="91"/>
  <c r="K35" i="91"/>
  <c r="J35" i="91"/>
  <c r="L34" i="91"/>
  <c r="K34" i="91"/>
  <c r="J34" i="91"/>
  <c r="J32" i="91"/>
  <c r="G7" i="92"/>
  <c r="J55" i="91"/>
  <c r="L55" i="91" l="1"/>
  <c r="J57" i="91" s="1"/>
  <c r="J56" i="91" s="1"/>
  <c r="H87" i="91"/>
  <c r="G87" i="91"/>
  <c r="F87" i="91"/>
  <c r="D87" i="91"/>
  <c r="C87" i="91"/>
  <c r="H86" i="91"/>
  <c r="G86" i="91"/>
  <c r="F86" i="91"/>
  <c r="D86" i="91"/>
  <c r="C86" i="91"/>
  <c r="H85" i="91"/>
  <c r="G85" i="91"/>
  <c r="F85" i="91"/>
  <c r="D85" i="91"/>
  <c r="C85" i="91"/>
  <c r="H84" i="91"/>
  <c r="G84" i="91"/>
  <c r="F84" i="91"/>
  <c r="D84" i="91"/>
  <c r="C84" i="91"/>
  <c r="H83" i="91"/>
  <c r="G83" i="91"/>
  <c r="F83" i="91"/>
  <c r="D83" i="91"/>
  <c r="C83" i="91"/>
  <c r="H82" i="91"/>
  <c r="G82" i="91"/>
  <c r="F82" i="91"/>
  <c r="D82" i="91"/>
  <c r="C82" i="91"/>
  <c r="H81" i="91"/>
  <c r="G81" i="91"/>
  <c r="F81" i="91"/>
  <c r="D81" i="91"/>
  <c r="C81" i="91"/>
  <c r="H80" i="91"/>
  <c r="G80" i="91"/>
  <c r="F80" i="91"/>
  <c r="D80" i="91"/>
  <c r="C80" i="91"/>
  <c r="F78" i="91"/>
  <c r="F77" i="91"/>
  <c r="H74" i="91"/>
  <c r="H88" i="91" s="1"/>
  <c r="F74" i="91"/>
  <c r="F88" i="91" s="1"/>
  <c r="D74" i="91"/>
  <c r="C74" i="91"/>
  <c r="C88" i="91" s="1"/>
  <c r="P42" i="91"/>
  <c r="O42" i="91"/>
  <c r="N42" i="91"/>
  <c r="H42" i="91"/>
  <c r="G42" i="91"/>
  <c r="F42" i="91"/>
  <c r="P41" i="91"/>
  <c r="O41" i="91"/>
  <c r="N41" i="91"/>
  <c r="H41" i="91"/>
  <c r="G41" i="91"/>
  <c r="F41" i="91"/>
  <c r="P40" i="91"/>
  <c r="O40" i="91"/>
  <c r="N40" i="91"/>
  <c r="H40" i="91"/>
  <c r="G40" i="91"/>
  <c r="F40" i="91"/>
  <c r="P39" i="91"/>
  <c r="O39" i="91"/>
  <c r="N39" i="91"/>
  <c r="H39" i="91"/>
  <c r="G39" i="91"/>
  <c r="F39" i="91"/>
  <c r="P38" i="91"/>
  <c r="O38" i="91"/>
  <c r="N38" i="91"/>
  <c r="H38" i="91"/>
  <c r="G38" i="91"/>
  <c r="F38" i="91"/>
  <c r="P37" i="91"/>
  <c r="O37" i="91"/>
  <c r="N37" i="91"/>
  <c r="H37" i="91"/>
  <c r="G37" i="91"/>
  <c r="F37" i="91"/>
  <c r="P36" i="91"/>
  <c r="O36" i="91"/>
  <c r="N36" i="91"/>
  <c r="H36" i="91"/>
  <c r="G36" i="91"/>
  <c r="F36" i="91"/>
  <c r="P35" i="91"/>
  <c r="O35" i="91"/>
  <c r="N35" i="91"/>
  <c r="H35" i="91"/>
  <c r="G35" i="91"/>
  <c r="F35" i="91"/>
  <c r="P34" i="91"/>
  <c r="O34" i="91"/>
  <c r="N34" i="91"/>
  <c r="H34" i="91"/>
  <c r="G34" i="91"/>
  <c r="F34" i="91"/>
  <c r="N32" i="91"/>
  <c r="F32" i="91"/>
  <c r="F31" i="91"/>
  <c r="N55" i="91"/>
  <c r="F55" i="91"/>
  <c r="C15" i="91"/>
  <c r="C42" i="91" s="1"/>
  <c r="B15" i="91"/>
  <c r="B42" i="91" s="1"/>
  <c r="C14" i="91"/>
  <c r="C41" i="91" s="1"/>
  <c r="B14" i="91"/>
  <c r="B41" i="91" s="1"/>
  <c r="C13" i="91"/>
  <c r="B13" i="91"/>
  <c r="B40" i="91" s="1"/>
  <c r="C12" i="91"/>
  <c r="C39" i="91" s="1"/>
  <c r="B12" i="91"/>
  <c r="B39" i="91" s="1"/>
  <c r="C11" i="91"/>
  <c r="B11" i="91"/>
  <c r="B38" i="91" s="1"/>
  <c r="C10" i="91"/>
  <c r="C37" i="91" s="1"/>
  <c r="B10" i="91"/>
  <c r="B37" i="91" s="1"/>
  <c r="C9" i="91"/>
  <c r="B9" i="91"/>
  <c r="B36" i="91" s="1"/>
  <c r="C8" i="91"/>
  <c r="C35" i="91" s="1"/>
  <c r="B8" i="91"/>
  <c r="B35" i="91" s="1"/>
  <c r="C7" i="91"/>
  <c r="B7" i="91"/>
  <c r="B34" i="91" s="1"/>
  <c r="C26" i="91" l="1"/>
  <c r="C53" i="91" s="1"/>
  <c r="C28" i="91"/>
  <c r="K28" i="91" s="1"/>
  <c r="H55" i="91"/>
  <c r="F57" i="91" s="1"/>
  <c r="F56" i="91" s="1"/>
  <c r="G8" i="92"/>
  <c r="P55" i="91"/>
  <c r="N57" i="91" s="1"/>
  <c r="N56" i="91" s="1"/>
  <c r="G6" i="92"/>
  <c r="F13" i="92" s="1"/>
  <c r="D75" i="91"/>
  <c r="D88" i="91"/>
  <c r="B3" i="91"/>
  <c r="C34" i="91"/>
  <c r="C38" i="91"/>
  <c r="C36" i="91"/>
  <c r="C40" i="91"/>
  <c r="C8" i="92"/>
  <c r="H21" i="23"/>
  <c r="H22" i="23"/>
  <c r="H23" i="23"/>
  <c r="H24" i="23"/>
  <c r="H25" i="23"/>
  <c r="H19" i="23"/>
  <c r="H40" i="23" s="1"/>
  <c r="H20" i="23"/>
  <c r="G21" i="23"/>
  <c r="G22" i="23"/>
  <c r="G23" i="23"/>
  <c r="G24" i="23"/>
  <c r="G25" i="23"/>
  <c r="G26" i="23"/>
  <c r="G19" i="23"/>
  <c r="A21" i="90"/>
  <c r="F12" i="90"/>
  <c r="G12" i="90"/>
  <c r="K26" i="91" l="1"/>
  <c r="K53" i="91" s="1"/>
  <c r="G26" i="91"/>
  <c r="G53" i="91" s="1"/>
  <c r="O26" i="91"/>
  <c r="O53" i="91" s="1"/>
  <c r="O28" i="91"/>
  <c r="O55" i="91" s="1"/>
  <c r="H28" i="23"/>
  <c r="F14" i="92"/>
  <c r="E6" i="92"/>
  <c r="C6" i="92" s="1"/>
  <c r="C15" i="92"/>
  <c r="K8" i="92"/>
  <c r="E7" i="92"/>
  <c r="C7" i="92" s="1"/>
  <c r="L8" i="92"/>
  <c r="E8" i="92"/>
  <c r="K55" i="91"/>
  <c r="L90" i="91"/>
  <c r="H90" i="91"/>
  <c r="H91" i="91" s="1"/>
  <c r="C55" i="91"/>
  <c r="G28" i="91"/>
  <c r="G55" i="91" s="1"/>
  <c r="G74" i="91"/>
  <c r="G88" i="91" s="1"/>
  <c r="B21" i="90"/>
  <c r="C21" i="90" s="1"/>
  <c r="H9" i="90"/>
  <c r="I9" i="90" s="1"/>
  <c r="F37" i="23" s="1"/>
  <c r="E9" i="90"/>
  <c r="F9" i="90" s="1"/>
  <c r="J37" i="23" s="1"/>
  <c r="I67" i="23" s="1"/>
  <c r="J67" i="23" s="1"/>
  <c r="A22" i="90"/>
  <c r="F39" i="23" l="1"/>
  <c r="F69" i="23" s="1"/>
  <c r="G69" i="23" s="1"/>
  <c r="F67" i="23"/>
  <c r="E21" i="80"/>
  <c r="I21" i="80" s="1"/>
  <c r="F55" i="80" s="1"/>
  <c r="T24" i="91"/>
  <c r="L37" i="23"/>
  <c r="J39" i="23"/>
  <c r="I69" i="23" s="1"/>
  <c r="J69" i="23" s="1"/>
  <c r="L69" i="23" s="1"/>
  <c r="N69" i="23" s="1"/>
  <c r="K7" i="92"/>
  <c r="C14" i="92"/>
  <c r="E14" i="92" s="1"/>
  <c r="L7" i="92"/>
  <c r="C13" i="92"/>
  <c r="L6" i="92"/>
  <c r="K6" i="92"/>
  <c r="B22" i="90"/>
  <c r="C22" i="90" s="1"/>
  <c r="A23" i="90"/>
  <c r="H21" i="80" l="1"/>
  <c r="G67" i="23"/>
  <c r="F21" i="80" s="1"/>
  <c r="L39" i="23"/>
  <c r="N39" i="23" s="1"/>
  <c r="N37" i="23"/>
  <c r="E13" i="92"/>
  <c r="I13" i="92" s="1"/>
  <c r="A24" i="90"/>
  <c r="B23" i="90"/>
  <c r="C23" i="90" s="1"/>
  <c r="D24" i="91" l="1"/>
  <c r="G21" i="80"/>
  <c r="L67" i="23"/>
  <c r="N67" i="23" s="1"/>
  <c r="H13" i="92"/>
  <c r="I14" i="92"/>
  <c r="H14" i="92"/>
  <c r="B24" i="90"/>
  <c r="C24" i="90" s="1"/>
  <c r="A25" i="90"/>
  <c r="D51" i="91" l="1"/>
  <c r="B25" i="90"/>
  <c r="C25" i="90" s="1"/>
  <c r="A26" i="90"/>
  <c r="J21" i="80"/>
  <c r="A27" i="90" l="1"/>
  <c r="B26" i="90"/>
  <c r="C26" i="90" s="1"/>
  <c r="A28" i="90" l="1"/>
  <c r="B27" i="90"/>
  <c r="C27" i="90" s="1"/>
  <c r="A29" i="90" l="1"/>
  <c r="B28" i="90"/>
  <c r="C28" i="90" s="1"/>
  <c r="B29" i="90" l="1"/>
  <c r="C29" i="90" s="1"/>
  <c r="A30" i="90"/>
  <c r="B30" i="90" l="1"/>
  <c r="C30" i="90" s="1"/>
  <c r="A31" i="90"/>
  <c r="A32" i="90" l="1"/>
  <c r="B31" i="90"/>
  <c r="C31" i="90" s="1"/>
  <c r="A33" i="90" l="1"/>
  <c r="B32" i="90"/>
  <c r="C32" i="90" s="1"/>
  <c r="B33" i="90" l="1"/>
  <c r="C33" i="90" s="1"/>
  <c r="A34" i="90"/>
  <c r="B34" i="90" l="1"/>
  <c r="C34" i="90" s="1"/>
  <c r="A35" i="90"/>
  <c r="A36" i="90" l="1"/>
  <c r="B35" i="90"/>
  <c r="C35" i="90" s="1"/>
  <c r="B36" i="90" l="1"/>
  <c r="C36" i="90" s="1"/>
  <c r="A37" i="90"/>
  <c r="B37" i="90" l="1"/>
  <c r="C37" i="90" s="1"/>
  <c r="A38" i="90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C50" i="23" l="1"/>
  <c r="AB23" i="89"/>
  <c r="AB24" i="89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B25" i="89" s="1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2" i="89" l="1"/>
  <c r="A26" i="89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G20" i="23"/>
  <c r="G40" i="23" s="1"/>
  <c r="B9" i="88"/>
  <c r="G28" i="23" l="1"/>
  <c r="P28" i="23" s="1"/>
  <c r="E9" i="88"/>
  <c r="F9" i="88" s="1"/>
  <c r="J24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4" i="23"/>
  <c r="O24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57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F16" i="78" l="1"/>
  <c r="F17" i="78"/>
  <c r="G15" i="78" l="1"/>
  <c r="I46" i="23" l="1"/>
  <c r="G14" i="88" l="1"/>
  <c r="G14" i="93"/>
  <c r="E14" i="98"/>
  <c r="G14" i="94"/>
  <c r="G14" i="96"/>
  <c r="E14" i="95"/>
  <c r="F46" i="23"/>
  <c r="G46" i="23"/>
  <c r="J63" i="23" l="1"/>
  <c r="J64" i="23"/>
  <c r="J66" i="23"/>
  <c r="J65" i="23"/>
  <c r="J61" i="23"/>
  <c r="J62" i="23"/>
  <c r="J60" i="23"/>
  <c r="G66" i="23"/>
  <c r="F20" i="80" s="1"/>
  <c r="G61" i="23"/>
  <c r="F15" i="80" s="1"/>
  <c r="G64" i="23"/>
  <c r="F18" i="80" s="1"/>
  <c r="G65" i="23"/>
  <c r="F19" i="80" s="1"/>
  <c r="G63" i="23"/>
  <c r="F17" i="80" s="1"/>
  <c r="J59" i="23"/>
  <c r="G62" i="23"/>
  <c r="F16" i="80" s="1"/>
  <c r="G59" i="23"/>
  <c r="F13" i="80" s="1"/>
  <c r="G60" i="23"/>
  <c r="F14" i="80" s="1"/>
  <c r="H14" i="88"/>
  <c r="E26" i="88" s="1"/>
  <c r="F14" i="98"/>
  <c r="H14" i="94"/>
  <c r="H14" i="96"/>
  <c r="F14" i="95"/>
  <c r="H14" i="93"/>
  <c r="E14" i="99"/>
  <c r="E14" i="100"/>
  <c r="E14" i="97"/>
  <c r="E25" i="88"/>
  <c r="E23" i="88"/>
  <c r="E33" i="88"/>
  <c r="E37" i="88"/>
  <c r="E40" i="88"/>
  <c r="E30" i="88"/>
  <c r="E28" i="88"/>
  <c r="E36" i="88"/>
  <c r="E31" i="88"/>
  <c r="E24" i="88"/>
  <c r="E27" i="88"/>
  <c r="E22" i="88"/>
  <c r="E39" i="88"/>
  <c r="E34" i="88"/>
  <c r="E35" i="88"/>
  <c r="E41" i="88"/>
  <c r="E32" i="88"/>
  <c r="E29" i="88"/>
  <c r="E38" i="88"/>
  <c r="E42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1" i="80"/>
  <c r="C10" i="80"/>
  <c r="C9" i="80"/>
  <c r="C8" i="80"/>
  <c r="C7" i="80"/>
  <c r="C6" i="80"/>
  <c r="C5" i="80"/>
  <c r="C4" i="80"/>
  <c r="J9" i="80"/>
  <c r="D17" i="91" l="1"/>
  <c r="D44" i="91" s="1"/>
  <c r="G14" i="80"/>
  <c r="G17" i="80"/>
  <c r="D20" i="91"/>
  <c r="D47" i="91" s="1"/>
  <c r="G20" i="80"/>
  <c r="D23" i="91"/>
  <c r="D50" i="91" s="1"/>
  <c r="T22" i="91"/>
  <c r="L65" i="23"/>
  <c r="N65" i="23" s="1"/>
  <c r="D16" i="91"/>
  <c r="G13" i="80"/>
  <c r="G19" i="80"/>
  <c r="D22" i="91"/>
  <c r="D49" i="91" s="1"/>
  <c r="T17" i="91"/>
  <c r="L60" i="23"/>
  <c r="N60" i="23" s="1"/>
  <c r="T23" i="91"/>
  <c r="L66" i="23"/>
  <c r="N66" i="23" s="1"/>
  <c r="D19" i="91"/>
  <c r="D46" i="91" s="1"/>
  <c r="G16" i="80"/>
  <c r="G18" i="80"/>
  <c r="D21" i="91"/>
  <c r="D48" i="91" s="1"/>
  <c r="T19" i="91"/>
  <c r="L62" i="23"/>
  <c r="N62" i="23" s="1"/>
  <c r="T21" i="91"/>
  <c r="L64" i="23"/>
  <c r="N64" i="23" s="1"/>
  <c r="T16" i="91"/>
  <c r="L59" i="23"/>
  <c r="N59" i="23" s="1"/>
  <c r="G15" i="80"/>
  <c r="D18" i="91"/>
  <c r="D45" i="91" s="1"/>
  <c r="T18" i="91"/>
  <c r="L61" i="23"/>
  <c r="N61" i="23" s="1"/>
  <c r="T20" i="91"/>
  <c r="L63" i="23"/>
  <c r="N63" i="23" s="1"/>
  <c r="E32" i="96"/>
  <c r="E33" i="96"/>
  <c r="E39" i="96"/>
  <c r="E29" i="96"/>
  <c r="E40" i="96"/>
  <c r="E30" i="96"/>
  <c r="E37" i="96"/>
  <c r="E24" i="96"/>
  <c r="E42" i="96"/>
  <c r="E35" i="96"/>
  <c r="E38" i="96"/>
  <c r="E34" i="96"/>
  <c r="E41" i="96"/>
  <c r="E27" i="96"/>
  <c r="E36" i="96"/>
  <c r="E25" i="96"/>
  <c r="E28" i="96"/>
  <c r="E26" i="96"/>
  <c r="E31" i="96"/>
  <c r="E23" i="96"/>
  <c r="E22" i="96"/>
  <c r="E39" i="94"/>
  <c r="E37" i="94"/>
  <c r="E33" i="94"/>
  <c r="E31" i="94"/>
  <c r="E29" i="94"/>
  <c r="E22" i="94"/>
  <c r="E32" i="94"/>
  <c r="E25" i="94"/>
  <c r="E38" i="94"/>
  <c r="E42" i="94"/>
  <c r="E23" i="94"/>
  <c r="E24" i="94"/>
  <c r="E30" i="94"/>
  <c r="E41" i="94"/>
  <c r="E36" i="94"/>
  <c r="E35" i="94"/>
  <c r="E28" i="94"/>
  <c r="E40" i="94"/>
  <c r="E27" i="94"/>
  <c r="E26" i="94"/>
  <c r="E34" i="94"/>
  <c r="E32" i="93"/>
  <c r="E22" i="93"/>
  <c r="E28" i="93"/>
  <c r="E42" i="93"/>
  <c r="E36" i="93"/>
  <c r="E37" i="93"/>
  <c r="E39" i="93"/>
  <c r="E24" i="93"/>
  <c r="E33" i="93"/>
  <c r="E27" i="93"/>
  <c r="E38" i="93"/>
  <c r="E40" i="93"/>
  <c r="E41" i="93"/>
  <c r="E29" i="93"/>
  <c r="E34" i="93"/>
  <c r="E23" i="93"/>
  <c r="E30" i="93"/>
  <c r="E31" i="93"/>
  <c r="E25" i="93"/>
  <c r="E35" i="93"/>
  <c r="E26" i="93"/>
  <c r="C22" i="98"/>
  <c r="C23" i="98"/>
  <c r="C21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1" i="98"/>
  <c r="C40" i="98"/>
  <c r="C22" i="95"/>
  <c r="C21" i="95"/>
  <c r="C23" i="95"/>
  <c r="C24" i="95"/>
  <c r="C25" i="95"/>
  <c r="C26" i="95"/>
  <c r="C27" i="95"/>
  <c r="C28" i="95"/>
  <c r="C29" i="95"/>
  <c r="C30" i="95"/>
  <c r="C31" i="95"/>
  <c r="C32" i="95"/>
  <c r="C33" i="95"/>
  <c r="C34" i="95"/>
  <c r="C35" i="95"/>
  <c r="C36" i="95"/>
  <c r="C37" i="95"/>
  <c r="C38" i="95"/>
  <c r="C39" i="95"/>
  <c r="C41" i="95"/>
  <c r="C40" i="95"/>
  <c r="I12" i="59"/>
  <c r="G9" i="59"/>
  <c r="D9" i="59"/>
  <c r="F12" i="82"/>
  <c r="V20" i="79"/>
  <c r="R20" i="79"/>
  <c r="B8" i="79"/>
  <c r="B23" i="79" s="1"/>
  <c r="B9" i="79"/>
  <c r="B24" i="79" s="1"/>
  <c r="B10" i="79"/>
  <c r="B11" i="79"/>
  <c r="B26" i="79" s="1"/>
  <c r="B12" i="79"/>
  <c r="B27" i="79" s="1"/>
  <c r="B13" i="79"/>
  <c r="B28" i="79" s="1"/>
  <c r="B14" i="79"/>
  <c r="B29" i="79" s="1"/>
  <c r="B15" i="79"/>
  <c r="B30" i="79" s="1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5" i="79"/>
  <c r="Q21" i="23"/>
  <c r="J16" i="80"/>
  <c r="J14" i="80"/>
  <c r="J18" i="80"/>
  <c r="J13" i="80"/>
  <c r="J15" i="80"/>
  <c r="D43" i="91" l="1"/>
  <c r="D27" i="91"/>
  <c r="D54" i="91" s="1"/>
  <c r="F12" i="84"/>
  <c r="D9" i="84"/>
  <c r="G9" i="84"/>
  <c r="K23" i="23"/>
  <c r="M23" i="23" s="1"/>
  <c r="B9" i="84" l="1"/>
  <c r="P23" i="23"/>
  <c r="C9" i="84"/>
  <c r="Q23" i="23"/>
  <c r="A22" i="84"/>
  <c r="A23" i="84" s="1"/>
  <c r="A21" i="84"/>
  <c r="F14" i="84"/>
  <c r="E14" i="84"/>
  <c r="H9" i="84"/>
  <c r="I9" i="84" l="1"/>
  <c r="F23" i="23" s="1"/>
  <c r="B21" i="84"/>
  <c r="C21" i="84" s="1"/>
  <c r="E9" i="84"/>
  <c r="F9" i="84" s="1"/>
  <c r="J23" i="23" s="1"/>
  <c r="B23" i="84"/>
  <c r="C23" i="84" s="1"/>
  <c r="A24" i="84"/>
  <c r="B22" i="84"/>
  <c r="C22" i="84" s="1"/>
  <c r="E8" i="80" l="1"/>
  <c r="I8" i="80" s="1"/>
  <c r="O23" i="23"/>
  <c r="L23" i="23"/>
  <c r="N23" i="23" s="1"/>
  <c r="B24" i="84"/>
  <c r="C24" i="84" s="1"/>
  <c r="A25" i="84"/>
  <c r="I53" i="23"/>
  <c r="J53" i="23" s="1"/>
  <c r="H53" i="23"/>
  <c r="F53" i="23"/>
  <c r="G53" i="23" s="1"/>
  <c r="D53" i="23"/>
  <c r="C53" i="23"/>
  <c r="B53" i="23"/>
  <c r="B54" i="23"/>
  <c r="B55" i="23"/>
  <c r="B56" i="23"/>
  <c r="B57" i="23"/>
  <c r="D11" i="91" l="1"/>
  <c r="D38" i="91" s="1"/>
  <c r="F8" i="80"/>
  <c r="H8" i="80"/>
  <c r="Z11" i="89"/>
  <c r="AA11" i="89" s="1"/>
  <c r="R11" i="91"/>
  <c r="S11" i="91" s="1"/>
  <c r="AB11" i="89"/>
  <c r="T11" i="9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53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53" i="23"/>
  <c r="M53" i="23" s="1"/>
  <c r="L53" i="23"/>
  <c r="N53" i="23" s="1"/>
  <c r="W26" i="79" l="1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21" i="23" s="1"/>
  <c r="O21" i="23" s="1"/>
  <c r="E9" i="82"/>
  <c r="F9" i="82" s="1"/>
  <c r="J21" i="23" s="1"/>
  <c r="G12" i="82"/>
  <c r="B21" i="82"/>
  <c r="C21" i="82" s="1"/>
  <c r="A24" i="82"/>
  <c r="B23" i="82"/>
  <c r="C23" i="82" s="1"/>
  <c r="B22" i="82"/>
  <c r="C22" i="82" s="1"/>
  <c r="F51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8" i="78"/>
  <c r="C31" i="79"/>
  <c r="G50" i="79"/>
  <c r="G64" i="79" s="1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C7" i="78" s="1"/>
  <c r="E6" i="78"/>
  <c r="C6" i="78" s="1"/>
  <c r="E8" i="78"/>
  <c r="L8" i="78"/>
  <c r="C18" i="78" l="1"/>
  <c r="E17" i="78" s="1"/>
  <c r="H17" i="78" s="1"/>
  <c r="L9" i="78"/>
  <c r="C15" i="78"/>
  <c r="L6" i="78"/>
  <c r="L7" i="78"/>
  <c r="C16" i="78"/>
  <c r="E16" i="78" s="1"/>
  <c r="H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5" i="23" s="1"/>
  <c r="B21" i="77"/>
  <c r="C21" i="77" s="1"/>
  <c r="E9" i="77"/>
  <c r="F9" i="77" s="1"/>
  <c r="J25" i="23" s="1"/>
  <c r="B23" i="77"/>
  <c r="C23" i="77" s="1"/>
  <c r="A24" i="77"/>
  <c r="B22" i="77"/>
  <c r="C22" i="77" s="1"/>
  <c r="E10" i="80" l="1"/>
  <c r="I10" i="80" s="1"/>
  <c r="O25" i="23"/>
  <c r="I18" i="78"/>
  <c r="I15" i="78"/>
  <c r="B24" i="77"/>
  <c r="C24" i="77" s="1"/>
  <c r="A25" i="77"/>
  <c r="J10" i="80"/>
  <c r="H10" i="80" l="1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7" i="23" s="1"/>
  <c r="E12" i="80" s="1"/>
  <c r="I12" i="80" s="1"/>
  <c r="A21" i="75"/>
  <c r="B21" i="75" s="1"/>
  <c r="C21" i="75" s="1"/>
  <c r="H9" i="75"/>
  <c r="I9" i="75" s="1"/>
  <c r="F26" i="23" s="1"/>
  <c r="E9" i="75"/>
  <c r="F9" i="75" s="1"/>
  <c r="J26" i="23" s="1"/>
  <c r="A21" i="74"/>
  <c r="A22" i="74" s="1"/>
  <c r="B22" i="74" s="1"/>
  <c r="C22" i="74" s="1"/>
  <c r="E9" i="74"/>
  <c r="F9" i="74" s="1"/>
  <c r="J27" i="23" s="1"/>
  <c r="L27" i="23" l="1"/>
  <c r="N27" i="23" s="1"/>
  <c r="H12" i="80"/>
  <c r="E11" i="80"/>
  <c r="I11" i="80" s="1"/>
  <c r="O26" i="23"/>
  <c r="O27" i="23"/>
  <c r="A22" i="75"/>
  <c r="A23" i="75" s="1"/>
  <c r="A24" i="75" s="1"/>
  <c r="A23" i="74"/>
  <c r="B21" i="74"/>
  <c r="C21" i="74" s="1"/>
  <c r="H11" i="80" l="1"/>
  <c r="B23" i="75"/>
  <c r="C23" i="75" s="1"/>
  <c r="B22" i="75"/>
  <c r="C22" i="75" s="1"/>
  <c r="F30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J11" i="80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2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Q20" i="23" l="1"/>
  <c r="C9" i="77" l="1"/>
  <c r="Q25" i="23"/>
  <c r="C6" i="48"/>
  <c r="B6" i="48"/>
  <c r="C6" i="59"/>
  <c r="B6" i="59"/>
  <c r="C6" i="50"/>
  <c r="B6" i="50"/>
  <c r="C6" i="51"/>
  <c r="B6" i="51"/>
  <c r="D57" i="23" l="1"/>
  <c r="H57" i="23"/>
  <c r="C51" i="23"/>
  <c r="D51" i="23"/>
  <c r="H51" i="23"/>
  <c r="C52" i="23"/>
  <c r="D52" i="23"/>
  <c r="H52" i="23"/>
  <c r="C54" i="23"/>
  <c r="D54" i="23"/>
  <c r="H54" i="23"/>
  <c r="C55" i="23"/>
  <c r="D55" i="23"/>
  <c r="H55" i="23"/>
  <c r="C56" i="23"/>
  <c r="D56" i="23"/>
  <c r="H56" i="23"/>
  <c r="Z10" i="89" l="1"/>
  <c r="AA10" i="89" s="1"/>
  <c r="R10" i="91"/>
  <c r="S10" i="91" s="1"/>
  <c r="Z12" i="89"/>
  <c r="AA12" i="89" s="1"/>
  <c r="R12" i="91"/>
  <c r="S12" i="91" s="1"/>
  <c r="Z13" i="89"/>
  <c r="AA13" i="89" s="1"/>
  <c r="R13" i="91"/>
  <c r="S13" i="91" s="1"/>
  <c r="Z15" i="89"/>
  <c r="AA15" i="89" s="1"/>
  <c r="R15" i="91"/>
  <c r="S15" i="91" s="1"/>
  <c r="Z14" i="89"/>
  <c r="AA14" i="89" s="1"/>
  <c r="R14" i="91"/>
  <c r="S14" i="91" s="1"/>
  <c r="Z9" i="89"/>
  <c r="AA9" i="89" s="1"/>
  <c r="R9" i="91"/>
  <c r="S9" i="91" s="1"/>
  <c r="Q21" i="87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54" i="23"/>
  <c r="M54" i="23" s="1"/>
  <c r="K57" i="23"/>
  <c r="M57" i="23" s="1"/>
  <c r="K56" i="23"/>
  <c r="M56" i="23" s="1"/>
  <c r="K52" i="23"/>
  <c r="M52" i="23" s="1"/>
  <c r="K55" i="23"/>
  <c r="M55" i="23" s="1"/>
  <c r="K51" i="23"/>
  <c r="M51" i="23" s="1"/>
  <c r="F24" i="79" l="1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21" i="23" l="1"/>
  <c r="M21" i="23" s="1"/>
  <c r="K22" i="23"/>
  <c r="M22" i="23" s="1"/>
  <c r="K24" i="23"/>
  <c r="M24" i="23" s="1"/>
  <c r="K25" i="23"/>
  <c r="M25" i="23" s="1"/>
  <c r="K26" i="23"/>
  <c r="M26" i="23" s="1"/>
  <c r="C9" i="82"/>
  <c r="C9" i="88"/>
  <c r="P27" i="23"/>
  <c r="Q27" i="23"/>
  <c r="P20" i="23"/>
  <c r="Q19" i="23"/>
  <c r="P19" i="23"/>
  <c r="G12" i="59"/>
  <c r="H12" i="59" s="1"/>
  <c r="N12" i="59"/>
  <c r="B9" i="82" l="1"/>
  <c r="P21" i="23"/>
  <c r="Q22" i="23"/>
  <c r="C9" i="59"/>
  <c r="P22" i="23"/>
  <c r="B9" i="59"/>
  <c r="P24" i="23"/>
  <c r="Q24" i="23"/>
  <c r="B9" i="77"/>
  <c r="P25" i="23"/>
  <c r="C9" i="75"/>
  <c r="Q26" i="23"/>
  <c r="B9" i="75"/>
  <c r="P26" i="23"/>
  <c r="B9" i="74"/>
  <c r="C9" i="74"/>
  <c r="L12" i="59"/>
  <c r="M12" i="59" s="1"/>
  <c r="O12" i="59"/>
  <c r="R12" i="59" l="1"/>
  <c r="P12" i="59"/>
  <c r="Q12" i="59" s="1"/>
  <c r="I56" i="23"/>
  <c r="I55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54" i="23" l="1"/>
  <c r="J22" i="23"/>
  <c r="I52" i="23" s="1"/>
  <c r="J52" i="23" s="1"/>
  <c r="J9" i="59"/>
  <c r="F22" i="23"/>
  <c r="D42" i="59"/>
  <c r="L25" i="23"/>
  <c r="N25" i="23" s="1"/>
  <c r="F55" i="23"/>
  <c r="L26" i="23"/>
  <c r="N26" i="23" s="1"/>
  <c r="F56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AB10" i="89" l="1"/>
  <c r="T10" i="91"/>
  <c r="E7" i="80"/>
  <c r="O22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2" i="23"/>
  <c r="N22" i="23" s="1"/>
  <c r="F52" i="23"/>
  <c r="F54" i="23"/>
  <c r="L24" i="23"/>
  <c r="N24" i="23" s="1"/>
  <c r="A57" i="23"/>
  <c r="A15" i="91" s="1"/>
  <c r="A42" i="91" s="1"/>
  <c r="A55" i="23"/>
  <c r="A13" i="91" s="1"/>
  <c r="A40" i="91" s="1"/>
  <c r="A56" i="23"/>
  <c r="A14" i="91" s="1"/>
  <c r="A41" i="91" s="1"/>
  <c r="A51" i="23"/>
  <c r="A9" i="91" s="1"/>
  <c r="A36" i="91" s="1"/>
  <c r="B51" i="23"/>
  <c r="A52" i="23"/>
  <c r="A10" i="91" s="1"/>
  <c r="A37" i="91" s="1"/>
  <c r="B52" i="23"/>
  <c r="A54" i="23"/>
  <c r="A12" i="91" s="1"/>
  <c r="A39" i="91" s="1"/>
  <c r="F32" i="80" l="1"/>
  <c r="I7" i="80"/>
  <c r="H7" i="80"/>
  <c r="F35" i="80"/>
  <c r="H50" i="23"/>
  <c r="H49" i="23"/>
  <c r="D50" i="23"/>
  <c r="B50" i="23"/>
  <c r="B49" i="23"/>
  <c r="A50" i="23"/>
  <c r="A8" i="91" s="1"/>
  <c r="A35" i="91" s="1"/>
  <c r="A49" i="23"/>
  <c r="A7" i="91" s="1"/>
  <c r="A34" i="91" s="1"/>
  <c r="H70" i="23" l="1"/>
  <c r="Z7" i="89"/>
  <c r="AA7" i="89" s="1"/>
  <c r="R7" i="91"/>
  <c r="Z8" i="89"/>
  <c r="AA8" i="89" s="1"/>
  <c r="R8" i="91"/>
  <c r="S8" i="91" s="1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50" i="23"/>
  <c r="M50" i="23" s="1"/>
  <c r="R28" i="91" l="1"/>
  <c r="S28" i="91" s="1"/>
  <c r="S7" i="91"/>
  <c r="Z16" i="89"/>
  <c r="AA16" i="89" s="1"/>
  <c r="N23" i="79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V16" i="79"/>
  <c r="O23" i="79"/>
  <c r="K22" i="79"/>
  <c r="J16" i="79"/>
  <c r="N16" i="79"/>
  <c r="G22" i="79"/>
  <c r="F22" i="79"/>
  <c r="F16" i="79"/>
  <c r="R16" i="79"/>
  <c r="J55" i="23"/>
  <c r="J56" i="23"/>
  <c r="J54" i="23"/>
  <c r="G54" i="23"/>
  <c r="F9" i="80" s="1"/>
  <c r="G55" i="23"/>
  <c r="G52" i="23"/>
  <c r="F7" i="80" s="1"/>
  <c r="G56" i="23"/>
  <c r="H14" i="59"/>
  <c r="D14" i="91" l="1"/>
  <c r="F11" i="80"/>
  <c r="D13" i="91"/>
  <c r="D40" i="91" s="1"/>
  <c r="F10" i="80"/>
  <c r="G10" i="80" s="1"/>
  <c r="P52" i="23"/>
  <c r="D10" i="91"/>
  <c r="D37" i="91" s="1"/>
  <c r="G9" i="80"/>
  <c r="D12" i="91"/>
  <c r="D39" i="91" s="1"/>
  <c r="D41" i="91"/>
  <c r="AB12" i="89"/>
  <c r="T12" i="91"/>
  <c r="AB13" i="89"/>
  <c r="T13" i="91"/>
  <c r="AB14" i="89"/>
  <c r="T14" i="9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54" i="23"/>
  <c r="P56" i="23"/>
  <c r="P55" i="23"/>
  <c r="L28" i="79"/>
  <c r="H28" i="79"/>
  <c r="L27" i="79"/>
  <c r="X27" i="79"/>
  <c r="T27" i="79"/>
  <c r="V31" i="79"/>
  <c r="W16" i="79"/>
  <c r="W31" i="79" s="1"/>
  <c r="R31" i="79"/>
  <c r="S16" i="79"/>
  <c r="S31" i="79" s="1"/>
  <c r="G11" i="80"/>
  <c r="D14" i="79"/>
  <c r="D29" i="79" s="1"/>
  <c r="A29" i="79" s="1"/>
  <c r="D13" i="79"/>
  <c r="D28" i="79" s="1"/>
  <c r="A28" i="79" s="1"/>
  <c r="D10" i="79"/>
  <c r="D25" i="79" s="1"/>
  <c r="A25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16" i="79"/>
  <c r="G31" i="79" s="1"/>
  <c r="N31" i="79"/>
  <c r="O16" i="79"/>
  <c r="O31" i="79" s="1"/>
  <c r="J31" i="79"/>
  <c r="K16" i="79"/>
  <c r="K31" i="79" s="1"/>
  <c r="L52" i="23"/>
  <c r="N52" i="23" s="1"/>
  <c r="L56" i="23"/>
  <c r="N56" i="23" s="1"/>
  <c r="L54" i="23"/>
  <c r="N54" i="23" s="1"/>
  <c r="L55" i="23"/>
  <c r="N55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57" i="23"/>
  <c r="F57" i="23"/>
  <c r="G57" i="23" s="1"/>
  <c r="F12" i="80" s="1"/>
  <c r="J7" i="80"/>
  <c r="D15" i="91" l="1"/>
  <c r="D42" i="91" s="1"/>
  <c r="G12" i="80"/>
  <c r="J57" i="23"/>
  <c r="AB15" i="89" s="1"/>
  <c r="P13" i="87"/>
  <c r="R27" i="87"/>
  <c r="R13" i="87"/>
  <c r="P27" i="87"/>
  <c r="N13" i="87"/>
  <c r="N27" i="87"/>
  <c r="X30" i="79"/>
  <c r="H30" i="79"/>
  <c r="T30" i="79"/>
  <c r="P30" i="79"/>
  <c r="L30" i="79"/>
  <c r="D15" i="79"/>
  <c r="D30" i="79" s="1"/>
  <c r="A30" i="79" s="1"/>
  <c r="I13" i="86" l="1"/>
  <c r="R13" i="86" s="1"/>
  <c r="E27" i="86"/>
  <c r="N27" i="86" s="1"/>
  <c r="I27" i="86"/>
  <c r="R27" i="86" s="1"/>
  <c r="E13" i="86"/>
  <c r="N13" i="86" s="1"/>
  <c r="L57" i="23"/>
  <c r="N57" i="23" s="1"/>
  <c r="G27" i="86"/>
  <c r="P27" i="86" s="1"/>
  <c r="P57" i="23"/>
  <c r="AB15" i="79"/>
  <c r="G13" i="86"/>
  <c r="P13" i="86" s="1"/>
  <c r="T15" i="91"/>
  <c r="C14" i="23"/>
  <c r="D14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9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G51" i="23"/>
  <c r="F6" i="80" s="1"/>
  <c r="I49" i="23"/>
  <c r="J9" i="48"/>
  <c r="J9" i="51"/>
  <c r="F19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A27" i="50" l="1"/>
  <c r="G6" i="80"/>
  <c r="D9" i="91"/>
  <c r="E4" i="80"/>
  <c r="O19" i="23"/>
  <c r="F31" i="80"/>
  <c r="D9" i="79"/>
  <c r="L21" i="23"/>
  <c r="N21" i="23" s="1"/>
  <c r="I51" i="23"/>
  <c r="J51" i="23" s="1"/>
  <c r="F49" i="23"/>
  <c r="J49" i="23"/>
  <c r="I4" i="80" l="1"/>
  <c r="A28" i="50"/>
  <c r="H4" i="80"/>
  <c r="G49" i="23"/>
  <c r="D7" i="79" s="1"/>
  <c r="D22" i="79" s="1"/>
  <c r="A22" i="79" s="1"/>
  <c r="F28" i="80"/>
  <c r="C3" i="91"/>
  <c r="D36" i="91"/>
  <c r="AB9" i="89"/>
  <c r="T9" i="91"/>
  <c r="AB7" i="89"/>
  <c r="T7" i="91"/>
  <c r="N7" i="87"/>
  <c r="R21" i="87"/>
  <c r="R7" i="87"/>
  <c r="P21" i="87"/>
  <c r="P7" i="87"/>
  <c r="N21" i="87"/>
  <c r="N5" i="87"/>
  <c r="P5" i="87"/>
  <c r="R19" i="87"/>
  <c r="P19" i="87"/>
  <c r="N19" i="87"/>
  <c r="R5" i="87"/>
  <c r="P51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F27" i="80"/>
  <c r="F29" i="80"/>
  <c r="D24" i="79"/>
  <c r="A24" i="79" s="1"/>
  <c r="C3" i="79"/>
  <c r="L51" i="23"/>
  <c r="N51" i="23" s="1"/>
  <c r="D7" i="91" l="1"/>
  <c r="F4" i="80"/>
  <c r="A29" i="50"/>
  <c r="P49" i="23"/>
  <c r="D34" i="91"/>
  <c r="X22" i="79"/>
  <c r="H22" i="79"/>
  <c r="C9" i="51"/>
  <c r="B9" i="51"/>
  <c r="A30" i="50" l="1"/>
  <c r="G4" i="80"/>
  <c r="B9" i="50"/>
  <c r="B9" i="48"/>
  <c r="C9" i="50"/>
  <c r="C9" i="48"/>
  <c r="A31" i="50" l="1"/>
  <c r="G14" i="51"/>
  <c r="D49" i="23"/>
  <c r="D70" i="23" s="1"/>
  <c r="C47" i="23"/>
  <c r="C48" i="23"/>
  <c r="C49" i="23"/>
  <c r="A32" i="50" l="1"/>
  <c r="G14" i="50"/>
  <c r="K49" i="23"/>
  <c r="M49" i="23" s="1"/>
  <c r="A33" i="50" l="1"/>
  <c r="K70" i="23"/>
  <c r="M70" i="23" s="1"/>
  <c r="A34" i="50" l="1"/>
  <c r="K20" i="23"/>
  <c r="K19" i="23"/>
  <c r="A35" i="50" l="1"/>
  <c r="K40" i="23"/>
  <c r="M40" i="23" s="1"/>
  <c r="K28" i="23"/>
  <c r="M28" i="23" s="1"/>
  <c r="M20" i="23"/>
  <c r="M19" i="23"/>
  <c r="A36" i="50" l="1"/>
  <c r="L49" i="23"/>
  <c r="N49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19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31" i="5"/>
  <c r="B35" i="5"/>
  <c r="B29" i="5"/>
  <c r="B39" i="5"/>
  <c r="B42" i="5"/>
  <c r="B45" i="5"/>
  <c r="B41" i="5"/>
  <c r="B37" i="5"/>
  <c r="B32" i="5"/>
  <c r="B36" i="5"/>
  <c r="B46" i="5"/>
  <c r="B40" i="5"/>
  <c r="B28" i="5"/>
  <c r="B30" i="5"/>
  <c r="B38" i="5"/>
  <c r="E9" i="5"/>
  <c r="B34" i="5"/>
  <c r="B27" i="5"/>
  <c r="B44" i="5"/>
  <c r="B47" i="5"/>
  <c r="B33" i="5"/>
  <c r="B43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9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R5" i="80" a="1"/>
  <c r="Q5" i="80" a="1"/>
  <c r="Q5" i="80" l="1"/>
  <c r="R5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20" i="23" s="1"/>
  <c r="J40" i="23" s="1"/>
  <c r="B39" i="50"/>
  <c r="B23" i="50"/>
  <c r="B30" i="50"/>
  <c r="B29" i="50"/>
  <c r="B32" i="50"/>
  <c r="B38" i="50"/>
  <c r="B35" i="50"/>
  <c r="B22" i="50"/>
  <c r="J28" i="23" l="1"/>
  <c r="I58" i="23" s="1"/>
  <c r="J58" i="23" s="1"/>
  <c r="E42" i="50"/>
  <c r="D42" i="50"/>
  <c r="C42" i="50"/>
  <c r="E22" i="50"/>
  <c r="C22" i="50"/>
  <c r="D29" i="50"/>
  <c r="E29" i="50"/>
  <c r="C29" i="50"/>
  <c r="I50" i="23"/>
  <c r="I70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20" i="23"/>
  <c r="F40" i="23" s="1"/>
  <c r="J9" i="50"/>
  <c r="J5" i="80"/>
  <c r="F28" i="23" l="1"/>
  <c r="F58" i="23" s="1"/>
  <c r="G58" i="23" s="1"/>
  <c r="L58" i="23" s="1"/>
  <c r="N58" i="23" s="1"/>
  <c r="O20" i="23"/>
  <c r="L20" i="23"/>
  <c r="L40" i="23" s="1"/>
  <c r="E5" i="80"/>
  <c r="E23" i="80" s="1"/>
  <c r="I23" i="80" s="1"/>
  <c r="F50" i="23"/>
  <c r="F70" i="23" s="1"/>
  <c r="J50" i="23"/>
  <c r="J70" i="23" s="1"/>
  <c r="I5" i="80" l="1"/>
  <c r="N40" i="23"/>
  <c r="L28" i="23"/>
  <c r="N28" i="23" s="1"/>
  <c r="B9" i="23"/>
  <c r="M15" i="23"/>
  <c r="N20" i="23"/>
  <c r="AB8" i="89"/>
  <c r="AB16" i="89" s="1"/>
  <c r="T8" i="91"/>
  <c r="T28" i="91" s="1"/>
  <c r="R6" i="87"/>
  <c r="P6" i="87"/>
  <c r="N6" i="87"/>
  <c r="R20" i="87"/>
  <c r="P20" i="87"/>
  <c r="N20" i="87"/>
  <c r="L23" i="79"/>
  <c r="H23" i="79"/>
  <c r="T23" i="79"/>
  <c r="P23" i="79"/>
  <c r="H5" i="80"/>
  <c r="H23" i="80" s="1"/>
  <c r="F33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G50" i="23"/>
  <c r="F34" i="80"/>
  <c r="F5" i="80" l="1"/>
  <c r="F23" i="80" s="1"/>
  <c r="G70" i="23"/>
  <c r="D8" i="91"/>
  <c r="P50" i="23"/>
  <c r="X23" i="79"/>
  <c r="X16" i="79"/>
  <c r="L50" i="23"/>
  <c r="N50" i="23" s="1"/>
  <c r="D8" i="79"/>
  <c r="H16" i="79"/>
  <c r="L16" i="79"/>
  <c r="P16" i="79"/>
  <c r="T16" i="79"/>
  <c r="D28" i="91" l="1"/>
  <c r="D30" i="91" s="1"/>
  <c r="D26" i="91"/>
  <c r="D53" i="91" s="1"/>
  <c r="D29" i="91"/>
  <c r="G5" i="80"/>
  <c r="D35" i="91"/>
  <c r="D23" i="79"/>
  <c r="A23" i="79" s="1"/>
  <c r="D16" i="79"/>
  <c r="L70" i="23"/>
  <c r="N70" i="23" s="1"/>
  <c r="L15" i="23"/>
  <c r="L31" i="79"/>
  <c r="G9" i="78"/>
  <c r="K9" i="78" s="1"/>
  <c r="T31" i="79"/>
  <c r="G7" i="78"/>
  <c r="G6" i="78"/>
  <c r="X31" i="79"/>
  <c r="P31" i="79"/>
  <c r="G10" i="78"/>
  <c r="H31" i="79"/>
  <c r="G8" i="78"/>
  <c r="F8" i="92" l="1"/>
  <c r="D55" i="91"/>
  <c r="G23" i="80"/>
  <c r="F24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C57" i="91" l="1"/>
  <c r="C56" i="91" s="1"/>
  <c r="L57" i="91"/>
  <c r="L58" i="91" s="1"/>
  <c r="P57" i="91"/>
  <c r="P58" i="91" s="1"/>
  <c r="H57" i="91"/>
  <c r="H58" i="91" s="1"/>
  <c r="I7" i="92"/>
  <c r="J7" i="92"/>
  <c r="I8" i="92"/>
  <c r="B8" i="92"/>
  <c r="J8" i="92"/>
  <c r="I6" i="92"/>
  <c r="J6" i="92"/>
  <c r="T33" i="79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<sst xmlns="http://schemas.openxmlformats.org/spreadsheetml/2006/main" count="2032" uniqueCount="349">
  <si>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</si>
  <si>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</si>
  <si>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</si>
  <si>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</si>
  <si>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</si>
  <si>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</si>
  <si>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</si>
  <si>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</si>
  <si>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</si>
  <si>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</si>
  <si>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</si>
  <si>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</si>
  <si>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</si>
  <si>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</si>
  <si>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</si>
  <si>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</si>
  <si>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</si>
  <si>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</si>
  <si>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</si>
  <si>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</si>
  <si>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</si>
  <si>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</si>
  <si>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</si>
  <si>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</si>
  <si>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</si>
  <si>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</si>
  <si>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</si>
  <si>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</si>
  <si>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</si>
  <si>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</si>
  <si>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</si>
  <si>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</si>
  <si>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</si>
  <si>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</si>
  <si>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</si>
  <si>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</si>
  <si>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</si>
  <si>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</si>
  <si>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</si>
  <si>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</si>
  <si>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</si>
  <si>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</si>
  <si>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</si>
  <si>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</si>
  <si>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</si>
  <si>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</si>
  <si>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</si>
  <si>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</si>
  <si>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</si>
  <si>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</si>
  <si>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</si>
  <si>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</si>
  <si>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</si>
  <si>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</si>
  <si>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</si>
  <si>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</si>
  <si>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</si>
  <si>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</si>
  <si>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</si>
  <si>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</si>
  <si>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</si>
  <si>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</si>
  <si>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</si>
  <si>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</si>
  <si>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</si>
  <si>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</si>
  <si>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</si>
  <si>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</si>
  <si>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</si>
  <si>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</si>
  <si>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</si>
  <si>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</si>
  <si>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</si>
  <si>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</si>
  <si>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</si>
  <si>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</si>
  <si>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</si>
  <si>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</si>
  <si>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</si>
  <si>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</si>
  <si>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</si>
  <si>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</si>
  <si>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</si>
  <si>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</si>
  <si>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</si>
  <si>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</si>
  <si>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</si>
  <si>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</si>
  <si>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</si>
  <si>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</si>
  <si>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</si>
  <si>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</si>
  <si>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</si>
  <si>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</si>
  <si>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</si>
  <si>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</si>
  <si>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</si>
  <si>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</si>
  <si>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</si>
  <si>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</si>
  <si>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</si>
  <si>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</si>
  <si>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</si>
  <si>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</si>
  <si>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</si>
  <si>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</si>
  <si>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</si>
  <si>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</si>
  <si>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</si>
  <si>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</si>
  <si>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</si>
  <si>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</si>
  <si>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</si>
  <si>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</si>
  <si>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</si>
  <si>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</si>
  <si>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</si>
  <si>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</si>
  <si>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</si>
  <si>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</si>
  <si>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</si>
  <si>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</si>
  <si>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</si>
  <si>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</si>
  <si>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</si>
  <si>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</si>
  <si>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</si>
  <si>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</si>
  <si>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</si>
  <si>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</si>
  <si>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</si>
  <si>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</si>
  <si>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</si>
  <si>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</si>
  <si>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</si>
  <si>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</si>
  <si>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</si>
  <si>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</si>
  <si>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</si>
  <si>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</si>
  <si>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</si>
  <si>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</si>
  <si>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</si>
  <si>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</si>
  <si>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</si>
  <si>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</si>
  <si>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</si>
  <si>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</si>
  <si>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</si>
  <si>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</si>
  <si>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</si>
  <si>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</si>
  <si>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</si>
  <si>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</si>
  <si>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</si>
  <si>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</si>
  <si>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t>2018 Optimal Spend ($)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</si>
  <si>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</si>
  <si>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</si>
  <si>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</si>
  <si>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</si>
  <si>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</si>
  <si>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</si>
  <si>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2018 Planned Spend ($)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</si>
  <si>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</si>
  <si>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</si>
  <si>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</si>
  <si>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</si>
  <si>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</si>
  <si>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</si>
  <si>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</si>
  <si>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</si>
  <si>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</si>
  <si>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</si>
  <si>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</si>
  <si>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</si>
  <si>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</si>
  <si>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</si>
  <si>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</si>
  <si>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</si>
  <si>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</si>
  <si>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</si>
  <si>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</si>
  <si>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</si>
  <si>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</si>
  <si>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</si>
  <si>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</si>
  <si>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</si>
  <si>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</si>
  <si>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</si>
  <si>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</si>
  <si>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</si>
  <si>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</si>
  <si>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</si>
  <si>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</si>
  <si>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</si>
  <si>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</si>
  <si>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</si>
  <si>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</si>
  <si>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</si>
  <si>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</si>
  <si>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Gardasil Adolescents: HCC In Office, HCP MCM, HCC Digital, TV &amp; HCC Print.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</si>
  <si>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</si>
  <si>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</si>
  <si>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</si>
  <si>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</si>
  <si>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</si>
  <si>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</si>
  <si>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</si>
  <si>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</si>
  <si>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</si>
  <si>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</si>
  <si>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</si>
  <si>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</si>
  <si>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</si>
  <si>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</si>
  <si>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</si>
  <si>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</si>
  <si>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</si>
  <si>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</si>
  <si>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</si>
  <si>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</si>
  <si>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</si>
  <si>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</si>
  <si>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</si>
  <si>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</si>
  <si>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</si>
  <si>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</si>
  <si>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</si>
  <si>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</si>
  <si>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</si>
  <si>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</si>
  <si>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</si>
  <si>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</si>
  <si>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</si>
  <si>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</si>
  <si>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</si>
  <si>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</si>
  <si>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</si>
  <si>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</si>
  <si>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</si>
  <si>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</si>
  <si>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</si>
  <si>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</si>
  <si>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</si>
  <si>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</si>
  <si>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</si>
  <si>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</si>
  <si>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</si>
  <si>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</si>
  <si>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</si>
  <si>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</si>
  <si>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2021 Current Baseline ($MM)</t>
  </si>
  <si>
    <t>Δ Pre-tax Revenue w.r.t 2021 Current baseline</t>
  </si>
  <si>
    <t>Current 2021 Baseline</t>
  </si>
  <si>
    <t>Optimal Channel Spend  allowed to vary between  of the 2021 spend</t>
  </si>
  <si>
    <t>Current Optimal ($38MM)</t>
  </si>
  <si>
    <t>10% reduction optimal ($35M)</t>
  </si>
  <si>
    <t>20% reduction optimal ($31M)</t>
  </si>
  <si>
    <t>10% increase optimal ($42M)</t>
  </si>
  <si>
    <t>20% increase optimal ($46M)</t>
  </si>
  <si>
    <t>+$11(6%)</t>
  </si>
  <si>
    <t>+$1(0.4%)</t>
  </si>
  <si>
    <t>-$13(-7%)</t>
  </si>
  <si>
    <t>+$20(11%)</t>
  </si>
  <si>
    <t>+$29(16%)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</si>
  <si>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</si>
  <si>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</si>
  <si>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</si>
  <si>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Δ Pre-tax Revenue w.r.t 2022 Current baseline</t>
  </si>
  <si>
    <t>2022 Current Baseline ($MM)</t>
  </si>
  <si>
    <t>*UPDATED</t>
  </si>
  <si>
    <t>budgets reflect ingoing budget, tv and linear tv remain capped</t>
  </si>
  <si>
    <t>Current Optimal ($34MM)</t>
  </si>
  <si>
    <t>+$2(1.0%)</t>
  </si>
  <si>
    <t>-$6(3%)</t>
  </si>
  <si>
    <t>-$18(-8%)</t>
  </si>
  <si>
    <t>+$14(6%)</t>
  </si>
  <si>
    <t>+$23(10%)</t>
  </si>
  <si>
    <t>3% reduction optimal ($33M)</t>
  </si>
  <si>
    <t>7% reduction optimal ($32M)</t>
  </si>
  <si>
    <t>5% increase optimal ($36M)</t>
  </si>
  <si>
    <t>10% increase optimal ($38M)</t>
  </si>
  <si>
    <t>Gardasil Adult audio. Given a set of X and Y values, a power function (i.e., a smooth continuous curve) is fit for each pair of values</t>
  </si>
  <si>
    <t>HCC audio</t>
  </si>
  <si>
    <t>HCC Audio</t>
  </si>
  <si>
    <t>Gardasil Adults</t>
  </si>
  <si>
    <t>HCC InOffice</t>
  </si>
  <si>
    <t>HCC Linear TV</t>
  </si>
  <si>
    <t>Gardasil Adult Social. Given a set of X and Y values, a power function (i.e., a smooth continuous curve) is fit for each pair of values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</si>
  <si>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</si>
  <si>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</si>
  <si>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 Streaming.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</si>
  <si>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</si>
  <si>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</si>
  <si>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display. Given a set of X and Y values, a power function (i.e., a smooth continuous curve) is fit for each pair of values</t>
  </si>
  <si>
    <t>Gardasil Adult psrch. Given a set of X and Y values, a power function (i.e., a smooth continuous curve) is fit for each pair of values</t>
  </si>
  <si>
    <t>HCC psrch</t>
  </si>
  <si>
    <t>Gardasil Adult linear tv. Given a set of X and Y values, a power function (i.e., a smooth continuous curve) is fit for each pair of values</t>
  </si>
  <si>
    <t>HCC linear tv</t>
  </si>
  <si>
    <t>2022 adt Projected Promotion Efficiency</t>
  </si>
  <si>
    <t>Gardasil Adolescent</t>
  </si>
  <si>
    <t>Gardasil Adult</t>
  </si>
  <si>
    <t>optimal Spends</t>
  </si>
  <si>
    <t>Gardasil Adolescents psrch. Given a set of X and Y values, a power function (i.e., a smooth continuous curve) is fit for each pair of values</t>
  </si>
  <si>
    <t>HCC 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</si>
  <si>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</si>
  <si>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Pharmacy</t>
  </si>
  <si>
    <t>2023 Current Baseline ($MM)</t>
  </si>
  <si>
    <t>Δ Pre-tax Revenue w.r.t 2023 Current baseline</t>
  </si>
  <si>
    <t>Current 2023 Baseline</t>
  </si>
  <si>
    <t>2023 adol Projected Promotion Efficiency</t>
  </si>
  <si>
    <t>BASE Case: Vary promotion type spend by + or - 50% and global spend by + or - 20%.</t>
  </si>
  <si>
    <t>Current Optimal ($92MM)</t>
  </si>
  <si>
    <t>50% increase optimal ($139M)</t>
  </si>
  <si>
    <t>100% increase optimal ($185M)</t>
  </si>
  <si>
    <t>2023 Spend ($MM)</t>
  </si>
  <si>
    <t>2023 Estimated Incr. Doses ('000)</t>
  </si>
  <si>
    <t>2023 Estimated Pre-Tax NPV</t>
  </si>
  <si>
    <t>2023 Estimated Pre-tax ROI</t>
  </si>
  <si>
    <t xml:space="preserve">2023 proj </t>
  </si>
  <si>
    <t>2023  pro adol</t>
  </si>
  <si>
    <t>2023  pro adt</t>
  </si>
  <si>
    <t>GINOFF</t>
  </si>
  <si>
    <t>GMCM</t>
  </si>
  <si>
    <t>GSOC</t>
  </si>
  <si>
    <t>GOLV</t>
  </si>
  <si>
    <t>GSTRV</t>
  </si>
  <si>
    <t>GDISP</t>
  </si>
  <si>
    <t>GSEARCH</t>
  </si>
  <si>
    <t>GRADIO</t>
  </si>
  <si>
    <t>GTV</t>
  </si>
  <si>
    <t>GAUDIO</t>
  </si>
  <si>
    <t>GINOFF_adt</t>
  </si>
  <si>
    <t>GMCM_adt</t>
  </si>
  <si>
    <t>GSOCIAL_adt</t>
  </si>
  <si>
    <t>GOLV_adt</t>
  </si>
  <si>
    <t>GSTRTV_adt</t>
  </si>
  <si>
    <t>GDISP_adt</t>
  </si>
  <si>
    <t>GPDSRCH_adt</t>
  </si>
  <si>
    <t>GLINEARTV_adt</t>
  </si>
  <si>
    <t>GPHRMCY_adt</t>
  </si>
  <si>
    <t>+$122(29%)</t>
  </si>
  <si>
    <t>+$233(55%)</t>
  </si>
  <si>
    <t>-50% / +200%</t>
  </si>
  <si>
    <t>Optimal channel spend allowed to vary between -50% / +200% of the 2023 channel spend and Gobal Spend is alowed to vary by +/-20%</t>
  </si>
  <si>
    <t>+$313(75%)</t>
  </si>
  <si>
    <t>Indication</t>
  </si>
  <si>
    <t>In-Scope Promotion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</si>
</sst>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_(&quot;$&quot;* #,##0.0_);_(&quot;$&quot;* \(#,##0.0\);_(&quot;$&quot;* &quot;-&quot;?_);_(@_)"/>
    <numFmt numFmtId="174" formatCode="&quot;$&quot;0.0,,\ "/>
    <numFmt numFmtId="175" formatCode="&quot;$&quot;0.0,,\ &quot;M&quot;"/>
  </numFmts>
  <fonts count="4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1"/>
      <name val="Arial"/>
      <family val="2"/>
    </font>
    <font>
      <sz val="11"/>
      <color rgb="FFFF0000"/>
      <name val="Arial"/>
      <family val="2"/>
    </font>
    <font>
      <b/>
      <sz val="11"/>
      <color theme="0"/>
      <name val="Arial"/>
      <family val="2"/>
    </font>
    <font>
      <b/>
      <sz val="11"/>
      <color rgb="FF00B050"/>
      <name val="Arial"/>
      <family val="2"/>
    </font>
    <font>
      <sz val="10"/>
      <color theme="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625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3" applyNumberFormat="1" applyFont="1" applyAlignment="1">
      <alignment horizontal="center"/>
    </xf>
    <xf numFmtId="170" fontId="41" fillId="48" borderId="91" xfId="4" applyNumberFormat="1" applyFont="1" applyFill="1" applyBorder="1" applyAlignment="1">
      <alignment horizontal="center" vertical="center" wrapText="1"/>
    </xf>
    <xf numFmtId="173" fontId="0" fillId="0" borderId="0" xfId="0" applyNumberFormat="1"/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0" borderId="37" xfId="0" applyFont="1" applyBorder="1" applyAlignment="1">
      <alignment horizontal="left"/>
    </xf>
    <xf numFmtId="166" fontId="1" fillId="2" borderId="12" xfId="4" applyNumberFormat="1" applyFont="1" applyFill="1" applyBorder="1" applyAlignment="1">
      <alignment horizontal="center"/>
    </xf>
    <xf numFmtId="0" fontId="1" fillId="0" borderId="32" xfId="0" applyFont="1" applyFill="1" applyBorder="1" applyAlignment="1">
      <alignment horizontal="left"/>
    </xf>
    <xf numFmtId="0" fontId="1" fillId="0" borderId="32" xfId="0" applyFont="1" applyFill="1" applyBorder="1" applyAlignment="1">
      <alignment horizontal="left" indent="1"/>
    </xf>
    <xf numFmtId="0" fontId="1" fillId="0" borderId="32" xfId="0" applyFont="1" applyBorder="1"/>
    <xf numFmtId="9" fontId="1" fillId="0" borderId="32" xfId="0" applyNumberFormat="1" applyFont="1" applyBorder="1" applyAlignment="1">
      <alignment horizontal="center"/>
    </xf>
    <xf numFmtId="5" fontId="1" fillId="2" borderId="32" xfId="4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166" fontId="12" fillId="8" borderId="32" xfId="2" applyNumberFormat="1" applyFont="1" applyFill="1" applyBorder="1" applyAlignment="1">
      <alignment horizontal="center"/>
    </xf>
    <xf numFmtId="3" fontId="1" fillId="9" borderId="32" xfId="0" applyNumberFormat="1" applyFont="1" applyFill="1" applyBorder="1" applyAlignment="1">
      <alignment horizontal="center"/>
    </xf>
    <xf numFmtId="9" fontId="1" fillId="9" borderId="32" xfId="3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43" fontId="1" fillId="2" borderId="9" xfId="2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0" fontId="5" fillId="0" borderId="0" xfId="0" applyFont="1"/>
    <xf numFmtId="3" fontId="1" fillId="2" borderId="25" xfId="2" applyNumberFormat="1" applyFont="1" applyFill="1" applyBorder="1" applyAlignment="1">
      <alignment horizontal="center"/>
    </xf>
    <xf numFmtId="3" fontId="12" fillId="8" borderId="25" xfId="2" applyNumberFormat="1" applyFont="1" applyFill="1" applyBorder="1" applyAlignment="1">
      <alignment horizontal="center"/>
    </xf>
    <xf numFmtId="9" fontId="1" fillId="2" borderId="9" xfId="2" applyNumberFormat="1" applyFont="1" applyFill="1" applyBorder="1" applyAlignment="1">
      <alignment horizontal="center"/>
    </xf>
    <xf numFmtId="0" fontId="1" fillId="0" borderId="32" xfId="0" applyFont="1" applyBorder="1" applyAlignment="1">
      <alignment horizontal="left" indent="1"/>
    </xf>
    <xf numFmtId="164" fontId="1" fillId="0" borderId="32" xfId="4" applyNumberFormat="1" applyFont="1" applyFill="1" applyBorder="1"/>
    <xf numFmtId="3" fontId="1" fillId="0" borderId="32" xfId="2" applyNumberFormat="1" applyFont="1" applyFill="1" applyBorder="1" applyAlignment="1">
      <alignment horizontal="center"/>
    </xf>
    <xf numFmtId="3" fontId="1" fillId="0" borderId="32" xfId="2" applyNumberFormat="1" applyFont="1" applyFill="1" applyBorder="1"/>
    <xf numFmtId="42" fontId="1" fillId="41" borderId="32" xfId="2" applyNumberFormat="1" applyFont="1" applyFill="1" applyBorder="1" applyAlignment="1">
      <alignment horizontal="left"/>
    </xf>
    <xf numFmtId="164" fontId="1" fillId="8" borderId="32" xfId="4" applyNumberFormat="1" applyFont="1" applyFill="1" applyBorder="1"/>
    <xf numFmtId="42" fontId="1" fillId="8" borderId="32" xfId="2" applyNumberFormat="1" applyFont="1" applyFill="1" applyBorder="1" applyAlignment="1">
      <alignment horizontal="left"/>
    </xf>
    <xf numFmtId="9" fontId="1" fillId="0" borderId="32" xfId="3" applyFont="1" applyFill="1" applyBorder="1"/>
    <xf numFmtId="9" fontId="1" fillId="0" borderId="32" xfId="3" applyFont="1" applyFill="1" applyBorder="1" applyAlignment="1">
      <alignment horizontal="left"/>
    </xf>
    <xf numFmtId="0" fontId="1" fillId="0" borderId="37" xfId="0" applyFont="1" applyBorder="1" applyAlignment="1">
      <alignment horizontal="center"/>
    </xf>
    <xf numFmtId="166" fontId="0" fillId="0" borderId="48" xfId="4" applyNumberFormat="1" applyFont="1" applyBorder="1" applyAlignment="1">
      <alignment horizontal="center"/>
    </xf>
    <xf numFmtId="9" fontId="0" fillId="0" borderId="48" xfId="3" applyFont="1" applyBorder="1" applyAlignment="1">
      <alignment horizontal="center"/>
    </xf>
    <xf numFmtId="0" fontId="0" fillId="0" borderId="48" xfId="0" applyBorder="1"/>
    <xf numFmtId="166" fontId="0" fillId="0" borderId="49" xfId="4" applyNumberFormat="1" applyFont="1" applyBorder="1" applyAlignment="1">
      <alignment horizontal="center"/>
    </xf>
    <xf numFmtId="166" fontId="0" fillId="0" borderId="0" xfId="4" applyNumberFormat="1" applyFont="1" applyBorder="1" applyAlignment="1">
      <alignment horizontal="center"/>
    </xf>
    <xf numFmtId="9" fontId="0" fillId="0" borderId="0" xfId="3" applyFont="1" applyBorder="1" applyAlignment="1">
      <alignment horizontal="center"/>
    </xf>
    <xf numFmtId="0" fontId="0" fillId="0" borderId="0" xfId="0" applyBorder="1"/>
    <xf numFmtId="166" fontId="0" fillId="0" borderId="66" xfId="4" applyNumberFormat="1" applyFont="1" applyBorder="1" applyAlignment="1">
      <alignment horizontal="center"/>
    </xf>
    <xf numFmtId="166" fontId="0" fillId="0" borderId="20" xfId="4" applyNumberFormat="1" applyFont="1" applyBorder="1" applyAlignment="1">
      <alignment horizontal="center"/>
    </xf>
    <xf numFmtId="9" fontId="0" fillId="0" borderId="20" xfId="3" applyFont="1" applyBorder="1" applyAlignment="1">
      <alignment horizontal="center"/>
    </xf>
    <xf numFmtId="166" fontId="0" fillId="0" borderId="27" xfId="4" applyNumberFormat="1" applyFont="1" applyBorder="1" applyAlignment="1">
      <alignment horizontal="center"/>
    </xf>
    <xf numFmtId="0" fontId="0" fillId="0" borderId="100" xfId="0" applyBorder="1" applyAlignment="1">
      <alignment horizontal="left" vertical="center" indent="1"/>
    </xf>
    <xf numFmtId="0" fontId="0" fillId="0" borderId="101" xfId="0" applyBorder="1" applyAlignment="1">
      <alignment horizontal="left" vertical="center" indent="1"/>
    </xf>
    <xf numFmtId="0" fontId="0" fillId="0" borderId="102" xfId="0" applyBorder="1" applyAlignment="1">
      <alignment horizontal="left" vertical="center" indent="1"/>
    </xf>
    <xf numFmtId="166" fontId="0" fillId="0" borderId="47" xfId="4" applyNumberFormat="1" applyFont="1" applyBorder="1" applyAlignment="1">
      <alignment horizontal="center"/>
    </xf>
    <xf numFmtId="166" fontId="0" fillId="0" borderId="40" xfId="4" applyNumberFormat="1" applyFont="1" applyBorder="1" applyAlignment="1">
      <alignment horizontal="center"/>
    </xf>
    <xf numFmtId="166" fontId="0" fillId="0" borderId="25" xfId="4" applyNumberFormat="1" applyFont="1" applyBorder="1" applyAlignment="1">
      <alignment horizontal="center"/>
    </xf>
    <xf numFmtId="9" fontId="0" fillId="0" borderId="0" xfId="3" applyFont="1"/>
    <xf numFmtId="0" fontId="0" fillId="0" borderId="103" xfId="0" applyBorder="1" applyAlignment="1">
      <alignment horizontal="left" vertical="center" wrapText="1" indent="1"/>
    </xf>
    <xf numFmtId="0" fontId="0" fillId="0" borderId="13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4" fontId="1" fillId="2" borderId="2" xfId="4" applyNumberFormat="1" applyFont="1" applyFill="1" applyBorder="1"/>
    <xf numFmtId="6" fontId="1" fillId="0" borderId="2" xfId="0" applyNumberFormat="1" applyFont="1" applyFill="1" applyBorder="1"/>
    <xf numFmtId="9" fontId="1" fillId="2" borderId="2" xfId="3" applyFont="1" applyFill="1" applyBorder="1"/>
    <xf numFmtId="0" fontId="2" fillId="8" borderId="4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6" fontId="1" fillId="0" borderId="10" xfId="0" applyNumberFormat="1" applyFont="1" applyFill="1" applyBorder="1"/>
    <xf numFmtId="9" fontId="1" fillId="2" borderId="10" xfId="3" applyFont="1" applyFill="1" applyBorder="1"/>
    <xf numFmtId="0" fontId="1" fillId="6" borderId="2" xfId="0" applyFont="1" applyFill="1" applyBorder="1" applyAlignment="1">
      <alignment horizontal="left"/>
    </xf>
    <xf numFmtId="0" fontId="1" fillId="6" borderId="2" xfId="0" applyFont="1" applyFill="1" applyBorder="1" applyAlignment="1">
      <alignment horizontal="left" indent="1"/>
    </xf>
    <xf numFmtId="9" fontId="1" fillId="6" borderId="2" xfId="0" applyNumberFormat="1" applyFont="1" applyFill="1" applyBorder="1" applyAlignment="1">
      <alignment horizontal="center"/>
    </xf>
    <xf numFmtId="5" fontId="1" fillId="6" borderId="2" xfId="4" applyNumberFormat="1" applyFont="1" applyFill="1" applyBorder="1" applyAlignment="1">
      <alignment horizontal="center"/>
    </xf>
    <xf numFmtId="3" fontId="1" fillId="6" borderId="2" xfId="2" applyNumberFormat="1" applyFont="1" applyFill="1" applyBorder="1" applyAlignment="1">
      <alignment horizontal="center"/>
    </xf>
    <xf numFmtId="166" fontId="1" fillId="6" borderId="2" xfId="4" applyNumberFormat="1" applyFont="1" applyFill="1" applyBorder="1" applyAlignment="1">
      <alignment horizontal="center"/>
    </xf>
    <xf numFmtId="9" fontId="1" fillId="6" borderId="2" xfId="3" applyFont="1" applyFill="1" applyBorder="1" applyAlignment="1">
      <alignment horizontal="center"/>
    </xf>
    <xf numFmtId="0" fontId="1" fillId="42" borderId="2" xfId="0" applyFont="1" applyFill="1" applyBorder="1"/>
    <xf numFmtId="0" fontId="1" fillId="42" borderId="2" xfId="0" applyFont="1" applyFill="1" applyBorder="1" applyAlignment="1">
      <alignment horizontal="center"/>
    </xf>
    <xf numFmtId="5" fontId="1" fillId="42" borderId="2" xfId="0" applyNumberFormat="1" applyFont="1" applyFill="1" applyBorder="1" applyAlignment="1">
      <alignment horizontal="center"/>
    </xf>
    <xf numFmtId="9" fontId="1" fillId="42" borderId="2" xfId="3" applyFont="1" applyFill="1" applyBorder="1" applyAlignment="1">
      <alignment horizontal="center"/>
    </xf>
    <xf numFmtId="6" fontId="1" fillId="0" borderId="8" xfId="0" applyNumberFormat="1" applyFont="1" applyFill="1" applyBorder="1"/>
    <xf numFmtId="6" fontId="1" fillId="0" borderId="11" xfId="0" applyNumberFormat="1" applyFont="1" applyFill="1" applyBorder="1"/>
    <xf numFmtId="3" fontId="1" fillId="42" borderId="2" xfId="2" applyNumberFormat="1" applyFont="1" applyFill="1" applyBorder="1" applyAlignment="1">
      <alignment horizontal="center"/>
    </xf>
    <xf numFmtId="166" fontId="1" fillId="42" borderId="2" xfId="4" applyNumberFormat="1" applyFont="1" applyFill="1" applyBorder="1" applyAlignment="1">
      <alignment horizontal="center"/>
    </xf>
    <xf numFmtId="164" fontId="1" fillId="42" borderId="2" xfId="4" applyNumberFormat="1" applyFont="1" applyFill="1" applyBorder="1"/>
    <xf numFmtId="3" fontId="34" fillId="42" borderId="2" xfId="2" applyNumberFormat="1" applyFont="1" applyFill="1" applyBorder="1" applyAlignment="1">
      <alignment horizontal="center"/>
    </xf>
    <xf numFmtId="165" fontId="1" fillId="42" borderId="2" xfId="2" applyNumberFormat="1" applyFont="1" applyFill="1" applyBorder="1"/>
    <xf numFmtId="9" fontId="1" fillId="42" borderId="2" xfId="3" applyFont="1" applyFill="1" applyBorder="1"/>
    <xf numFmtId="9" fontId="1" fillId="42" borderId="2" xfId="3" applyFont="1" applyFill="1" applyBorder="1" applyAlignment="1">
      <alignment horizontal="left"/>
    </xf>
    <xf numFmtId="164" fontId="1" fillId="6" borderId="2" xfId="4" applyNumberFormat="1" applyFont="1" applyFill="1" applyBorder="1"/>
    <xf numFmtId="3" fontId="1" fillId="6" borderId="32" xfId="2" applyNumberFormat="1" applyFont="1" applyFill="1" applyBorder="1"/>
    <xf numFmtId="42" fontId="1" fillId="6" borderId="32" xfId="2" applyNumberFormat="1" applyFont="1" applyFill="1" applyBorder="1" applyAlignment="1">
      <alignment horizontal="left"/>
    </xf>
    <xf numFmtId="164" fontId="1" fillId="6" borderId="32" xfId="4" applyNumberFormat="1" applyFont="1" applyFill="1" applyBorder="1"/>
    <xf numFmtId="9" fontId="1" fillId="6" borderId="32" xfId="3" applyFont="1" applyFill="1" applyBorder="1"/>
    <xf numFmtId="9" fontId="1" fillId="6" borderId="32" xfId="3" applyFont="1" applyFill="1" applyBorder="1" applyAlignment="1">
      <alignment horizontal="left"/>
    </xf>
    <xf numFmtId="3" fontId="1" fillId="6" borderId="2" xfId="2" applyNumberFormat="1" applyFont="1" applyFill="1" applyBorder="1"/>
    <xf numFmtId="42" fontId="1" fillId="6" borderId="2" xfId="2" applyNumberFormat="1" applyFont="1" applyFill="1" applyBorder="1" applyAlignment="1">
      <alignment horizontal="left"/>
    </xf>
    <xf numFmtId="9" fontId="1" fillId="6" borderId="2" xfId="3" applyFont="1" applyFill="1" applyBorder="1"/>
    <xf numFmtId="9" fontId="1" fillId="6" borderId="2" xfId="3" applyFont="1" applyFill="1" applyBorder="1" applyAlignment="1">
      <alignment horizontal="left"/>
    </xf>
    <xf numFmtId="0" fontId="0" fillId="0" borderId="104" xfId="0" applyBorder="1" applyAlignment="1">
      <alignment horizontal="left" vertical="center" inden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0" fillId="0" borderId="32" xfId="0" applyBorder="1" applyAlignment="1">
      <alignment horizontal="left" vertical="center" indent="1"/>
    </xf>
    <xf numFmtId="9" fontId="0" fillId="0" borderId="48" xfId="3" applyFont="1" applyBorder="1" applyAlignment="1">
      <alignment horizontal="center" vertical="center"/>
    </xf>
    <xf numFmtId="9" fontId="0" fillId="0" borderId="20" xfId="3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166" fontId="0" fillId="0" borderId="41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9" fontId="0" fillId="0" borderId="42" xfId="3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174" fontId="42" fillId="0" borderId="48" xfId="0" applyNumberFormat="1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3" fontId="42" fillId="0" borderId="48" xfId="0" applyNumberFormat="1" applyFont="1" applyBorder="1" applyAlignment="1">
      <alignment horizontal="center" vertical="center"/>
    </xf>
    <xf numFmtId="3" fontId="42" fillId="0" borderId="0" xfId="0" applyNumberFormat="1" applyFont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6" fontId="42" fillId="0" borderId="0" xfId="0" applyNumberFormat="1" applyFont="1" applyAlignment="1">
      <alignment horizontal="center" vertical="center"/>
    </xf>
    <xf numFmtId="3" fontId="0" fillId="43" borderId="0" xfId="0" applyNumberFormat="1" applyFill="1"/>
    <xf numFmtId="2" fontId="42" fillId="0" borderId="49" xfId="3" applyNumberFormat="1" applyFont="1" applyBorder="1" applyAlignment="1">
      <alignment horizontal="center" vertical="center"/>
    </xf>
    <xf numFmtId="2" fontId="42" fillId="0" borderId="66" xfId="3" applyNumberFormat="1" applyFont="1" applyBorder="1" applyAlignment="1">
      <alignment horizontal="center" vertical="center"/>
    </xf>
    <xf numFmtId="0" fontId="43" fillId="0" borderId="0" xfId="0" applyFont="1"/>
    <xf numFmtId="175" fontId="42" fillId="0" borderId="0" xfId="0" applyNumberFormat="1" applyFont="1" applyAlignment="1">
      <alignment horizontal="center" vertical="center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175" fontId="41" fillId="0" borderId="42" xfId="0" applyNumberFormat="1" applyFont="1" applyBorder="1" applyAlignment="1">
      <alignment horizontal="center" vertical="center"/>
    </xf>
    <xf numFmtId="3" fontId="41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/>
    </xf>
    <xf numFmtId="169" fontId="41" fillId="0" borderId="42" xfId="0" applyNumberFormat="1" applyFont="1" applyBorder="1" applyAlignment="1">
      <alignment horizontal="center"/>
    </xf>
    <xf numFmtId="0" fontId="42" fillId="0" borderId="0" xfId="0" applyFont="1" applyBorder="1" applyAlignment="1">
      <alignment horizontal="left" vertical="center"/>
    </xf>
    <xf numFmtId="3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/>
    </xf>
    <xf numFmtId="166" fontId="42" fillId="0" borderId="0" xfId="0" applyNumberFormat="1" applyFont="1" applyBorder="1" applyAlignment="1">
      <alignment horizontal="center" vertical="center"/>
    </xf>
    <xf numFmtId="174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 vertical="center"/>
    </xf>
    <xf numFmtId="0" fontId="42" fillId="0" borderId="25" xfId="0" applyFont="1" applyBorder="1" applyAlignment="1">
      <alignment horizontal="left" vertical="center"/>
    </xf>
    <xf numFmtId="0" fontId="42" fillId="0" borderId="20" xfId="0" applyFont="1" applyBorder="1" applyAlignment="1">
      <alignment horizontal="left" vertical="center"/>
    </xf>
    <xf numFmtId="174" fontId="42" fillId="0" borderId="20" xfId="0" applyNumberFormat="1" applyFont="1" applyBorder="1" applyAlignment="1">
      <alignment horizontal="center" vertical="center"/>
    </xf>
    <xf numFmtId="3" fontId="42" fillId="0" borderId="20" xfId="0" applyNumberFormat="1" applyFont="1" applyBorder="1" applyAlignment="1">
      <alignment horizontal="center" vertical="center"/>
    </xf>
    <xf numFmtId="169" fontId="42" fillId="0" borderId="20" xfId="0" applyNumberFormat="1" applyFont="1" applyBorder="1" applyAlignment="1">
      <alignment horizontal="center" vertical="center"/>
    </xf>
    <xf numFmtId="171" fontId="42" fillId="0" borderId="20" xfId="3" applyNumberFormat="1" applyFont="1" applyBorder="1" applyAlignment="1">
      <alignment horizontal="center" vertical="center"/>
    </xf>
    <xf numFmtId="166" fontId="42" fillId="0" borderId="20" xfId="0" applyNumberFormat="1" applyFont="1" applyBorder="1" applyAlignment="1">
      <alignment horizontal="center" vertical="center"/>
    </xf>
    <xf numFmtId="2" fontId="42" fillId="0" borderId="27" xfId="3" applyNumberFormat="1" applyFont="1" applyBorder="1" applyAlignment="1">
      <alignment horizontal="center" vertical="center"/>
    </xf>
    <xf numFmtId="0" fontId="42" fillId="0" borderId="0" xfId="0" applyFont="1"/>
    <xf numFmtId="0" fontId="41" fillId="0" borderId="0" xfId="0" applyFont="1"/>
    <xf numFmtId="0" fontId="46" fillId="0" borderId="0" xfId="0" applyFont="1" applyFill="1" applyAlignment="1">
      <alignment horizontal="center"/>
    </xf>
    <xf numFmtId="0" fontId="42" fillId="0" borderId="70" xfId="0" applyFont="1" applyBorder="1" applyAlignment="1">
      <alignment horizontal="left" vertical="center" wrapText="1" indent="1"/>
    </xf>
    <xf numFmtId="0" fontId="42" fillId="0" borderId="70" xfId="0" applyFont="1" applyBorder="1" applyAlignment="1">
      <alignment horizontal="center" vertical="center"/>
    </xf>
    <xf numFmtId="0" fontId="42" fillId="0" borderId="70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2" fillId="0" borderId="78" xfId="0" applyFont="1" applyBorder="1" applyAlignment="1">
      <alignment horizontal="center" vertical="center" wrapText="1"/>
    </xf>
    <xf numFmtId="0" fontId="42" fillId="0" borderId="79" xfId="0" applyFont="1" applyBorder="1" applyAlignment="1">
      <alignment horizontal="center" vertical="center" wrapText="1"/>
    </xf>
    <xf numFmtId="9" fontId="42" fillId="0" borderId="84" xfId="3" applyFont="1" applyBorder="1" applyAlignment="1">
      <alignment horizontal="center" vertical="center"/>
    </xf>
    <xf numFmtId="170" fontId="41" fillId="48" borderId="89" xfId="0" applyNumberFormat="1" applyFont="1" applyFill="1" applyBorder="1" applyAlignment="1">
      <alignment horizontal="center" vertical="center"/>
    </xf>
    <xf numFmtId="166" fontId="41" fillId="48" borderId="90" xfId="0" applyNumberFormat="1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166" fontId="41" fillId="48" borderId="93" xfId="4" applyNumberFormat="1" applyFont="1" applyFill="1" applyBorder="1" applyAlignment="1">
      <alignment horizontal="center" vertical="center" wrapText="1"/>
    </xf>
    <xf numFmtId="166" fontId="41" fillId="48" borderId="89" xfId="0" applyNumberFormat="1" applyFont="1" applyFill="1" applyBorder="1" applyAlignment="1">
      <alignment horizontal="center" vertical="center"/>
    </xf>
    <xf numFmtId="166" fontId="41" fillId="48" borderId="91" xfId="4" applyNumberFormat="1" applyFont="1" applyFill="1" applyBorder="1" applyAlignment="1">
      <alignment horizontal="center" vertical="center" wrapText="1"/>
    </xf>
    <xf numFmtId="9" fontId="41" fillId="48" borderId="92" xfId="3" applyFont="1" applyFill="1" applyBorder="1" applyAlignment="1">
      <alignment horizontal="center" vertical="center"/>
    </xf>
    <xf numFmtId="170" fontId="41" fillId="48" borderId="90" xfId="0" applyNumberFormat="1" applyFont="1" applyFill="1" applyBorder="1" applyAlignment="1">
      <alignment horizontal="center" vertical="center"/>
    </xf>
    <xf numFmtId="166" fontId="47" fillId="48" borderId="93" xfId="4" quotePrefix="1" applyNumberFormat="1" applyFont="1" applyFill="1" applyBorder="1" applyAlignment="1">
      <alignment horizontal="center" vertical="center" wrapText="1"/>
    </xf>
    <xf numFmtId="0" fontId="48" fillId="0" borderId="71" xfId="0" applyFont="1" applyBorder="1" applyAlignment="1">
      <alignment horizontal="left" vertical="center" indent="1"/>
    </xf>
    <xf numFmtId="170" fontId="48" fillId="0" borderId="80" xfId="4" applyNumberFormat="1" applyFont="1" applyBorder="1" applyAlignment="1">
      <alignment horizontal="center" vertical="center"/>
    </xf>
    <xf numFmtId="166" fontId="48" fillId="0" borderId="81" xfId="4" applyNumberFormat="1" applyFont="1" applyBorder="1" applyAlignment="1">
      <alignment horizontal="center" vertical="center"/>
    </xf>
    <xf numFmtId="166" fontId="48" fillId="0" borderId="0" xfId="4" applyNumberFormat="1" applyFont="1" applyAlignment="1">
      <alignment horizontal="center" vertical="center"/>
    </xf>
    <xf numFmtId="170" fontId="48" fillId="0" borderId="82" xfId="4" applyNumberFormat="1" applyFont="1" applyBorder="1" applyAlignment="1">
      <alignment horizontal="center" vertical="center"/>
    </xf>
    <xf numFmtId="9" fontId="48" fillId="0" borderId="80" xfId="3" applyFont="1" applyBorder="1" applyAlignment="1">
      <alignment horizontal="center" vertical="center"/>
    </xf>
    <xf numFmtId="166" fontId="48" fillId="0" borderId="83" xfId="4" applyNumberFormat="1" applyFont="1" applyBorder="1" applyAlignment="1">
      <alignment horizontal="center" vertical="center"/>
    </xf>
    <xf numFmtId="0" fontId="48" fillId="0" borderId="0" xfId="0" applyFont="1"/>
    <xf numFmtId="170" fontId="48" fillId="0" borderId="83" xfId="4" applyNumberFormat="1" applyFont="1" applyBorder="1" applyAlignment="1">
      <alignment horizontal="center" vertical="center"/>
    </xf>
    <xf numFmtId="170" fontId="48" fillId="0" borderId="84" xfId="4" applyNumberFormat="1" applyFont="1" applyBorder="1" applyAlignment="1">
      <alignment horizontal="center" vertical="center"/>
    </xf>
    <xf numFmtId="166" fontId="48" fillId="0" borderId="85" xfId="4" applyNumberFormat="1" applyFont="1" applyBorder="1" applyAlignment="1">
      <alignment horizontal="center" vertical="center"/>
    </xf>
    <xf numFmtId="170" fontId="48" fillId="0" borderId="86" xfId="4" applyNumberFormat="1" applyFont="1" applyBorder="1" applyAlignment="1">
      <alignment horizontal="center" vertical="center"/>
    </xf>
    <xf numFmtId="9" fontId="48" fillId="0" borderId="84" xfId="3" applyFont="1" applyBorder="1" applyAlignment="1">
      <alignment horizontal="center" vertical="center"/>
    </xf>
    <xf numFmtId="166" fontId="48" fillId="0" borderId="87" xfId="4" applyNumberFormat="1" applyFont="1" applyBorder="1" applyAlignment="1">
      <alignment horizontal="center" vertical="center"/>
    </xf>
    <xf numFmtId="170" fontId="48" fillId="0" borderId="87" xfId="4" applyNumberFormat="1" applyFont="1" applyBorder="1" applyAlignment="1">
      <alignment horizontal="center" vertical="center"/>
    </xf>
    <xf numFmtId="0" fontId="41" fillId="48" borderId="88" xfId="0" applyFont="1" applyFill="1" applyBorder="1" applyAlignment="1">
      <alignment horizontal="left" vertical="center" wrapText="1" inden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41" fillId="0" borderId="73" xfId="0" applyFont="1" applyBorder="1" applyAlignment="1">
      <alignment horizontal="center" vertical="center" wrapText="1"/>
    </xf>
    <xf numFmtId="0" fontId="41" fillId="0" borderId="74" xfId="0" applyFont="1" applyBorder="1" applyAlignment="1">
      <alignment horizontal="center" vertical="center" wrapText="1"/>
    </xf>
    <xf numFmtId="0" fontId="46" fillId="47" borderId="67" xfId="0" applyFont="1" applyFill="1" applyBorder="1" applyAlignment="1">
      <alignment horizontal="center" vertical="center"/>
    </xf>
    <xf numFmtId="0" fontId="46" fillId="47" borderId="68" xfId="0" applyFont="1" applyFill="1" applyBorder="1" applyAlignment="1">
      <alignment horizontal="center" vertical="center"/>
    </xf>
    <xf numFmtId="0" fontId="46" fillId="47" borderId="69" xfId="0" applyFont="1" applyFill="1" applyBorder="1" applyAlignment="1">
      <alignment horizontal="center" vertical="center"/>
    </xf>
    <xf numFmtId="0" fontId="45" fillId="0" borderId="103" xfId="0" applyFont="1" applyBorder="1" applyAlignment="1">
      <alignment horizontal="left" vertical="center"/>
    </xf>
    <xf numFmtId="0" fontId="45" fillId="0" borderId="105" xfId="0" applyFont="1" applyBorder="1" applyAlignment="1">
      <alignment horizontal="left" vertical="center"/>
    </xf>
    <xf numFmtId="0" fontId="45" fillId="0" borderId="106" xfId="0" applyFont="1" applyBorder="1" applyAlignment="1">
      <alignment horizontal="left" vertical="center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5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6.xml"/><Relationship Id="rId47" Type="http://schemas.openxmlformats.org/officeDocument/2006/relationships/externalLink" Target="externalLinks/externalLink11.xml"/><Relationship Id="rId50" Type="http://schemas.openxmlformats.org/officeDocument/2006/relationships/externalLink" Target="externalLinks/externalLink14.xml"/><Relationship Id="rId55" Type="http://schemas.openxmlformats.org/officeDocument/2006/relationships/externalLink" Target="externalLinks/externalLink19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externalLink" Target="externalLinks/externalLink4.xml"/><Relationship Id="rId45" Type="http://schemas.openxmlformats.org/officeDocument/2006/relationships/externalLink" Target="externalLinks/externalLink9.xml"/><Relationship Id="rId53" Type="http://schemas.openxmlformats.org/officeDocument/2006/relationships/externalLink" Target="externalLinks/externalLink17.xml"/><Relationship Id="rId58" Type="http://schemas.openxmlformats.org/officeDocument/2006/relationships/externalLink" Target="externalLinks/externalLink22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7.xml"/><Relationship Id="rId48" Type="http://schemas.openxmlformats.org/officeDocument/2006/relationships/externalLink" Target="externalLinks/externalLink12.xml"/><Relationship Id="rId56" Type="http://schemas.openxmlformats.org/officeDocument/2006/relationships/externalLink" Target="externalLinks/externalLink20.xml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46" Type="http://schemas.openxmlformats.org/officeDocument/2006/relationships/externalLink" Target="externalLinks/externalLink10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5.xml"/><Relationship Id="rId54" Type="http://schemas.openxmlformats.org/officeDocument/2006/relationships/externalLink" Target="externalLinks/externalLink18.xml"/><Relationship Id="rId62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3.xml"/><Relationship Id="rId57" Type="http://schemas.openxmlformats.org/officeDocument/2006/relationships/externalLink" Target="externalLinks/externalLink2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8.xml"/><Relationship Id="rId52" Type="http://schemas.openxmlformats.org/officeDocument/2006/relationships/externalLink" Target="externalLinks/externalLink16.xml"/><Relationship Id="rId60" Type="http://schemas.openxmlformats.org/officeDocument/2006/relationships/styles" Target="styles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213450965.49504656</c:v>
                </c:pt>
                <c:pt idx="1">
                  <c:v>204849185.54615188</c:v>
                </c:pt>
                <c:pt idx="2">
                  <c:v>195641074.52413151</c:v>
                </c:pt>
                <c:pt idx="3">
                  <c:v>185600061.71028784</c:v>
                </c:pt>
                <c:pt idx="4">
                  <c:v>171847214.96344179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2021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248355760.34442478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250000000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:$34M, Optimal channel spend is allowed to vary within </a:t>
            </a:r>
            <a:r>
              <a:rPr lang="en-US" sz="1000" baseline="0">
                <a:solidFill>
                  <a:srgbClr val="FF0000"/>
                </a:solidFill>
              </a:rPr>
              <a:t>custon constraints </a:t>
            </a:r>
            <a:endParaRPr lang="en-US" sz="10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8216994011141"/>
          <c:y val="0.13128744710201443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42381.419556918554</c:v>
                </c:pt>
                <c:pt idx="2">
                  <c:v>81599.635803586803</c:v>
                </c:pt>
                <c:pt idx="3">
                  <c:v>117862.82305689622</c:v>
                </c:pt>
                <c:pt idx="4">
                  <c:v>151369.78704747837</c:v>
                </c:pt>
                <c:pt idx="5">
                  <c:v>182309.66785994079</c:v>
                </c:pt>
                <c:pt idx="6">
                  <c:v>210861.79804271925</c:v>
                </c:pt>
                <c:pt idx="7">
                  <c:v>237195.69055531267</c:v>
                </c:pt>
                <c:pt idx="8">
                  <c:v>261471.13370743673</c:v>
                </c:pt>
                <c:pt idx="9">
                  <c:v>283838.37274381984</c:v>
                </c:pt>
                <c:pt idx="10">
                  <c:v>304438.36016260181</c:v>
                </c:pt>
                <c:pt idx="11">
                  <c:v>323403.05916970689</c:v>
                </c:pt>
                <c:pt idx="12">
                  <c:v>340855.78682918753</c:v>
                </c:pt>
                <c:pt idx="13">
                  <c:v>356911.58544945624</c:v>
                </c:pt>
                <c:pt idx="14">
                  <c:v>371677.61253666226</c:v>
                </c:pt>
                <c:pt idx="15">
                  <c:v>385253.54124828521</c:v>
                </c:pt>
                <c:pt idx="16">
                  <c:v>397731.96469672117</c:v>
                </c:pt>
                <c:pt idx="17">
                  <c:v>409198.79869342316</c:v>
                </c:pt>
                <c:pt idx="18">
                  <c:v>419733.67860109825</c:v>
                </c:pt>
                <c:pt idx="19">
                  <c:v>429410.3468878204</c:v>
                </c:pt>
                <c:pt idx="20">
                  <c:v>438297.02876725886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4463181915067474E-3"/>
                  <c:y val="-3.411445899208166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9418750078362981E-2"/>
                  <c:y val="-4.824855745157164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0</c:v>
                </c:pt>
                <c:pt idx="1">
                  <c:v>15557.504463624209</c:v>
                </c:pt>
                <c:pt idx="2">
                  <c:v>30210.178954537958</c:v>
                </c:pt>
                <c:pt idx="3">
                  <c:v>44007.733169870451</c:v>
                </c:pt>
                <c:pt idx="4">
                  <c:v>56997.486703637987</c:v>
                </c:pt>
                <c:pt idx="5">
                  <c:v>69224.443148005754</c:v>
                </c:pt>
                <c:pt idx="6">
                  <c:v>80731.367248687893</c:v>
                </c:pt>
                <c:pt idx="7">
                  <c:v>91558.864192372188</c:v>
                </c:pt>
                <c:pt idx="8">
                  <c:v>101745.4602210708</c:v>
                </c:pt>
                <c:pt idx="9">
                  <c:v>111327.68387522176</c:v>
                </c:pt>
                <c:pt idx="10">
                  <c:v>120340.14726417325</c:v>
                </c:pt>
                <c:pt idx="11">
                  <c:v>128815.62685035542</c:v>
                </c:pt>
                <c:pt idx="12">
                  <c:v>136785.1433120314</c:v>
                </c:pt>
                <c:pt idx="13">
                  <c:v>144278.04012008384</c:v>
                </c:pt>
                <c:pt idx="14">
                  <c:v>151322.0605268646</c:v>
                </c:pt>
                <c:pt idx="15">
                  <c:v>157943.42272098549</c:v>
                </c:pt>
                <c:pt idx="16">
                  <c:v>164166.89295089245</c:v>
                </c:pt>
                <c:pt idx="17">
                  <c:v>170015.85646333545</c:v>
                </c:pt>
                <c:pt idx="18">
                  <c:v>175512.38614063896</c:v>
                </c:pt>
                <c:pt idx="19">
                  <c:v>180677.30875347368</c:v>
                </c:pt>
                <c:pt idx="20">
                  <c:v>185530.26877435111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VAC_Optim_Scenario!$D$49</c:f>
              <c:numCache>
                <c:formatCode>_("$"* #,##0_);_("$"* \(#,##0\);_("$"* "-"??_);_(@_)</c:formatCode>
                <c:ptCount val="1"/>
                <c:pt idx="0">
                  <c:v>1755293</c:v>
                </c:pt>
              </c:numCache>
            </c:numRef>
          </c:xVal>
          <c:yVal>
            <c:numRef>
              <c:f>VAC_Optim_Scenario!$F$49</c:f>
              <c:numCache>
                <c:formatCode>#,##0</c:formatCode>
                <c:ptCount val="1"/>
                <c:pt idx="0">
                  <c:v>34079.723304951563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VAC_Optim_Scenario!$H$49</c:f>
              <c:numCache>
                <c:formatCode>_("$"* #,##0_);_("$"* \(#,##0\);_("$"* "-"??_);_(@_)</c:formatCode>
                <c:ptCount val="1"/>
                <c:pt idx="0">
                  <c:v>2277854.3418472391</c:v>
                </c:pt>
              </c:numCache>
            </c:numRef>
          </c:xVal>
          <c:yVal>
            <c:numRef>
              <c:f>VAC_Optim_Scenario!$I$49</c:f>
              <c:numCache>
                <c:formatCode>#,##0</c:formatCode>
                <c:ptCount val="1"/>
                <c:pt idx="0">
                  <c:v>40346.00574451685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VAC_Optim_Scenario!$D$50</c:f>
              <c:numCache>
                <c:formatCode>_("$"* #,##0_);_("$"* \(#,##0\);_("$"* "-"??_);_(@_)</c:formatCode>
                <c:ptCount val="1"/>
                <c:pt idx="0">
                  <c:v>5365372.8900000006</c:v>
                </c:pt>
              </c:numCache>
            </c:numRef>
          </c:xVal>
          <c:yVal>
            <c:numRef>
              <c:f>VAC_Optim_Scenario!$F$50</c:f>
              <c:numCache>
                <c:formatCode>#,##0</c:formatCode>
                <c:ptCount val="1"/>
                <c:pt idx="0">
                  <c:v>282596.87941192184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VAC_Optim_Scenario!$H$50</c:f>
              <c:numCache>
                <c:formatCode>_("$"* #,##0_);_("$"* \(#,##0\);_("$"* "-"??_);_(@_)</c:formatCode>
                <c:ptCount val="1"/>
                <c:pt idx="0">
                  <c:v>13941734.60841202</c:v>
                </c:pt>
              </c:numCache>
            </c:numRef>
          </c:xVal>
          <c:yVal>
            <c:numRef>
              <c:f>VAC_Optim_Scenario!$I$50</c:f>
              <c:numCache>
                <c:formatCode>#,##0</c:formatCode>
                <c:ptCount val="1"/>
                <c:pt idx="0">
                  <c:v>462364.17644188832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VAC_Optim_Scenario!$D$57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VAC_Optim_Scenario!$F$57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VAC_Optim_Scenario!$H$57</c:f>
              <c:numCache>
                <c:formatCode>_("$"* #,##0_);_("$"* \(#,##0\);_("$"* "-"??_);_(@_)</c:formatCode>
                <c:ptCount val="1"/>
                <c:pt idx="0">
                  <c:v>26372275.820726354</c:v>
                </c:pt>
              </c:numCache>
            </c:numRef>
          </c:xVal>
          <c:yVal>
            <c:numRef>
              <c:f>VAC_Optim_Scenario!$I$57</c:f>
              <c:numCache>
                <c:formatCode>#,##0</c:formatCode>
                <c:ptCount val="1"/>
                <c:pt idx="0">
                  <c:v>405309.99641987938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VAC_Optim_Scenario!$D$55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VAC_Optim_Scenario!$F$55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VAC_Optim_Scenario!$H$55</c:f>
              <c:numCache>
                <c:formatCode>_("$"* #,##0_);_("$"* \(#,##0\);_("$"* "-"??_);_(@_)</c:formatCode>
                <c:ptCount val="1"/>
                <c:pt idx="0">
                  <c:v>1034121</c:v>
                </c:pt>
              </c:numCache>
            </c:numRef>
          </c:xVal>
          <c:yVal>
            <c:numRef>
              <c:f>VAC_Optim_Scenario!$I$55</c:f>
              <c:numCache>
                <c:formatCode>#,##0</c:formatCode>
                <c:ptCount val="1"/>
                <c:pt idx="0">
                  <c:v>281994.61894550535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VAC_Optim_Scenario!$D$56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VAC_Optim_Scenario!$F$56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VAC_Optim_Scenario!$H$56</c:f>
              <c:numCache>
                <c:formatCode>_("$"* #,##0_);_("$"* \(#,##0\);_("$"* "-"??_);_(@_)</c:formatCode>
                <c:ptCount val="1"/>
                <c:pt idx="0">
                  <c:v>4311145.2299999995</c:v>
                </c:pt>
              </c:numCache>
            </c:numRef>
          </c:xVal>
          <c:yVal>
            <c:numRef>
              <c:f>VAC_Optim_Scenario!$I$56</c:f>
              <c:numCache>
                <c:formatCode>#,##0</c:formatCode>
                <c:ptCount val="1"/>
                <c:pt idx="0">
                  <c:v>136422.9024253586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VAC_Optim_Scenario!$D$52</c:f>
              <c:numCache>
                <c:formatCode>_("$"* #,##0_);_("$"* \(#,##0\);_("$"* "-"??_);_(@_)</c:formatCode>
                <c:ptCount val="1"/>
                <c:pt idx="0">
                  <c:v>173076.94</c:v>
                </c:pt>
              </c:numCache>
            </c:numRef>
          </c:xVal>
          <c:yVal>
            <c:numRef>
              <c:f>VAC_Optim_Scenario!$F$52</c:f>
              <c:numCache>
                <c:formatCode>#,##0</c:formatCode>
                <c:ptCount val="1"/>
                <c:pt idx="0">
                  <c:v>7568.2941111773252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VAC_Optim_Scenario!$H$52</c:f>
              <c:numCache>
                <c:formatCode>_("$"* #,##0_);_("$"* \(#,##0\);_("$"* "-"??_);_(@_)</c:formatCode>
                <c:ptCount val="1"/>
                <c:pt idx="0">
                  <c:v>431635.30632567109</c:v>
                </c:pt>
              </c:numCache>
            </c:numRef>
          </c:xVal>
          <c:yVal>
            <c:numRef>
              <c:f>VAC_Optim_Scenario!$I$52</c:f>
              <c:numCache>
                <c:formatCode>#,##0</c:formatCode>
                <c:ptCount val="1"/>
                <c:pt idx="0">
                  <c:v>12451.437464257702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VAC_Optim_Scenario!$D$54</c:f>
              <c:numCache>
                <c:formatCode>_("$"* #,##0_);_("$"* \(#,##0\);_("$"* "-"??_);_(@_)</c:formatCode>
                <c:ptCount val="1"/>
                <c:pt idx="0">
                  <c:v>1648357.37</c:v>
                </c:pt>
              </c:numCache>
            </c:numRef>
          </c:xVal>
          <c:yVal>
            <c:numRef>
              <c:f>VAC_Optim_Scenario!$F$54</c:f>
              <c:numCache>
                <c:formatCode>#,##0</c:formatCode>
                <c:ptCount val="1"/>
                <c:pt idx="0">
                  <c:v>104116.36986385845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VAC_Optim_Scenario!$H$54</c:f>
              <c:numCache>
                <c:formatCode>_("$"* #,##0_);_("$"* \(#,##0\);_("$"* "-"??_);_(@_)</c:formatCode>
                <c:ptCount val="1"/>
                <c:pt idx="0">
                  <c:v>4945072.1100000003</c:v>
                </c:pt>
              </c:numCache>
            </c:numRef>
          </c:xVal>
          <c:yVal>
            <c:numRef>
              <c:f>VAC_Optim_Scenario!$I$54</c:f>
              <c:numCache>
                <c:formatCode>#,##0</c:formatCode>
                <c:ptCount val="1"/>
                <c:pt idx="0">
                  <c:v>204774.86350569315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9.7533758792331615E-2"/>
                  <c:y val="-8.4105830576903066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1873000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71243.17418511775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5619000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137726.0251586157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VAC_Optim_Scenario!$E$23</c:f>
              <c:numCache>
                <c:formatCode>"$"#,##0_);\("$"#,##0\)</c:formatCode>
                <c:ptCount val="1"/>
                <c:pt idx="0">
                  <c:v>6180125</c:v>
                </c:pt>
              </c:numCache>
            </c:numRef>
          </c:xVal>
          <c:yVal>
            <c:numRef>
              <c:f>VAC_Optim_Scenario!$F$23</c:f>
              <c:numCache>
                <c:formatCode>#,##0</c:formatCode>
                <c:ptCount val="1"/>
                <c:pt idx="0">
                  <c:v>144657.20917756393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VAC_Optim_Scenario!$I$23</c:f>
              <c:numCache>
                <c:formatCode>"$"#,##0</c:formatCode>
                <c:ptCount val="1"/>
                <c:pt idx="0">
                  <c:v>18540375</c:v>
                </c:pt>
              </c:numCache>
            </c:numRef>
          </c:xVal>
          <c:yVal>
            <c:numRef>
              <c:f>VAC_Optim_Scenario!$J$23</c:f>
              <c:numCache>
                <c:formatCode>#,##0</c:formatCode>
                <c:ptCount val="1"/>
                <c:pt idx="0">
                  <c:v>312122.41636928852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65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2.277854341847239</c:v>
                </c:pt>
                <c:pt idx="1">
                  <c:v>2.277854341847239</c:v>
                </c:pt>
                <c:pt idx="2">
                  <c:v>2.277854341847239</c:v>
                </c:pt>
                <c:pt idx="3">
                  <c:v>2.277854341847239</c:v>
                </c:pt>
                <c:pt idx="4">
                  <c:v>2.277854341847239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13.94173460841202</c:v>
                </c:pt>
                <c:pt idx="1">
                  <c:v>13.94173460841202</c:v>
                </c:pt>
                <c:pt idx="2">
                  <c:v>13.94173460841202</c:v>
                </c:pt>
                <c:pt idx="3">
                  <c:v>13.94173460841202</c:v>
                </c:pt>
                <c:pt idx="4">
                  <c:v>13.94173460841202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5.6189999999999998</c:v>
                </c:pt>
                <c:pt idx="1">
                  <c:v>5.6189999999999998</c:v>
                </c:pt>
                <c:pt idx="2">
                  <c:v>5.6189999999999998</c:v>
                </c:pt>
                <c:pt idx="3">
                  <c:v>5.6189999999999998</c:v>
                </c:pt>
                <c:pt idx="4">
                  <c:v>5.6189999999999998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0.4316353063256711</c:v>
                </c:pt>
                <c:pt idx="1">
                  <c:v>0.4316353063256711</c:v>
                </c:pt>
                <c:pt idx="2">
                  <c:v>0.4316353063256711</c:v>
                </c:pt>
                <c:pt idx="3">
                  <c:v>0.4316353063256711</c:v>
                </c:pt>
                <c:pt idx="4">
                  <c:v>0.4316353063256711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18.540375000000001</c:v>
                </c:pt>
                <c:pt idx="1">
                  <c:v>18.540375000000001</c:v>
                </c:pt>
                <c:pt idx="2">
                  <c:v>18.540375000000001</c:v>
                </c:pt>
                <c:pt idx="3">
                  <c:v>18.540375000000001</c:v>
                </c:pt>
                <c:pt idx="4">
                  <c:v>18.540375000000001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4.9450721099999999</c:v>
                </c:pt>
                <c:pt idx="1">
                  <c:v>4.9450721099999999</c:v>
                </c:pt>
                <c:pt idx="2">
                  <c:v>4.9450721099999999</c:v>
                </c:pt>
                <c:pt idx="3">
                  <c:v>4.9450721099999999</c:v>
                </c:pt>
                <c:pt idx="4">
                  <c:v>4.9450721099999999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1.0341210000000001</c:v>
                </c:pt>
                <c:pt idx="1">
                  <c:v>1.0341210000000001</c:v>
                </c:pt>
                <c:pt idx="2">
                  <c:v>1.0341210000000001</c:v>
                </c:pt>
                <c:pt idx="3">
                  <c:v>1.0341210000000001</c:v>
                </c:pt>
                <c:pt idx="4">
                  <c:v>1.0341210000000001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4.3111452299999993</c:v>
                </c:pt>
                <c:pt idx="1">
                  <c:v>4.3111452299999993</c:v>
                </c:pt>
                <c:pt idx="2">
                  <c:v>4.3111452299999993</c:v>
                </c:pt>
                <c:pt idx="3">
                  <c:v>4.3111452299999993</c:v>
                </c:pt>
                <c:pt idx="4">
                  <c:v>4.3111452299999993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adol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ROI'!$F$26</c:f>
              <c:strCache>
                <c:ptCount val="1"/>
                <c:pt idx="0">
                  <c:v>2023 adol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ROI'!$E$27:$E$35</c:f>
              <c:strCache>
                <c:ptCount val="9"/>
                <c:pt idx="0">
                  <c:v>HCC TV</c:v>
                </c:pt>
                <c:pt idx="1">
                  <c:v>HCC In Office</c:v>
                </c:pt>
                <c:pt idx="2">
                  <c:v>HCC Streaming Video</c:v>
                </c:pt>
                <c:pt idx="3">
                  <c:v>HCC Social</c:v>
                </c:pt>
                <c:pt idx="4">
                  <c:v>HCC Online Video</c:v>
                </c:pt>
                <c:pt idx="5">
                  <c:v>HCC Audio</c:v>
                </c:pt>
                <c:pt idx="6">
                  <c:v>HCP MCM</c:v>
                </c:pt>
                <c:pt idx="7">
                  <c:v>HCC Display</c:v>
                </c:pt>
                <c:pt idx="8">
                  <c:v>HCC Paid Search</c:v>
                </c:pt>
              </c:strCache>
            </c:strRef>
          </c:cat>
          <c:val>
            <c:numRef>
              <c:f>'Contribution, promo eff, ROI'!$F$27:$F$35</c:f>
              <c:numCache>
                <c:formatCode>"$"#,##0</c:formatCode>
                <c:ptCount val="9"/>
                <c:pt idx="0">
                  <c:v>53.229226721114685</c:v>
                </c:pt>
                <c:pt idx="1">
                  <c:v>51.50549446347668</c:v>
                </c:pt>
                <c:pt idx="2">
                  <c:v>42.722551023461378</c:v>
                </c:pt>
                <c:pt idx="3">
                  <c:v>26.290237926979646</c:v>
                </c:pt>
                <c:pt idx="4">
                  <c:v>22.868685790684225</c:v>
                </c:pt>
                <c:pt idx="5">
                  <c:v>20.363708252210174</c:v>
                </c:pt>
                <c:pt idx="6">
                  <c:v>18.98595943863651</c:v>
                </c:pt>
                <c:pt idx="7">
                  <c:v>15.831875161949808</c:v>
                </c:pt>
                <c:pt idx="8">
                  <c:v>2.6375102733287696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adt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006930828439083E-2"/>
          <c:y val="0.18495897215937085"/>
          <c:w val="0.94752673244418006"/>
          <c:h val="0.651627745187138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ROI'!$F$46</c:f>
              <c:strCache>
                <c:ptCount val="1"/>
                <c:pt idx="0">
                  <c:v>2022 adt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ROI'!$E$47:$E$56</c:f>
              <c:strCache>
                <c:ptCount val="10"/>
                <c:pt idx="0">
                  <c:v>HCC InOffice</c:v>
                </c:pt>
                <c:pt idx="1">
                  <c:v>HCC Linear TV</c:v>
                </c:pt>
                <c:pt idx="2">
                  <c:v>HCC Streaming Video</c:v>
                </c:pt>
                <c:pt idx="3">
                  <c:v>HCC Pharmacy</c:v>
                </c:pt>
                <c:pt idx="4">
                  <c:v>HCC Social</c:v>
                </c:pt>
                <c:pt idx="5">
                  <c:v>HCC Online Video</c:v>
                </c:pt>
                <c:pt idx="6">
                  <c:v>HCC Display</c:v>
                </c:pt>
                <c:pt idx="7">
                  <c:v>HCP MCM</c:v>
                </c:pt>
                <c:pt idx="8">
                  <c:v>HCC Radio</c:v>
                </c:pt>
                <c:pt idx="9">
                  <c:v>HCC Paid Search</c:v>
                </c:pt>
              </c:strCache>
            </c:strRef>
          </c:cat>
          <c:val>
            <c:numRef>
              <c:f>'Contribution, promo eff, ROI'!$F$47:$F$56</c:f>
              <c:numCache>
                <c:formatCode>"$"#,##0</c:formatCode>
                <c:ptCount val="10"/>
                <c:pt idx="0">
                  <c:v>154.00794550765286</c:v>
                </c:pt>
                <c:pt idx="1">
                  <c:v>153.17331099625105</c:v>
                </c:pt>
                <c:pt idx="2">
                  <c:v>133.10979937785092</c:v>
                </c:pt>
                <c:pt idx="3">
                  <c:v>132.48254956731077</c:v>
                </c:pt>
                <c:pt idx="4">
                  <c:v>73.508410329953804</c:v>
                </c:pt>
                <c:pt idx="5">
                  <c:v>51.361310945524473</c:v>
                </c:pt>
                <c:pt idx="6">
                  <c:v>37.591880018375271</c:v>
                </c:pt>
                <c:pt idx="7">
                  <c:v>36.428388680927966</c:v>
                </c:pt>
                <c:pt idx="8">
                  <c:v>34.76</c:v>
                </c:pt>
                <c:pt idx="9">
                  <c:v>1.6591015541117227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A-4495-B849-E4796E677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summary_23_dz'!$G$5</c:f>
              <c:strCache>
                <c:ptCount val="1"/>
                <c:pt idx="0">
                  <c:v>-50% / +200%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8481999866542113E-2"/>
                  <c:y val="5.560365123098511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2E-4325-B514-FDF7676087BC}"/>
                </c:ext>
              </c:extLst>
            </c:dLbl>
            <c:dLbl>
              <c:idx val="1"/>
              <c:layout>
                <c:manualLayout>
                  <c:x val="-0.10728707854352974"/>
                  <c:y val="-5.257831530051549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2E-4325-B514-FDF7676087BC}"/>
                </c:ext>
              </c:extLst>
            </c:dLbl>
            <c:dLbl>
              <c:idx val="2"/>
              <c:layout>
                <c:manualLayout>
                  <c:x val="-2.7922032786155966E-2"/>
                  <c:y val="4.19399728675123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2E-4325-B514-FDF7676087BC}"/>
                </c:ext>
              </c:extLst>
            </c:dLbl>
            <c:dLbl>
              <c:idx val="3"/>
              <c:layout>
                <c:manualLayout>
                  <c:x val="-7.4224136972285248E-2"/>
                  <c:y val="-3.566803261492849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2E-4325-B514-FDF7676087BC}"/>
                </c:ext>
              </c:extLst>
            </c:dLbl>
            <c:dLbl>
              <c:idx val="4"/>
              <c:layout>
                <c:manualLayout>
                  <c:x val="9.903687886471689E-3"/>
                  <c:y val="1.907991962816370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2E-4325-B514-FDF7676087BC}"/>
                </c:ext>
              </c:extLst>
            </c:dLbl>
            <c:dLbl>
              <c:idx val="6"/>
              <c:layout>
                <c:manualLayout>
                  <c:x val="-8.5994984207482569E-2"/>
                  <c:y val="-4.240663300746376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2E-4325-B514-FDF7676087BC}"/>
                </c:ext>
              </c:extLst>
            </c:dLbl>
            <c:dLbl>
              <c:idx val="7"/>
              <c:layout>
                <c:manualLayout>
                  <c:x val="-8.4229447484318709E-2"/>
                  <c:y val="-3.35256383360606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184513195.56</c:v>
                </c:pt>
                <c:pt idx="1">
                  <c:v>138384896.67000002</c:v>
                </c:pt>
                <c:pt idx="2">
                  <c:v>92256597.780000001</c:v>
                </c:pt>
              </c:numCache>
            </c:numRef>
          </c:xVal>
          <c:yVal>
            <c:numRef>
              <c:f>'Scenario summary_23_dz'!$G$6:$G$8</c:f>
              <c:numCache>
                <c:formatCode>_("$"* #,##0_);_("$"* \(#,##0\);_("$"* "-"??_);_(@_)</c:formatCode>
                <c:ptCount val="3"/>
                <c:pt idx="0">
                  <c:v>733798524.04581571</c:v>
                </c:pt>
                <c:pt idx="1">
                  <c:v>653032617.07699025</c:v>
                </c:pt>
                <c:pt idx="2">
                  <c:v>542337118.52396643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2E-4325-B514-FDF7676087BC}"/>
            </c:ext>
          </c:extLst>
        </c:ser>
        <c:ser>
          <c:idx val="1"/>
          <c:order val="1"/>
          <c:tx>
            <c:strRef>
              <c:f>'Scenario summary_23_dz'!$H$5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02E-4325-B514-FDF7676087BC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184513195.56</c:v>
                </c:pt>
                <c:pt idx="1">
                  <c:v>138384896.67000002</c:v>
                </c:pt>
                <c:pt idx="2">
                  <c:v>92256597.780000001</c:v>
                </c:pt>
              </c:numCache>
            </c:numRef>
          </c:xVal>
          <c:yVal>
            <c:numRef>
              <c:f>'Scenario summary_23_dz'!$H$6:$H$8</c:f>
              <c:numCache>
                <c:formatCode>_("$"* #,##0_);_("$"* \(#,##0\);_("$"* "-"??_);_(@_)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2E-4325-B514-FDF7676087BC}"/>
            </c:ext>
          </c:extLst>
        </c:ser>
        <c:ser>
          <c:idx val="2"/>
          <c:order val="2"/>
          <c:tx>
            <c:strRef>
              <c:f>'Scenario summary_23_dz'!$F$5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summary_23_dz'!$C$8</c:f>
              <c:numCache>
                <c:formatCode>_("$"* #,##0_);_("$"* \(#,##0\);_("$"* "-"??_);_(@_)</c:formatCode>
                <c:ptCount val="1"/>
                <c:pt idx="0">
                  <c:v>92256597.780000001</c:v>
                </c:pt>
              </c:numCache>
            </c:numRef>
          </c:xVal>
          <c:yVal>
            <c:numRef>
              <c:f>'Scenario summary_23_dz'!$F$8</c:f>
              <c:numCache>
                <c:formatCode>_("$"* #,##0_);_("$"* \(#,##0\);_("$"* "-"??_);_(@_)</c:formatCode>
                <c:ptCount val="1"/>
                <c:pt idx="0">
                  <c:v>420404376.56343269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2E-4325-B514-FDF76760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220000000.00000003"/>
          <c:min val="7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750000000"/>
          <c:min val="38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106679</xdr:colOff>
      <xdr:row>5</xdr:row>
      <xdr:rowOff>104775</xdr:rowOff>
    </xdr:from>
    <xdr:to>
      <xdr:col>18</xdr:col>
      <xdr:colOff>561975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486834</xdr:colOff>
      <xdr:row>24</xdr:row>
      <xdr:rowOff>82549</xdr:rowOff>
    </xdr:from>
    <xdr:to>
      <xdr:col>14</xdr:col>
      <xdr:colOff>181117</xdr:colOff>
      <xdr:row>39</xdr:row>
      <xdr:rowOff>124883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45</xdr:row>
      <xdr:rowOff>0</xdr:rowOff>
    </xdr:from>
    <xdr:to>
      <xdr:col>14</xdr:col>
      <xdr:colOff>329283</xdr:colOff>
      <xdr:row>60</xdr:row>
      <xdr:rowOff>42334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F6011C-F32A-4C36-9CDC-D9CDD70A6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274320</xdr:colOff>
      <xdr:row>8</xdr:row>
      <xdr:rowOff>76200</xdr:rowOff>
    </xdr:from>
    <xdr:to>
      <xdr:col>18</xdr:col>
      <xdr:colOff>523875</xdr:colOff>
      <xdr:row>26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640C77-F4A7-45A0-88E3-7EBCC864B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_dz_v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Spend_Alloc_BASE%20v1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Optimize/GARD_ADULT_2024_dz_50_200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  <sheetName val="GINOFF_adt"/>
      <sheetName val="GMCM_adt"/>
      <sheetName val="GSOCIAL_adt"/>
      <sheetName val="GOLV_adt"/>
      <sheetName val="GSTRTV_adt"/>
      <sheetName val="GDISP_adt"/>
      <sheetName val="GPDSRCH_adt"/>
      <sheetName val="GLINEARTV_ad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1.5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24">
          <cell r="D24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2</v>
          </cell>
        </row>
        <row r="26">
          <cell r="D26">
            <v>1</v>
          </cell>
        </row>
        <row r="33">
          <cell r="D33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63"/>
  <sheetViews>
    <sheetView workbookViewId="0">
      <selection activeCell="C8" sqref="C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5.28515625" style="97" customWidth="1"/>
    <col min="6" max="6" width="13.7109375" style="97" bestFit="1" customWidth="1"/>
    <col min="7" max="7" width="18.85546875" style="97" customWidth="1"/>
    <col min="8" max="8" width="17.85546875" style="97" customWidth="1"/>
    <col min="9" max="9" width="13.7109375" style="97" customWidth="1"/>
    <col min="10" max="10" width="14.28515625" style="97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527" t="s">
        <v>202</v>
      </c>
      <c r="H4" s="527"/>
      <c r="I4" s="528" t="s">
        <v>203</v>
      </c>
      <c r="J4" s="528"/>
      <c r="K4" s="529" t="s">
        <v>204</v>
      </c>
      <c r="L4" s="529"/>
    </row>
    <row r="5" spans="2:13" ht="38.65" customHeight="1" x14ac:dyDescent="0.25">
      <c r="B5" s="183"/>
      <c r="C5" s="258" t="s">
        <v>205</v>
      </c>
      <c r="D5" s="258" t="s">
        <v>206</v>
      </c>
      <c r="E5" s="167" t="s">
        <v>207</v>
      </c>
      <c r="F5" s="258" t="s">
        <v>254</v>
      </c>
      <c r="G5" s="276" t="s">
        <v>249</v>
      </c>
      <c r="H5" s="276"/>
      <c r="I5" s="276" t="s">
        <v>249</v>
      </c>
      <c r="J5" s="276"/>
      <c r="K5" s="276" t="s">
        <v>249</v>
      </c>
      <c r="L5" s="276"/>
      <c r="M5" s="277"/>
    </row>
    <row r="6" spans="2:13" x14ac:dyDescent="0.25">
      <c r="C6" s="169">
        <f>$C$8+E6</f>
        <v>38736606.719999999</v>
      </c>
      <c r="D6" s="170">
        <v>0.2</v>
      </c>
      <c r="E6" s="171">
        <f>D6*$C$8</f>
        <v>6456101.120000001</v>
      </c>
      <c r="F6" s="169"/>
      <c r="G6" s="169">
        <f>'Scenario deep dive'!X16</f>
        <v>213450965.49504656</v>
      </c>
      <c r="H6" s="169"/>
      <c r="I6" s="169">
        <f t="shared" ref="I6:J10" si="0">G6-$F$8</f>
        <v>-34904794.849378228</v>
      </c>
      <c r="J6" s="169">
        <f t="shared" si="0"/>
        <v>-248355760.34442478</v>
      </c>
      <c r="K6" s="172">
        <f t="shared" ref="K6:L10" si="1">G6/$C6</f>
        <v>5.5103165601967978</v>
      </c>
      <c r="L6" s="172">
        <f t="shared" si="1"/>
        <v>0</v>
      </c>
    </row>
    <row r="7" spans="2:13" x14ac:dyDescent="0.25">
      <c r="C7" s="169">
        <f>$C$8+E7</f>
        <v>35508556.160000004</v>
      </c>
      <c r="D7" s="170">
        <v>0.1</v>
      </c>
      <c r="E7" s="171">
        <f>D7*$C$8</f>
        <v>3228050.5600000005</v>
      </c>
      <c r="F7" s="169"/>
      <c r="G7" s="169">
        <f>'Scenario deep dive'!T16</f>
        <v>204849185.54615188</v>
      </c>
      <c r="H7" s="173"/>
      <c r="I7" s="169">
        <f t="shared" si="0"/>
        <v>-43506574.798272908</v>
      </c>
      <c r="J7" s="169">
        <f t="shared" si="0"/>
        <v>-248355760.34442478</v>
      </c>
      <c r="K7" s="172">
        <f t="shared" si="1"/>
        <v>5.7690091543883222</v>
      </c>
      <c r="L7" s="172">
        <f t="shared" si="1"/>
        <v>0</v>
      </c>
    </row>
    <row r="8" spans="2:13" x14ac:dyDescent="0.25">
      <c r="B8" s="174">
        <f>F8/C8</f>
        <v>7.6936762831999994</v>
      </c>
      <c r="C8" s="169">
        <f>'Scenario deep dive'!C16</f>
        <v>32280505.600000001</v>
      </c>
      <c r="D8" s="170">
        <v>0</v>
      </c>
      <c r="E8" s="171">
        <f>D8*$C$8</f>
        <v>0</v>
      </c>
      <c r="F8" s="169">
        <f>'Scenario deep dive'!D16</f>
        <v>248355760.34442478</v>
      </c>
      <c r="G8" s="169">
        <f>'Scenario deep dive'!H16</f>
        <v>195641074.52413151</v>
      </c>
      <c r="H8" s="169"/>
      <c r="I8" s="169">
        <f t="shared" si="0"/>
        <v>-52714685.820293278</v>
      </c>
      <c r="J8" s="169">
        <f t="shared" si="0"/>
        <v>-248355760.34442478</v>
      </c>
      <c r="K8" s="172">
        <f t="shared" si="1"/>
        <v>6.0606570711250418</v>
      </c>
      <c r="L8" s="172">
        <f t="shared" si="1"/>
        <v>0</v>
      </c>
    </row>
    <row r="9" spans="2:13" x14ac:dyDescent="0.25">
      <c r="C9" s="169">
        <f>$C$8+E9</f>
        <v>29052455.039999999</v>
      </c>
      <c r="D9" s="170">
        <v>-0.1</v>
      </c>
      <c r="E9" s="171">
        <f>D9*$C$8</f>
        <v>-3228050.5600000005</v>
      </c>
      <c r="F9" s="169"/>
      <c r="G9" s="169">
        <f>'Scenario deep dive'!L16</f>
        <v>185600061.71028784</v>
      </c>
      <c r="H9" s="169"/>
      <c r="I9" s="169">
        <f t="shared" si="0"/>
        <v>-62755698.634136945</v>
      </c>
      <c r="J9" s="169">
        <f t="shared" si="0"/>
        <v>-248355760.34442478</v>
      </c>
      <c r="K9" s="172">
        <f t="shared" si="1"/>
        <v>6.3884467407229435</v>
      </c>
      <c r="L9" s="172">
        <f t="shared" si="1"/>
        <v>0</v>
      </c>
    </row>
    <row r="10" spans="2:13" x14ac:dyDescent="0.25">
      <c r="C10" s="169">
        <f>$C$8+E10</f>
        <v>25824404.48</v>
      </c>
      <c r="D10" s="170">
        <v>-0.2</v>
      </c>
      <c r="E10" s="171">
        <f>D10*$C$8</f>
        <v>-6456101.120000001</v>
      </c>
      <c r="F10" s="169"/>
      <c r="G10" s="169">
        <f>'Scenario deep dive'!P16</f>
        <v>171847214.96344179</v>
      </c>
      <c r="H10" s="169"/>
      <c r="I10" s="169">
        <f t="shared" si="0"/>
        <v>-76508545.380982995</v>
      </c>
      <c r="J10" s="169">
        <f t="shared" si="0"/>
        <v>-248355760.34442478</v>
      </c>
      <c r="K10" s="172">
        <f t="shared" si="1"/>
        <v>6.6544502544688218</v>
      </c>
      <c r="L10" s="172">
        <f t="shared" si="1"/>
        <v>0</v>
      </c>
    </row>
    <row r="11" spans="2:13" x14ac:dyDescent="0.25">
      <c r="D11" s="175"/>
      <c r="E11" s="175"/>
      <c r="F11" s="169"/>
    </row>
    <row r="12" spans="2:13" x14ac:dyDescent="0.25">
      <c r="D12" s="175"/>
      <c r="E12" s="175"/>
    </row>
    <row r="13" spans="2:13" x14ac:dyDescent="0.25">
      <c r="F13" s="530" t="s">
        <v>208</v>
      </c>
      <c r="G13" s="530"/>
      <c r="H13" s="530" t="s">
        <v>209</v>
      </c>
      <c r="I13" s="530"/>
    </row>
    <row r="14" spans="2:13" x14ac:dyDescent="0.25">
      <c r="C14" s="166" t="s">
        <v>205</v>
      </c>
      <c r="D14" s="166" t="s">
        <v>206</v>
      </c>
      <c r="E14" s="97" t="s">
        <v>210</v>
      </c>
      <c r="F14" s="276" t="s">
        <v>249</v>
      </c>
      <c r="G14" s="168"/>
      <c r="H14" s="276" t="s">
        <v>249</v>
      </c>
      <c r="I14" s="168"/>
    </row>
    <row r="15" spans="2:13" x14ac:dyDescent="0.25">
      <c r="C15" s="176">
        <f t="shared" ref="C15:D19" si="2">C6</f>
        <v>38736606.719999999</v>
      </c>
      <c r="D15" s="177">
        <f t="shared" si="2"/>
        <v>0.2</v>
      </c>
      <c r="E15" s="176">
        <f>C15-C16</f>
        <v>3228050.5599999949</v>
      </c>
      <c r="F15" s="178">
        <f t="shared" ref="F15:G18" si="3">G6-G7</f>
        <v>8601779.9488946795</v>
      </c>
      <c r="G15" s="178">
        <f>H6-H7</f>
        <v>0</v>
      </c>
      <c r="H15" s="172">
        <f t="shared" ref="H15:I18" si="4">F15/$E15</f>
        <v>2.6646980240900233</v>
      </c>
      <c r="I15" s="172">
        <f t="shared" si="4"/>
        <v>0</v>
      </c>
    </row>
    <row r="16" spans="2:13" x14ac:dyDescent="0.25">
      <c r="C16" s="176">
        <f t="shared" si="2"/>
        <v>35508556.160000004</v>
      </c>
      <c r="D16" s="177">
        <f t="shared" si="2"/>
        <v>0.1</v>
      </c>
      <c r="E16" s="176">
        <f>C16-C17</f>
        <v>3228050.5600000024</v>
      </c>
      <c r="F16" s="178">
        <f>G7-G8</f>
        <v>9208111.0220203698</v>
      </c>
      <c r="G16" s="178">
        <f t="shared" si="3"/>
        <v>0</v>
      </c>
      <c r="H16" s="172">
        <f>F16/$E16</f>
        <v>2.8525299870211334</v>
      </c>
      <c r="I16" s="172">
        <f t="shared" si="4"/>
        <v>0</v>
      </c>
    </row>
    <row r="17" spans="3:9" x14ac:dyDescent="0.25">
      <c r="C17" s="176">
        <f t="shared" si="2"/>
        <v>32280505.600000001</v>
      </c>
      <c r="D17" s="177">
        <f t="shared" si="2"/>
        <v>0</v>
      </c>
      <c r="E17" s="176">
        <f>C17-C18</f>
        <v>3228050.5600000024</v>
      </c>
      <c r="F17" s="178">
        <f>G8-G9</f>
        <v>10041012.813843668</v>
      </c>
      <c r="G17" s="178">
        <f t="shared" si="3"/>
        <v>0</v>
      </c>
      <c r="H17" s="172">
        <f>F17/$E17</f>
        <v>3.1105500447439276</v>
      </c>
      <c r="I17" s="172">
        <f t="shared" si="4"/>
        <v>0</v>
      </c>
    </row>
    <row r="18" spans="3:9" x14ac:dyDescent="0.25">
      <c r="C18" s="176">
        <f t="shared" si="2"/>
        <v>29052455.039999999</v>
      </c>
      <c r="D18" s="177">
        <f t="shared" si="2"/>
        <v>-0.1</v>
      </c>
      <c r="E18" s="176">
        <f>C18-C19</f>
        <v>3228050.5599999987</v>
      </c>
      <c r="F18" s="178">
        <f t="shared" si="3"/>
        <v>13752846.74684605</v>
      </c>
      <c r="G18" s="178">
        <f t="shared" si="3"/>
        <v>0</v>
      </c>
      <c r="H18" s="172">
        <f t="shared" si="4"/>
        <v>4.260418630755912</v>
      </c>
      <c r="I18" s="172">
        <f t="shared" si="4"/>
        <v>0</v>
      </c>
    </row>
    <row r="19" spans="3:9" x14ac:dyDescent="0.25">
      <c r="C19" s="176">
        <f t="shared" si="2"/>
        <v>25824404.48</v>
      </c>
      <c r="D19" s="177">
        <f t="shared" si="2"/>
        <v>-0.2</v>
      </c>
      <c r="E19" s="176"/>
      <c r="F19" s="178"/>
      <c r="G19" s="178"/>
      <c r="H19" s="172"/>
    </row>
    <row r="20" spans="3:9" x14ac:dyDescent="0.25">
      <c r="H20" s="172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  <row r="61" spans="21:22" x14ac:dyDescent="0.25">
      <c r="U61" s="179"/>
      <c r="V61" s="179"/>
    </row>
    <row r="62" spans="21:22" x14ac:dyDescent="0.25">
      <c r="U62" s="179"/>
      <c r="V62" s="179"/>
    </row>
    <row r="63" spans="21:22" x14ac:dyDescent="0.25">
      <c r="U63" s="179"/>
      <c r="V63" s="179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topLeftCell="B10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A3:AB67"/>
  <sheetViews>
    <sheetView showGridLines="0" topLeftCell="A4" zoomScale="80" zoomScaleNormal="80" workbookViewId="0">
      <selection activeCell="T16" sqref="T16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10219266.309999999</v>
      </c>
      <c r="C3" s="180">
        <f>SUM(D9:D13)</f>
        <v>103543587.85847765</v>
      </c>
    </row>
    <row r="4" spans="1:28" x14ac:dyDescent="0.25">
      <c r="F4" s="539" t="s">
        <v>251</v>
      </c>
      <c r="G4" s="539"/>
      <c r="H4" s="539"/>
      <c r="I4" s="539"/>
      <c r="J4" s="539"/>
      <c r="K4" s="539"/>
      <c r="L4" s="539"/>
      <c r="M4" s="539"/>
      <c r="N4" s="539"/>
      <c r="O4" s="539"/>
      <c r="P4" s="539"/>
    </row>
    <row r="5" spans="1:28" x14ac:dyDescent="0.25">
      <c r="F5" s="533" t="s">
        <v>256</v>
      </c>
      <c r="G5" s="534"/>
      <c r="H5" s="535"/>
      <c r="I5" s="181"/>
      <c r="J5" s="533" t="s">
        <v>257</v>
      </c>
      <c r="K5" s="534"/>
      <c r="L5" s="535"/>
      <c r="M5" s="181"/>
      <c r="N5" s="533" t="s">
        <v>258</v>
      </c>
      <c r="O5" s="534"/>
      <c r="P5" s="535"/>
      <c r="R5" s="533" t="s">
        <v>259</v>
      </c>
      <c r="S5" s="534"/>
      <c r="T5" s="535"/>
      <c r="V5" s="533" t="s">
        <v>260</v>
      </c>
      <c r="W5" s="534"/>
      <c r="X5" s="535"/>
      <c r="Z5" s="97" t="s">
        <v>250</v>
      </c>
    </row>
    <row r="6" spans="1:28" ht="38.1" customHeight="1" x14ac:dyDescent="0.25">
      <c r="B6" s="182" t="s">
        <v>213</v>
      </c>
      <c r="C6" s="97" t="s">
        <v>214</v>
      </c>
      <c r="D6" s="183" t="s">
        <v>215</v>
      </c>
      <c r="E6" s="183"/>
      <c r="F6" s="183" t="s">
        <v>223</v>
      </c>
      <c r="G6" s="183" t="s">
        <v>216</v>
      </c>
      <c r="H6" s="183" t="s">
        <v>217</v>
      </c>
      <c r="I6" s="183"/>
      <c r="J6" s="183" t="s">
        <v>223</v>
      </c>
      <c r="K6" s="183" t="s">
        <v>216</v>
      </c>
      <c r="L6" s="183" t="s">
        <v>217</v>
      </c>
      <c r="N6" s="183" t="s">
        <v>223</v>
      </c>
      <c r="O6" s="183" t="s">
        <v>216</v>
      </c>
      <c r="P6" s="183" t="s">
        <v>217</v>
      </c>
      <c r="R6" s="183" t="s">
        <v>223</v>
      </c>
      <c r="S6" s="183" t="s">
        <v>216</v>
      </c>
      <c r="T6" s="183" t="s">
        <v>217</v>
      </c>
      <c r="V6" s="183" t="s">
        <v>223</v>
      </c>
      <c r="W6" s="183" t="s">
        <v>216</v>
      </c>
      <c r="X6" s="183" t="s">
        <v>217</v>
      </c>
      <c r="Z6" s="183" t="s">
        <v>223</v>
      </c>
      <c r="AA6" s="183" t="s">
        <v>216</v>
      </c>
      <c r="AB6" s="183" t="s">
        <v>217</v>
      </c>
    </row>
    <row r="7" spans="1:28" x14ac:dyDescent="0.25">
      <c r="A7" s="180"/>
      <c r="B7" s="184" t="str">
        <f>VAC_Optim_Scenario!B19</f>
        <v>HCC In Office</v>
      </c>
      <c r="C7" s="185">
        <f>VAC_Optim_Scenario!E19</f>
        <v>1755293</v>
      </c>
      <c r="D7" s="185">
        <f>VAC_Optim_Scenario!G49</f>
        <v>7699972.6835207557</v>
      </c>
      <c r="E7" s="185"/>
      <c r="F7" s="185">
        <v>3081000</v>
      </c>
      <c r="G7" s="177">
        <v>0.3</v>
      </c>
      <c r="H7" s="185">
        <v>15505097.624899359</v>
      </c>
      <c r="I7" s="185"/>
      <c r="J7" s="185">
        <v>3029899.4181336327</v>
      </c>
      <c r="K7" s="177">
        <v>0.27843857305216574</v>
      </c>
      <c r="L7" s="185">
        <v>15366448.565486765</v>
      </c>
      <c r="N7" s="185">
        <v>1659000</v>
      </c>
      <c r="O7" s="177">
        <v>-0.3</v>
      </c>
      <c r="P7" s="185">
        <v>10462940.418460475</v>
      </c>
      <c r="R7" s="185">
        <v>3081000</v>
      </c>
      <c r="S7" s="177">
        <v>0.3</v>
      </c>
      <c r="T7" s="185">
        <v>15505097.624899359</v>
      </c>
      <c r="V7" s="185">
        <v>3081000</v>
      </c>
      <c r="W7" s="177">
        <v>0.3</v>
      </c>
      <c r="X7" s="185">
        <v>15505097.624899359</v>
      </c>
      <c r="Z7" s="185">
        <f>VAC_Optim_Scenario!$H49</f>
        <v>2277854.3418472391</v>
      </c>
      <c r="AA7" s="177">
        <f>(Z7-$C7)/$C7</f>
        <v>0.2977060478491278</v>
      </c>
      <c r="AB7" s="185">
        <f>VAC_Optim_Scenario!$J49</f>
        <v>9115776.5379161369</v>
      </c>
    </row>
    <row r="8" spans="1:28" x14ac:dyDescent="0.25">
      <c r="A8" s="180"/>
      <c r="B8" s="184" t="str">
        <f>VAC_Optim_Scenario!B20</f>
        <v>HCP MCM</v>
      </c>
      <c r="C8" s="185">
        <f>VAC_Optim_Scenario!E20</f>
        <v>5365372.8900000006</v>
      </c>
      <c r="D8" s="185">
        <f>VAC_Optim_Scenario!G50</f>
        <v>63849938.934329621</v>
      </c>
      <c r="E8" s="185"/>
      <c r="F8" s="185">
        <v>7913750</v>
      </c>
      <c r="G8" s="177">
        <v>0.3</v>
      </c>
      <c r="H8" s="185">
        <v>57060597.381979063</v>
      </c>
      <c r="I8" s="185"/>
      <c r="J8" s="185">
        <v>7913750</v>
      </c>
      <c r="K8" s="177">
        <v>0.3</v>
      </c>
      <c r="L8" s="185">
        <v>57060597.381979063</v>
      </c>
      <c r="N8" s="185">
        <v>7209926.481508065</v>
      </c>
      <c r="O8" s="177">
        <v>0.18438217355368625</v>
      </c>
      <c r="P8" s="185">
        <v>53405020.704021804</v>
      </c>
      <c r="R8" s="185">
        <v>7913750</v>
      </c>
      <c r="S8" s="177">
        <v>0.3</v>
      </c>
      <c r="T8" s="185">
        <v>57060597.381979063</v>
      </c>
      <c r="V8" s="185">
        <v>7913750</v>
      </c>
      <c r="W8" s="177">
        <v>0.3</v>
      </c>
      <c r="X8" s="185">
        <v>57060597.381979063</v>
      </c>
      <c r="Z8" s="185">
        <f>VAC_Optim_Scenario!$H50</f>
        <v>13941734.60841202</v>
      </c>
      <c r="AA8" s="177">
        <f t="shared" ref="AA8:AA15" si="0">(Z8-$C8)/$C8</f>
        <v>1.5984651755326587</v>
      </c>
      <c r="AB8" s="185">
        <f>VAC_Optim_Scenario!$J50</f>
        <v>104466562.02528025</v>
      </c>
    </row>
    <row r="9" spans="1:28" x14ac:dyDescent="0.25">
      <c r="A9" s="180"/>
      <c r="B9" s="184" t="str">
        <f>VAC_Optim_Scenario!B21</f>
        <v>HCC Social</v>
      </c>
      <c r="C9" s="185">
        <f>VAC_Optim_Scenario!E21</f>
        <v>1873000</v>
      </c>
      <c r="D9" s="185">
        <f>VAC_Optim_Scenario!G51</f>
        <v>16096682.775385505</v>
      </c>
      <c r="E9" s="185"/>
      <c r="F9" s="185">
        <v>2938000</v>
      </c>
      <c r="G9" s="177">
        <v>0.3</v>
      </c>
      <c r="H9" s="185">
        <v>12484947.958885178</v>
      </c>
      <c r="I9" s="185"/>
      <c r="J9" s="185">
        <v>2455721.2256736076</v>
      </c>
      <c r="K9" s="177">
        <v>8.6602312244959095E-2</v>
      </c>
      <c r="L9" s="185">
        <v>11211483.960590508</v>
      </c>
      <c r="N9" s="185">
        <v>1582000</v>
      </c>
      <c r="O9" s="177">
        <v>-0.3</v>
      </c>
      <c r="P9" s="185">
        <v>8611514.7351030298</v>
      </c>
      <c r="R9" s="185">
        <v>2938000</v>
      </c>
      <c r="S9" s="177">
        <v>0.3</v>
      </c>
      <c r="T9" s="185">
        <v>12484947.958885178</v>
      </c>
      <c r="V9" s="185">
        <v>2938000</v>
      </c>
      <c r="W9" s="177">
        <v>0.3</v>
      </c>
      <c r="X9" s="185">
        <v>12484947.958885178</v>
      </c>
      <c r="Z9" s="185">
        <f>VAC_Optim_Scenario!$H51</f>
        <v>5619000</v>
      </c>
      <c r="AA9" s="177">
        <f t="shared" si="0"/>
        <v>2</v>
      </c>
      <c r="AB9" s="185">
        <f>VAC_Optim_Scenario!$J51</f>
        <v>31117818.124337628</v>
      </c>
    </row>
    <row r="10" spans="1:28" x14ac:dyDescent="0.25">
      <c r="A10" s="180"/>
      <c r="B10" s="184" t="str">
        <f>VAC_Optim_Scenario!B22</f>
        <v>HCC Online Video</v>
      </c>
      <c r="C10" s="185">
        <f>VAC_Optim_Scenario!E22</f>
        <v>173076.94</v>
      </c>
      <c r="D10" s="185">
        <f>VAC_Optim_Scenario!G52</f>
        <v>1709980.3714794049</v>
      </c>
      <c r="E10" s="185"/>
      <c r="F10" s="185">
        <v>693000</v>
      </c>
      <c r="G10" s="177">
        <v>-0.3</v>
      </c>
      <c r="H10" s="185">
        <v>1393371.6974633737</v>
      </c>
      <c r="I10" s="185"/>
      <c r="J10" s="185">
        <v>693000</v>
      </c>
      <c r="K10" s="177">
        <v>-0.3</v>
      </c>
      <c r="L10" s="185">
        <v>1393371.6974633737</v>
      </c>
      <c r="N10" s="185">
        <v>693000</v>
      </c>
      <c r="O10" s="177">
        <v>-0.3</v>
      </c>
      <c r="P10" s="185">
        <v>1393371.6974633737</v>
      </c>
      <c r="R10" s="185">
        <v>693000</v>
      </c>
      <c r="S10" s="177">
        <v>-0.3</v>
      </c>
      <c r="T10" s="185">
        <v>1393371.6974633737</v>
      </c>
      <c r="V10" s="185">
        <v>693000</v>
      </c>
      <c r="W10" s="177">
        <v>-0.3</v>
      </c>
      <c r="X10" s="185">
        <v>1393371.6974633737</v>
      </c>
      <c r="Z10" s="185">
        <f>VAC_Optim_Scenario!$H52</f>
        <v>431635.30632567109</v>
      </c>
      <c r="AA10" s="177">
        <f t="shared" si="0"/>
        <v>1.4938926371454861</v>
      </c>
      <c r="AB10" s="185">
        <f>VAC_Optim_Scenario!$J52</f>
        <v>2813277.7806743854</v>
      </c>
    </row>
    <row r="11" spans="1:28" x14ac:dyDescent="0.25">
      <c r="A11" s="180"/>
      <c r="B11" s="184" t="str">
        <f>VAC_Optim_Scenario!B23</f>
        <v>HCC Streaming Video</v>
      </c>
      <c r="C11" s="185">
        <f>VAC_Optim_Scenario!E23</f>
        <v>6180125</v>
      </c>
      <c r="D11" s="185">
        <f>VAC_Optim_Scenario!G53</f>
        <v>32683849.841578793</v>
      </c>
      <c r="E11" s="185"/>
      <c r="F11" s="185">
        <v>3941643.9999999995</v>
      </c>
      <c r="G11" s="177">
        <v>-0.3000000000000001</v>
      </c>
      <c r="H11" s="185">
        <v>16046723.043048661</v>
      </c>
      <c r="I11" s="185"/>
      <c r="J11" s="185">
        <v>3941643.9999999995</v>
      </c>
      <c r="K11" s="177">
        <v>-0.3000000000000001</v>
      </c>
      <c r="L11" s="185">
        <v>16046723.043048661</v>
      </c>
      <c r="N11" s="185">
        <v>3941643.9999999995</v>
      </c>
      <c r="O11" s="177">
        <v>-0.3000000000000001</v>
      </c>
      <c r="P11" s="185">
        <v>16046723.043048661</v>
      </c>
      <c r="R11" s="185">
        <v>4506297.4444227098</v>
      </c>
      <c r="S11" s="177">
        <v>-0.19972270172143988</v>
      </c>
      <c r="T11" s="185">
        <v>17388888.846481122</v>
      </c>
      <c r="V11" s="185">
        <v>5267222.9195587309</v>
      </c>
      <c r="W11" s="177">
        <v>-6.4589282113982988E-2</v>
      </c>
      <c r="X11" s="185">
        <v>19095407.820782721</v>
      </c>
      <c r="Z11" s="185">
        <f>VAC_Optim_Scenario!$H53</f>
        <v>18540375</v>
      </c>
      <c r="AA11" s="177">
        <f t="shared" si="0"/>
        <v>2</v>
      </c>
      <c r="AB11" s="185">
        <f>VAC_Optim_Scenario!$J53</f>
        <v>70520938.754477054</v>
      </c>
    </row>
    <row r="12" spans="1:28" x14ac:dyDescent="0.25">
      <c r="A12" s="180"/>
      <c r="B12" s="184" t="str">
        <f>VAC_Optim_Scenario!B24</f>
        <v>HCC Display</v>
      </c>
      <c r="C12" s="185">
        <f>VAC_Optim_Scenario!E24</f>
        <v>1648357.37</v>
      </c>
      <c r="D12" s="185">
        <f>VAC_Optim_Scenario!G54</f>
        <v>23524052.607040178</v>
      </c>
      <c r="E12" s="185"/>
      <c r="F12" s="185">
        <v>1921400</v>
      </c>
      <c r="G12" s="177">
        <v>0.3</v>
      </c>
      <c r="H12" s="185">
        <v>18796150.349974733</v>
      </c>
      <c r="I12" s="185"/>
      <c r="J12" s="185">
        <v>1921400</v>
      </c>
      <c r="K12" s="177">
        <v>0.3</v>
      </c>
      <c r="L12" s="185">
        <v>18796150.349974733</v>
      </c>
      <c r="N12" s="185">
        <v>1921400</v>
      </c>
      <c r="O12" s="177">
        <v>0.3</v>
      </c>
      <c r="P12" s="185">
        <v>18796150.349974733</v>
      </c>
      <c r="R12" s="185">
        <v>1921400</v>
      </c>
      <c r="S12" s="177">
        <v>0.3</v>
      </c>
      <c r="T12" s="185">
        <v>18796150.349974733</v>
      </c>
      <c r="V12" s="185">
        <v>1921400</v>
      </c>
      <c r="W12" s="177">
        <v>0.3</v>
      </c>
      <c r="X12" s="185">
        <v>18796150.349974733</v>
      </c>
      <c r="Z12" s="185">
        <f>VAC_Optim_Scenario!$H54</f>
        <v>4945072.1100000003</v>
      </c>
      <c r="AA12" s="177">
        <f t="shared" si="0"/>
        <v>2</v>
      </c>
      <c r="AB12" s="185">
        <f>VAC_Optim_Scenario!$J54</f>
        <v>46266832.660476312</v>
      </c>
    </row>
    <row r="13" spans="1:28" x14ac:dyDescent="0.25">
      <c r="A13" s="180"/>
      <c r="B13" s="184" t="str">
        <f>VAC_Optim_Scenario!B25</f>
        <v>HCC Paid Search</v>
      </c>
      <c r="C13" s="185">
        <f>VAC_Optim_Scenario!E25</f>
        <v>344707</v>
      </c>
      <c r="D13" s="185">
        <f>VAC_Optim_Scenario!G55</f>
        <v>29529022.26299376</v>
      </c>
      <c r="E13" s="185"/>
      <c r="F13" s="185">
        <v>1232000</v>
      </c>
      <c r="G13" s="177">
        <v>-0.3</v>
      </c>
      <c r="H13" s="185">
        <v>1724376.7699591145</v>
      </c>
      <c r="I13" s="185"/>
      <c r="J13" s="185">
        <v>1232000</v>
      </c>
      <c r="K13" s="177">
        <v>-0.3</v>
      </c>
      <c r="L13" s="185">
        <v>1724376.7699591145</v>
      </c>
      <c r="N13" s="185">
        <v>1232000</v>
      </c>
      <c r="O13" s="177">
        <v>-0.3</v>
      </c>
      <c r="P13" s="185">
        <v>1724376.7699591145</v>
      </c>
      <c r="R13" s="185">
        <v>1232000</v>
      </c>
      <c r="S13" s="177">
        <v>-0.3</v>
      </c>
      <c r="T13" s="185">
        <v>1724376.7699591145</v>
      </c>
      <c r="V13" s="185">
        <v>1232000</v>
      </c>
      <c r="W13" s="177">
        <v>-0.3</v>
      </c>
      <c r="X13" s="185">
        <v>1724376.7699591145</v>
      </c>
      <c r="Z13" s="185">
        <f>VAC_Optim_Scenario!$H55</f>
        <v>1034121</v>
      </c>
      <c r="AA13" s="177">
        <f t="shared" si="0"/>
        <v>2</v>
      </c>
      <c r="AB13" s="185">
        <f>VAC_Optim_Scenario!$J55</f>
        <v>63713864.20454748</v>
      </c>
    </row>
    <row r="14" spans="1:28" x14ac:dyDescent="0.25">
      <c r="A14" s="180"/>
      <c r="B14" s="184" t="str">
        <f>VAC_Optim_Scenario!B26</f>
        <v>HCC Audio</v>
      </c>
      <c r="C14" s="185">
        <f>VAC_Optim_Scenario!E26</f>
        <v>1437048.41</v>
      </c>
      <c r="D14" s="185">
        <f>VAC_Optim_Scenario!G56</f>
        <v>15944380.745101282</v>
      </c>
      <c r="E14" s="185"/>
      <c r="F14" s="185">
        <v>1599670.8943365675</v>
      </c>
      <c r="G14" s="177">
        <v>0.22552253957265472</v>
      </c>
      <c r="H14" s="185">
        <v>9996422.054763034</v>
      </c>
      <c r="I14" s="185"/>
      <c r="J14" s="185">
        <v>1373287.8145490468</v>
      </c>
      <c r="K14" s="177">
        <v>5.2088386435460127E-2</v>
      </c>
      <c r="L14" s="185">
        <v>9404526.9087361041</v>
      </c>
      <c r="N14" s="185">
        <v>913707.89999999991</v>
      </c>
      <c r="O14" s="177">
        <v>-0.30000000000000004</v>
      </c>
      <c r="P14" s="185">
        <v>7990156.3714912347</v>
      </c>
      <c r="R14" s="185">
        <v>1696886.1</v>
      </c>
      <c r="S14" s="177">
        <v>0.30000000000000004</v>
      </c>
      <c r="T14" s="185">
        <v>10235130.95496013</v>
      </c>
      <c r="V14" s="185">
        <v>1696886.1</v>
      </c>
      <c r="W14" s="177">
        <v>0.30000000000000004</v>
      </c>
      <c r="X14" s="185">
        <v>10235130.95496013</v>
      </c>
      <c r="Z14" s="185">
        <f>VAC_Optim_Scenario!$H56</f>
        <v>4311145.2299999995</v>
      </c>
      <c r="AA14" s="177">
        <f t="shared" si="0"/>
        <v>1.9999999999999998</v>
      </c>
      <c r="AB14" s="185">
        <f>VAC_Optim_Scenario!$J56</f>
        <v>30823390.573985521</v>
      </c>
    </row>
    <row r="15" spans="1:28" x14ac:dyDescent="0.25">
      <c r="A15" s="180"/>
      <c r="B15" s="184" t="str">
        <f>VAC_Optim_Scenario!B27</f>
        <v>HCC TV</v>
      </c>
      <c r="C15" s="185">
        <f>VAC_Optim_Scenario!E27</f>
        <v>13503524.99</v>
      </c>
      <c r="D15" s="185">
        <f>VAC_Optim_Scenario!G57</f>
        <v>57317880.122995496</v>
      </c>
      <c r="E15" s="185"/>
      <c r="F15" s="185">
        <v>15034299.955663437</v>
      </c>
      <c r="G15" s="177">
        <v>-8.7339507991325518E-2</v>
      </c>
      <c r="H15" s="185">
        <v>62633387.643158987</v>
      </c>
      <c r="I15" s="185"/>
      <c r="J15" s="185">
        <v>11958585.90120472</v>
      </c>
      <c r="K15" s="177">
        <v>-0.27405140748105578</v>
      </c>
      <c r="L15" s="185">
        <v>54596383.033049487</v>
      </c>
      <c r="N15" s="185">
        <v>11531133.494999999</v>
      </c>
      <c r="O15" s="177">
        <v>-0.30000000000000004</v>
      </c>
      <c r="P15" s="185">
        <v>53416960.87391936</v>
      </c>
      <c r="R15" s="185">
        <v>18207907.763062701</v>
      </c>
      <c r="S15" s="177">
        <v>0.10531505334410238</v>
      </c>
      <c r="T15" s="185">
        <v>70260623.961549804</v>
      </c>
      <c r="V15" s="185">
        <v>21282458.837850466</v>
      </c>
      <c r="W15" s="177">
        <v>0.29195635389661462</v>
      </c>
      <c r="X15" s="185">
        <v>77155884.936142847</v>
      </c>
      <c r="Z15" s="185">
        <f>VAC_Optim_Scenario!$H57</f>
        <v>26372275.820726354</v>
      </c>
      <c r="AA15" s="177">
        <f t="shared" si="0"/>
        <v>0.95299196619077409</v>
      </c>
      <c r="AB15" s="185">
        <f>VAC_Optim_Scenario!$J57</f>
        <v>91575740.591107547</v>
      </c>
    </row>
    <row r="16" spans="1:28" ht="34.35" customHeight="1" x14ac:dyDescent="0.25">
      <c r="B16" s="187" t="s">
        <v>219</v>
      </c>
      <c r="C16" s="188">
        <f>SUM(C7:C15)</f>
        <v>32280505.600000001</v>
      </c>
      <c r="D16" s="188">
        <f>SUM(D7:D15)</f>
        <v>248355760.34442478</v>
      </c>
      <c r="E16" s="179"/>
      <c r="F16" s="188">
        <f>SUM(F7:F15)</f>
        <v>38354764.850000001</v>
      </c>
      <c r="G16" s="189">
        <f>(F16-$C$16)/$C$16</f>
        <v>0.18817113106183814</v>
      </c>
      <c r="H16" s="188">
        <f>SUM(H7:H15)</f>
        <v>195641074.52413151</v>
      </c>
      <c r="I16" s="179"/>
      <c r="J16" s="188">
        <f>SUM(J7:J15)</f>
        <v>34519288.359561011</v>
      </c>
      <c r="K16" s="189">
        <f>(J16-$C$16)/$C$16</f>
        <v>6.9354017787162839E-2</v>
      </c>
      <c r="L16" s="188">
        <f>SUM(L7:L15)</f>
        <v>185600061.71028784</v>
      </c>
      <c r="M16" s="179"/>
      <c r="N16" s="188">
        <f>SUM(N7:N15)</f>
        <v>30683811.876508065</v>
      </c>
      <c r="O16" s="189">
        <f>(N16-$C$16)/$C$16</f>
        <v>-4.9463095258704279E-2</v>
      </c>
      <c r="P16" s="188">
        <f>SUM(P7:P15)</f>
        <v>171847214.96344179</v>
      </c>
      <c r="Q16" s="179"/>
      <c r="R16" s="188">
        <f>SUM(R7:R15)</f>
        <v>42190241.307485417</v>
      </c>
      <c r="S16" s="189">
        <f>(R16-$C$16)/$C$16</f>
        <v>0.30698824331566277</v>
      </c>
      <c r="T16" s="188">
        <f>SUM(T7:T15)</f>
        <v>204849185.54615188</v>
      </c>
      <c r="V16" s="188">
        <f>SUM(V7:V15)</f>
        <v>46025717.857409194</v>
      </c>
      <c r="W16" s="189">
        <f>(V16-$C$16)/$C$16</f>
        <v>0.42580535843308454</v>
      </c>
      <c r="X16" s="188">
        <f>SUM(X7:X15)</f>
        <v>213450965.49504656</v>
      </c>
      <c r="Z16" s="188">
        <f>SUM(Z7:Z15)</f>
        <v>77473213.417311281</v>
      </c>
      <c r="AA16" s="189">
        <f>(Z16-$C$16)/$C$16</f>
        <v>1.3999999992971386</v>
      </c>
      <c r="AB16" s="188">
        <f>SUM(AB7:AB15)</f>
        <v>450414201.25280231</v>
      </c>
    </row>
    <row r="17" spans="1:24" x14ac:dyDescent="0.25">
      <c r="D17" s="97">
        <f>D16/C16</f>
        <v>7.6936762831999994</v>
      </c>
    </row>
    <row r="19" spans="1:24" ht="26.85" customHeight="1" x14ac:dyDescent="0.25">
      <c r="F19" s="539" t="str">
        <f>F4</f>
        <v>Optimal channel spend allowed to vary between +/- 30% of the 2021 channel spend</v>
      </c>
      <c r="G19" s="539"/>
      <c r="H19" s="539"/>
      <c r="I19" s="539"/>
      <c r="J19" s="539"/>
      <c r="K19" s="539"/>
      <c r="L19" s="539"/>
      <c r="M19" s="539"/>
      <c r="N19" s="539"/>
      <c r="O19" s="539"/>
      <c r="P19" s="539"/>
    </row>
    <row r="20" spans="1:24" ht="30.4" customHeight="1" x14ac:dyDescent="0.25">
      <c r="C20" s="531" t="s">
        <v>252</v>
      </c>
      <c r="D20" s="532"/>
      <c r="E20" s="190"/>
      <c r="F20" s="533" t="str">
        <f>F5</f>
        <v>Current Optimal ($38MM)</v>
      </c>
      <c r="G20" s="534"/>
      <c r="H20" s="535"/>
      <c r="I20" s="191"/>
      <c r="J20" s="533" t="str">
        <f>J5</f>
        <v>10% reduction optimal ($35M)</v>
      </c>
      <c r="K20" s="534"/>
      <c r="L20" s="535"/>
      <c r="M20" s="191"/>
      <c r="N20" s="533" t="str">
        <f>N5</f>
        <v>20% reduction optimal ($31M)</v>
      </c>
      <c r="O20" s="534"/>
      <c r="P20" s="535"/>
      <c r="R20" s="533" t="str">
        <f>R5</f>
        <v>10% increase optimal ($42M)</v>
      </c>
      <c r="S20" s="534"/>
      <c r="T20" s="535"/>
      <c r="V20" s="533" t="str">
        <f>V5</f>
        <v>20% increase optimal ($46M)</v>
      </c>
      <c r="W20" s="534"/>
      <c r="X20" s="535"/>
    </row>
    <row r="21" spans="1:24" ht="45" x14ac:dyDescent="0.25">
      <c r="B21" s="182" t="s">
        <v>213</v>
      </c>
      <c r="C21" s="192" t="s">
        <v>220</v>
      </c>
      <c r="D21" s="193" t="s">
        <v>221</v>
      </c>
      <c r="E21" s="194"/>
      <c r="F21" s="217" t="s">
        <v>223</v>
      </c>
      <c r="G21" s="193" t="s">
        <v>216</v>
      </c>
      <c r="H21" s="195" t="s">
        <v>217</v>
      </c>
      <c r="I21" s="194"/>
      <c r="J21" s="217" t="s">
        <v>223</v>
      </c>
      <c r="K21" s="193" t="s">
        <v>216</v>
      </c>
      <c r="L21" s="195" t="s">
        <v>217</v>
      </c>
      <c r="M21" s="179"/>
      <c r="N21" s="217" t="s">
        <v>223</v>
      </c>
      <c r="O21" s="193" t="s">
        <v>216</v>
      </c>
      <c r="P21" s="195" t="s">
        <v>217</v>
      </c>
      <c r="R21" s="217" t="s">
        <v>223</v>
      </c>
      <c r="S21" s="193" t="s">
        <v>216</v>
      </c>
      <c r="T21" s="195" t="s">
        <v>217</v>
      </c>
      <c r="V21" s="217" t="s">
        <v>223</v>
      </c>
      <c r="W21" s="193" t="s">
        <v>216</v>
      </c>
      <c r="X21" s="195" t="s">
        <v>217</v>
      </c>
    </row>
    <row r="22" spans="1:24" x14ac:dyDescent="0.25">
      <c r="A22" s="172">
        <f>D22/C22</f>
        <v>4.3867164533332925</v>
      </c>
      <c r="B22" s="184" t="str">
        <f>B7</f>
        <v>HCC In Office</v>
      </c>
      <c r="C22" s="196">
        <f>C7/1000000</f>
        <v>1.755293</v>
      </c>
      <c r="D22" s="283">
        <f>D7/1000000</f>
        <v>7.6999726835207554</v>
      </c>
      <c r="E22" s="198"/>
      <c r="F22" s="199">
        <f>F7/1000000</f>
        <v>3.081</v>
      </c>
      <c r="G22" s="200">
        <f>G7</f>
        <v>0.3</v>
      </c>
      <c r="H22" s="278">
        <f>H7/1000000</f>
        <v>15.50509762489936</v>
      </c>
      <c r="I22" s="198"/>
      <c r="J22" s="199">
        <f>J7/1000000</f>
        <v>3.0298994181336329</v>
      </c>
      <c r="K22" s="200">
        <f>K7</f>
        <v>0.27843857305216574</v>
      </c>
      <c r="L22" s="278">
        <f>L7/1000000</f>
        <v>15.366448565486765</v>
      </c>
      <c r="M22" s="179"/>
      <c r="N22" s="199">
        <f>N7/1000000</f>
        <v>1.659</v>
      </c>
      <c r="O22" s="200">
        <f>O7</f>
        <v>-0.3</v>
      </c>
      <c r="P22" s="278">
        <f>P7/1000000</f>
        <v>10.462940418460475</v>
      </c>
      <c r="Q22" s="179"/>
      <c r="R22" s="199">
        <f>R7/1000000</f>
        <v>3.081</v>
      </c>
      <c r="S22" s="200">
        <f>S7</f>
        <v>0.3</v>
      </c>
      <c r="T22" s="278">
        <f>T7/1000000</f>
        <v>15.50509762489936</v>
      </c>
      <c r="V22" s="199">
        <f>V7/1000000</f>
        <v>3.081</v>
      </c>
      <c r="W22" s="200">
        <f>W7</f>
        <v>0.3</v>
      </c>
      <c r="X22" s="201">
        <f>X7/1000000</f>
        <v>15.50509762489936</v>
      </c>
    </row>
    <row r="23" spans="1:24" x14ac:dyDescent="0.25">
      <c r="A23" s="172">
        <f t="shared" ref="A23:A30" si="1">D23/C23</f>
        <v>11.900373048317544</v>
      </c>
      <c r="B23" s="184" t="str">
        <f t="shared" ref="B23:B30" si="2">B8</f>
        <v>HCP MCM</v>
      </c>
      <c r="C23" s="202">
        <f t="shared" ref="C23:D23" si="3">C8/1000000</f>
        <v>5.3653728900000006</v>
      </c>
      <c r="D23" s="284">
        <f t="shared" si="3"/>
        <v>63.849938934329622</v>
      </c>
      <c r="E23" s="198"/>
      <c r="F23" s="204">
        <f t="shared" ref="F23:F30" si="4">F8/1000000</f>
        <v>7.9137500000000003</v>
      </c>
      <c r="G23" s="205">
        <f t="shared" ref="G23:G30" si="5">G8</f>
        <v>0.3</v>
      </c>
      <c r="H23" s="279">
        <f t="shared" ref="H23:H30" si="6">H8/1000000</f>
        <v>57.060597381979065</v>
      </c>
      <c r="I23" s="198"/>
      <c r="J23" s="204">
        <f t="shared" ref="J23:J30" si="7">J8/1000000</f>
        <v>7.9137500000000003</v>
      </c>
      <c r="K23" s="205">
        <f t="shared" ref="K23:K30" si="8">K8</f>
        <v>0.3</v>
      </c>
      <c r="L23" s="279">
        <f t="shared" ref="L23:L30" si="9">L8/1000000</f>
        <v>57.060597381979065</v>
      </c>
      <c r="M23" s="179"/>
      <c r="N23" s="204">
        <f t="shared" ref="N23:N30" si="10">N8/1000000</f>
        <v>7.2099264815080648</v>
      </c>
      <c r="O23" s="205">
        <f t="shared" ref="O23:O30" si="11">O8</f>
        <v>0.18438217355368625</v>
      </c>
      <c r="P23" s="279">
        <f t="shared" ref="P23:P30" si="12">P8/1000000</f>
        <v>53.405020704021801</v>
      </c>
      <c r="Q23" s="179"/>
      <c r="R23" s="204">
        <f t="shared" ref="R23:R30" si="13">R8/1000000</f>
        <v>7.9137500000000003</v>
      </c>
      <c r="S23" s="200">
        <f t="shared" ref="S23:S30" si="14">S8</f>
        <v>0.3</v>
      </c>
      <c r="T23" s="279">
        <f t="shared" ref="T23:T30" si="15">T8/1000000</f>
        <v>57.060597381979065</v>
      </c>
      <c r="V23" s="204">
        <f t="shared" ref="V23:V30" si="16">V8/1000000</f>
        <v>7.9137500000000003</v>
      </c>
      <c r="W23" s="200">
        <f t="shared" ref="W23:W30" si="17">W8</f>
        <v>0.3</v>
      </c>
      <c r="X23" s="206">
        <f t="shared" ref="X23:X30" si="18">X8/1000000</f>
        <v>57.060597381979065</v>
      </c>
    </row>
    <row r="24" spans="1:24" x14ac:dyDescent="0.25">
      <c r="A24" s="172">
        <f t="shared" si="1"/>
        <v>8.5940644823200767</v>
      </c>
      <c r="B24" s="184" t="str">
        <f t="shared" si="2"/>
        <v>HCC Social</v>
      </c>
      <c r="C24" s="202">
        <f t="shared" ref="C24:D24" si="19">C9/1000000</f>
        <v>1.873</v>
      </c>
      <c r="D24" s="284">
        <f t="shared" si="19"/>
        <v>16.096682775385503</v>
      </c>
      <c r="E24" s="198"/>
      <c r="F24" s="204">
        <f t="shared" si="4"/>
        <v>2.9380000000000002</v>
      </c>
      <c r="G24" s="205">
        <f t="shared" si="5"/>
        <v>0.3</v>
      </c>
      <c r="H24" s="279">
        <f t="shared" si="6"/>
        <v>12.484947958885177</v>
      </c>
      <c r="I24" s="198"/>
      <c r="J24" s="204">
        <f t="shared" si="7"/>
        <v>2.4557212256736074</v>
      </c>
      <c r="K24" s="205">
        <f t="shared" si="8"/>
        <v>8.6602312244959095E-2</v>
      </c>
      <c r="L24" s="279">
        <f t="shared" si="9"/>
        <v>11.211483960590508</v>
      </c>
      <c r="M24" s="179"/>
      <c r="N24" s="204">
        <f t="shared" si="10"/>
        <v>1.5820000000000001</v>
      </c>
      <c r="O24" s="205">
        <f t="shared" si="11"/>
        <v>-0.3</v>
      </c>
      <c r="P24" s="279">
        <f t="shared" si="12"/>
        <v>8.6115147351030306</v>
      </c>
      <c r="Q24" s="179"/>
      <c r="R24" s="204">
        <f t="shared" si="13"/>
        <v>2.9380000000000002</v>
      </c>
      <c r="S24" s="200">
        <f t="shared" si="14"/>
        <v>0.3</v>
      </c>
      <c r="T24" s="279">
        <f t="shared" si="15"/>
        <v>12.484947958885177</v>
      </c>
      <c r="V24" s="204">
        <f t="shared" si="16"/>
        <v>2.9380000000000002</v>
      </c>
      <c r="W24" s="200">
        <f t="shared" si="17"/>
        <v>0.3</v>
      </c>
      <c r="X24" s="206">
        <f t="shared" si="18"/>
        <v>12.484947958885177</v>
      </c>
    </row>
    <row r="25" spans="1:24" x14ac:dyDescent="0.25">
      <c r="A25" s="172">
        <f t="shared" si="1"/>
        <v>9.879885624736632</v>
      </c>
      <c r="B25" s="184" t="str">
        <f t="shared" si="2"/>
        <v>HCC Online Video</v>
      </c>
      <c r="C25" s="202">
        <f t="shared" ref="C25:D25" si="20">C10/1000000</f>
        <v>0.17307694000000001</v>
      </c>
      <c r="D25" s="284">
        <f t="shared" si="20"/>
        <v>1.7099803714794048</v>
      </c>
      <c r="E25" s="198"/>
      <c r="F25" s="204">
        <f t="shared" si="4"/>
        <v>0.69299999999999995</v>
      </c>
      <c r="G25" s="205">
        <f t="shared" si="5"/>
        <v>-0.3</v>
      </c>
      <c r="H25" s="279">
        <f t="shared" si="6"/>
        <v>1.3933716974633736</v>
      </c>
      <c r="I25" s="198"/>
      <c r="J25" s="204">
        <f t="shared" si="7"/>
        <v>0.69299999999999995</v>
      </c>
      <c r="K25" s="205">
        <f t="shared" si="8"/>
        <v>-0.3</v>
      </c>
      <c r="L25" s="279">
        <f t="shared" si="9"/>
        <v>1.3933716974633736</v>
      </c>
      <c r="M25" s="179"/>
      <c r="N25" s="204">
        <f t="shared" si="10"/>
        <v>0.69299999999999995</v>
      </c>
      <c r="O25" s="205">
        <f t="shared" si="11"/>
        <v>-0.3</v>
      </c>
      <c r="P25" s="279">
        <f t="shared" si="12"/>
        <v>1.3933716974633736</v>
      </c>
      <c r="Q25" s="179"/>
      <c r="R25" s="204">
        <f t="shared" si="13"/>
        <v>0.69299999999999995</v>
      </c>
      <c r="S25" s="200">
        <f t="shared" si="14"/>
        <v>-0.3</v>
      </c>
      <c r="T25" s="279">
        <f t="shared" si="15"/>
        <v>1.3933716974633736</v>
      </c>
      <c r="V25" s="204">
        <f t="shared" si="16"/>
        <v>0.69299999999999995</v>
      </c>
      <c r="W25" s="200">
        <f t="shared" si="17"/>
        <v>-0.3</v>
      </c>
      <c r="X25" s="206">
        <f t="shared" si="18"/>
        <v>1.3933716974633736</v>
      </c>
    </row>
    <row r="26" spans="1:24" x14ac:dyDescent="0.25">
      <c r="A26" s="172">
        <f t="shared" si="1"/>
        <v>5.288541872790403</v>
      </c>
      <c r="B26" s="184" t="str">
        <f t="shared" si="2"/>
        <v>HCC Streaming Video</v>
      </c>
      <c r="C26" s="202">
        <f t="shared" ref="C26:D26" si="21">C11/1000000</f>
        <v>6.1801250000000003</v>
      </c>
      <c r="D26" s="284">
        <f t="shared" si="21"/>
        <v>32.683849841578791</v>
      </c>
      <c r="E26" s="198"/>
      <c r="F26" s="204">
        <f t="shared" si="4"/>
        <v>3.9416439999999997</v>
      </c>
      <c r="G26" s="205">
        <f t="shared" si="5"/>
        <v>-0.3000000000000001</v>
      </c>
      <c r="H26" s="279">
        <f t="shared" si="6"/>
        <v>16.046723043048662</v>
      </c>
      <c r="I26" s="198"/>
      <c r="J26" s="204">
        <f t="shared" si="7"/>
        <v>3.9416439999999997</v>
      </c>
      <c r="K26" s="205">
        <f t="shared" si="8"/>
        <v>-0.3000000000000001</v>
      </c>
      <c r="L26" s="279">
        <f t="shared" si="9"/>
        <v>16.046723043048662</v>
      </c>
      <c r="M26" s="179"/>
      <c r="N26" s="204">
        <f t="shared" si="10"/>
        <v>3.9416439999999997</v>
      </c>
      <c r="O26" s="205">
        <f t="shared" si="11"/>
        <v>-0.3000000000000001</v>
      </c>
      <c r="P26" s="279">
        <f t="shared" si="12"/>
        <v>16.046723043048662</v>
      </c>
      <c r="Q26" s="179"/>
      <c r="R26" s="204">
        <f t="shared" si="13"/>
        <v>4.5062974444227102</v>
      </c>
      <c r="S26" s="200">
        <f t="shared" si="14"/>
        <v>-0.19972270172143988</v>
      </c>
      <c r="T26" s="279">
        <f t="shared" si="15"/>
        <v>17.388888846481123</v>
      </c>
      <c r="V26" s="204">
        <f t="shared" si="16"/>
        <v>5.2672229195587308</v>
      </c>
      <c r="W26" s="200">
        <f t="shared" si="17"/>
        <v>-6.4589282113982988E-2</v>
      </c>
      <c r="X26" s="206">
        <f t="shared" si="18"/>
        <v>19.095407820782722</v>
      </c>
    </row>
    <row r="27" spans="1:24" x14ac:dyDescent="0.25">
      <c r="A27" s="172">
        <f t="shared" si="1"/>
        <v>14.271209044334954</v>
      </c>
      <c r="B27" s="184" t="str">
        <f t="shared" si="2"/>
        <v>HCC Display</v>
      </c>
      <c r="C27" s="202">
        <f t="shared" ref="C27:D27" si="22">C12/1000000</f>
        <v>1.64835737</v>
      </c>
      <c r="D27" s="284">
        <f t="shared" si="22"/>
        <v>23.524052607040179</v>
      </c>
      <c r="E27" s="198"/>
      <c r="F27" s="204">
        <f t="shared" si="4"/>
        <v>1.9214</v>
      </c>
      <c r="G27" s="205">
        <f t="shared" si="5"/>
        <v>0.3</v>
      </c>
      <c r="H27" s="279">
        <f t="shared" si="6"/>
        <v>18.796150349974734</v>
      </c>
      <c r="I27" s="198"/>
      <c r="J27" s="204">
        <f t="shared" si="7"/>
        <v>1.9214</v>
      </c>
      <c r="K27" s="205">
        <f t="shared" si="8"/>
        <v>0.3</v>
      </c>
      <c r="L27" s="279">
        <f t="shared" si="9"/>
        <v>18.796150349974734</v>
      </c>
      <c r="M27" s="179"/>
      <c r="N27" s="204">
        <f t="shared" si="10"/>
        <v>1.9214</v>
      </c>
      <c r="O27" s="205">
        <f t="shared" si="11"/>
        <v>0.3</v>
      </c>
      <c r="P27" s="279">
        <f t="shared" si="12"/>
        <v>18.796150349974734</v>
      </c>
      <c r="Q27" s="179"/>
      <c r="R27" s="204">
        <f t="shared" si="13"/>
        <v>1.9214</v>
      </c>
      <c r="S27" s="200">
        <f t="shared" si="14"/>
        <v>0.3</v>
      </c>
      <c r="T27" s="279">
        <f t="shared" si="15"/>
        <v>18.796150349974734</v>
      </c>
      <c r="V27" s="204">
        <f t="shared" si="16"/>
        <v>1.9214</v>
      </c>
      <c r="W27" s="200">
        <f t="shared" si="17"/>
        <v>0.3</v>
      </c>
      <c r="X27" s="206">
        <f t="shared" si="18"/>
        <v>18.796150349974734</v>
      </c>
    </row>
    <row r="28" spans="1:24" x14ac:dyDescent="0.25">
      <c r="A28" s="172">
        <f t="shared" si="1"/>
        <v>85.664121305902583</v>
      </c>
      <c r="B28" s="184" t="str">
        <f t="shared" si="2"/>
        <v>HCC Paid Search</v>
      </c>
      <c r="C28" s="202">
        <f t="shared" ref="C28:D28" si="23">C13/1000000</f>
        <v>0.34470699999999999</v>
      </c>
      <c r="D28" s="284">
        <f t="shared" si="23"/>
        <v>29.52902226299376</v>
      </c>
      <c r="E28" s="198"/>
      <c r="F28" s="204">
        <f t="shared" si="4"/>
        <v>1.232</v>
      </c>
      <c r="G28" s="205">
        <f t="shared" si="5"/>
        <v>-0.3</v>
      </c>
      <c r="H28" s="279">
        <f t="shared" si="6"/>
        <v>1.7243767699591146</v>
      </c>
      <c r="I28" s="198"/>
      <c r="J28" s="204">
        <f t="shared" si="7"/>
        <v>1.232</v>
      </c>
      <c r="K28" s="205">
        <f t="shared" si="8"/>
        <v>-0.3</v>
      </c>
      <c r="L28" s="279">
        <f t="shared" si="9"/>
        <v>1.7243767699591146</v>
      </c>
      <c r="M28" s="179"/>
      <c r="N28" s="204">
        <f t="shared" si="10"/>
        <v>1.232</v>
      </c>
      <c r="O28" s="205">
        <f t="shared" si="11"/>
        <v>-0.3</v>
      </c>
      <c r="P28" s="279">
        <f t="shared" si="12"/>
        <v>1.7243767699591146</v>
      </c>
      <c r="Q28" s="179"/>
      <c r="R28" s="204">
        <f t="shared" si="13"/>
        <v>1.232</v>
      </c>
      <c r="S28" s="200">
        <f t="shared" si="14"/>
        <v>-0.3</v>
      </c>
      <c r="T28" s="279">
        <f t="shared" si="15"/>
        <v>1.7243767699591146</v>
      </c>
      <c r="V28" s="204">
        <f t="shared" si="16"/>
        <v>1.232</v>
      </c>
      <c r="W28" s="200">
        <f t="shared" si="17"/>
        <v>-0.3</v>
      </c>
      <c r="X28" s="206">
        <f t="shared" si="18"/>
        <v>1.7243767699591146</v>
      </c>
    </row>
    <row r="29" spans="1:24" x14ac:dyDescent="0.25">
      <c r="A29" s="172">
        <f t="shared" si="1"/>
        <v>11.095228688295396</v>
      </c>
      <c r="B29" s="184" t="str">
        <f t="shared" si="2"/>
        <v>HCC Audio</v>
      </c>
      <c r="C29" s="202">
        <f t="shared" ref="C29:D29" si="24">C14/1000000</f>
        <v>1.4370484099999998</v>
      </c>
      <c r="D29" s="284">
        <f t="shared" si="24"/>
        <v>15.944380745101283</v>
      </c>
      <c r="E29" s="198"/>
      <c r="F29" s="204">
        <f t="shared" si="4"/>
        <v>1.5996708943365674</v>
      </c>
      <c r="G29" s="205">
        <f t="shared" si="5"/>
        <v>0.22552253957265472</v>
      </c>
      <c r="H29" s="279">
        <f t="shared" si="6"/>
        <v>9.996422054763034</v>
      </c>
      <c r="I29" s="198"/>
      <c r="J29" s="204">
        <f t="shared" si="7"/>
        <v>1.3732878145490468</v>
      </c>
      <c r="K29" s="205">
        <f t="shared" si="8"/>
        <v>5.2088386435460127E-2</v>
      </c>
      <c r="L29" s="279">
        <f t="shared" si="9"/>
        <v>9.4045269087361039</v>
      </c>
      <c r="M29" s="179"/>
      <c r="N29" s="204">
        <f t="shared" si="10"/>
        <v>0.91370789999999991</v>
      </c>
      <c r="O29" s="205">
        <f t="shared" si="11"/>
        <v>-0.30000000000000004</v>
      </c>
      <c r="P29" s="279">
        <f t="shared" si="12"/>
        <v>7.9901563714912349</v>
      </c>
      <c r="Q29" s="179"/>
      <c r="R29" s="204">
        <f t="shared" si="13"/>
        <v>1.6968861000000002</v>
      </c>
      <c r="S29" s="200">
        <f t="shared" si="14"/>
        <v>0.30000000000000004</v>
      </c>
      <c r="T29" s="279">
        <f t="shared" si="15"/>
        <v>10.23513095496013</v>
      </c>
      <c r="V29" s="204">
        <f t="shared" si="16"/>
        <v>1.6968861000000002</v>
      </c>
      <c r="W29" s="200">
        <f t="shared" si="17"/>
        <v>0.30000000000000004</v>
      </c>
      <c r="X29" s="206">
        <f t="shared" si="18"/>
        <v>10.23513095496013</v>
      </c>
    </row>
    <row r="30" spans="1:24" x14ac:dyDescent="0.25">
      <c r="A30" s="172">
        <f t="shared" si="1"/>
        <v>4.2446605731053264</v>
      </c>
      <c r="B30" s="184" t="str">
        <f t="shared" si="2"/>
        <v>HCC TV</v>
      </c>
      <c r="C30" s="202">
        <f t="shared" ref="C30:D30" si="25">C15/1000000</f>
        <v>13.503524990000001</v>
      </c>
      <c r="D30" s="284">
        <f t="shared" si="25"/>
        <v>57.317880122995497</v>
      </c>
      <c r="E30" s="198"/>
      <c r="F30" s="204">
        <f t="shared" si="4"/>
        <v>15.034299955663437</v>
      </c>
      <c r="G30" s="205">
        <f t="shared" si="5"/>
        <v>-8.7339507991325518E-2</v>
      </c>
      <c r="H30" s="279">
        <f t="shared" si="6"/>
        <v>62.63338764315899</v>
      </c>
      <c r="I30" s="198"/>
      <c r="J30" s="204">
        <f t="shared" si="7"/>
        <v>11.958585901204721</v>
      </c>
      <c r="K30" s="205">
        <f t="shared" si="8"/>
        <v>-0.27405140748105578</v>
      </c>
      <c r="L30" s="279">
        <f t="shared" si="9"/>
        <v>54.596383033049484</v>
      </c>
      <c r="M30" s="179"/>
      <c r="N30" s="204">
        <f t="shared" si="10"/>
        <v>11.531133494999999</v>
      </c>
      <c r="O30" s="205">
        <f t="shared" si="11"/>
        <v>-0.30000000000000004</v>
      </c>
      <c r="P30" s="279">
        <f t="shared" si="12"/>
        <v>53.416960873919358</v>
      </c>
      <c r="Q30" s="179"/>
      <c r="R30" s="204">
        <f t="shared" si="13"/>
        <v>18.2079077630627</v>
      </c>
      <c r="S30" s="200">
        <f t="shared" si="14"/>
        <v>0.10531505334410238</v>
      </c>
      <c r="T30" s="279">
        <f t="shared" si="15"/>
        <v>70.260623961549797</v>
      </c>
      <c r="V30" s="204">
        <f t="shared" si="16"/>
        <v>21.282458837850466</v>
      </c>
      <c r="W30" s="200">
        <f t="shared" si="17"/>
        <v>0.29195635389661462</v>
      </c>
      <c r="X30" s="206">
        <f t="shared" si="18"/>
        <v>77.15588493614284</v>
      </c>
    </row>
    <row r="31" spans="1:24" ht="29.65" customHeight="1" x14ac:dyDescent="0.25">
      <c r="B31" s="207" t="s">
        <v>219</v>
      </c>
      <c r="C31" s="208">
        <f>C16/1000000</f>
        <v>32.280505600000005</v>
      </c>
      <c r="D31" s="285">
        <f>D16/1000000</f>
        <v>248.35576034442479</v>
      </c>
      <c r="E31" s="210"/>
      <c r="F31" s="211">
        <f>F16/1000000</f>
        <v>38.354764850000002</v>
      </c>
      <c r="G31" s="212">
        <f>G16</f>
        <v>0.18817113106183814</v>
      </c>
      <c r="H31" s="216">
        <f>H16/1000000</f>
        <v>195.64107452413151</v>
      </c>
      <c r="I31" s="210"/>
      <c r="J31" s="211">
        <f>J16/1000000</f>
        <v>34.51928835956101</v>
      </c>
      <c r="K31" s="212">
        <f>K16</f>
        <v>6.9354017787162839E-2</v>
      </c>
      <c r="L31" s="216">
        <f>L16/1000000</f>
        <v>185.60006171028783</v>
      </c>
      <c r="M31" s="210"/>
      <c r="N31" s="211">
        <f>N16/1000000</f>
        <v>30.683811876508063</v>
      </c>
      <c r="O31" s="212">
        <f>O16</f>
        <v>-4.9463095258704279E-2</v>
      </c>
      <c r="P31" s="216">
        <f>P16/1000000</f>
        <v>171.84721496344179</v>
      </c>
      <c r="R31" s="211">
        <f>R16/1000000</f>
        <v>42.190241307485415</v>
      </c>
      <c r="S31" s="212">
        <f>S16</f>
        <v>0.30698824331566277</v>
      </c>
      <c r="T31" s="216">
        <f>T16/1000000</f>
        <v>204.84918554615189</v>
      </c>
      <c r="V31" s="211">
        <f>V16/1000000</f>
        <v>46.025717857409191</v>
      </c>
      <c r="W31" s="212">
        <f>W16</f>
        <v>0.42580535843308454</v>
      </c>
      <c r="X31" s="213">
        <f>X16/1000000</f>
        <v>213.45096549504655</v>
      </c>
    </row>
    <row r="32" spans="1:24" ht="45" x14ac:dyDescent="0.25">
      <c r="B32" s="280" t="s">
        <v>253</v>
      </c>
      <c r="C32" s="208"/>
      <c r="D32" s="209"/>
      <c r="E32" s="210"/>
      <c r="F32" s="211"/>
      <c r="G32" s="212"/>
      <c r="H32" s="282" t="s">
        <v>261</v>
      </c>
      <c r="I32" s="210"/>
      <c r="J32" s="211"/>
      <c r="K32" s="212"/>
      <c r="L32" s="282" t="s">
        <v>262</v>
      </c>
      <c r="M32" s="210"/>
      <c r="N32" s="211"/>
      <c r="O32" s="212"/>
      <c r="P32" s="215" t="s">
        <v>263</v>
      </c>
      <c r="R32" s="211"/>
      <c r="S32" s="212"/>
      <c r="T32" s="282" t="s">
        <v>264</v>
      </c>
      <c r="V32" s="211"/>
      <c r="W32" s="212"/>
      <c r="X32" s="282" t="s">
        <v>265</v>
      </c>
    </row>
    <row r="33" spans="2:24" x14ac:dyDescent="0.25">
      <c r="H33" s="216">
        <f>(H31-$D$31)</f>
        <v>-52.714685820293283</v>
      </c>
      <c r="L33" s="216">
        <f>(L31-$D$31)</f>
        <v>-62.755698634136962</v>
      </c>
      <c r="P33" s="216">
        <f>(P31-$D$31)</f>
        <v>-76.508545380983008</v>
      </c>
      <c r="T33" s="216">
        <f>(T31-$D$31)</f>
        <v>-43.506574798272908</v>
      </c>
      <c r="X33" s="216">
        <f>(X31-$D$31)</f>
        <v>-34.904794849378249</v>
      </c>
    </row>
    <row r="34" spans="2:24" x14ac:dyDescent="0.25">
      <c r="H34" s="281">
        <f>H33/$D$31</f>
        <v>-0.21225473388331115</v>
      </c>
      <c r="L34" s="281">
        <f>L33/$D$31</f>
        <v>-0.25268469129568844</v>
      </c>
      <c r="P34" s="281">
        <f>P33/$D$31</f>
        <v>-0.30806028124686702</v>
      </c>
      <c r="T34" s="281">
        <f>T33/$D$31</f>
        <v>-0.17517844054809564</v>
      </c>
      <c r="X34" s="281">
        <f>X33/$D$31</f>
        <v>-0.14054352836822295</v>
      </c>
    </row>
    <row r="36" spans="2:24" x14ac:dyDescent="0.25">
      <c r="B36" s="540" t="s">
        <v>255</v>
      </c>
      <c r="C36" s="540"/>
      <c r="D36" s="540"/>
      <c r="E36" s="540"/>
      <c r="F36" s="540"/>
      <c r="G36" s="540"/>
      <c r="H36" s="540"/>
      <c r="I36" s="540"/>
      <c r="J36" s="540"/>
      <c r="K36" s="540"/>
      <c r="L36" s="540"/>
      <c r="M36" s="540"/>
      <c r="N36" s="540"/>
      <c r="O36" s="540"/>
      <c r="P36" s="540"/>
      <c r="Q36" s="540"/>
      <c r="R36" s="540"/>
      <c r="S36" s="540"/>
      <c r="T36" s="540"/>
    </row>
    <row r="37" spans="2:24" x14ac:dyDescent="0.25">
      <c r="B37" s="540"/>
      <c r="C37" s="540"/>
      <c r="D37" s="540"/>
      <c r="E37" s="540"/>
      <c r="F37" s="540"/>
      <c r="G37" s="540"/>
      <c r="H37" s="540"/>
      <c r="I37" s="540"/>
      <c r="J37" s="540"/>
      <c r="K37" s="540"/>
      <c r="L37" s="540"/>
      <c r="M37" s="540"/>
      <c r="N37" s="540"/>
      <c r="O37" s="540"/>
      <c r="P37" s="540"/>
      <c r="Q37" s="540"/>
      <c r="R37" s="540"/>
      <c r="S37" s="540"/>
      <c r="T37" s="540"/>
    </row>
    <row r="39" spans="2:24" x14ac:dyDescent="0.25">
      <c r="F39" s="533" t="s">
        <v>244</v>
      </c>
      <c r="G39" s="534"/>
      <c r="H39" s="535"/>
      <c r="I39" s="181"/>
      <c r="J39" s="533" t="s">
        <v>211</v>
      </c>
      <c r="K39" s="534"/>
      <c r="L39" s="535"/>
      <c r="M39" s="181"/>
      <c r="N39" s="533" t="s">
        <v>212</v>
      </c>
      <c r="O39" s="534"/>
      <c r="P39" s="535"/>
      <c r="R39" s="541"/>
      <c r="S39" s="542"/>
      <c r="T39" s="543"/>
    </row>
    <row r="40" spans="2:24" ht="45" x14ac:dyDescent="0.25">
      <c r="B40" s="182" t="s">
        <v>213</v>
      </c>
      <c r="C40" s="97" t="s">
        <v>214</v>
      </c>
      <c r="D40" s="183" t="s">
        <v>215</v>
      </c>
      <c r="E40" s="183"/>
      <c r="F40" s="97" t="s">
        <v>214</v>
      </c>
      <c r="G40" s="183" t="s">
        <v>216</v>
      </c>
      <c r="H40" s="183" t="s">
        <v>217</v>
      </c>
      <c r="I40" s="183"/>
      <c r="J40" s="97" t="s">
        <v>214</v>
      </c>
      <c r="K40" s="183" t="s">
        <v>216</v>
      </c>
      <c r="L40" s="183" t="s">
        <v>217</v>
      </c>
      <c r="N40" s="97" t="s">
        <v>214</v>
      </c>
      <c r="O40" s="183" t="s">
        <v>216</v>
      </c>
      <c r="P40" s="183" t="s">
        <v>217</v>
      </c>
      <c r="R40" s="97" t="s">
        <v>214</v>
      </c>
      <c r="S40" s="183" t="s">
        <v>216</v>
      </c>
      <c r="T40" s="183" t="s">
        <v>217</v>
      </c>
    </row>
    <row r="41" spans="2:24" x14ac:dyDescent="0.25">
      <c r="B41" s="184" t="s">
        <v>226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227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228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239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229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230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231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219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544" t="str">
        <f>B36</f>
        <v>Optimal Channel Spend  allowed to vary between  of the 2021 spend</v>
      </c>
      <c r="G53" s="544"/>
      <c r="H53" s="544"/>
      <c r="I53" s="544"/>
      <c r="J53" s="544"/>
      <c r="K53" s="544"/>
      <c r="L53" s="544"/>
      <c r="M53" s="544"/>
      <c r="N53" s="544"/>
      <c r="O53" s="544"/>
      <c r="P53" s="544"/>
    </row>
    <row r="54" spans="2:20" x14ac:dyDescent="0.25">
      <c r="C54" s="531" t="s">
        <v>245</v>
      </c>
      <c r="D54" s="532"/>
      <c r="E54" s="190"/>
      <c r="F54" s="533" t="str">
        <f>F39</f>
        <v>Current Optimal ($MM)</v>
      </c>
      <c r="G54" s="534"/>
      <c r="H54" s="535"/>
      <c r="I54" s="191"/>
      <c r="J54" s="533" t="str">
        <f>J39</f>
        <v>10% reduction optimal ($)</v>
      </c>
      <c r="K54" s="534"/>
      <c r="L54" s="535"/>
      <c r="M54" s="191"/>
      <c r="N54" s="533" t="str">
        <f>N39</f>
        <v>20% reduction optimal ()</v>
      </c>
      <c r="O54" s="534"/>
      <c r="P54" s="535"/>
      <c r="R54" s="536"/>
      <c r="S54" s="537"/>
      <c r="T54" s="538"/>
    </row>
    <row r="55" spans="2:20" ht="45" x14ac:dyDescent="0.25">
      <c r="B55" s="182" t="s">
        <v>213</v>
      </c>
      <c r="C55" s="193" t="s">
        <v>223</v>
      </c>
      <c r="D55" s="193" t="s">
        <v>221</v>
      </c>
      <c r="E55" s="194"/>
      <c r="F55" s="217" t="s">
        <v>223</v>
      </c>
      <c r="G55" s="193" t="s">
        <v>216</v>
      </c>
      <c r="H55" s="195" t="s">
        <v>217</v>
      </c>
      <c r="I55" s="194"/>
      <c r="J55" s="217" t="s">
        <v>223</v>
      </c>
      <c r="K55" s="193" t="s">
        <v>216</v>
      </c>
      <c r="L55" s="195" t="s">
        <v>217</v>
      </c>
      <c r="M55" s="179"/>
      <c r="N55" s="217" t="s">
        <v>223</v>
      </c>
      <c r="O55" s="193" t="s">
        <v>216</v>
      </c>
      <c r="P55" s="195" t="s">
        <v>217</v>
      </c>
      <c r="R55" s="217" t="s">
        <v>223</v>
      </c>
      <c r="S55" s="193" t="s">
        <v>216</v>
      </c>
      <c r="T55" s="195" t="s">
        <v>217</v>
      </c>
    </row>
    <row r="56" spans="2:20" x14ac:dyDescent="0.25">
      <c r="B56" s="184" t="s">
        <v>155</v>
      </c>
      <c r="C56" s="196">
        <f t="shared" ref="C56:D62" si="26">C41/1000000</f>
        <v>0</v>
      </c>
      <c r="D56" s="197">
        <f t="shared" si="26"/>
        <v>0</v>
      </c>
      <c r="E56" s="198"/>
      <c r="F56" s="199">
        <f t="shared" ref="F56:F62" si="27">F41/1000000</f>
        <v>0</v>
      </c>
      <c r="G56" s="200">
        <f t="shared" ref="G56:G62" si="28">G41</f>
        <v>0</v>
      </c>
      <c r="H56" s="201">
        <f t="shared" ref="H56:H62" si="29">H41/1000000</f>
        <v>0</v>
      </c>
      <c r="I56" s="198"/>
      <c r="J56" s="199">
        <f t="shared" ref="J56:J62" si="30">J41/1000000</f>
        <v>0</v>
      </c>
      <c r="K56" s="200">
        <f t="shared" ref="K56:K62" si="31">K41</f>
        <v>0</v>
      </c>
      <c r="L56" s="201">
        <f t="shared" ref="L56:L62" si="32">L41/1000000</f>
        <v>0</v>
      </c>
      <c r="M56" s="179"/>
      <c r="N56" s="199">
        <f t="shared" ref="N56:N62" si="33">N41/1000000</f>
        <v>0</v>
      </c>
      <c r="O56" s="200">
        <f t="shared" ref="O56:O62" si="34">O41</f>
        <v>0</v>
      </c>
      <c r="P56" s="201">
        <f t="shared" ref="P56:P62" si="35">P41/1000000</f>
        <v>0</v>
      </c>
      <c r="Q56" s="179"/>
      <c r="R56" s="199">
        <f t="shared" ref="R56:R62" si="36">R41/1000000</f>
        <v>0</v>
      </c>
      <c r="S56" s="200">
        <f t="shared" ref="S56:S62" si="37">S41</f>
        <v>0</v>
      </c>
      <c r="T56" s="201">
        <f t="shared" ref="T56:T62" si="38">T41/1000000</f>
        <v>0</v>
      </c>
    </row>
    <row r="57" spans="2:20" x14ac:dyDescent="0.25">
      <c r="B57" s="186" t="s">
        <v>93</v>
      </c>
      <c r="C57" s="202">
        <f t="shared" si="26"/>
        <v>0</v>
      </c>
      <c r="D57" s="203">
        <f t="shared" si="26"/>
        <v>0</v>
      </c>
      <c r="E57" s="198"/>
      <c r="F57" s="204">
        <f t="shared" si="27"/>
        <v>0</v>
      </c>
      <c r="G57" s="205">
        <f t="shared" si="28"/>
        <v>0</v>
      </c>
      <c r="H57" s="206">
        <f t="shared" si="29"/>
        <v>0</v>
      </c>
      <c r="I57" s="198"/>
      <c r="J57" s="204">
        <f t="shared" si="30"/>
        <v>0</v>
      </c>
      <c r="K57" s="205">
        <f t="shared" si="31"/>
        <v>0</v>
      </c>
      <c r="L57" s="206">
        <f t="shared" si="32"/>
        <v>0</v>
      </c>
      <c r="M57" s="179"/>
      <c r="N57" s="204">
        <f t="shared" si="33"/>
        <v>0</v>
      </c>
      <c r="O57" s="205">
        <f t="shared" si="34"/>
        <v>0</v>
      </c>
      <c r="P57" s="206">
        <f t="shared" si="35"/>
        <v>0</v>
      </c>
      <c r="Q57" s="179"/>
      <c r="R57" s="204">
        <f t="shared" si="36"/>
        <v>0</v>
      </c>
      <c r="S57" s="200">
        <f t="shared" si="37"/>
        <v>0</v>
      </c>
      <c r="T57" s="206">
        <f t="shared" si="38"/>
        <v>0</v>
      </c>
    </row>
    <row r="58" spans="2:20" x14ac:dyDescent="0.25">
      <c r="B58" s="186" t="s">
        <v>164</v>
      </c>
      <c r="C58" s="202">
        <f t="shared" si="26"/>
        <v>0</v>
      </c>
      <c r="D58" s="203">
        <f t="shared" si="26"/>
        <v>0</v>
      </c>
      <c r="E58" s="198"/>
      <c r="F58" s="204">
        <f t="shared" si="27"/>
        <v>0</v>
      </c>
      <c r="G58" s="205">
        <f t="shared" si="28"/>
        <v>0</v>
      </c>
      <c r="H58" s="206">
        <f t="shared" si="29"/>
        <v>0</v>
      </c>
      <c r="I58" s="198"/>
      <c r="J58" s="204">
        <f t="shared" si="30"/>
        <v>0</v>
      </c>
      <c r="K58" s="205">
        <f t="shared" si="31"/>
        <v>0</v>
      </c>
      <c r="L58" s="206">
        <f t="shared" si="32"/>
        <v>0</v>
      </c>
      <c r="M58" s="179"/>
      <c r="N58" s="204">
        <f t="shared" si="33"/>
        <v>0</v>
      </c>
      <c r="O58" s="205">
        <f t="shared" si="34"/>
        <v>0</v>
      </c>
      <c r="P58" s="206">
        <f t="shared" si="35"/>
        <v>0</v>
      </c>
      <c r="Q58" s="179"/>
      <c r="R58" s="204">
        <f t="shared" si="36"/>
        <v>0</v>
      </c>
      <c r="S58" s="200">
        <f t="shared" si="37"/>
        <v>0</v>
      </c>
      <c r="T58" s="206">
        <f t="shared" si="38"/>
        <v>0</v>
      </c>
    </row>
    <row r="59" spans="2:20" x14ac:dyDescent="0.25">
      <c r="B59" s="186" t="s">
        <v>165</v>
      </c>
      <c r="C59" s="202">
        <f t="shared" si="26"/>
        <v>0</v>
      </c>
      <c r="D59" s="203">
        <f t="shared" si="26"/>
        <v>0</v>
      </c>
      <c r="E59" s="198"/>
      <c r="F59" s="204">
        <f t="shared" si="27"/>
        <v>0</v>
      </c>
      <c r="G59" s="205">
        <f t="shared" si="28"/>
        <v>0</v>
      </c>
      <c r="H59" s="206">
        <f t="shared" si="29"/>
        <v>0</v>
      </c>
      <c r="I59" s="198"/>
      <c r="J59" s="204">
        <f t="shared" si="30"/>
        <v>0</v>
      </c>
      <c r="K59" s="205">
        <f t="shared" si="31"/>
        <v>0</v>
      </c>
      <c r="L59" s="206">
        <f t="shared" si="32"/>
        <v>0</v>
      </c>
      <c r="M59" s="179"/>
      <c r="N59" s="204">
        <f t="shared" si="33"/>
        <v>0</v>
      </c>
      <c r="O59" s="205">
        <f t="shared" si="34"/>
        <v>0</v>
      </c>
      <c r="P59" s="206">
        <f t="shared" si="35"/>
        <v>0</v>
      </c>
      <c r="Q59" s="179"/>
      <c r="R59" s="204">
        <f t="shared" si="36"/>
        <v>0</v>
      </c>
      <c r="S59" s="200">
        <f t="shared" si="37"/>
        <v>0</v>
      </c>
      <c r="T59" s="206">
        <f t="shared" si="38"/>
        <v>0</v>
      </c>
    </row>
    <row r="60" spans="2:20" x14ac:dyDescent="0.25">
      <c r="B60" s="186" t="s">
        <v>167</v>
      </c>
      <c r="C60" s="202">
        <f t="shared" si="26"/>
        <v>0</v>
      </c>
      <c r="D60" s="203">
        <f t="shared" si="26"/>
        <v>0</v>
      </c>
      <c r="E60" s="198"/>
      <c r="F60" s="204">
        <f t="shared" si="27"/>
        <v>0</v>
      </c>
      <c r="G60" s="205">
        <f t="shared" si="28"/>
        <v>0</v>
      </c>
      <c r="H60" s="206">
        <f t="shared" si="29"/>
        <v>0</v>
      </c>
      <c r="I60" s="198"/>
      <c r="J60" s="204">
        <f t="shared" si="30"/>
        <v>0</v>
      </c>
      <c r="K60" s="205">
        <f t="shared" si="31"/>
        <v>0</v>
      </c>
      <c r="L60" s="206">
        <f t="shared" si="32"/>
        <v>0</v>
      </c>
      <c r="M60" s="179"/>
      <c r="N60" s="204">
        <f t="shared" si="33"/>
        <v>0</v>
      </c>
      <c r="O60" s="205">
        <f t="shared" si="34"/>
        <v>0</v>
      </c>
      <c r="P60" s="206">
        <f t="shared" si="35"/>
        <v>0</v>
      </c>
      <c r="Q60" s="179"/>
      <c r="R60" s="204">
        <f t="shared" si="36"/>
        <v>0</v>
      </c>
      <c r="S60" s="200">
        <f t="shared" si="37"/>
        <v>0</v>
      </c>
      <c r="T60" s="206">
        <f t="shared" si="38"/>
        <v>0</v>
      </c>
    </row>
    <row r="61" spans="2:20" x14ac:dyDescent="0.25">
      <c r="B61" s="186" t="s">
        <v>166</v>
      </c>
      <c r="C61" s="202">
        <f t="shared" si="26"/>
        <v>0</v>
      </c>
      <c r="D61" s="203">
        <f t="shared" si="26"/>
        <v>0</v>
      </c>
      <c r="E61" s="198"/>
      <c r="F61" s="204">
        <f t="shared" si="27"/>
        <v>0</v>
      </c>
      <c r="G61" s="205">
        <f t="shared" si="28"/>
        <v>0</v>
      </c>
      <c r="H61" s="206">
        <f t="shared" si="29"/>
        <v>0</v>
      </c>
      <c r="I61" s="198"/>
      <c r="J61" s="204">
        <f t="shared" si="30"/>
        <v>0</v>
      </c>
      <c r="K61" s="205">
        <f t="shared" si="31"/>
        <v>0</v>
      </c>
      <c r="L61" s="206">
        <f t="shared" si="32"/>
        <v>0</v>
      </c>
      <c r="M61" s="179"/>
      <c r="N61" s="204">
        <f t="shared" si="33"/>
        <v>0</v>
      </c>
      <c r="O61" s="205">
        <f t="shared" si="34"/>
        <v>0</v>
      </c>
      <c r="P61" s="206">
        <f t="shared" si="35"/>
        <v>0</v>
      </c>
      <c r="Q61" s="179"/>
      <c r="R61" s="204">
        <f t="shared" si="36"/>
        <v>0</v>
      </c>
      <c r="S61" s="200">
        <f t="shared" si="37"/>
        <v>0</v>
      </c>
      <c r="T61" s="206">
        <f t="shared" si="38"/>
        <v>0</v>
      </c>
    </row>
    <row r="62" spans="2:20" x14ac:dyDescent="0.25">
      <c r="B62" s="186" t="s">
        <v>162</v>
      </c>
      <c r="C62" s="202">
        <f t="shared" si="26"/>
        <v>0</v>
      </c>
      <c r="D62" s="203">
        <f t="shared" si="26"/>
        <v>0</v>
      </c>
      <c r="E62" s="198"/>
      <c r="F62" s="204">
        <f t="shared" si="27"/>
        <v>0</v>
      </c>
      <c r="G62" s="205">
        <f t="shared" si="28"/>
        <v>0</v>
      </c>
      <c r="H62" s="206">
        <f t="shared" si="29"/>
        <v>0</v>
      </c>
      <c r="I62" s="198"/>
      <c r="J62" s="204">
        <f t="shared" si="30"/>
        <v>0</v>
      </c>
      <c r="K62" s="205">
        <f t="shared" si="31"/>
        <v>0</v>
      </c>
      <c r="L62" s="206">
        <f t="shared" si="32"/>
        <v>0</v>
      </c>
      <c r="M62" s="179"/>
      <c r="N62" s="204">
        <f t="shared" si="33"/>
        <v>0</v>
      </c>
      <c r="O62" s="205">
        <f t="shared" si="34"/>
        <v>0</v>
      </c>
      <c r="P62" s="206">
        <f t="shared" si="35"/>
        <v>0</v>
      </c>
      <c r="Q62" s="179"/>
      <c r="R62" s="204">
        <f t="shared" si="36"/>
        <v>0</v>
      </c>
      <c r="S62" s="200">
        <f t="shared" si="37"/>
        <v>0</v>
      </c>
      <c r="T62" s="206">
        <f t="shared" si="38"/>
        <v>0</v>
      </c>
    </row>
    <row r="63" spans="2:20" x14ac:dyDescent="0.25">
      <c r="B63" s="186" t="s">
        <v>218</v>
      </c>
      <c r="C63" s="202">
        <f t="shared" ref="C63:D64" si="39">C49/1000000</f>
        <v>0</v>
      </c>
      <c r="D63" s="203">
        <f t="shared" si="39"/>
        <v>0</v>
      </c>
      <c r="E63" s="198"/>
      <c r="F63" s="204">
        <f t="shared" ref="F63:F64" si="40">F49/1000000</f>
        <v>0</v>
      </c>
      <c r="G63" s="205">
        <f t="shared" ref="G63" si="41">G49</f>
        <v>0</v>
      </c>
      <c r="H63" s="206">
        <f t="shared" ref="H63:H64" si="42">H49/1000000</f>
        <v>0</v>
      </c>
      <c r="I63" s="198"/>
      <c r="J63" s="204">
        <f t="shared" ref="J63:J64" si="43">J49/1000000</f>
        <v>0</v>
      </c>
      <c r="K63" s="205">
        <f t="shared" ref="K63" si="44">K49</f>
        <v>0</v>
      </c>
      <c r="L63" s="206">
        <f t="shared" ref="L63:L64" si="45">L49/1000000</f>
        <v>0</v>
      </c>
      <c r="M63" s="179"/>
      <c r="N63" s="204">
        <f t="shared" ref="N63:N64" si="46">N49/1000000</f>
        <v>0</v>
      </c>
      <c r="O63" s="205">
        <f t="shared" ref="O63" si="47">O49</f>
        <v>0</v>
      </c>
      <c r="P63" s="206">
        <f t="shared" ref="P63:P64" si="48">P49/1000000</f>
        <v>0</v>
      </c>
      <c r="Q63" s="179"/>
      <c r="R63" s="204">
        <f t="shared" ref="R63:R64" si="49">R49/1000000</f>
        <v>0</v>
      </c>
      <c r="S63" s="200">
        <f t="shared" ref="S63" si="50">S49</f>
        <v>0</v>
      </c>
      <c r="T63" s="206">
        <f t="shared" ref="T63:T64" si="51">T49/1000000</f>
        <v>0</v>
      </c>
    </row>
    <row r="64" spans="2:20" x14ac:dyDescent="0.25">
      <c r="B64" s="207" t="s">
        <v>219</v>
      </c>
      <c r="C64" s="208">
        <f t="shared" si="39"/>
        <v>0</v>
      </c>
      <c r="D64" s="209">
        <f t="shared" si="39"/>
        <v>0</v>
      </c>
      <c r="E64" s="210"/>
      <c r="F64" s="211">
        <f t="shared" si="40"/>
        <v>0</v>
      </c>
      <c r="G64" s="212">
        <f>G50</f>
        <v>-1</v>
      </c>
      <c r="H64" s="213">
        <f t="shared" si="42"/>
        <v>0</v>
      </c>
      <c r="I64" s="210"/>
      <c r="J64" s="211">
        <f t="shared" si="43"/>
        <v>0</v>
      </c>
      <c r="K64" s="212">
        <f>K50</f>
        <v>-1</v>
      </c>
      <c r="L64" s="213">
        <f t="shared" si="45"/>
        <v>0</v>
      </c>
      <c r="M64" s="210"/>
      <c r="N64" s="211">
        <f t="shared" si="46"/>
        <v>0</v>
      </c>
      <c r="O64" s="212">
        <f>O50</f>
        <v>-1</v>
      </c>
      <c r="P64" s="213">
        <f t="shared" si="48"/>
        <v>0</v>
      </c>
      <c r="R64" s="211">
        <f t="shared" si="49"/>
        <v>0</v>
      </c>
      <c r="S64" s="212" t="e">
        <v>#REF!</v>
      </c>
      <c r="T64" s="213">
        <f t="shared" si="51"/>
        <v>0</v>
      </c>
    </row>
    <row r="65" spans="2:20" x14ac:dyDescent="0.25">
      <c r="B65" s="207" t="s">
        <v>222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175"/>
      <c r="J67" s="175"/>
      <c r="K67" s="175"/>
      <c r="L67" s="177" t="e">
        <f>L66/$D$64</f>
        <v>#DIV/0!</v>
      </c>
      <c r="M67" s="175"/>
      <c r="N67" s="175"/>
      <c r="O67" s="175"/>
      <c r="P67" s="177" t="e">
        <f>P66/$D$64</f>
        <v>#DIV/0!</v>
      </c>
      <c r="Q67" s="175"/>
      <c r="R67" s="175"/>
      <c r="S67" s="175"/>
    </row>
  </sheetData>
  <mergeCells count="24"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  <mergeCell ref="F4:P4"/>
    <mergeCell ref="B36:T37"/>
    <mergeCell ref="F39:H39"/>
    <mergeCell ref="J39:L39"/>
    <mergeCell ref="N39:P39"/>
    <mergeCell ref="R39:T39"/>
    <mergeCell ref="C20:D20"/>
    <mergeCell ref="C54:D54"/>
    <mergeCell ref="F54:H54"/>
    <mergeCell ref="J54:L54"/>
    <mergeCell ref="N54:P54"/>
    <mergeCell ref="R54:T54"/>
  </mergeCells>
  <conditionalFormatting sqref="G22:G30">
    <cfRule type="cellIs" dxfId="51" priority="17" operator="lessThan">
      <formula>0</formula>
    </cfRule>
    <cfRule type="cellIs" dxfId="50" priority="18" operator="greaterThan">
      <formula>0</formula>
    </cfRule>
  </conditionalFormatting>
  <conditionalFormatting sqref="K22:K30">
    <cfRule type="cellIs" dxfId="49" priority="15" operator="lessThan">
      <formula>0</formula>
    </cfRule>
    <cfRule type="cellIs" dxfId="48" priority="16" operator="greaterThan">
      <formula>0</formula>
    </cfRule>
  </conditionalFormatting>
  <conditionalFormatting sqref="O22:O30">
    <cfRule type="cellIs" dxfId="47" priority="13" operator="lessThan">
      <formula>0</formula>
    </cfRule>
    <cfRule type="cellIs" dxfId="46" priority="14" operator="greaterThan">
      <formula>0</formula>
    </cfRule>
  </conditionalFormatting>
  <conditionalFormatting sqref="S22:S30">
    <cfRule type="cellIs" dxfId="45" priority="11" operator="lessThan">
      <formula>0</formula>
    </cfRule>
    <cfRule type="cellIs" dxfId="44" priority="12" operator="greaterThan">
      <formula>0</formula>
    </cfRule>
  </conditionalFormatting>
  <conditionalFormatting sqref="G56:G63">
    <cfRule type="cellIs" dxfId="43" priority="9" operator="lessThan">
      <formula>0</formula>
    </cfRule>
    <cfRule type="cellIs" dxfId="42" priority="10" operator="greaterThan">
      <formula>0</formula>
    </cfRule>
  </conditionalFormatting>
  <conditionalFormatting sqref="K56:K63">
    <cfRule type="cellIs" dxfId="41" priority="7" operator="lessThan">
      <formula>0</formula>
    </cfRule>
    <cfRule type="cellIs" dxfId="40" priority="8" operator="greaterThan">
      <formula>0</formula>
    </cfRule>
  </conditionalFormatting>
  <conditionalFormatting sqref="O56:O63">
    <cfRule type="cellIs" dxfId="39" priority="5" operator="lessThan">
      <formula>0</formula>
    </cfRule>
    <cfRule type="cellIs" dxfId="38" priority="6" operator="greaterThan">
      <formula>0</formula>
    </cfRule>
  </conditionalFormatting>
  <conditionalFormatting sqref="S56:S63">
    <cfRule type="cellIs" dxfId="37" priority="3" operator="lessThan">
      <formula>0</formula>
    </cfRule>
    <cfRule type="cellIs" dxfId="36" priority="4" operator="greaterThan">
      <formula>0</formula>
    </cfRule>
  </conditionalFormatting>
  <conditionalFormatting sqref="W22:W30">
    <cfRule type="cellIs" dxfId="35" priority="1" operator="lessThan">
      <formula>0</formula>
    </cfRule>
    <cfRule type="cellIs" dxfId="34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C7" sqref="C7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10204392</v>
      </c>
      <c r="C3" s="180">
        <f>SUM(D9:D13)</f>
        <v>50133606.969785728</v>
      </c>
    </row>
    <row r="4" spans="1:28" x14ac:dyDescent="0.25">
      <c r="F4" s="539" t="s">
        <v>251</v>
      </c>
      <c r="G4" s="539"/>
      <c r="H4" s="539"/>
      <c r="I4" s="539"/>
      <c r="J4" s="539"/>
      <c r="K4" s="539"/>
      <c r="L4" s="539"/>
      <c r="M4" s="539"/>
      <c r="N4" s="539"/>
      <c r="O4" s="539"/>
      <c r="P4" s="539"/>
    </row>
    <row r="5" spans="1:28" x14ac:dyDescent="0.25">
      <c r="F5" s="533" t="s">
        <v>273</v>
      </c>
      <c r="G5" s="534"/>
      <c r="H5" s="535"/>
      <c r="I5" s="181"/>
      <c r="J5" s="533" t="s">
        <v>279</v>
      </c>
      <c r="K5" s="534"/>
      <c r="L5" s="535"/>
      <c r="M5" s="181"/>
      <c r="N5" s="533" t="s">
        <v>280</v>
      </c>
      <c r="O5" s="534"/>
      <c r="P5" s="535"/>
      <c r="R5" s="533" t="s">
        <v>281</v>
      </c>
      <c r="S5" s="534"/>
      <c r="T5" s="535"/>
      <c r="V5" s="533" t="s">
        <v>282</v>
      </c>
      <c r="W5" s="534"/>
      <c r="X5" s="535"/>
      <c r="Z5" s="97" t="s">
        <v>250</v>
      </c>
    </row>
    <row r="6" spans="1:28" ht="38.1" customHeight="1" x14ac:dyDescent="0.25">
      <c r="B6" s="182" t="s">
        <v>213</v>
      </c>
      <c r="C6" s="97" t="s">
        <v>214</v>
      </c>
      <c r="D6" s="183" t="s">
        <v>215</v>
      </c>
      <c r="E6" s="183"/>
      <c r="F6" s="183" t="s">
        <v>223</v>
      </c>
      <c r="G6" s="183" t="s">
        <v>216</v>
      </c>
      <c r="H6" s="183" t="s">
        <v>217</v>
      </c>
      <c r="I6" s="183"/>
      <c r="J6" s="183" t="s">
        <v>223</v>
      </c>
      <c r="K6" s="183" t="s">
        <v>216</v>
      </c>
      <c r="L6" s="183" t="s">
        <v>217</v>
      </c>
      <c r="N6" s="183" t="s">
        <v>223</v>
      </c>
      <c r="O6" s="183" t="s">
        <v>216</v>
      </c>
      <c r="P6" s="183" t="s">
        <v>217</v>
      </c>
      <c r="R6" s="183" t="s">
        <v>223</v>
      </c>
      <c r="S6" s="183" t="s">
        <v>216</v>
      </c>
      <c r="T6" s="183" t="s">
        <v>217</v>
      </c>
      <c r="V6" s="183" t="s">
        <v>223</v>
      </c>
      <c r="W6" s="183" t="s">
        <v>216</v>
      </c>
      <c r="X6" s="183" t="s">
        <v>217</v>
      </c>
      <c r="Z6" s="183" t="s">
        <v>223</v>
      </c>
      <c r="AA6" s="183" t="s">
        <v>216</v>
      </c>
      <c r="AB6" s="183" t="s">
        <v>217</v>
      </c>
    </row>
    <row r="7" spans="1:28" x14ac:dyDescent="0.25">
      <c r="A7" s="180"/>
      <c r="B7" s="184" t="str">
        <f>VAC_Optim_Scenario!B19</f>
        <v>HCC In Office</v>
      </c>
      <c r="C7" s="185">
        <v>1700000</v>
      </c>
      <c r="D7" s="185">
        <v>11948893.689698888</v>
      </c>
      <c r="E7" s="185"/>
      <c r="F7" s="185">
        <v>1500000</v>
      </c>
      <c r="G7" s="177">
        <v>-0.11764705882352899</v>
      </c>
      <c r="H7" s="185">
        <v>10876906.2138291</v>
      </c>
      <c r="I7" s="185"/>
      <c r="J7" s="185">
        <v>1500000</v>
      </c>
      <c r="K7" s="177">
        <v>-0.11764705882352899</v>
      </c>
      <c r="L7" s="185">
        <v>10876906.2138291</v>
      </c>
      <c r="N7" s="185">
        <v>1500000</v>
      </c>
      <c r="O7" s="177">
        <v>-0.11764705882352899</v>
      </c>
      <c r="P7" s="185">
        <v>10876906.2138291</v>
      </c>
      <c r="R7" s="185">
        <v>1500000</v>
      </c>
      <c r="S7" s="177">
        <v>-0.11764705882352899</v>
      </c>
      <c r="T7" s="185">
        <v>10876906.2138291</v>
      </c>
      <c r="V7" s="185">
        <v>1999999.9999999001</v>
      </c>
      <c r="W7" s="177">
        <v>0.17647058823523601</v>
      </c>
      <c r="X7" s="185">
        <v>13424538.4613891</v>
      </c>
      <c r="Z7" s="185">
        <f>VAC_Optim_Scenario!$H49</f>
        <v>2277854.3418472391</v>
      </c>
      <c r="AA7" s="177">
        <f>(Z7-$C7)/$C7</f>
        <v>0.33991431873367006</v>
      </c>
      <c r="AB7" s="185">
        <f>VAC_Optim_Scenario!$J49</f>
        <v>9115776.5379161369</v>
      </c>
    </row>
    <row r="8" spans="1:28" x14ac:dyDescent="0.25">
      <c r="A8" s="180"/>
      <c r="B8" s="184" t="str">
        <f>VAC_Optim_Scenario!B20</f>
        <v>HCP MCM</v>
      </c>
      <c r="C8" s="185">
        <v>5743880</v>
      </c>
      <c r="D8" s="185">
        <v>80807593.323891282</v>
      </c>
      <c r="E8" s="185"/>
      <c r="F8" s="185">
        <v>5717757.3654969297</v>
      </c>
      <c r="G8" s="177">
        <v>-4.5479074254800803E-3</v>
      </c>
      <c r="H8" s="185">
        <v>80610921.475562394</v>
      </c>
      <c r="I8" s="185"/>
      <c r="J8" s="185">
        <v>5383977.6643618997</v>
      </c>
      <c r="K8" s="177">
        <v>-6.26584008785184E-2</v>
      </c>
      <c r="L8" s="185">
        <v>78003621.173606202</v>
      </c>
      <c r="N8" s="185">
        <v>4239909.8</v>
      </c>
      <c r="O8" s="177">
        <v>-0.26183872225742899</v>
      </c>
      <c r="P8" s="185">
        <v>67599734.874740198</v>
      </c>
      <c r="R8" s="185">
        <v>6459284.8343797699</v>
      </c>
      <c r="S8" s="177">
        <v>0.12455079743653701</v>
      </c>
      <c r="T8" s="185">
        <v>85805345.146057501</v>
      </c>
      <c r="V8" s="185">
        <v>6700000</v>
      </c>
      <c r="W8" s="177">
        <v>0.16645890930869001</v>
      </c>
      <c r="X8" s="185">
        <v>87328998.526596501</v>
      </c>
      <c r="Z8" s="185">
        <f>VAC_Optim_Scenario!$H50</f>
        <v>13941734.60841202</v>
      </c>
      <c r="AA8" s="177">
        <f t="shared" ref="AA8:AA15" si="0">(Z8-$C8)/$C8</f>
        <v>1.427232917193956</v>
      </c>
      <c r="AB8" s="185">
        <f>VAC_Optim_Scenario!$J50</f>
        <v>104466562.02528025</v>
      </c>
    </row>
    <row r="9" spans="1:28" x14ac:dyDescent="0.25">
      <c r="A9" s="180"/>
      <c r="B9" s="184" t="str">
        <f>VAC_Optim_Scenario!B21</f>
        <v>HCC Social</v>
      </c>
      <c r="C9" s="185">
        <v>1700000</v>
      </c>
      <c r="D9" s="185">
        <v>13043399.570972564</v>
      </c>
      <c r="E9" s="185"/>
      <c r="F9" s="185">
        <v>1540000</v>
      </c>
      <c r="G9" s="177">
        <v>-9.41176470588235E-2</v>
      </c>
      <c r="H9" s="185">
        <v>12292320.588962801</v>
      </c>
      <c r="I9" s="185"/>
      <c r="J9" s="185">
        <v>1540000</v>
      </c>
      <c r="K9" s="177">
        <v>-9.41176470588235E-2</v>
      </c>
      <c r="L9" s="185">
        <v>12292320.588962801</v>
      </c>
      <c r="N9" s="185">
        <v>1540000</v>
      </c>
      <c r="O9" s="177">
        <v>-9.41176470588235E-2</v>
      </c>
      <c r="P9" s="185">
        <v>12292320.588962801</v>
      </c>
      <c r="R9" s="185">
        <v>1540000</v>
      </c>
      <c r="S9" s="177">
        <v>-9.41176470588235E-2</v>
      </c>
      <c r="T9" s="185">
        <v>12292320.588962801</v>
      </c>
      <c r="V9" s="185">
        <v>2276766.2000001301</v>
      </c>
      <c r="W9" s="177">
        <v>0.33927423529419198</v>
      </c>
      <c r="X9" s="185">
        <v>15542200.4946498</v>
      </c>
      <c r="Z9" s="185">
        <f>VAC_Optim_Scenario!$H51</f>
        <v>5619000</v>
      </c>
      <c r="AA9" s="177">
        <f t="shared" si="0"/>
        <v>2.3052941176470587</v>
      </c>
      <c r="AB9" s="185">
        <f>VAC_Optim_Scenario!$J51</f>
        <v>31117818.124337628</v>
      </c>
    </row>
    <row r="10" spans="1:28" x14ac:dyDescent="0.25">
      <c r="A10" s="180"/>
      <c r="B10" s="184" t="str">
        <f>VAC_Optim_Scenario!B22</f>
        <v>HCC Online Video</v>
      </c>
      <c r="C10" s="185">
        <v>500000</v>
      </c>
      <c r="D10" s="185">
        <v>4153892.1957701114</v>
      </c>
      <c r="E10" s="185"/>
      <c r="F10" s="185">
        <v>522669.64779516403</v>
      </c>
      <c r="G10" s="177">
        <v>4.5339295590327698E-2</v>
      </c>
      <c r="H10" s="185">
        <v>4325697.6449485198</v>
      </c>
      <c r="I10" s="185"/>
      <c r="J10" s="185">
        <v>400000</v>
      </c>
      <c r="K10" s="177">
        <v>-0.2</v>
      </c>
      <c r="L10" s="185">
        <v>3379679.64757735</v>
      </c>
      <c r="N10" s="185">
        <v>400000</v>
      </c>
      <c r="O10" s="177">
        <v>-0.2</v>
      </c>
      <c r="P10" s="185">
        <v>3379679.64757735</v>
      </c>
      <c r="R10" s="185">
        <v>958286.18466166104</v>
      </c>
      <c r="S10" s="177">
        <v>0.91657236932332198</v>
      </c>
      <c r="T10" s="185">
        <v>7377156.6047256002</v>
      </c>
      <c r="V10" s="185">
        <v>1199999.99999998</v>
      </c>
      <c r="W10" s="177">
        <v>1.3999999999999599</v>
      </c>
      <c r="X10" s="185">
        <v>8880915.4732986707</v>
      </c>
      <c r="Z10" s="185">
        <f>VAC_Optim_Scenario!$H52</f>
        <v>431635.30632567109</v>
      </c>
      <c r="AA10" s="177">
        <f t="shared" si="0"/>
        <v>-0.13672938734865783</v>
      </c>
      <c r="AB10" s="185">
        <f>VAC_Optim_Scenario!$J52</f>
        <v>2813277.7806743854</v>
      </c>
    </row>
    <row r="11" spans="1:28" x14ac:dyDescent="0.25">
      <c r="A11" s="180"/>
      <c r="B11" s="184" t="str">
        <f>VAC_Optim_Scenario!B23</f>
        <v>HCC Streaming Video</v>
      </c>
      <c r="C11" s="185">
        <v>6089896</v>
      </c>
      <c r="D11" s="185">
        <v>20251248.243479468</v>
      </c>
      <c r="E11" s="185"/>
      <c r="F11" s="185">
        <v>6089895.3063839599</v>
      </c>
      <c r="G11" s="177">
        <v>-1.13896204016787E-7</v>
      </c>
      <c r="H11" s="185">
        <v>20251246.628901199</v>
      </c>
      <c r="I11" s="185"/>
      <c r="J11" s="185">
        <v>6089895.3623382999</v>
      </c>
      <c r="K11" s="177">
        <v>-1.04708142668715E-7</v>
      </c>
      <c r="L11" s="185">
        <v>20251246.759149998</v>
      </c>
      <c r="N11" s="185">
        <v>6089895</v>
      </c>
      <c r="O11" s="177">
        <v>-1.6420641666130301E-7</v>
      </c>
      <c r="P11" s="185">
        <v>20251245.915709998</v>
      </c>
      <c r="R11" s="185">
        <v>6089895.4336254699</v>
      </c>
      <c r="S11" s="177">
        <v>-9.3002332838039298E-8</v>
      </c>
      <c r="T11" s="185">
        <v>20251246.925090101</v>
      </c>
      <c r="V11" s="185">
        <v>6089895</v>
      </c>
      <c r="W11" s="177">
        <v>-1.6420641666130301E-7</v>
      </c>
      <c r="X11" s="185">
        <v>20251245.915709998</v>
      </c>
      <c r="Z11" s="185">
        <f>VAC_Optim_Scenario!$H53</f>
        <v>18540375</v>
      </c>
      <c r="AA11" s="177">
        <f t="shared" si="0"/>
        <v>2.0444485423067982</v>
      </c>
      <c r="AB11" s="185">
        <f>VAC_Optim_Scenario!$J53</f>
        <v>70520938.754477054</v>
      </c>
    </row>
    <row r="12" spans="1:28" x14ac:dyDescent="0.25">
      <c r="A12" s="180"/>
      <c r="B12" s="184" t="str">
        <f>VAC_Optim_Scenario!B24</f>
        <v>HCC Display</v>
      </c>
      <c r="C12" s="185">
        <v>1314496</v>
      </c>
      <c r="D12" s="185">
        <v>12154827.131415794</v>
      </c>
      <c r="E12" s="185"/>
      <c r="F12" s="185">
        <v>1486857.76053572</v>
      </c>
      <c r="G12" s="177">
        <v>0.13112383798483901</v>
      </c>
      <c r="H12" s="185">
        <v>13483325.2911082</v>
      </c>
      <c r="I12" s="185"/>
      <c r="J12" s="185">
        <v>1204199.7439526799</v>
      </c>
      <c r="K12" s="177">
        <v>-8.3907639161561798E-2</v>
      </c>
      <c r="L12" s="185">
        <v>11275357.081743199</v>
      </c>
      <c r="N12" s="185">
        <v>1051596.8</v>
      </c>
      <c r="O12" s="177">
        <v>-0.2</v>
      </c>
      <c r="P12" s="185">
        <v>10019492.349713501</v>
      </c>
      <c r="R12" s="185">
        <v>1900000</v>
      </c>
      <c r="S12" s="177">
        <v>0.44542090656799299</v>
      </c>
      <c r="T12" s="185">
        <v>16451797.4520192</v>
      </c>
      <c r="V12" s="185">
        <v>1899999.99999999</v>
      </c>
      <c r="W12" s="177">
        <v>0.445420906567982</v>
      </c>
      <c r="X12" s="185">
        <v>16451797.4520192</v>
      </c>
      <c r="Z12" s="185">
        <f>VAC_Optim_Scenario!$H54</f>
        <v>4945072.1100000003</v>
      </c>
      <c r="AA12" s="177">
        <f t="shared" si="0"/>
        <v>2.7619529538317349</v>
      </c>
      <c r="AB12" s="185">
        <f>VAC_Optim_Scenario!$J54</f>
        <v>46266832.660476312</v>
      </c>
    </row>
    <row r="13" spans="1:28" x14ac:dyDescent="0.25">
      <c r="A13" s="180"/>
      <c r="B13" s="184" t="str">
        <f>VAC_Optim_Scenario!B25</f>
        <v>HCC Paid Search</v>
      </c>
      <c r="C13" s="185">
        <v>600000</v>
      </c>
      <c r="D13" s="185">
        <v>530239.82814778807</v>
      </c>
      <c r="E13" s="185"/>
      <c r="F13" s="185">
        <v>420000</v>
      </c>
      <c r="G13" s="177">
        <v>-0.3</v>
      </c>
      <c r="H13" s="185">
        <v>413086.47325189703</v>
      </c>
      <c r="I13" s="185"/>
      <c r="J13" s="185">
        <v>420000</v>
      </c>
      <c r="K13" s="177">
        <v>-0.3</v>
      </c>
      <c r="L13" s="185">
        <v>413086.47325189703</v>
      </c>
      <c r="N13" s="185">
        <v>420000</v>
      </c>
      <c r="O13" s="177">
        <v>-0.3</v>
      </c>
      <c r="P13" s="185">
        <v>413086.47325189703</v>
      </c>
      <c r="R13" s="185">
        <v>420000</v>
      </c>
      <c r="S13" s="177">
        <v>-0.3</v>
      </c>
      <c r="T13" s="185">
        <v>413086.47325189703</v>
      </c>
      <c r="V13" s="185">
        <v>420000</v>
      </c>
      <c r="W13" s="177">
        <v>-0.3</v>
      </c>
      <c r="X13" s="185">
        <v>413086.47325189703</v>
      </c>
      <c r="Z13" s="185">
        <f>VAC_Optim_Scenario!$H55</f>
        <v>1034121</v>
      </c>
      <c r="AA13" s="177">
        <f t="shared" si="0"/>
        <v>0.72353500000000004</v>
      </c>
      <c r="AB13" s="185">
        <f>VAC_Optim_Scenario!$J55</f>
        <v>63713864.20454748</v>
      </c>
    </row>
    <row r="14" spans="1:28" x14ac:dyDescent="0.25">
      <c r="A14" s="180"/>
      <c r="B14" s="184" t="str">
        <f>VAC_Optim_Scenario!B26</f>
        <v>HCC Audio</v>
      </c>
      <c r="C14" s="185">
        <v>1500000</v>
      </c>
      <c r="D14" s="185">
        <v>20616887.753370155</v>
      </c>
      <c r="E14" s="185"/>
      <c r="F14" s="185">
        <v>1871092.8703598899</v>
      </c>
      <c r="G14" s="177">
        <v>0.24739524690659501</v>
      </c>
      <c r="H14" s="185">
        <v>23541035.236405302</v>
      </c>
      <c r="I14" s="185"/>
      <c r="J14" s="185">
        <v>1578683.73716889</v>
      </c>
      <c r="K14" s="177">
        <v>5.2455824779258003E-2</v>
      </c>
      <c r="L14" s="185">
        <v>21259127.279598299</v>
      </c>
      <c r="N14" s="185">
        <v>1500000</v>
      </c>
      <c r="O14" s="177">
        <v>0</v>
      </c>
      <c r="P14" s="185">
        <v>20616887.753370199</v>
      </c>
      <c r="R14" s="185">
        <v>2000000</v>
      </c>
      <c r="S14" s="177">
        <v>0.33333333333333298</v>
      </c>
      <c r="T14" s="185">
        <v>24501143.189844601</v>
      </c>
      <c r="V14" s="185">
        <v>2000000</v>
      </c>
      <c r="W14" s="177">
        <v>0.33333333333333298</v>
      </c>
      <c r="X14" s="185">
        <v>24501143.189844601</v>
      </c>
      <c r="Z14" s="185">
        <f>VAC_Optim_Scenario!$H56</f>
        <v>4311145.2299999995</v>
      </c>
      <c r="AA14" s="177">
        <f t="shared" si="0"/>
        <v>1.8740968199999997</v>
      </c>
      <c r="AB14" s="185">
        <f>VAC_Optim_Scenario!$J56</f>
        <v>30823390.573985521</v>
      </c>
    </row>
    <row r="15" spans="1:28" x14ac:dyDescent="0.25">
      <c r="A15" s="180"/>
      <c r="B15" s="184" t="str">
        <f>VAC_Optim_Scenario!B27</f>
        <v>HCC TV</v>
      </c>
      <c r="C15" s="185">
        <v>15235607.800000001</v>
      </c>
      <c r="D15" s="185">
        <v>62768371.376101136</v>
      </c>
      <c r="E15" s="185"/>
      <c r="F15" s="185">
        <v>15235607.049428299</v>
      </c>
      <c r="G15" s="177">
        <v>-4.92643077799188E-8</v>
      </c>
      <c r="H15" s="185">
        <v>62768369.211532898</v>
      </c>
      <c r="I15" s="185"/>
      <c r="J15" s="185">
        <v>15235607.092178199</v>
      </c>
      <c r="K15" s="177">
        <v>-4.6458387412666901E-8</v>
      </c>
      <c r="L15" s="185">
        <v>62768369.334818996</v>
      </c>
      <c r="N15" s="185">
        <v>15235606.800000001</v>
      </c>
      <c r="O15" s="177">
        <v>-6.5635714250927397E-8</v>
      </c>
      <c r="P15" s="185">
        <v>62768368.492208302</v>
      </c>
      <c r="R15" s="185">
        <v>15235607.547333101</v>
      </c>
      <c r="S15" s="177">
        <v>-1.6583972689274701E-8</v>
      </c>
      <c r="T15" s="185">
        <v>62768370.647436902</v>
      </c>
      <c r="V15" s="185">
        <v>15235606.800000001</v>
      </c>
      <c r="W15" s="177">
        <v>-6.5635714250927397E-8</v>
      </c>
      <c r="X15" s="185">
        <v>62768368.492208302</v>
      </c>
      <c r="Z15" s="185">
        <f>VAC_Optim_Scenario!$H57</f>
        <v>26372275.820726354</v>
      </c>
      <c r="AA15" s="177">
        <f t="shared" si="0"/>
        <v>0.7309631599158356</v>
      </c>
      <c r="AB15" s="185">
        <f>VAC_Optim_Scenario!$J57</f>
        <v>91575740.591107547</v>
      </c>
    </row>
    <row r="16" spans="1:28" ht="34.35" customHeight="1" x14ac:dyDescent="0.25">
      <c r="B16" s="187" t="s">
        <v>219</v>
      </c>
      <c r="C16" s="188">
        <f>SUM(C7:C15)</f>
        <v>34383879.799999997</v>
      </c>
      <c r="D16" s="188">
        <f>SUM(D7:D15)</f>
        <v>226275353.11284721</v>
      </c>
      <c r="E16" s="179"/>
      <c r="F16" s="188">
        <f>SUM(F7:F15)</f>
        <v>34383879.999999963</v>
      </c>
      <c r="G16" s="189">
        <f>(F16-$C$16)/$C$16</f>
        <v>5.8166782483729267E-9</v>
      </c>
      <c r="H16" s="188">
        <f>SUM(H7:H15)</f>
        <v>228562908.76450232</v>
      </c>
      <c r="I16" s="179"/>
      <c r="J16" s="188">
        <f>SUM(J7:J15)</f>
        <v>33352363.599999968</v>
      </c>
      <c r="K16" s="189">
        <f>(J16-$C$16)/$C$16</f>
        <v>-2.9999994357821979E-2</v>
      </c>
      <c r="L16" s="188">
        <f>SUM(L7:L15)</f>
        <v>220519714.55253786</v>
      </c>
      <c r="M16" s="179"/>
      <c r="N16" s="188">
        <f>SUM(N7:N15)</f>
        <v>31977008.400000002</v>
      </c>
      <c r="O16" s="189">
        <f>(N16-$C$16)/$C$16</f>
        <v>-6.9999994590488154E-2</v>
      </c>
      <c r="P16" s="188">
        <f>SUM(P7:P15)</f>
        <v>208217722.30936337</v>
      </c>
      <c r="Q16" s="179"/>
      <c r="R16" s="188">
        <f>SUM(R7:R15)</f>
        <v>36103074</v>
      </c>
      <c r="S16" s="189">
        <f>(R16-$C$16)/$C$16</f>
        <v>5.0000006107513296E-2</v>
      </c>
      <c r="T16" s="188">
        <f>SUM(T7:T15)</f>
        <v>240737373.24121773</v>
      </c>
      <c r="V16" s="188">
        <f>SUM(V7:V15)</f>
        <v>37822268</v>
      </c>
      <c r="W16" s="189">
        <f>(V16-$C$16)/$C$16</f>
        <v>0.10000000639834726</v>
      </c>
      <c r="X16" s="188">
        <f>SUM(X7:X15)</f>
        <v>249562294.47896805</v>
      </c>
      <c r="Z16" s="188">
        <f>SUM(Z7:Z15)</f>
        <v>77473213.417311281</v>
      </c>
      <c r="AA16" s="189">
        <f>(Z16-$C$16)/$C$16</f>
        <v>1.2531841626933353</v>
      </c>
      <c r="AB16" s="188">
        <f>SUM(AB7:AB15)</f>
        <v>450414201.25280231</v>
      </c>
    </row>
    <row r="17" spans="1:28" x14ac:dyDescent="0.25">
      <c r="D17" s="97">
        <f>D16/C16</f>
        <v>6.58085575068952</v>
      </c>
    </row>
    <row r="19" spans="1:28" ht="26.85" customHeight="1" x14ac:dyDescent="0.25">
      <c r="F19" s="539" t="str">
        <f>F4</f>
        <v>Optimal channel spend allowed to vary between +/- 30% of the 2021 channel spend</v>
      </c>
      <c r="G19" s="539"/>
      <c r="H19" s="539"/>
      <c r="I19" s="539"/>
      <c r="J19" s="539"/>
      <c r="K19" s="539"/>
      <c r="L19" s="539"/>
      <c r="M19" s="539"/>
      <c r="N19" s="539"/>
      <c r="O19" s="539"/>
      <c r="P19" s="539"/>
    </row>
    <row r="20" spans="1:28" ht="30.4" customHeight="1" x14ac:dyDescent="0.25">
      <c r="C20" s="531" t="s">
        <v>270</v>
      </c>
      <c r="D20" s="532"/>
      <c r="E20" s="190"/>
      <c r="F20" s="533" t="str">
        <f>F5</f>
        <v>Current Optimal ($34MM)</v>
      </c>
      <c r="G20" s="534"/>
      <c r="H20" s="535"/>
      <c r="I20" s="191"/>
      <c r="J20" s="533" t="str">
        <f>J5</f>
        <v>3% reduction optimal ($33M)</v>
      </c>
      <c r="K20" s="534"/>
      <c r="L20" s="535"/>
      <c r="M20" s="191"/>
      <c r="N20" s="533" t="str">
        <f>N5</f>
        <v>7% reduction optimal ($32M)</v>
      </c>
      <c r="O20" s="534"/>
      <c r="P20" s="535"/>
      <c r="R20" s="533" t="str">
        <f>R5</f>
        <v>5% increase optimal ($36M)</v>
      </c>
      <c r="S20" s="534"/>
      <c r="T20" s="535"/>
      <c r="V20" s="533" t="str">
        <f>V5</f>
        <v>10% increase optimal ($38M)</v>
      </c>
      <c r="W20" s="534"/>
      <c r="X20" s="535"/>
    </row>
    <row r="21" spans="1:28" ht="45" x14ac:dyDescent="0.25">
      <c r="B21" s="182" t="s">
        <v>213</v>
      </c>
      <c r="C21" s="192" t="s">
        <v>220</v>
      </c>
      <c r="D21" s="193" t="s">
        <v>221</v>
      </c>
      <c r="E21" s="194"/>
      <c r="F21" s="217" t="s">
        <v>223</v>
      </c>
      <c r="G21" s="193" t="s">
        <v>216</v>
      </c>
      <c r="H21" s="195" t="s">
        <v>217</v>
      </c>
      <c r="I21" s="194"/>
      <c r="J21" s="217" t="s">
        <v>223</v>
      </c>
      <c r="K21" s="193" t="s">
        <v>216</v>
      </c>
      <c r="L21" s="195" t="s">
        <v>217</v>
      </c>
      <c r="M21" s="179"/>
      <c r="N21" s="217" t="s">
        <v>223</v>
      </c>
      <c r="O21" s="193" t="s">
        <v>216</v>
      </c>
      <c r="P21" s="195" t="s">
        <v>217</v>
      </c>
      <c r="R21" s="217" t="s">
        <v>223</v>
      </c>
      <c r="S21" s="193" t="s">
        <v>216</v>
      </c>
      <c r="T21" s="195" t="s">
        <v>217</v>
      </c>
      <c r="V21" s="217" t="s">
        <v>223</v>
      </c>
      <c r="W21" s="193" t="s">
        <v>216</v>
      </c>
      <c r="X21" s="195" t="s">
        <v>217</v>
      </c>
    </row>
    <row r="22" spans="1:28" x14ac:dyDescent="0.25">
      <c r="A22" s="172">
        <f>D22/C22</f>
        <v>7.0287609939405229</v>
      </c>
      <c r="B22" s="184" t="str">
        <f>B7</f>
        <v>HCC In Office</v>
      </c>
      <c r="C22" s="196">
        <f>C7/1000000</f>
        <v>1.7</v>
      </c>
      <c r="D22" s="283">
        <f>D7/1000000</f>
        <v>11.948893689698888</v>
      </c>
      <c r="E22" s="198"/>
      <c r="F22" s="199">
        <f>F7/1000000</f>
        <v>1.5</v>
      </c>
      <c r="G22" s="200">
        <f>G7</f>
        <v>-0.11764705882352899</v>
      </c>
      <c r="H22" s="278">
        <f>H7/1000000</f>
        <v>10.8769062138291</v>
      </c>
      <c r="I22" s="198"/>
      <c r="J22" s="199">
        <f>J7/1000000</f>
        <v>1.5</v>
      </c>
      <c r="K22" s="200">
        <f>K7</f>
        <v>-0.11764705882352899</v>
      </c>
      <c r="L22" s="278">
        <f>L7/1000000</f>
        <v>10.8769062138291</v>
      </c>
      <c r="M22" s="179"/>
      <c r="N22" s="199">
        <f>N7/1000000</f>
        <v>1.5</v>
      </c>
      <c r="O22" s="200">
        <f>O7</f>
        <v>-0.11764705882352899</v>
      </c>
      <c r="P22" s="278">
        <f>P7/1000000</f>
        <v>10.8769062138291</v>
      </c>
      <c r="Q22" s="179"/>
      <c r="R22" s="199">
        <f>R7/1000000</f>
        <v>1.5</v>
      </c>
      <c r="S22" s="200">
        <f>S7</f>
        <v>-0.11764705882352899</v>
      </c>
      <c r="T22" s="278">
        <f>T7/1000000</f>
        <v>10.8769062138291</v>
      </c>
      <c r="V22" s="199">
        <f>V7/1000000</f>
        <v>1.9999999999999001</v>
      </c>
      <c r="W22" s="200">
        <f>W7</f>
        <v>0.17647058823523601</v>
      </c>
      <c r="X22" s="201">
        <f>X7/1000000</f>
        <v>13.424538461389099</v>
      </c>
    </row>
    <row r="23" spans="1:28" x14ac:dyDescent="0.25">
      <c r="A23" s="172">
        <f t="shared" ref="A23:A30" si="1">D23/C23</f>
        <v>14.068468234693498</v>
      </c>
      <c r="B23" s="184" t="str">
        <f t="shared" ref="B23:B30" si="2">B8</f>
        <v>HCP MCM</v>
      </c>
      <c r="C23" s="202">
        <f t="shared" ref="C23:D30" si="3">C8/1000000</f>
        <v>5.7438799999999999</v>
      </c>
      <c r="D23" s="284">
        <f t="shared" si="3"/>
        <v>80.807593323891282</v>
      </c>
      <c r="E23" s="198"/>
      <c r="F23" s="204">
        <f t="shared" ref="F23:F30" si="4">F8/1000000</f>
        <v>5.7177573654969294</v>
      </c>
      <c r="G23" s="205">
        <f t="shared" ref="G23:G30" si="5">G8</f>
        <v>-4.5479074254800803E-3</v>
      </c>
      <c r="H23" s="279">
        <f t="shared" ref="H23:H30" si="6">H8/1000000</f>
        <v>80.610921475562392</v>
      </c>
      <c r="I23" s="198"/>
      <c r="J23" s="204">
        <f t="shared" ref="J23:J30" si="7">J8/1000000</f>
        <v>5.3839776643618995</v>
      </c>
      <c r="K23" s="205">
        <f t="shared" ref="K23:K30" si="8">K8</f>
        <v>-6.26584008785184E-2</v>
      </c>
      <c r="L23" s="279">
        <f t="shared" ref="L23:L30" si="9">L8/1000000</f>
        <v>78.003621173606206</v>
      </c>
      <c r="M23" s="179"/>
      <c r="N23" s="204">
        <f t="shared" ref="N23:N30" si="10">N8/1000000</f>
        <v>4.2399097999999995</v>
      </c>
      <c r="O23" s="205">
        <f t="shared" ref="O23:O30" si="11">O8</f>
        <v>-0.26183872225742899</v>
      </c>
      <c r="P23" s="279">
        <f t="shared" ref="P23:P30" si="12">P8/1000000</f>
        <v>67.599734874740193</v>
      </c>
      <c r="Q23" s="179"/>
      <c r="R23" s="204">
        <f t="shared" ref="R23:R30" si="13">R8/1000000</f>
        <v>6.45928483437977</v>
      </c>
      <c r="S23" s="200">
        <f t="shared" ref="S23:S30" si="14">S8</f>
        <v>0.12455079743653701</v>
      </c>
      <c r="T23" s="279">
        <f t="shared" ref="T23:T30" si="15">T8/1000000</f>
        <v>85.805345146057505</v>
      </c>
      <c r="V23" s="204">
        <f t="shared" ref="V23:V30" si="16">V8/1000000</f>
        <v>6.7</v>
      </c>
      <c r="W23" s="200">
        <f t="shared" ref="W23:W30" si="17">W8</f>
        <v>0.16645890930869001</v>
      </c>
      <c r="X23" s="206">
        <f t="shared" ref="X23:X30" si="18">X8/1000000</f>
        <v>87.328998526596507</v>
      </c>
      <c r="AB23" s="97">
        <f>29/11</f>
        <v>2.6363636363636362</v>
      </c>
    </row>
    <row r="24" spans="1:28" x14ac:dyDescent="0.25">
      <c r="A24" s="172">
        <f t="shared" si="1"/>
        <v>7.6725879829250383</v>
      </c>
      <c r="B24" s="184" t="str">
        <f t="shared" si="2"/>
        <v>HCC Social</v>
      </c>
      <c r="C24" s="202">
        <f t="shared" si="3"/>
        <v>1.7</v>
      </c>
      <c r="D24" s="284">
        <f t="shared" si="3"/>
        <v>13.043399570972564</v>
      </c>
      <c r="E24" s="198"/>
      <c r="F24" s="204">
        <f t="shared" si="4"/>
        <v>1.54</v>
      </c>
      <c r="G24" s="205">
        <f t="shared" si="5"/>
        <v>-9.41176470588235E-2</v>
      </c>
      <c r="H24" s="279">
        <f t="shared" si="6"/>
        <v>12.2923205889628</v>
      </c>
      <c r="I24" s="198"/>
      <c r="J24" s="204">
        <f t="shared" si="7"/>
        <v>1.54</v>
      </c>
      <c r="K24" s="205">
        <f t="shared" si="8"/>
        <v>-9.41176470588235E-2</v>
      </c>
      <c r="L24" s="279">
        <f t="shared" si="9"/>
        <v>12.2923205889628</v>
      </c>
      <c r="M24" s="179"/>
      <c r="N24" s="204">
        <f t="shared" si="10"/>
        <v>1.54</v>
      </c>
      <c r="O24" s="205">
        <f t="shared" si="11"/>
        <v>-9.41176470588235E-2</v>
      </c>
      <c r="P24" s="279">
        <f t="shared" si="12"/>
        <v>12.2923205889628</v>
      </c>
      <c r="Q24" s="179"/>
      <c r="R24" s="204">
        <f t="shared" si="13"/>
        <v>1.54</v>
      </c>
      <c r="S24" s="200">
        <f t="shared" si="14"/>
        <v>-9.41176470588235E-2</v>
      </c>
      <c r="T24" s="279">
        <f t="shared" si="15"/>
        <v>12.2923205889628</v>
      </c>
      <c r="V24" s="204">
        <f t="shared" si="16"/>
        <v>2.2767662000001301</v>
      </c>
      <c r="W24" s="200">
        <f t="shared" si="17"/>
        <v>0.33927423529419198</v>
      </c>
      <c r="X24" s="206">
        <f t="shared" si="18"/>
        <v>15.5422004946498</v>
      </c>
      <c r="AB24" s="97">
        <f>14.8/8.3</f>
        <v>1.7831325301204819</v>
      </c>
    </row>
    <row r="25" spans="1:28" x14ac:dyDescent="0.25">
      <c r="A25" s="172">
        <f t="shared" si="1"/>
        <v>8.3077843915402223</v>
      </c>
      <c r="B25" s="184" t="str">
        <f t="shared" si="2"/>
        <v>HCC Online Video</v>
      </c>
      <c r="C25" s="202">
        <f t="shared" si="3"/>
        <v>0.5</v>
      </c>
      <c r="D25" s="284">
        <f t="shared" si="3"/>
        <v>4.1538921957701112</v>
      </c>
      <c r="E25" s="198"/>
      <c r="F25" s="204">
        <f t="shared" si="4"/>
        <v>0.52266964779516401</v>
      </c>
      <c r="G25" s="205">
        <f t="shared" si="5"/>
        <v>4.5339295590327698E-2</v>
      </c>
      <c r="H25" s="279">
        <f t="shared" si="6"/>
        <v>4.3256976449485194</v>
      </c>
      <c r="I25" s="198"/>
      <c r="J25" s="204">
        <f t="shared" si="7"/>
        <v>0.4</v>
      </c>
      <c r="K25" s="205">
        <f t="shared" si="8"/>
        <v>-0.2</v>
      </c>
      <c r="L25" s="279">
        <f t="shared" si="9"/>
        <v>3.3796796475773498</v>
      </c>
      <c r="M25" s="179"/>
      <c r="N25" s="204">
        <f t="shared" si="10"/>
        <v>0.4</v>
      </c>
      <c r="O25" s="205">
        <f t="shared" si="11"/>
        <v>-0.2</v>
      </c>
      <c r="P25" s="279">
        <f t="shared" si="12"/>
        <v>3.3796796475773498</v>
      </c>
      <c r="Q25" s="179"/>
      <c r="R25" s="204">
        <f t="shared" si="13"/>
        <v>0.95828618466166104</v>
      </c>
      <c r="S25" s="200">
        <f t="shared" si="14"/>
        <v>0.91657236932332198</v>
      </c>
      <c r="T25" s="279">
        <f t="shared" si="15"/>
        <v>7.3771566047256005</v>
      </c>
      <c r="V25" s="204">
        <f t="shared" si="16"/>
        <v>1.19999999999998</v>
      </c>
      <c r="W25" s="200">
        <f t="shared" si="17"/>
        <v>1.3999999999999599</v>
      </c>
      <c r="X25" s="206">
        <f t="shared" si="18"/>
        <v>8.8809154732986713</v>
      </c>
    </row>
    <row r="26" spans="1:28" x14ac:dyDescent="0.25">
      <c r="A26" s="172">
        <f t="shared" si="1"/>
        <v>3.3253849069802612</v>
      </c>
      <c r="B26" s="184" t="str">
        <f t="shared" si="2"/>
        <v>HCC Streaming Video</v>
      </c>
      <c r="C26" s="202">
        <f t="shared" si="3"/>
        <v>6.0898960000000004</v>
      </c>
      <c r="D26" s="284">
        <f t="shared" si="3"/>
        <v>20.251248243479466</v>
      </c>
      <c r="E26" s="198"/>
      <c r="F26" s="204">
        <f t="shared" si="4"/>
        <v>6.0898953063839603</v>
      </c>
      <c r="G26" s="205">
        <f t="shared" si="5"/>
        <v>-1.13896204016787E-7</v>
      </c>
      <c r="H26" s="279">
        <f t="shared" si="6"/>
        <v>20.2512466289012</v>
      </c>
      <c r="I26" s="198"/>
      <c r="J26" s="204">
        <f t="shared" si="7"/>
        <v>6.0898953623383001</v>
      </c>
      <c r="K26" s="205">
        <f t="shared" si="8"/>
        <v>-1.04708142668715E-7</v>
      </c>
      <c r="L26" s="279">
        <f t="shared" si="9"/>
        <v>20.25124675915</v>
      </c>
      <c r="M26" s="179"/>
      <c r="N26" s="204">
        <f t="shared" si="10"/>
        <v>6.0898950000000003</v>
      </c>
      <c r="O26" s="205">
        <f t="shared" si="11"/>
        <v>-1.6420641666130301E-7</v>
      </c>
      <c r="P26" s="279">
        <f t="shared" si="12"/>
        <v>20.251245915709998</v>
      </c>
      <c r="Q26" s="179"/>
      <c r="R26" s="204">
        <f t="shared" si="13"/>
        <v>6.08989543362547</v>
      </c>
      <c r="S26" s="200">
        <f t="shared" si="14"/>
        <v>-9.3002332838039298E-8</v>
      </c>
      <c r="T26" s="279">
        <f t="shared" si="15"/>
        <v>20.251246925090101</v>
      </c>
      <c r="V26" s="204">
        <f t="shared" si="16"/>
        <v>6.0898950000000003</v>
      </c>
      <c r="W26" s="200">
        <f t="shared" si="17"/>
        <v>-1.6420641666130301E-7</v>
      </c>
      <c r="X26" s="206">
        <f t="shared" si="18"/>
        <v>20.251245915709998</v>
      </c>
    </row>
    <row r="27" spans="1:28" x14ac:dyDescent="0.25">
      <c r="A27" s="172">
        <f t="shared" si="1"/>
        <v>9.2467585534043408</v>
      </c>
      <c r="B27" s="184" t="str">
        <f t="shared" si="2"/>
        <v>HCC Display</v>
      </c>
      <c r="C27" s="202">
        <f t="shared" si="3"/>
        <v>1.3144960000000001</v>
      </c>
      <c r="D27" s="284">
        <f t="shared" si="3"/>
        <v>12.154827131415793</v>
      </c>
      <c r="E27" s="198"/>
      <c r="F27" s="204">
        <f t="shared" si="4"/>
        <v>1.4868577605357201</v>
      </c>
      <c r="G27" s="205">
        <f t="shared" si="5"/>
        <v>0.13112383798483901</v>
      </c>
      <c r="H27" s="279">
        <f t="shared" si="6"/>
        <v>13.4833252911082</v>
      </c>
      <c r="I27" s="198"/>
      <c r="J27" s="204">
        <f t="shared" si="7"/>
        <v>1.2041997439526799</v>
      </c>
      <c r="K27" s="205">
        <f t="shared" si="8"/>
        <v>-8.3907639161561798E-2</v>
      </c>
      <c r="L27" s="279">
        <f t="shared" si="9"/>
        <v>11.275357081743199</v>
      </c>
      <c r="M27" s="179"/>
      <c r="N27" s="204">
        <f t="shared" si="10"/>
        <v>1.0515968</v>
      </c>
      <c r="O27" s="205">
        <f t="shared" si="11"/>
        <v>-0.2</v>
      </c>
      <c r="P27" s="279">
        <f t="shared" si="12"/>
        <v>10.0194923497135</v>
      </c>
      <c r="Q27" s="179"/>
      <c r="R27" s="204">
        <f t="shared" si="13"/>
        <v>1.9</v>
      </c>
      <c r="S27" s="200">
        <f t="shared" si="14"/>
        <v>0.44542090656799299</v>
      </c>
      <c r="T27" s="279">
        <f t="shared" si="15"/>
        <v>16.4517974520192</v>
      </c>
      <c r="V27" s="204">
        <f t="shared" si="16"/>
        <v>1.8999999999999899</v>
      </c>
      <c r="W27" s="200">
        <f t="shared" si="17"/>
        <v>0.445420906567982</v>
      </c>
      <c r="X27" s="206">
        <f t="shared" si="18"/>
        <v>16.4517974520192</v>
      </c>
    </row>
    <row r="28" spans="1:28" x14ac:dyDescent="0.25">
      <c r="A28" s="172">
        <f t="shared" si="1"/>
        <v>0.88373304691298005</v>
      </c>
      <c r="B28" s="184" t="str">
        <f t="shared" si="2"/>
        <v>HCC Paid Search</v>
      </c>
      <c r="C28" s="202">
        <f t="shared" si="3"/>
        <v>0.6</v>
      </c>
      <c r="D28" s="284">
        <f t="shared" si="3"/>
        <v>0.53023982814778803</v>
      </c>
      <c r="E28" s="198"/>
      <c r="F28" s="204">
        <f t="shared" si="4"/>
        <v>0.42</v>
      </c>
      <c r="G28" s="205">
        <f t="shared" si="5"/>
        <v>-0.3</v>
      </c>
      <c r="H28" s="279">
        <f t="shared" si="6"/>
        <v>0.41308647325189701</v>
      </c>
      <c r="I28" s="198"/>
      <c r="J28" s="204">
        <f t="shared" si="7"/>
        <v>0.42</v>
      </c>
      <c r="K28" s="205">
        <f t="shared" si="8"/>
        <v>-0.3</v>
      </c>
      <c r="L28" s="279">
        <f t="shared" si="9"/>
        <v>0.41308647325189701</v>
      </c>
      <c r="M28" s="179"/>
      <c r="N28" s="204">
        <f t="shared" si="10"/>
        <v>0.42</v>
      </c>
      <c r="O28" s="205">
        <f t="shared" si="11"/>
        <v>-0.3</v>
      </c>
      <c r="P28" s="279">
        <f t="shared" si="12"/>
        <v>0.41308647325189701</v>
      </c>
      <c r="Q28" s="179"/>
      <c r="R28" s="204">
        <f t="shared" si="13"/>
        <v>0.42</v>
      </c>
      <c r="S28" s="200">
        <f t="shared" si="14"/>
        <v>-0.3</v>
      </c>
      <c r="T28" s="279">
        <f t="shared" si="15"/>
        <v>0.41308647325189701</v>
      </c>
      <c r="V28" s="204">
        <f t="shared" si="16"/>
        <v>0.42</v>
      </c>
      <c r="W28" s="200">
        <f t="shared" si="17"/>
        <v>-0.3</v>
      </c>
      <c r="X28" s="206">
        <f t="shared" si="18"/>
        <v>0.41308647325189701</v>
      </c>
    </row>
    <row r="29" spans="1:28" x14ac:dyDescent="0.25">
      <c r="A29" s="172">
        <f t="shared" si="1"/>
        <v>13.744591835580103</v>
      </c>
      <c r="B29" s="184" t="str">
        <f t="shared" si="2"/>
        <v>HCC Audio</v>
      </c>
      <c r="C29" s="202">
        <f t="shared" si="3"/>
        <v>1.5</v>
      </c>
      <c r="D29" s="284">
        <f t="shared" si="3"/>
        <v>20.616887753370154</v>
      </c>
      <c r="E29" s="198"/>
      <c r="F29" s="204">
        <f t="shared" si="4"/>
        <v>1.8710928703598899</v>
      </c>
      <c r="G29" s="205">
        <f t="shared" si="5"/>
        <v>0.24739524690659501</v>
      </c>
      <c r="H29" s="279">
        <f t="shared" si="6"/>
        <v>23.541035236405303</v>
      </c>
      <c r="I29" s="198"/>
      <c r="J29" s="204">
        <f t="shared" si="7"/>
        <v>1.57868373716889</v>
      </c>
      <c r="K29" s="205">
        <f t="shared" si="8"/>
        <v>5.2455824779258003E-2</v>
      </c>
      <c r="L29" s="279">
        <f t="shared" si="9"/>
        <v>21.2591272795983</v>
      </c>
      <c r="M29" s="179"/>
      <c r="N29" s="204">
        <f t="shared" si="10"/>
        <v>1.5</v>
      </c>
      <c r="O29" s="205">
        <f t="shared" si="11"/>
        <v>0</v>
      </c>
      <c r="P29" s="279">
        <f t="shared" si="12"/>
        <v>20.6168877533702</v>
      </c>
      <c r="Q29" s="179"/>
      <c r="R29" s="204">
        <f t="shared" si="13"/>
        <v>2</v>
      </c>
      <c r="S29" s="200">
        <f t="shared" si="14"/>
        <v>0.33333333333333298</v>
      </c>
      <c r="T29" s="279">
        <f t="shared" si="15"/>
        <v>24.501143189844601</v>
      </c>
      <c r="V29" s="204">
        <f t="shared" si="16"/>
        <v>2</v>
      </c>
      <c r="W29" s="200">
        <f t="shared" si="17"/>
        <v>0.33333333333333298</v>
      </c>
      <c r="X29" s="206">
        <f t="shared" si="18"/>
        <v>24.501143189844601</v>
      </c>
    </row>
    <row r="30" spans="1:28" x14ac:dyDescent="0.25">
      <c r="A30" s="172">
        <f t="shared" si="1"/>
        <v>4.1198468876378618</v>
      </c>
      <c r="B30" s="184" t="str">
        <f t="shared" si="2"/>
        <v>HCC TV</v>
      </c>
      <c r="C30" s="202">
        <f t="shared" si="3"/>
        <v>15.2356078</v>
      </c>
      <c r="D30" s="284">
        <f t="shared" si="3"/>
        <v>62.768371376101136</v>
      </c>
      <c r="E30" s="198"/>
      <c r="F30" s="204">
        <f t="shared" si="4"/>
        <v>15.2356070494283</v>
      </c>
      <c r="G30" s="205">
        <f t="shared" si="5"/>
        <v>-4.92643077799188E-8</v>
      </c>
      <c r="H30" s="279">
        <f t="shared" si="6"/>
        <v>62.768369211532899</v>
      </c>
      <c r="I30" s="198"/>
      <c r="J30" s="204">
        <f t="shared" si="7"/>
        <v>15.235607092178199</v>
      </c>
      <c r="K30" s="205">
        <f t="shared" si="8"/>
        <v>-4.6458387412666901E-8</v>
      </c>
      <c r="L30" s="279">
        <f t="shared" si="9"/>
        <v>62.768369334818999</v>
      </c>
      <c r="M30" s="179"/>
      <c r="N30" s="204">
        <f t="shared" si="10"/>
        <v>15.235606800000001</v>
      </c>
      <c r="O30" s="205">
        <f t="shared" si="11"/>
        <v>-6.5635714250927397E-8</v>
      </c>
      <c r="P30" s="279">
        <f t="shared" si="12"/>
        <v>62.768368492208303</v>
      </c>
      <c r="Q30" s="179"/>
      <c r="R30" s="204">
        <f t="shared" si="13"/>
        <v>15.235607547333101</v>
      </c>
      <c r="S30" s="200">
        <f t="shared" si="14"/>
        <v>-1.6583972689274701E-8</v>
      </c>
      <c r="T30" s="279">
        <f t="shared" si="15"/>
        <v>62.768370647436903</v>
      </c>
      <c r="V30" s="204">
        <f t="shared" si="16"/>
        <v>15.235606800000001</v>
      </c>
      <c r="W30" s="200">
        <f t="shared" si="17"/>
        <v>-6.5635714250927397E-8</v>
      </c>
      <c r="X30" s="206">
        <f t="shared" si="18"/>
        <v>62.768368492208303</v>
      </c>
    </row>
    <row r="31" spans="1:28" ht="29.65" customHeight="1" x14ac:dyDescent="0.25">
      <c r="B31" s="207" t="s">
        <v>219</v>
      </c>
      <c r="C31" s="208">
        <f>C16/1000000</f>
        <v>34.383879799999995</v>
      </c>
      <c r="D31" s="285">
        <f>D16/1000000</f>
        <v>226.2753531128472</v>
      </c>
      <c r="E31" s="210"/>
      <c r="F31" s="211">
        <f>F16/1000000</f>
        <v>34.383879999999962</v>
      </c>
      <c r="G31" s="212">
        <f>G16</f>
        <v>5.8166782483729267E-9</v>
      </c>
      <c r="H31" s="216">
        <f>H16/1000000</f>
        <v>228.56290876450231</v>
      </c>
      <c r="I31" s="210"/>
      <c r="J31" s="211">
        <f>J16/1000000</f>
        <v>33.352363599999968</v>
      </c>
      <c r="K31" s="212">
        <f>K16</f>
        <v>-2.9999994357821979E-2</v>
      </c>
      <c r="L31" s="216">
        <f>L16/1000000</f>
        <v>220.51971455253786</v>
      </c>
      <c r="M31" s="210"/>
      <c r="N31" s="211">
        <f>N16/1000000</f>
        <v>31.977008400000003</v>
      </c>
      <c r="O31" s="212">
        <f>O16</f>
        <v>-6.9999994590488154E-2</v>
      </c>
      <c r="P31" s="216">
        <f>P16/1000000</f>
        <v>208.21772230936335</v>
      </c>
      <c r="R31" s="211">
        <f>R16/1000000</f>
        <v>36.103073999999999</v>
      </c>
      <c r="S31" s="212">
        <f>S16</f>
        <v>5.0000006107513296E-2</v>
      </c>
      <c r="T31" s="216">
        <f>T16/1000000</f>
        <v>240.73737324121774</v>
      </c>
      <c r="V31" s="211">
        <f>V16/1000000</f>
        <v>37.822268000000001</v>
      </c>
      <c r="W31" s="212">
        <f>W16</f>
        <v>0.10000000639834726</v>
      </c>
      <c r="X31" s="213">
        <f>X16/1000000</f>
        <v>249.56229447896806</v>
      </c>
    </row>
    <row r="32" spans="1:28" ht="45" x14ac:dyDescent="0.25">
      <c r="B32" s="280" t="s">
        <v>269</v>
      </c>
      <c r="C32" s="208"/>
      <c r="D32" s="209"/>
      <c r="E32" s="210"/>
      <c r="F32" s="211"/>
      <c r="G32" s="212"/>
      <c r="H32" s="282" t="s">
        <v>274</v>
      </c>
      <c r="I32" s="210"/>
      <c r="J32" s="211"/>
      <c r="K32" s="212"/>
      <c r="L32" s="215" t="s">
        <v>275</v>
      </c>
      <c r="M32" s="210"/>
      <c r="N32" s="211"/>
      <c r="O32" s="212"/>
      <c r="P32" s="215" t="s">
        <v>276</v>
      </c>
      <c r="R32" s="211"/>
      <c r="S32" s="212"/>
      <c r="T32" s="282" t="s">
        <v>277</v>
      </c>
      <c r="V32" s="211"/>
      <c r="W32" s="212"/>
      <c r="X32" s="282" t="s">
        <v>278</v>
      </c>
    </row>
    <row r="33" spans="2:24" x14ac:dyDescent="0.25">
      <c r="H33" s="216">
        <f>(H31-$D$31)</f>
        <v>2.2875556516551114</v>
      </c>
      <c r="L33" s="216">
        <f>(L31-$D$31)</f>
        <v>-5.7556385603093361</v>
      </c>
      <c r="P33" s="216">
        <f>(P31-$D$31)</f>
        <v>-18.057630803483846</v>
      </c>
      <c r="T33" s="216">
        <f>(T31-$D$31)</f>
        <v>14.46202012837054</v>
      </c>
      <c r="X33" s="216">
        <f>(X31-$D$31)</f>
        <v>23.286941366120857</v>
      </c>
    </row>
    <row r="34" spans="2:24" x14ac:dyDescent="0.25">
      <c r="H34" s="281">
        <f>H33/$D$31</f>
        <v>1.010961034945008E-2</v>
      </c>
      <c r="L34" s="281">
        <f>L33/$D$31</f>
        <v>-2.5436436099334714E-2</v>
      </c>
      <c r="P34" s="281">
        <f>P33/$D$31</f>
        <v>-7.9803790183362186E-2</v>
      </c>
      <c r="T34" s="281">
        <f>T33/$D$31</f>
        <v>6.3913368952552674E-2</v>
      </c>
      <c r="X34" s="281">
        <f>X33/$D$31</f>
        <v>0.10291417534329195</v>
      </c>
    </row>
    <row r="36" spans="2:24" x14ac:dyDescent="0.25">
      <c r="B36" s="540" t="s">
        <v>255</v>
      </c>
      <c r="C36" s="540"/>
      <c r="D36" s="540"/>
      <c r="E36" s="540"/>
      <c r="F36" s="540"/>
      <c r="G36" s="540"/>
      <c r="H36" s="540"/>
      <c r="I36" s="540"/>
      <c r="J36" s="540"/>
      <c r="K36" s="540"/>
      <c r="L36" s="540"/>
      <c r="M36" s="540"/>
      <c r="N36" s="540"/>
      <c r="O36" s="540"/>
      <c r="P36" s="540"/>
      <c r="Q36" s="540"/>
      <c r="R36" s="540"/>
      <c r="S36" s="540"/>
      <c r="T36" s="540"/>
    </row>
    <row r="37" spans="2:24" x14ac:dyDescent="0.25">
      <c r="B37" s="540"/>
      <c r="C37" s="540"/>
      <c r="D37" s="540"/>
      <c r="E37" s="540"/>
      <c r="F37" s="540"/>
      <c r="G37" s="540"/>
      <c r="H37" s="540"/>
      <c r="I37" s="540"/>
      <c r="J37" s="540"/>
      <c r="K37" s="540"/>
      <c r="L37" s="540"/>
      <c r="M37" s="540"/>
      <c r="N37" s="540"/>
      <c r="O37" s="540"/>
      <c r="P37" s="540"/>
      <c r="Q37" s="540"/>
      <c r="R37" s="540"/>
      <c r="S37" s="540"/>
      <c r="T37" s="540"/>
    </row>
    <row r="39" spans="2:24" x14ac:dyDescent="0.25">
      <c r="F39" s="533" t="s">
        <v>244</v>
      </c>
      <c r="G39" s="534"/>
      <c r="H39" s="535"/>
      <c r="I39" s="181"/>
      <c r="J39" s="533" t="s">
        <v>211</v>
      </c>
      <c r="K39" s="534"/>
      <c r="L39" s="535"/>
      <c r="M39" s="181"/>
      <c r="N39" s="533" t="s">
        <v>212</v>
      </c>
      <c r="O39" s="534"/>
      <c r="P39" s="535"/>
      <c r="R39" s="541"/>
      <c r="S39" s="542"/>
      <c r="T39" s="543"/>
    </row>
    <row r="40" spans="2:24" ht="45" x14ac:dyDescent="0.25">
      <c r="B40" s="182" t="s">
        <v>213</v>
      </c>
      <c r="C40" s="97" t="s">
        <v>214</v>
      </c>
      <c r="D40" s="183" t="s">
        <v>215</v>
      </c>
      <c r="E40" s="183"/>
      <c r="F40" s="97" t="s">
        <v>214</v>
      </c>
      <c r="G40" s="183" t="s">
        <v>216</v>
      </c>
      <c r="H40" s="183" t="s">
        <v>217</v>
      </c>
      <c r="I40" s="183"/>
      <c r="J40" s="97" t="s">
        <v>214</v>
      </c>
      <c r="K40" s="183" t="s">
        <v>216</v>
      </c>
      <c r="L40" s="183" t="s">
        <v>217</v>
      </c>
      <c r="N40" s="97" t="s">
        <v>214</v>
      </c>
      <c r="O40" s="183" t="s">
        <v>216</v>
      </c>
      <c r="P40" s="183" t="s">
        <v>217</v>
      </c>
      <c r="R40" s="97" t="s">
        <v>214</v>
      </c>
      <c r="S40" s="183" t="s">
        <v>216</v>
      </c>
      <c r="T40" s="183" t="s">
        <v>217</v>
      </c>
    </row>
    <row r="41" spans="2:24" x14ac:dyDescent="0.25">
      <c r="B41" s="184" t="s">
        <v>226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227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228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239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229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230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231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219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544" t="str">
        <f>B36</f>
        <v>Optimal Channel Spend  allowed to vary between  of the 2021 spend</v>
      </c>
      <c r="G53" s="544"/>
      <c r="H53" s="544"/>
      <c r="I53" s="544"/>
      <c r="J53" s="544"/>
      <c r="K53" s="544"/>
      <c r="L53" s="544"/>
      <c r="M53" s="544"/>
      <c r="N53" s="544"/>
      <c r="O53" s="544"/>
      <c r="P53" s="544"/>
    </row>
    <row r="54" spans="2:20" x14ac:dyDescent="0.25">
      <c r="C54" s="531" t="s">
        <v>245</v>
      </c>
      <c r="D54" s="532"/>
      <c r="E54" s="190"/>
      <c r="F54" s="533" t="str">
        <f>F39</f>
        <v>Current Optimal ($MM)</v>
      </c>
      <c r="G54" s="534"/>
      <c r="H54" s="535"/>
      <c r="I54" s="191"/>
      <c r="J54" s="533" t="str">
        <f>J39</f>
        <v>10% reduction optimal ($)</v>
      </c>
      <c r="K54" s="534"/>
      <c r="L54" s="535"/>
      <c r="M54" s="191"/>
      <c r="N54" s="533" t="str">
        <f>N39</f>
        <v>20% reduction optimal ()</v>
      </c>
      <c r="O54" s="534"/>
      <c r="P54" s="535"/>
      <c r="R54" s="536"/>
      <c r="S54" s="537"/>
      <c r="T54" s="538"/>
    </row>
    <row r="55" spans="2:20" ht="45" x14ac:dyDescent="0.25">
      <c r="B55" s="182" t="s">
        <v>213</v>
      </c>
      <c r="C55" s="193" t="s">
        <v>223</v>
      </c>
      <c r="D55" s="193" t="s">
        <v>221</v>
      </c>
      <c r="E55" s="194"/>
      <c r="F55" s="217" t="s">
        <v>223</v>
      </c>
      <c r="G55" s="193" t="s">
        <v>216</v>
      </c>
      <c r="H55" s="195" t="s">
        <v>217</v>
      </c>
      <c r="I55" s="194"/>
      <c r="J55" s="217" t="s">
        <v>223</v>
      </c>
      <c r="K55" s="193" t="s">
        <v>216</v>
      </c>
      <c r="L55" s="195" t="s">
        <v>217</v>
      </c>
      <c r="M55" s="179"/>
      <c r="N55" s="217" t="s">
        <v>223</v>
      </c>
      <c r="O55" s="193" t="s">
        <v>216</v>
      </c>
      <c r="P55" s="195" t="s">
        <v>217</v>
      </c>
      <c r="R55" s="217" t="s">
        <v>223</v>
      </c>
      <c r="S55" s="193" t="s">
        <v>216</v>
      </c>
      <c r="T55" s="195" t="s">
        <v>217</v>
      </c>
    </row>
    <row r="56" spans="2:20" x14ac:dyDescent="0.25">
      <c r="B56" s="184" t="s">
        <v>155</v>
      </c>
      <c r="C56" s="196">
        <f t="shared" ref="C56:D62" si="19">C41/1000000</f>
        <v>0</v>
      </c>
      <c r="D56" s="197">
        <f t="shared" si="19"/>
        <v>0</v>
      </c>
      <c r="E56" s="198"/>
      <c r="F56" s="199">
        <f t="shared" ref="F56:F62" si="20">F41/1000000</f>
        <v>0</v>
      </c>
      <c r="G56" s="200">
        <f t="shared" ref="G56:G62" si="21">G41</f>
        <v>0</v>
      </c>
      <c r="H56" s="201">
        <f t="shared" ref="H56:H62" si="22">H41/1000000</f>
        <v>0</v>
      </c>
      <c r="I56" s="198"/>
      <c r="J56" s="199">
        <f t="shared" ref="J56:J62" si="23">J41/1000000</f>
        <v>0</v>
      </c>
      <c r="K56" s="200">
        <f t="shared" ref="K56:K62" si="24">K41</f>
        <v>0</v>
      </c>
      <c r="L56" s="201">
        <f t="shared" ref="L56:L62" si="25">L41/1000000</f>
        <v>0</v>
      </c>
      <c r="M56" s="179"/>
      <c r="N56" s="199">
        <f t="shared" ref="N56:N62" si="26">N41/1000000</f>
        <v>0</v>
      </c>
      <c r="O56" s="200">
        <f t="shared" ref="O56:O62" si="27">O41</f>
        <v>0</v>
      </c>
      <c r="P56" s="201">
        <f t="shared" ref="P56:P62" si="28">P41/1000000</f>
        <v>0</v>
      </c>
      <c r="Q56" s="179"/>
      <c r="R56" s="199">
        <f t="shared" ref="R56:R62" si="29">R41/1000000</f>
        <v>0</v>
      </c>
      <c r="S56" s="200">
        <f t="shared" ref="S56:S62" si="30">S41</f>
        <v>0</v>
      </c>
      <c r="T56" s="201">
        <f t="shared" ref="T56:T62" si="31">T41/1000000</f>
        <v>0</v>
      </c>
    </row>
    <row r="57" spans="2:20" x14ac:dyDescent="0.25">
      <c r="B57" s="186" t="s">
        <v>93</v>
      </c>
      <c r="C57" s="202">
        <f t="shared" si="19"/>
        <v>0</v>
      </c>
      <c r="D57" s="203">
        <f t="shared" si="19"/>
        <v>0</v>
      </c>
      <c r="E57" s="198"/>
      <c r="F57" s="204">
        <f t="shared" si="20"/>
        <v>0</v>
      </c>
      <c r="G57" s="205">
        <f t="shared" si="21"/>
        <v>0</v>
      </c>
      <c r="H57" s="206">
        <f t="shared" si="22"/>
        <v>0</v>
      </c>
      <c r="I57" s="198"/>
      <c r="J57" s="204">
        <f t="shared" si="23"/>
        <v>0</v>
      </c>
      <c r="K57" s="205">
        <f t="shared" si="24"/>
        <v>0</v>
      </c>
      <c r="L57" s="206">
        <f t="shared" si="25"/>
        <v>0</v>
      </c>
      <c r="M57" s="179"/>
      <c r="N57" s="204">
        <f t="shared" si="26"/>
        <v>0</v>
      </c>
      <c r="O57" s="205">
        <f t="shared" si="27"/>
        <v>0</v>
      </c>
      <c r="P57" s="206">
        <f t="shared" si="28"/>
        <v>0</v>
      </c>
      <c r="Q57" s="179"/>
      <c r="R57" s="204">
        <f t="shared" si="29"/>
        <v>0</v>
      </c>
      <c r="S57" s="200">
        <f t="shared" si="30"/>
        <v>0</v>
      </c>
      <c r="T57" s="206">
        <f t="shared" si="31"/>
        <v>0</v>
      </c>
    </row>
    <row r="58" spans="2:20" x14ac:dyDescent="0.25">
      <c r="B58" s="186" t="s">
        <v>164</v>
      </c>
      <c r="C58" s="202">
        <f t="shared" si="19"/>
        <v>0</v>
      </c>
      <c r="D58" s="203">
        <f t="shared" si="19"/>
        <v>0</v>
      </c>
      <c r="E58" s="198"/>
      <c r="F58" s="204">
        <f t="shared" si="20"/>
        <v>0</v>
      </c>
      <c r="G58" s="205">
        <f t="shared" si="21"/>
        <v>0</v>
      </c>
      <c r="H58" s="206">
        <f t="shared" si="22"/>
        <v>0</v>
      </c>
      <c r="I58" s="198"/>
      <c r="J58" s="204">
        <f t="shared" si="23"/>
        <v>0</v>
      </c>
      <c r="K58" s="205">
        <f t="shared" si="24"/>
        <v>0</v>
      </c>
      <c r="L58" s="206">
        <f t="shared" si="25"/>
        <v>0</v>
      </c>
      <c r="M58" s="179"/>
      <c r="N58" s="204">
        <f t="shared" si="26"/>
        <v>0</v>
      </c>
      <c r="O58" s="205">
        <f t="shared" si="27"/>
        <v>0</v>
      </c>
      <c r="P58" s="206">
        <f t="shared" si="28"/>
        <v>0</v>
      </c>
      <c r="Q58" s="179"/>
      <c r="R58" s="204">
        <f t="shared" si="29"/>
        <v>0</v>
      </c>
      <c r="S58" s="200">
        <f t="shared" si="30"/>
        <v>0</v>
      </c>
      <c r="T58" s="206">
        <f t="shared" si="31"/>
        <v>0</v>
      </c>
    </row>
    <row r="59" spans="2:20" x14ac:dyDescent="0.25">
      <c r="B59" s="186" t="s">
        <v>165</v>
      </c>
      <c r="C59" s="202">
        <f t="shared" si="19"/>
        <v>0</v>
      </c>
      <c r="D59" s="203">
        <f t="shared" si="19"/>
        <v>0</v>
      </c>
      <c r="E59" s="198"/>
      <c r="F59" s="204">
        <f t="shared" si="20"/>
        <v>0</v>
      </c>
      <c r="G59" s="205">
        <f t="shared" si="21"/>
        <v>0</v>
      </c>
      <c r="H59" s="206">
        <f t="shared" si="22"/>
        <v>0</v>
      </c>
      <c r="I59" s="198"/>
      <c r="J59" s="204">
        <f t="shared" si="23"/>
        <v>0</v>
      </c>
      <c r="K59" s="205">
        <f t="shared" si="24"/>
        <v>0</v>
      </c>
      <c r="L59" s="206">
        <f t="shared" si="25"/>
        <v>0</v>
      </c>
      <c r="M59" s="179"/>
      <c r="N59" s="204">
        <f t="shared" si="26"/>
        <v>0</v>
      </c>
      <c r="O59" s="205">
        <f t="shared" si="27"/>
        <v>0</v>
      </c>
      <c r="P59" s="206">
        <f t="shared" si="28"/>
        <v>0</v>
      </c>
      <c r="Q59" s="179"/>
      <c r="R59" s="204">
        <f t="shared" si="29"/>
        <v>0</v>
      </c>
      <c r="S59" s="200">
        <f t="shared" si="30"/>
        <v>0</v>
      </c>
      <c r="T59" s="206">
        <f t="shared" si="31"/>
        <v>0</v>
      </c>
    </row>
    <row r="60" spans="2:20" x14ac:dyDescent="0.25">
      <c r="B60" s="186" t="s">
        <v>167</v>
      </c>
      <c r="C60" s="202">
        <f t="shared" si="19"/>
        <v>0</v>
      </c>
      <c r="D60" s="203">
        <f t="shared" si="19"/>
        <v>0</v>
      </c>
      <c r="E60" s="198"/>
      <c r="F60" s="204">
        <f t="shared" si="20"/>
        <v>0</v>
      </c>
      <c r="G60" s="205">
        <f t="shared" si="21"/>
        <v>0</v>
      </c>
      <c r="H60" s="206">
        <f t="shared" si="22"/>
        <v>0</v>
      </c>
      <c r="I60" s="198"/>
      <c r="J60" s="204">
        <f t="shared" si="23"/>
        <v>0</v>
      </c>
      <c r="K60" s="205">
        <f t="shared" si="24"/>
        <v>0</v>
      </c>
      <c r="L60" s="206">
        <f t="shared" si="25"/>
        <v>0</v>
      </c>
      <c r="M60" s="179"/>
      <c r="N60" s="204">
        <f t="shared" si="26"/>
        <v>0</v>
      </c>
      <c r="O60" s="205">
        <f t="shared" si="27"/>
        <v>0</v>
      </c>
      <c r="P60" s="206">
        <f t="shared" si="28"/>
        <v>0</v>
      </c>
      <c r="Q60" s="179"/>
      <c r="R60" s="204">
        <f t="shared" si="29"/>
        <v>0</v>
      </c>
      <c r="S60" s="200">
        <f t="shared" si="30"/>
        <v>0</v>
      </c>
      <c r="T60" s="206">
        <f t="shared" si="31"/>
        <v>0</v>
      </c>
    </row>
    <row r="61" spans="2:20" x14ac:dyDescent="0.25">
      <c r="B61" s="186" t="s">
        <v>166</v>
      </c>
      <c r="C61" s="202">
        <f t="shared" si="19"/>
        <v>0</v>
      </c>
      <c r="D61" s="203">
        <f t="shared" si="19"/>
        <v>0</v>
      </c>
      <c r="E61" s="198"/>
      <c r="F61" s="204">
        <f t="shared" si="20"/>
        <v>0</v>
      </c>
      <c r="G61" s="205">
        <f t="shared" si="21"/>
        <v>0</v>
      </c>
      <c r="H61" s="206">
        <f t="shared" si="22"/>
        <v>0</v>
      </c>
      <c r="I61" s="198"/>
      <c r="J61" s="204">
        <f t="shared" si="23"/>
        <v>0</v>
      </c>
      <c r="K61" s="205">
        <f t="shared" si="24"/>
        <v>0</v>
      </c>
      <c r="L61" s="206">
        <f t="shared" si="25"/>
        <v>0</v>
      </c>
      <c r="M61" s="179"/>
      <c r="N61" s="204">
        <f t="shared" si="26"/>
        <v>0</v>
      </c>
      <c r="O61" s="205">
        <f t="shared" si="27"/>
        <v>0</v>
      </c>
      <c r="P61" s="206">
        <f t="shared" si="28"/>
        <v>0</v>
      </c>
      <c r="Q61" s="179"/>
      <c r="R61" s="204">
        <f t="shared" si="29"/>
        <v>0</v>
      </c>
      <c r="S61" s="200">
        <f t="shared" si="30"/>
        <v>0</v>
      </c>
      <c r="T61" s="206">
        <f t="shared" si="31"/>
        <v>0</v>
      </c>
    </row>
    <row r="62" spans="2:20" x14ac:dyDescent="0.25">
      <c r="B62" s="186" t="s">
        <v>162</v>
      </c>
      <c r="C62" s="202">
        <f t="shared" si="19"/>
        <v>0</v>
      </c>
      <c r="D62" s="203">
        <f t="shared" si="19"/>
        <v>0</v>
      </c>
      <c r="E62" s="198"/>
      <c r="F62" s="204">
        <f t="shared" si="20"/>
        <v>0</v>
      </c>
      <c r="G62" s="205">
        <f t="shared" si="21"/>
        <v>0</v>
      </c>
      <c r="H62" s="206">
        <f t="shared" si="22"/>
        <v>0</v>
      </c>
      <c r="I62" s="198"/>
      <c r="J62" s="204">
        <f t="shared" si="23"/>
        <v>0</v>
      </c>
      <c r="K62" s="205">
        <f t="shared" si="24"/>
        <v>0</v>
      </c>
      <c r="L62" s="206">
        <f t="shared" si="25"/>
        <v>0</v>
      </c>
      <c r="M62" s="179"/>
      <c r="N62" s="204">
        <f t="shared" si="26"/>
        <v>0</v>
      </c>
      <c r="O62" s="205">
        <f t="shared" si="27"/>
        <v>0</v>
      </c>
      <c r="P62" s="206">
        <f t="shared" si="28"/>
        <v>0</v>
      </c>
      <c r="Q62" s="179"/>
      <c r="R62" s="204">
        <f t="shared" si="29"/>
        <v>0</v>
      </c>
      <c r="S62" s="200">
        <f t="shared" si="30"/>
        <v>0</v>
      </c>
      <c r="T62" s="206">
        <f t="shared" si="31"/>
        <v>0</v>
      </c>
    </row>
    <row r="63" spans="2:20" x14ac:dyDescent="0.25">
      <c r="B63" s="186" t="s">
        <v>218</v>
      </c>
      <c r="C63" s="202">
        <f t="shared" ref="C63:D64" si="32">C49/1000000</f>
        <v>0</v>
      </c>
      <c r="D63" s="203">
        <f t="shared" si="32"/>
        <v>0</v>
      </c>
      <c r="E63" s="198"/>
      <c r="F63" s="204">
        <f t="shared" ref="F63:F64" si="33">F49/1000000</f>
        <v>0</v>
      </c>
      <c r="G63" s="205">
        <f t="shared" ref="G63" si="34">G49</f>
        <v>0</v>
      </c>
      <c r="H63" s="206">
        <f t="shared" ref="H63:H64" si="35">H49/1000000</f>
        <v>0</v>
      </c>
      <c r="I63" s="198"/>
      <c r="J63" s="204">
        <f t="shared" ref="J63:J64" si="36">J49/1000000</f>
        <v>0</v>
      </c>
      <c r="K63" s="205">
        <f t="shared" ref="K63" si="37">K49</f>
        <v>0</v>
      </c>
      <c r="L63" s="206">
        <f t="shared" ref="L63:L64" si="38">L49/1000000</f>
        <v>0</v>
      </c>
      <c r="M63" s="179"/>
      <c r="N63" s="204">
        <f t="shared" ref="N63:N64" si="39">N49/1000000</f>
        <v>0</v>
      </c>
      <c r="O63" s="205">
        <f t="shared" ref="O63" si="40">O49</f>
        <v>0</v>
      </c>
      <c r="P63" s="206">
        <f t="shared" ref="P63:P64" si="41">P49/1000000</f>
        <v>0</v>
      </c>
      <c r="Q63" s="179"/>
      <c r="R63" s="204">
        <f t="shared" ref="R63:R64" si="42">R49/1000000</f>
        <v>0</v>
      </c>
      <c r="S63" s="200">
        <f t="shared" ref="S63" si="43">S49</f>
        <v>0</v>
      </c>
      <c r="T63" s="206">
        <f t="shared" ref="T63:T64" si="44">T49/1000000</f>
        <v>0</v>
      </c>
    </row>
    <row r="64" spans="2:20" x14ac:dyDescent="0.25">
      <c r="B64" s="207" t="s">
        <v>219</v>
      </c>
      <c r="C64" s="208">
        <f t="shared" si="32"/>
        <v>0</v>
      </c>
      <c r="D64" s="209">
        <f t="shared" si="32"/>
        <v>0</v>
      </c>
      <c r="E64" s="210"/>
      <c r="F64" s="211">
        <f t="shared" si="33"/>
        <v>0</v>
      </c>
      <c r="G64" s="212">
        <f>G50</f>
        <v>-1</v>
      </c>
      <c r="H64" s="213">
        <f t="shared" si="35"/>
        <v>0</v>
      </c>
      <c r="I64" s="210"/>
      <c r="J64" s="211">
        <f t="shared" si="36"/>
        <v>0</v>
      </c>
      <c r="K64" s="212">
        <f>K50</f>
        <v>-1</v>
      </c>
      <c r="L64" s="213">
        <f t="shared" si="38"/>
        <v>0</v>
      </c>
      <c r="M64" s="210"/>
      <c r="N64" s="211">
        <f t="shared" si="39"/>
        <v>0</v>
      </c>
      <c r="O64" s="212">
        <f>O50</f>
        <v>-1</v>
      </c>
      <c r="P64" s="213">
        <f t="shared" si="41"/>
        <v>0</v>
      </c>
      <c r="R64" s="211">
        <f t="shared" si="42"/>
        <v>0</v>
      </c>
      <c r="S64" s="212" t="e">
        <v>#REF!</v>
      </c>
      <c r="T64" s="213">
        <f t="shared" si="44"/>
        <v>0</v>
      </c>
    </row>
    <row r="65" spans="2:20" x14ac:dyDescent="0.25">
      <c r="B65" s="207" t="s">
        <v>222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327"/>
      <c r="J67" s="327"/>
      <c r="K67" s="327"/>
      <c r="L67" s="177" t="e">
        <f>L66/$D$64</f>
        <v>#DIV/0!</v>
      </c>
      <c r="M67" s="327"/>
      <c r="N67" s="327"/>
      <c r="O67" s="327"/>
      <c r="P67" s="177" t="e">
        <f>P66/$D$64</f>
        <v>#DIV/0!</v>
      </c>
      <c r="Q67" s="327"/>
      <c r="R67" s="327"/>
      <c r="S67" s="327"/>
    </row>
  </sheetData>
  <mergeCells count="24">
    <mergeCell ref="V5:X5"/>
    <mergeCell ref="F4:P4"/>
    <mergeCell ref="F5:H5"/>
    <mergeCell ref="J5:L5"/>
    <mergeCell ref="N5:P5"/>
    <mergeCell ref="R5:T5"/>
    <mergeCell ref="F19:P19"/>
    <mergeCell ref="C20:D20"/>
    <mergeCell ref="F20:H20"/>
    <mergeCell ref="J20:L20"/>
    <mergeCell ref="N20:P20"/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</mergeCells>
  <conditionalFormatting sqref="G22:G30">
    <cfRule type="cellIs" dxfId="33" priority="17" operator="lessThan">
      <formula>0</formula>
    </cfRule>
    <cfRule type="cellIs" dxfId="32" priority="18" operator="greaterThan">
      <formula>0</formula>
    </cfRule>
  </conditionalFormatting>
  <conditionalFormatting sqref="K22:K30">
    <cfRule type="cellIs" dxfId="31" priority="15" operator="lessThan">
      <formula>0</formula>
    </cfRule>
    <cfRule type="cellIs" dxfId="30" priority="16" operator="greaterThan">
      <formula>0</formula>
    </cfRule>
  </conditionalFormatting>
  <conditionalFormatting sqref="O22:O30">
    <cfRule type="cellIs" dxfId="29" priority="13" operator="lessThan">
      <formula>0</formula>
    </cfRule>
    <cfRule type="cellIs" dxfId="28" priority="14" operator="greaterThan">
      <formula>0</formula>
    </cfRule>
  </conditionalFormatting>
  <conditionalFormatting sqref="S22:S30">
    <cfRule type="cellIs" dxfId="27" priority="11" operator="lessThan">
      <formula>0</formula>
    </cfRule>
    <cfRule type="cellIs" dxfId="26" priority="12" operator="greaterThan">
      <formula>0</formula>
    </cfRule>
  </conditionalFormatting>
  <conditionalFormatting sqref="G56:G63">
    <cfRule type="cellIs" dxfId="25" priority="9" operator="lessThan">
      <formula>0</formula>
    </cfRule>
    <cfRule type="cellIs" dxfId="24" priority="10" operator="greaterThan">
      <formula>0</formula>
    </cfRule>
  </conditionalFormatting>
  <conditionalFormatting sqref="K56:K63">
    <cfRule type="cellIs" dxfId="23" priority="7" operator="lessThan">
      <formula>0</formula>
    </cfRule>
    <cfRule type="cellIs" dxfId="22" priority="8" operator="greaterThan">
      <formula>0</formula>
    </cfRule>
  </conditionalFormatting>
  <conditionalFormatting sqref="O56:O63">
    <cfRule type="cellIs" dxfId="21" priority="5" operator="lessThan">
      <formula>0</formula>
    </cfRule>
    <cfRule type="cellIs" dxfId="20" priority="6" operator="greaterThan">
      <formula>0</formula>
    </cfRule>
  </conditionalFormatting>
  <conditionalFormatting sqref="S56:S63">
    <cfRule type="cellIs" dxfId="19" priority="3" operator="lessThan">
      <formula>0</formula>
    </cfRule>
    <cfRule type="cellIs" dxfId="18" priority="4" operator="greaterThan">
      <formula>0</formula>
    </cfRule>
  </conditionalFormatting>
  <conditionalFormatting sqref="W22:W30">
    <cfRule type="cellIs" dxfId="17" priority="1" operator="lessThan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topLeftCell="B1" zoomScale="80" zoomScaleNormal="80" workbookViewId="0">
      <selection activeCell="H5" sqref="H5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4.57031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233</v>
      </c>
    </row>
    <row r="2" spans="2:20" ht="15.75" thickBot="1" x14ac:dyDescent="0.3"/>
    <row r="3" spans="2:20" ht="30.2" customHeight="1" x14ac:dyDescent="0.25">
      <c r="B3" s="549" t="s">
        <v>2</v>
      </c>
      <c r="C3" s="547" t="s">
        <v>3</v>
      </c>
      <c r="D3" s="545" t="s">
        <v>234</v>
      </c>
      <c r="E3" s="546"/>
      <c r="F3" s="545" t="s">
        <v>235</v>
      </c>
      <c r="G3" s="546"/>
      <c r="H3" s="545" t="s">
        <v>236</v>
      </c>
      <c r="I3" s="546"/>
      <c r="K3" s="549" t="s">
        <v>2</v>
      </c>
      <c r="L3" s="547" t="s">
        <v>3</v>
      </c>
      <c r="M3" s="545" t="s">
        <v>234</v>
      </c>
      <c r="N3" s="546"/>
      <c r="O3" s="545" t="s">
        <v>235</v>
      </c>
      <c r="P3" s="546"/>
      <c r="Q3" s="545" t="s">
        <v>236</v>
      </c>
      <c r="R3" s="546"/>
    </row>
    <row r="4" spans="2:20" ht="25.5" x14ac:dyDescent="0.25">
      <c r="B4" s="548"/>
      <c r="C4" s="548"/>
      <c r="D4" s="229" t="s">
        <v>237</v>
      </c>
      <c r="E4" s="230" t="s">
        <v>238</v>
      </c>
      <c r="F4" s="229" t="s">
        <v>237</v>
      </c>
      <c r="G4" s="230" t="s">
        <v>238</v>
      </c>
      <c r="H4" s="229" t="s">
        <v>237</v>
      </c>
      <c r="I4" s="230" t="s">
        <v>238</v>
      </c>
      <c r="K4" s="548"/>
      <c r="L4" s="548"/>
      <c r="M4" s="229" t="s">
        <v>237</v>
      </c>
      <c r="N4" s="230" t="s">
        <v>238</v>
      </c>
      <c r="O4" s="229" t="s">
        <v>237</v>
      </c>
      <c r="P4" s="230" t="s">
        <v>238</v>
      </c>
      <c r="Q4" s="229" t="s">
        <v>237</v>
      </c>
      <c r="R4" s="230" t="s">
        <v>238</v>
      </c>
    </row>
    <row r="5" spans="2:20" x14ac:dyDescent="0.25">
      <c r="B5" s="53" t="s">
        <v>154</v>
      </c>
      <c r="C5" s="231" t="str">
        <f>VAC_Optim_Scenario!B19</f>
        <v>HCC In Office</v>
      </c>
      <c r="D5" s="232">
        <v>3081000</v>
      </c>
      <c r="E5" s="233">
        <v>15505097.624899359</v>
      </c>
      <c r="F5" s="232">
        <v>1659000</v>
      </c>
      <c r="G5" s="233">
        <v>5231470.2092302376</v>
      </c>
      <c r="H5" s="232">
        <v>3081000</v>
      </c>
      <c r="I5" s="233">
        <v>31010195.249798719</v>
      </c>
      <c r="J5" s="234"/>
      <c r="K5" s="53" t="s">
        <v>154</v>
      </c>
      <c r="L5" s="53" t="str">
        <f>VAC_Optim_Scenario!B19</f>
        <v>HCC In Office</v>
      </c>
      <c r="M5" s="235">
        <f>D5/1000000</f>
        <v>3.081</v>
      </c>
      <c r="N5" s="236">
        <f t="shared" ref="N5:R13" si="0">E5/1000000</f>
        <v>15.50509762489936</v>
      </c>
      <c r="O5" s="235">
        <f t="shared" si="0"/>
        <v>1.659</v>
      </c>
      <c r="P5" s="236">
        <f t="shared" si="0"/>
        <v>5.2314702092302374</v>
      </c>
      <c r="Q5" s="235">
        <f t="shared" si="0"/>
        <v>3.081</v>
      </c>
      <c r="R5" s="236">
        <f t="shared" si="0"/>
        <v>31.01019524979872</v>
      </c>
    </row>
    <row r="6" spans="2:20" x14ac:dyDescent="0.25">
      <c r="B6" s="54" t="s">
        <v>154</v>
      </c>
      <c r="C6" s="237" t="str">
        <f>VAC_Optim_Scenario!B20</f>
        <v>HCP MCM</v>
      </c>
      <c r="D6" s="238">
        <v>7913749.9886468202</v>
      </c>
      <c r="E6" s="239">
        <v>57060597.324814886</v>
      </c>
      <c r="F6" s="238">
        <v>7913749.9886468202</v>
      </c>
      <c r="G6" s="239">
        <v>28530298.662407443</v>
      </c>
      <c r="H6" s="238">
        <v>7913749.9886468202</v>
      </c>
      <c r="I6" s="239">
        <v>114121194.64962977</v>
      </c>
      <c r="J6" s="234"/>
      <c r="K6" s="54" t="s">
        <v>154</v>
      </c>
      <c r="L6" s="54" t="str">
        <f>VAC_Optim_Scenario!B20</f>
        <v>HCP MCM</v>
      </c>
      <c r="M6" s="240">
        <f t="shared" ref="M6:M13" si="1">D6/1000000</f>
        <v>7.9137499886468206</v>
      </c>
      <c r="N6" s="241">
        <f t="shared" si="0"/>
        <v>57.060597324814886</v>
      </c>
      <c r="O6" s="240">
        <f t="shared" si="0"/>
        <v>7.9137499886468206</v>
      </c>
      <c r="P6" s="241">
        <f t="shared" si="0"/>
        <v>28.530298662407443</v>
      </c>
      <c r="Q6" s="240">
        <f t="shared" si="0"/>
        <v>7.9137499886468206</v>
      </c>
      <c r="R6" s="241">
        <f t="shared" si="0"/>
        <v>114.12119464962977</v>
      </c>
    </row>
    <row r="7" spans="2:20" x14ac:dyDescent="0.25">
      <c r="B7" s="54" t="s">
        <v>154</v>
      </c>
      <c r="C7" s="237" t="str">
        <f>VAC_Optim_Scenario!B21</f>
        <v>HCC Social</v>
      </c>
      <c r="D7" s="238">
        <v>2938000</v>
      </c>
      <c r="E7" s="239">
        <v>12484947.958885178</v>
      </c>
      <c r="F7" s="238">
        <v>1582000</v>
      </c>
      <c r="G7" s="239">
        <v>4305757.3675515149</v>
      </c>
      <c r="H7" s="238">
        <v>2938000</v>
      </c>
      <c r="I7" s="239">
        <v>24969895.917770356</v>
      </c>
      <c r="J7" s="242"/>
      <c r="K7" s="54" t="s">
        <v>154</v>
      </c>
      <c r="L7" s="54" t="str">
        <f>VAC_Optim_Scenario!B21</f>
        <v>HCC Social</v>
      </c>
      <c r="M7" s="240">
        <f t="shared" si="1"/>
        <v>2.9380000000000002</v>
      </c>
      <c r="N7" s="241">
        <f t="shared" si="0"/>
        <v>12.484947958885177</v>
      </c>
      <c r="O7" s="240">
        <f t="shared" si="0"/>
        <v>1.5820000000000001</v>
      </c>
      <c r="P7" s="241">
        <f t="shared" si="0"/>
        <v>4.3057573675515153</v>
      </c>
      <c r="Q7" s="240">
        <f t="shared" si="0"/>
        <v>2.9380000000000002</v>
      </c>
      <c r="R7" s="241">
        <f t="shared" si="0"/>
        <v>24.969895917770355</v>
      </c>
    </row>
    <row r="8" spans="2:20" x14ac:dyDescent="0.25">
      <c r="B8" s="54" t="s">
        <v>154</v>
      </c>
      <c r="C8" s="237" t="str">
        <f>VAC_Optim_Scenario!B22</f>
        <v>HCC Online Video</v>
      </c>
      <c r="D8" s="238">
        <v>693000</v>
      </c>
      <c r="E8" s="239">
        <v>1393371.6974633737</v>
      </c>
      <c r="F8" s="238">
        <v>693000</v>
      </c>
      <c r="G8" s="239">
        <v>696685.84873168683</v>
      </c>
      <c r="H8" s="238">
        <v>1287000</v>
      </c>
      <c r="I8" s="239">
        <v>5072075.9622077979</v>
      </c>
      <c r="J8" s="234"/>
      <c r="K8" s="54" t="s">
        <v>154</v>
      </c>
      <c r="L8" s="54" t="str">
        <f>VAC_Optim_Scenario!B22</f>
        <v>HCC Online Video</v>
      </c>
      <c r="M8" s="240">
        <f t="shared" si="1"/>
        <v>0.69299999999999995</v>
      </c>
      <c r="N8" s="241">
        <f t="shared" si="0"/>
        <v>1.3933716974633736</v>
      </c>
      <c r="O8" s="240">
        <f t="shared" si="0"/>
        <v>0.69299999999999995</v>
      </c>
      <c r="P8" s="241">
        <f t="shared" si="0"/>
        <v>0.69668584873168682</v>
      </c>
      <c r="Q8" s="240">
        <f t="shared" si="0"/>
        <v>1.2869999999999999</v>
      </c>
      <c r="R8" s="241">
        <f t="shared" si="0"/>
        <v>5.0720759622077978</v>
      </c>
    </row>
    <row r="9" spans="2:20" x14ac:dyDescent="0.25">
      <c r="B9" s="54" t="s">
        <v>154</v>
      </c>
      <c r="C9" s="237" t="str">
        <f>VAC_Optim_Scenario!B23</f>
        <v>HCC Streaming Video</v>
      </c>
      <c r="D9" s="238">
        <v>3941643.9999999995</v>
      </c>
      <c r="E9" s="239">
        <v>16046723.043048661</v>
      </c>
      <c r="F9" s="238">
        <v>3941643.9999999995</v>
      </c>
      <c r="G9" s="239">
        <v>8023361.5215243306</v>
      </c>
      <c r="H9" s="238">
        <v>7320196</v>
      </c>
      <c r="I9" s="239">
        <v>46528980.850825705</v>
      </c>
      <c r="J9" s="242"/>
      <c r="K9" s="54" t="s">
        <v>154</v>
      </c>
      <c r="L9" s="54" t="str">
        <f>VAC_Optim_Scenario!B23</f>
        <v>HCC Streaming Video</v>
      </c>
      <c r="M9" s="240">
        <f t="shared" si="1"/>
        <v>3.9416439999999997</v>
      </c>
      <c r="N9" s="241">
        <f t="shared" si="0"/>
        <v>16.046723043048662</v>
      </c>
      <c r="O9" s="240">
        <f t="shared" si="0"/>
        <v>3.9416439999999997</v>
      </c>
      <c r="P9" s="241">
        <f t="shared" si="0"/>
        <v>8.0233615215243308</v>
      </c>
      <c r="Q9" s="240">
        <f t="shared" si="0"/>
        <v>7.3201960000000001</v>
      </c>
      <c r="R9" s="241">
        <f t="shared" si="0"/>
        <v>46.528980850825704</v>
      </c>
    </row>
    <row r="10" spans="2:20" x14ac:dyDescent="0.25">
      <c r="B10" s="54" t="s">
        <v>154</v>
      </c>
      <c r="C10" s="237" t="str">
        <f>VAC_Optim_Scenario!B24</f>
        <v>HCC Display</v>
      </c>
      <c r="D10" s="238">
        <v>1921400</v>
      </c>
      <c r="E10" s="239">
        <v>18796150.349974733</v>
      </c>
      <c r="F10" s="238">
        <v>1921400</v>
      </c>
      <c r="G10" s="239">
        <v>9398075.1749873664</v>
      </c>
      <c r="H10" s="238">
        <v>1921400</v>
      </c>
      <c r="I10" s="239">
        <v>37592300.699949466</v>
      </c>
      <c r="J10" s="242"/>
      <c r="K10" s="54" t="s">
        <v>154</v>
      </c>
      <c r="L10" s="54" t="str">
        <f>VAC_Optim_Scenario!B24</f>
        <v>HCC Display</v>
      </c>
      <c r="M10" s="240">
        <f t="shared" si="1"/>
        <v>1.9214</v>
      </c>
      <c r="N10" s="241">
        <f t="shared" si="0"/>
        <v>18.796150349974734</v>
      </c>
      <c r="O10" s="240">
        <f t="shared" si="0"/>
        <v>1.9214</v>
      </c>
      <c r="P10" s="241">
        <f t="shared" si="0"/>
        <v>9.3980751749873672</v>
      </c>
      <c r="Q10" s="240">
        <f t="shared" si="0"/>
        <v>1.9214</v>
      </c>
      <c r="R10" s="241">
        <f t="shared" si="0"/>
        <v>37.592300699949469</v>
      </c>
    </row>
    <row r="11" spans="2:20" x14ac:dyDescent="0.25">
      <c r="B11" s="54" t="s">
        <v>154</v>
      </c>
      <c r="C11" s="237" t="str">
        <f>VAC_Optim_Scenario!B25</f>
        <v>HCC Paid Search</v>
      </c>
      <c r="D11" s="238">
        <v>1232000</v>
      </c>
      <c r="E11" s="239">
        <v>1724376.7699591145</v>
      </c>
      <c r="F11" s="238">
        <v>1232000</v>
      </c>
      <c r="G11" s="239">
        <v>862188.38497955725</v>
      </c>
      <c r="H11" s="238">
        <v>1232000</v>
      </c>
      <c r="I11" s="239">
        <v>3448753.539918229</v>
      </c>
      <c r="J11" s="234"/>
      <c r="K11" s="54" t="s">
        <v>154</v>
      </c>
      <c r="L11" s="54" t="str">
        <f>VAC_Optim_Scenario!B25</f>
        <v>HCC Paid Search</v>
      </c>
      <c r="M11" s="240">
        <f t="shared" si="1"/>
        <v>1.232</v>
      </c>
      <c r="N11" s="241">
        <f t="shared" si="0"/>
        <v>1.7243767699591146</v>
      </c>
      <c r="O11" s="240">
        <f t="shared" si="0"/>
        <v>1.232</v>
      </c>
      <c r="P11" s="241">
        <f t="shared" si="0"/>
        <v>0.8621883849795573</v>
      </c>
      <c r="Q11" s="240">
        <f t="shared" si="0"/>
        <v>1.232</v>
      </c>
      <c r="R11" s="241">
        <f t="shared" si="0"/>
        <v>3.4487535399182292</v>
      </c>
    </row>
    <row r="12" spans="2:20" x14ac:dyDescent="0.25">
      <c r="B12" s="54" t="s">
        <v>154</v>
      </c>
      <c r="C12" s="237" t="str">
        <f>VAC_Optim_Scenario!B26</f>
        <v>HCC Audio</v>
      </c>
      <c r="D12" s="238">
        <v>1599670.8676800225</v>
      </c>
      <c r="E12" s="239">
        <v>9996421.98813181</v>
      </c>
      <c r="F12" s="238">
        <v>913707.9</v>
      </c>
      <c r="G12" s="239">
        <v>3995078.1857456174</v>
      </c>
      <c r="H12" s="238">
        <v>1696886.1</v>
      </c>
      <c r="I12" s="239">
        <v>20470261.90992026</v>
      </c>
      <c r="J12" s="234"/>
      <c r="K12" s="54" t="s">
        <v>154</v>
      </c>
      <c r="L12" s="54" t="str">
        <f>VAC_Optim_Scenario!B26</f>
        <v>HCC Audio</v>
      </c>
      <c r="M12" s="240">
        <f t="shared" si="1"/>
        <v>1.5996708676800224</v>
      </c>
      <c r="N12" s="241">
        <f t="shared" si="0"/>
        <v>9.9964219881318108</v>
      </c>
      <c r="O12" s="240">
        <f t="shared" si="0"/>
        <v>0.91370790000000002</v>
      </c>
      <c r="P12" s="241">
        <f t="shared" si="0"/>
        <v>3.9950781857456175</v>
      </c>
      <c r="Q12" s="240">
        <f t="shared" si="0"/>
        <v>1.6968861000000002</v>
      </c>
      <c r="R12" s="241">
        <f t="shared" si="0"/>
        <v>20.470261909920261</v>
      </c>
    </row>
    <row r="13" spans="2:20" x14ac:dyDescent="0.25">
      <c r="B13" s="251" t="s">
        <v>154</v>
      </c>
      <c r="C13" s="223" t="str">
        <f>VAC_Optim_Scenario!B27</f>
        <v>HCC TV</v>
      </c>
      <c r="D13" s="252">
        <v>15034299.993673161</v>
      </c>
      <c r="E13" s="252">
        <v>62633387.738168843</v>
      </c>
      <c r="F13" s="252">
        <v>11531133.494999999</v>
      </c>
      <c r="G13" s="252">
        <v>26708480.43695968</v>
      </c>
      <c r="H13" s="252">
        <v>18498262.961353183</v>
      </c>
      <c r="I13" s="252">
        <v>141861497.65733996</v>
      </c>
      <c r="J13" s="234"/>
      <c r="K13" s="251" t="s">
        <v>154</v>
      </c>
      <c r="L13" s="251" t="str">
        <f>VAC_Optim_Scenario!B27</f>
        <v>HCC TV</v>
      </c>
      <c r="M13" s="245">
        <f t="shared" si="1"/>
        <v>15.034299993673161</v>
      </c>
      <c r="N13" s="245">
        <f t="shared" si="0"/>
        <v>62.633387738168842</v>
      </c>
      <c r="O13" s="245">
        <f t="shared" si="0"/>
        <v>11.531133494999999</v>
      </c>
      <c r="P13" s="245">
        <f t="shared" si="0"/>
        <v>26.708480436959679</v>
      </c>
      <c r="Q13" s="245">
        <f t="shared" si="0"/>
        <v>18.498262961353184</v>
      </c>
      <c r="R13" s="245">
        <f t="shared" si="0"/>
        <v>141.86149765733995</v>
      </c>
    </row>
    <row r="14" spans="2:20" x14ac:dyDescent="0.25">
      <c r="T14" s="292"/>
    </row>
    <row r="15" spans="2:20" x14ac:dyDescent="0.25">
      <c r="C15" s="228" t="s">
        <v>240</v>
      </c>
    </row>
    <row r="16" spans="2:20" x14ac:dyDescent="0.25">
      <c r="F16" s="337"/>
      <c r="G16" s="337"/>
    </row>
    <row r="17" spans="2:19" ht="37.9" customHeight="1" x14ac:dyDescent="0.25">
      <c r="C17" s="547" t="s">
        <v>3</v>
      </c>
      <c r="D17" s="545" t="s">
        <v>234</v>
      </c>
      <c r="E17" s="546"/>
      <c r="F17" s="545" t="s">
        <v>241</v>
      </c>
      <c r="G17" s="546"/>
      <c r="H17" s="545" t="s">
        <v>242</v>
      </c>
      <c r="I17" s="546"/>
      <c r="L17" s="547" t="s">
        <v>3</v>
      </c>
      <c r="M17" s="545" t="s">
        <v>234</v>
      </c>
      <c r="N17" s="546"/>
      <c r="O17" s="545" t="s">
        <v>241</v>
      </c>
      <c r="P17" s="546"/>
      <c r="Q17" s="545" t="s">
        <v>242</v>
      </c>
      <c r="R17" s="546"/>
    </row>
    <row r="18" spans="2:19" ht="25.5" x14ac:dyDescent="0.25">
      <c r="C18" s="548"/>
      <c r="D18" s="55" t="s">
        <v>237</v>
      </c>
      <c r="E18" s="55" t="s">
        <v>238</v>
      </c>
      <c r="F18" s="55" t="s">
        <v>237</v>
      </c>
      <c r="G18" s="55" t="s">
        <v>238</v>
      </c>
      <c r="H18" s="55" t="s">
        <v>237</v>
      </c>
      <c r="I18" s="55" t="s">
        <v>238</v>
      </c>
      <c r="L18" s="548"/>
      <c r="M18" s="55" t="s">
        <v>237</v>
      </c>
      <c r="N18" s="55" t="s">
        <v>238</v>
      </c>
      <c r="O18" s="55" t="s">
        <v>237</v>
      </c>
      <c r="P18" s="55" t="s">
        <v>238</v>
      </c>
      <c r="Q18" s="55" t="s">
        <v>237</v>
      </c>
      <c r="R18" s="55" t="s">
        <v>238</v>
      </c>
    </row>
    <row r="19" spans="2:19" x14ac:dyDescent="0.25">
      <c r="B19" s="53" t="s">
        <v>154</v>
      </c>
      <c r="C19" s="231" t="str">
        <f>VAC_Optim_Scenario!B19</f>
        <v>HCC In Office</v>
      </c>
      <c r="D19" s="232">
        <v>3081000</v>
      </c>
      <c r="E19" s="233">
        <v>15505097.624899359</v>
      </c>
      <c r="F19" s="232">
        <v>1976029.1300433497</v>
      </c>
      <c r="G19" s="233">
        <v>7097337.0795079041</v>
      </c>
      <c r="H19" s="232">
        <v>3081000</v>
      </c>
      <c r="I19" s="233">
        <v>21707136.674859103</v>
      </c>
      <c r="J19" s="234"/>
      <c r="K19" s="53" t="s">
        <v>154</v>
      </c>
      <c r="L19" s="231" t="str">
        <f>VAC_Optim_Scenario!B19</f>
        <v>HCC In Office</v>
      </c>
      <c r="M19" s="235">
        <f>D19/1000000</f>
        <v>3.081</v>
      </c>
      <c r="N19" s="236">
        <f t="shared" ref="N19:R27" si="2">E19/1000000</f>
        <v>15.50509762489936</v>
      </c>
      <c r="O19" s="235">
        <f t="shared" si="2"/>
        <v>1.9760291300433497</v>
      </c>
      <c r="P19" s="236">
        <f t="shared" si="2"/>
        <v>7.0973370795079038</v>
      </c>
      <c r="Q19" s="235">
        <f t="shared" si="2"/>
        <v>3.081</v>
      </c>
      <c r="R19" s="236">
        <f t="shared" si="2"/>
        <v>21.707136674859104</v>
      </c>
    </row>
    <row r="20" spans="2:19" x14ac:dyDescent="0.25">
      <c r="B20" s="54" t="s">
        <v>154</v>
      </c>
      <c r="C20" s="237" t="str">
        <f>VAC_Optim_Scenario!B20</f>
        <v>HCP MCM</v>
      </c>
      <c r="D20" s="238">
        <v>7913749.9886468202</v>
      </c>
      <c r="E20" s="239">
        <v>57060597.324814886</v>
      </c>
      <c r="F20" s="238">
        <v>7913749.9886468202</v>
      </c>
      <c r="G20" s="239">
        <v>34236358.39488893</v>
      </c>
      <c r="H20" s="238">
        <v>7913749.9886468202</v>
      </c>
      <c r="I20" s="239">
        <v>79884836.254740834</v>
      </c>
      <c r="J20" s="234"/>
      <c r="K20" s="54" t="s">
        <v>154</v>
      </c>
      <c r="L20" s="237" t="str">
        <f>VAC_Optim_Scenario!B20</f>
        <v>HCP MCM</v>
      </c>
      <c r="M20" s="240">
        <f t="shared" ref="M20:M27" si="3">D20/1000000</f>
        <v>7.9137499886468206</v>
      </c>
      <c r="N20" s="241">
        <f t="shared" si="2"/>
        <v>57.060597324814886</v>
      </c>
      <c r="O20" s="240">
        <f t="shared" si="2"/>
        <v>7.9137499886468206</v>
      </c>
      <c r="P20" s="241">
        <f t="shared" si="2"/>
        <v>34.236358394888931</v>
      </c>
      <c r="Q20" s="240">
        <f t="shared" si="2"/>
        <v>7.9137499886468206</v>
      </c>
      <c r="R20" s="241">
        <f t="shared" si="2"/>
        <v>79.884836254740833</v>
      </c>
    </row>
    <row r="21" spans="2:19" x14ac:dyDescent="0.25">
      <c r="B21" s="54" t="s">
        <v>154</v>
      </c>
      <c r="C21" s="237" t="str">
        <f>VAC_Optim_Scenario!B21</f>
        <v>HCC Social</v>
      </c>
      <c r="D21" s="238">
        <v>2938000</v>
      </c>
      <c r="E21" s="239">
        <v>12484947.958885178</v>
      </c>
      <c r="F21" s="238">
        <v>1582000</v>
      </c>
      <c r="G21" s="239">
        <v>5166908.8410618175</v>
      </c>
      <c r="H21" s="238">
        <v>2938000</v>
      </c>
      <c r="I21" s="239">
        <v>17478927.142439246</v>
      </c>
      <c r="J21" s="242"/>
      <c r="K21" s="54" t="s">
        <v>154</v>
      </c>
      <c r="L21" s="237" t="str">
        <f>VAC_Optim_Scenario!B21</f>
        <v>HCC Social</v>
      </c>
      <c r="M21" s="240">
        <f t="shared" si="3"/>
        <v>2.9380000000000002</v>
      </c>
      <c r="N21" s="241">
        <f t="shared" si="2"/>
        <v>12.484947958885177</v>
      </c>
      <c r="O21" s="240">
        <f t="shared" si="2"/>
        <v>1.5820000000000001</v>
      </c>
      <c r="P21" s="241">
        <f t="shared" si="2"/>
        <v>5.1669088410618178</v>
      </c>
      <c r="Q21" s="240">
        <f t="shared" si="2"/>
        <v>2.9380000000000002</v>
      </c>
      <c r="R21" s="241">
        <f t="shared" si="2"/>
        <v>17.478927142439247</v>
      </c>
    </row>
    <row r="22" spans="2:19" x14ac:dyDescent="0.25">
      <c r="B22" s="54" t="s">
        <v>154</v>
      </c>
      <c r="C22" s="237" t="str">
        <f>VAC_Optim_Scenario!B22</f>
        <v>HCC Online Video</v>
      </c>
      <c r="D22" s="238">
        <v>693000</v>
      </c>
      <c r="E22" s="239">
        <v>1393371.6974633737</v>
      </c>
      <c r="F22" s="238">
        <v>693000</v>
      </c>
      <c r="G22" s="239">
        <v>836023.01847802405</v>
      </c>
      <c r="H22" s="238">
        <v>1287000</v>
      </c>
      <c r="I22" s="239">
        <v>3550453.1735454584</v>
      </c>
      <c r="J22" s="234"/>
      <c r="K22" s="54" t="s">
        <v>154</v>
      </c>
      <c r="L22" s="237" t="str">
        <f>VAC_Optim_Scenario!B22</f>
        <v>HCC Online Video</v>
      </c>
      <c r="M22" s="240">
        <f t="shared" si="3"/>
        <v>0.69299999999999995</v>
      </c>
      <c r="N22" s="241">
        <f t="shared" si="2"/>
        <v>1.3933716974633736</v>
      </c>
      <c r="O22" s="240">
        <f t="shared" si="2"/>
        <v>0.69299999999999995</v>
      </c>
      <c r="P22" s="241">
        <f t="shared" si="2"/>
        <v>0.83602301847802407</v>
      </c>
      <c r="Q22" s="240">
        <f t="shared" si="2"/>
        <v>1.2869999999999999</v>
      </c>
      <c r="R22" s="241">
        <f t="shared" si="2"/>
        <v>3.5504531735454585</v>
      </c>
    </row>
    <row r="23" spans="2:19" x14ac:dyDescent="0.25">
      <c r="B23" s="54" t="s">
        <v>154</v>
      </c>
      <c r="C23" s="237" t="str">
        <f>VAC_Optim_Scenario!B23</f>
        <v>HCC Streaming Video</v>
      </c>
      <c r="D23" s="238">
        <v>3941643.9999999995</v>
      </c>
      <c r="E23" s="239">
        <v>16046723.043048661</v>
      </c>
      <c r="F23" s="238">
        <v>3941643.9999999995</v>
      </c>
      <c r="G23" s="239">
        <v>9628033.8258291967</v>
      </c>
      <c r="H23" s="238">
        <v>7133528.9098028336</v>
      </c>
      <c r="I23" s="239">
        <v>32069383.393545374</v>
      </c>
      <c r="J23" s="242"/>
      <c r="K23" s="54" t="s">
        <v>154</v>
      </c>
      <c r="L23" s="237" t="str">
        <f>VAC_Optim_Scenario!B23</f>
        <v>HCC Streaming Video</v>
      </c>
      <c r="M23" s="240">
        <f t="shared" si="3"/>
        <v>3.9416439999999997</v>
      </c>
      <c r="N23" s="241">
        <f t="shared" si="2"/>
        <v>16.046723043048662</v>
      </c>
      <c r="O23" s="240">
        <f t="shared" si="2"/>
        <v>3.9416439999999997</v>
      </c>
      <c r="P23" s="241">
        <f t="shared" si="2"/>
        <v>9.6280338258291973</v>
      </c>
      <c r="Q23" s="240">
        <f t="shared" si="2"/>
        <v>7.1335289098028332</v>
      </c>
      <c r="R23" s="241">
        <f t="shared" si="2"/>
        <v>32.069383393545372</v>
      </c>
    </row>
    <row r="24" spans="2:19" x14ac:dyDescent="0.25">
      <c r="B24" s="54" t="s">
        <v>154</v>
      </c>
      <c r="C24" s="237" t="str">
        <f>VAC_Optim_Scenario!B24</f>
        <v>HCC Display</v>
      </c>
      <c r="D24" s="238">
        <v>1921400</v>
      </c>
      <c r="E24" s="239">
        <v>18796150.349974733</v>
      </c>
      <c r="F24" s="238">
        <v>1921400</v>
      </c>
      <c r="G24" s="239">
        <v>11277690.209984839</v>
      </c>
      <c r="H24" s="238">
        <v>1921400</v>
      </c>
      <c r="I24" s="239">
        <v>26314610.489964623</v>
      </c>
      <c r="J24" s="242"/>
      <c r="K24" s="54" t="s">
        <v>154</v>
      </c>
      <c r="L24" s="237" t="str">
        <f>VAC_Optim_Scenario!B24</f>
        <v>HCC Display</v>
      </c>
      <c r="M24" s="240">
        <f t="shared" si="3"/>
        <v>1.9214</v>
      </c>
      <c r="N24" s="241">
        <f t="shared" si="2"/>
        <v>18.796150349974734</v>
      </c>
      <c r="O24" s="240">
        <f t="shared" si="2"/>
        <v>1.9214</v>
      </c>
      <c r="P24" s="241">
        <f t="shared" si="2"/>
        <v>11.277690209984838</v>
      </c>
      <c r="Q24" s="240">
        <f t="shared" si="2"/>
        <v>1.9214</v>
      </c>
      <c r="R24" s="241">
        <f t="shared" si="2"/>
        <v>26.314610489964622</v>
      </c>
    </row>
    <row r="25" spans="2:19" x14ac:dyDescent="0.25">
      <c r="B25" s="54" t="s">
        <v>154</v>
      </c>
      <c r="C25" s="237" t="str">
        <f>VAC_Optim_Scenario!B25</f>
        <v>HCC Paid Search</v>
      </c>
      <c r="D25" s="238">
        <v>1232000</v>
      </c>
      <c r="E25" s="239">
        <v>1724376.7699591145</v>
      </c>
      <c r="F25" s="238">
        <v>1232000</v>
      </c>
      <c r="G25" s="239">
        <v>1034626.0619754686</v>
      </c>
      <c r="H25" s="238">
        <v>1232000</v>
      </c>
      <c r="I25" s="239">
        <v>2414127.4779427601</v>
      </c>
      <c r="J25" s="242"/>
      <c r="K25" s="54" t="s">
        <v>154</v>
      </c>
      <c r="L25" s="237" t="str">
        <f>VAC_Optim_Scenario!B25</f>
        <v>HCC Paid Search</v>
      </c>
      <c r="M25" s="240">
        <f t="shared" si="3"/>
        <v>1.232</v>
      </c>
      <c r="N25" s="241">
        <f t="shared" si="2"/>
        <v>1.7243767699591146</v>
      </c>
      <c r="O25" s="240">
        <f t="shared" si="2"/>
        <v>1.232</v>
      </c>
      <c r="P25" s="241">
        <f t="shared" si="2"/>
        <v>1.0346260619754686</v>
      </c>
      <c r="Q25" s="240">
        <f t="shared" si="2"/>
        <v>1.232</v>
      </c>
      <c r="R25" s="241">
        <f t="shared" si="2"/>
        <v>2.4141274779427602</v>
      </c>
    </row>
    <row r="26" spans="2:19" x14ac:dyDescent="0.25">
      <c r="B26" s="54" t="s">
        <v>154</v>
      </c>
      <c r="C26" s="237" t="str">
        <f>VAC_Optim_Scenario!B26</f>
        <v>HCC Audio</v>
      </c>
      <c r="D26" s="238">
        <v>1599670.7428443772</v>
      </c>
      <c r="E26" s="239">
        <v>9996421.676090166</v>
      </c>
      <c r="F26" s="238">
        <v>913707.89999999991</v>
      </c>
      <c r="G26" s="239">
        <v>4794093.8228947408</v>
      </c>
      <c r="H26" s="238">
        <v>1696886.1</v>
      </c>
      <c r="I26" s="239">
        <v>14329183.336944181</v>
      </c>
      <c r="J26" s="242"/>
      <c r="K26" s="54" t="s">
        <v>154</v>
      </c>
      <c r="L26" s="237" t="str">
        <f>VAC_Optim_Scenario!B26</f>
        <v>HCC Audio</v>
      </c>
      <c r="M26" s="240">
        <f t="shared" si="3"/>
        <v>1.5996707428443773</v>
      </c>
      <c r="N26" s="241">
        <f t="shared" si="2"/>
        <v>9.9964216760901667</v>
      </c>
      <c r="O26" s="240">
        <f t="shared" si="2"/>
        <v>0.91370789999999991</v>
      </c>
      <c r="P26" s="241">
        <f t="shared" si="2"/>
        <v>4.794093822894741</v>
      </c>
      <c r="Q26" s="240">
        <f t="shared" si="2"/>
        <v>1.6968861000000002</v>
      </c>
      <c r="R26" s="241">
        <f t="shared" si="2"/>
        <v>14.329183336944181</v>
      </c>
    </row>
    <row r="27" spans="2:19" x14ac:dyDescent="0.25">
      <c r="B27" s="251" t="s">
        <v>154</v>
      </c>
      <c r="C27" s="223" t="str">
        <f>VAC_Optim_Scenario!B27</f>
        <v>HCC TV</v>
      </c>
      <c r="D27" s="252">
        <v>15034300.118508808</v>
      </c>
      <c r="E27" s="252">
        <v>62633388.050210491</v>
      </c>
      <c r="F27" s="252">
        <v>11531133.494999999</v>
      </c>
      <c r="G27" s="252">
        <v>32050176.524351615</v>
      </c>
      <c r="H27" s="252">
        <v>17521435.993065551</v>
      </c>
      <c r="I27" s="252">
        <v>96122670.742821991</v>
      </c>
      <c r="J27" s="242"/>
      <c r="K27" s="251" t="s">
        <v>154</v>
      </c>
      <c r="L27" s="223" t="str">
        <f>VAC_Optim_Scenario!B27</f>
        <v>HCC TV</v>
      </c>
      <c r="M27" s="245">
        <f t="shared" si="3"/>
        <v>15.034300118508808</v>
      </c>
      <c r="N27" s="245">
        <f t="shared" si="2"/>
        <v>62.633388050210492</v>
      </c>
      <c r="O27" s="245">
        <f t="shared" si="2"/>
        <v>11.531133494999999</v>
      </c>
      <c r="P27" s="245">
        <f t="shared" si="2"/>
        <v>32.050176524351613</v>
      </c>
      <c r="Q27" s="245">
        <f t="shared" si="2"/>
        <v>17.521435993065552</v>
      </c>
      <c r="R27" s="245">
        <f t="shared" si="2"/>
        <v>96.122670742821995</v>
      </c>
    </row>
    <row r="30" spans="2:19" ht="34.35" customHeight="1" x14ac:dyDescent="0.25">
      <c r="C30" s="313" t="s">
        <v>3</v>
      </c>
      <c r="D30" s="314" t="s">
        <v>243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226</v>
      </c>
      <c r="L30" s="97" t="s">
        <v>227</v>
      </c>
      <c r="M30" s="97" t="s">
        <v>228</v>
      </c>
      <c r="N30" s="97" t="s">
        <v>246</v>
      </c>
      <c r="O30" s="97" t="s">
        <v>248</v>
      </c>
      <c r="P30" s="97" t="s">
        <v>229</v>
      </c>
      <c r="Q30" s="97" t="s">
        <v>230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3" t="str">
        <f>VAC_Optim_Scenario!B19</f>
        <v>HCC In Office</v>
      </c>
      <c r="D31" s="315">
        <f>M19</f>
        <v>3.081</v>
      </c>
      <c r="E31" s="315">
        <f>O5</f>
        <v>1.659</v>
      </c>
      <c r="F31" s="315">
        <f>Q5</f>
        <v>3.081</v>
      </c>
      <c r="G31" s="315">
        <f>O19</f>
        <v>1.9760291300433497</v>
      </c>
      <c r="H31" s="315">
        <f>Q19</f>
        <v>3.081</v>
      </c>
      <c r="J31" s="244">
        <v>-0.5</v>
      </c>
      <c r="K31" s="245">
        <f>E$31</f>
        <v>1.659</v>
      </c>
      <c r="L31" s="245">
        <f>E$32</f>
        <v>7.9137499886468206</v>
      </c>
      <c r="M31" s="245">
        <f>E$33</f>
        <v>1.5820000000000001</v>
      </c>
      <c r="N31" s="245">
        <f>E$34</f>
        <v>0.69299999999999995</v>
      </c>
      <c r="O31" s="245">
        <f>E$35</f>
        <v>3.9416439999999997</v>
      </c>
      <c r="P31" s="245">
        <f>E$36</f>
        <v>1.9214</v>
      </c>
      <c r="Q31" s="245">
        <f>E$37</f>
        <v>1.232</v>
      </c>
      <c r="R31" s="245">
        <f>E$38</f>
        <v>0.91370790000000002</v>
      </c>
      <c r="S31" s="245">
        <f>E$39</f>
        <v>11.531133494999999</v>
      </c>
    </row>
    <row r="32" spans="2:19" x14ac:dyDescent="0.25">
      <c r="B32" s="54" t="s">
        <v>154</v>
      </c>
      <c r="C32" s="294" t="str">
        <f>VAC_Optim_Scenario!B20</f>
        <v>HCP MCM</v>
      </c>
      <c r="D32" s="316">
        <f t="shared" ref="D32:D39" si="4">M20</f>
        <v>7.9137499886468206</v>
      </c>
      <c r="E32" s="316">
        <f t="shared" ref="E32:E39" si="5">O6</f>
        <v>7.9137499886468206</v>
      </c>
      <c r="F32" s="316">
        <f t="shared" ref="F32:F39" si="6">Q6</f>
        <v>7.9137499886468206</v>
      </c>
      <c r="G32" s="316">
        <f t="shared" ref="G32:G39" si="7">O20</f>
        <v>7.9137499886468206</v>
      </c>
      <c r="H32" s="316">
        <f t="shared" ref="H32:H39" si="8">Q20</f>
        <v>7.9137499886468206</v>
      </c>
      <c r="J32" s="244">
        <v>-0.4</v>
      </c>
      <c r="K32" s="245">
        <f>G$31</f>
        <v>1.9760291300433497</v>
      </c>
      <c r="L32" s="245">
        <f>G$32</f>
        <v>7.9137499886468206</v>
      </c>
      <c r="M32" s="245">
        <f>G$33</f>
        <v>1.5820000000000001</v>
      </c>
      <c r="N32" s="245">
        <f>G$34</f>
        <v>0.69299999999999995</v>
      </c>
      <c r="O32" s="245">
        <f>G$35</f>
        <v>3.9416439999999997</v>
      </c>
      <c r="P32" s="245">
        <f>G$36</f>
        <v>1.9214</v>
      </c>
      <c r="Q32" s="245">
        <f>G$37</f>
        <v>1.232</v>
      </c>
      <c r="R32" s="245">
        <f>G$38</f>
        <v>0.91370789999999991</v>
      </c>
      <c r="S32" s="245">
        <f>G$39</f>
        <v>11.531133494999999</v>
      </c>
    </row>
    <row r="33" spans="2:22" x14ac:dyDescent="0.25">
      <c r="B33" s="54" t="s">
        <v>154</v>
      </c>
      <c r="C33" s="294" t="str">
        <f>VAC_Optim_Scenario!B21</f>
        <v>HCC Social</v>
      </c>
      <c r="D33" s="316">
        <f t="shared" si="4"/>
        <v>2.9380000000000002</v>
      </c>
      <c r="E33" s="316">
        <f t="shared" si="5"/>
        <v>1.5820000000000001</v>
      </c>
      <c r="F33" s="316">
        <f t="shared" si="6"/>
        <v>2.9380000000000002</v>
      </c>
      <c r="G33" s="316">
        <f t="shared" si="7"/>
        <v>1.5820000000000001</v>
      </c>
      <c r="H33" s="316">
        <f t="shared" si="8"/>
        <v>2.9380000000000002</v>
      </c>
      <c r="J33" s="244" t="s">
        <v>243</v>
      </c>
      <c r="K33" s="245">
        <f>D$31</f>
        <v>3.081</v>
      </c>
      <c r="L33" s="245">
        <f>D$32</f>
        <v>7.9137499886468206</v>
      </c>
      <c r="M33" s="245">
        <f>D$33</f>
        <v>2.9380000000000002</v>
      </c>
      <c r="N33" s="245">
        <f>D$34</f>
        <v>0.69299999999999995</v>
      </c>
      <c r="O33" s="245">
        <f>D$35</f>
        <v>3.9416439999999997</v>
      </c>
      <c r="P33" s="245">
        <f>D$36</f>
        <v>1.9214</v>
      </c>
      <c r="Q33" s="245">
        <f>D$37</f>
        <v>1.232</v>
      </c>
      <c r="R33" s="245">
        <f>D$38</f>
        <v>1.5996707428443773</v>
      </c>
      <c r="S33" s="245">
        <f>D$39</f>
        <v>15.034300118508808</v>
      </c>
    </row>
    <row r="34" spans="2:22" x14ac:dyDescent="0.25">
      <c r="B34" s="54" t="s">
        <v>154</v>
      </c>
      <c r="C34" s="294" t="str">
        <f>VAC_Optim_Scenario!B22</f>
        <v>HCC Online Video</v>
      </c>
      <c r="D34" s="316">
        <f t="shared" si="4"/>
        <v>0.69299999999999995</v>
      </c>
      <c r="E34" s="316">
        <f t="shared" si="5"/>
        <v>0.69299999999999995</v>
      </c>
      <c r="F34" s="316">
        <f t="shared" si="6"/>
        <v>1.2869999999999999</v>
      </c>
      <c r="G34" s="316">
        <f t="shared" si="7"/>
        <v>0.69299999999999995</v>
      </c>
      <c r="H34" s="316">
        <f t="shared" si="8"/>
        <v>1.2869999999999999</v>
      </c>
      <c r="J34" s="244">
        <v>0.4</v>
      </c>
      <c r="K34" s="245">
        <f>H$31</f>
        <v>3.081</v>
      </c>
      <c r="L34" s="245">
        <f>H$32</f>
        <v>7.9137499886468206</v>
      </c>
      <c r="M34" s="245">
        <f>H$33</f>
        <v>2.9380000000000002</v>
      </c>
      <c r="N34" s="245">
        <f>H$34</f>
        <v>1.2869999999999999</v>
      </c>
      <c r="O34" s="245">
        <f>H$35</f>
        <v>7.1335289098028332</v>
      </c>
      <c r="P34" s="245">
        <f>H$36</f>
        <v>1.9214</v>
      </c>
      <c r="Q34" s="245">
        <f>H$37</f>
        <v>1.232</v>
      </c>
      <c r="R34" s="245">
        <f>H$38</f>
        <v>1.6968861000000002</v>
      </c>
      <c r="S34" s="245">
        <f>H$39</f>
        <v>17.521435993065552</v>
      </c>
    </row>
    <row r="35" spans="2:22" x14ac:dyDescent="0.25">
      <c r="B35" s="54" t="s">
        <v>154</v>
      </c>
      <c r="C35" s="294" t="str">
        <f>VAC_Optim_Scenario!B23</f>
        <v>HCC Streaming Video</v>
      </c>
      <c r="D35" s="316">
        <f t="shared" si="4"/>
        <v>3.9416439999999997</v>
      </c>
      <c r="E35" s="316">
        <f t="shared" si="5"/>
        <v>3.9416439999999997</v>
      </c>
      <c r="F35" s="316">
        <f t="shared" si="6"/>
        <v>7.3201960000000001</v>
      </c>
      <c r="G35" s="316">
        <f t="shared" si="7"/>
        <v>3.9416439999999997</v>
      </c>
      <c r="H35" s="316">
        <f t="shared" si="8"/>
        <v>7.1335289098028332</v>
      </c>
      <c r="J35" s="243">
        <v>2</v>
      </c>
      <c r="K35" s="245">
        <f>F$31</f>
        <v>3.081</v>
      </c>
      <c r="L35" s="245">
        <f>F$32</f>
        <v>7.9137499886468206</v>
      </c>
      <c r="M35" s="245">
        <f>F$33</f>
        <v>2.9380000000000002</v>
      </c>
      <c r="N35" s="245">
        <f>F$34</f>
        <v>1.2869999999999999</v>
      </c>
      <c r="O35" s="245">
        <f>F$35</f>
        <v>7.3201960000000001</v>
      </c>
      <c r="P35" s="245">
        <f>F$36</f>
        <v>1.9214</v>
      </c>
      <c r="Q35" s="245">
        <f>F$37</f>
        <v>1.232</v>
      </c>
      <c r="R35" s="245">
        <f>F$38</f>
        <v>1.6968861000000002</v>
      </c>
      <c r="S35" s="245">
        <f>F$39</f>
        <v>18.498262961353184</v>
      </c>
    </row>
    <row r="36" spans="2:22" x14ac:dyDescent="0.25">
      <c r="B36" s="54" t="s">
        <v>154</v>
      </c>
      <c r="C36" s="294" t="str">
        <f>VAC_Optim_Scenario!B24</f>
        <v>HCC Display</v>
      </c>
      <c r="D36" s="316">
        <f t="shared" si="4"/>
        <v>1.9214</v>
      </c>
      <c r="E36" s="316">
        <f t="shared" si="5"/>
        <v>1.9214</v>
      </c>
      <c r="F36" s="316">
        <f t="shared" si="6"/>
        <v>1.9214</v>
      </c>
      <c r="G36" s="316">
        <f t="shared" si="7"/>
        <v>1.9214</v>
      </c>
      <c r="H36" s="316">
        <f t="shared" si="8"/>
        <v>1.9214</v>
      </c>
    </row>
    <row r="37" spans="2:22" x14ac:dyDescent="0.25">
      <c r="B37" s="54" t="s">
        <v>154</v>
      </c>
      <c r="C37" s="294" t="str">
        <f>VAC_Optim_Scenario!B25</f>
        <v>HCC Paid Search</v>
      </c>
      <c r="D37" s="316">
        <f t="shared" si="4"/>
        <v>1.232</v>
      </c>
      <c r="E37" s="316">
        <f t="shared" si="5"/>
        <v>1.232</v>
      </c>
      <c r="F37" s="316">
        <f t="shared" si="6"/>
        <v>1.232</v>
      </c>
      <c r="G37" s="316">
        <f t="shared" si="7"/>
        <v>1.232</v>
      </c>
      <c r="H37" s="316">
        <f t="shared" si="8"/>
        <v>1.232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4" t="str">
        <f>VAC_Optim_Scenario!B26</f>
        <v>HCC Audio</v>
      </c>
      <c r="D38" s="316">
        <f t="shared" si="4"/>
        <v>1.5996707428443773</v>
      </c>
      <c r="E38" s="316">
        <f t="shared" si="5"/>
        <v>0.91370790000000002</v>
      </c>
      <c r="F38" s="316">
        <f t="shared" si="6"/>
        <v>1.6968861000000002</v>
      </c>
      <c r="G38" s="316">
        <f t="shared" si="7"/>
        <v>0.91370789999999991</v>
      </c>
      <c r="H38" s="316">
        <f t="shared" si="8"/>
        <v>1.6968861000000002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5" t="str">
        <f>VAC_Optim_Scenario!B27</f>
        <v>HCC TV</v>
      </c>
      <c r="D39" s="316">
        <f t="shared" si="4"/>
        <v>15.034300118508808</v>
      </c>
      <c r="E39" s="316">
        <f t="shared" si="5"/>
        <v>11.531133494999999</v>
      </c>
      <c r="F39" s="316">
        <f t="shared" si="6"/>
        <v>18.498262961353184</v>
      </c>
      <c r="G39" s="316">
        <f t="shared" si="7"/>
        <v>11.531133494999999</v>
      </c>
      <c r="H39" s="316">
        <f t="shared" si="8"/>
        <v>17.521435993065552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D40" s="180"/>
      <c r="E40" s="180"/>
      <c r="F40" s="180"/>
      <c r="G40" s="180"/>
      <c r="H40" s="180"/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233</v>
      </c>
    </row>
    <row r="2" spans="2:20" ht="15.75" thickBot="1" x14ac:dyDescent="0.3"/>
    <row r="3" spans="2:20" ht="30.2" customHeight="1" x14ac:dyDescent="0.25">
      <c r="B3" s="549" t="s">
        <v>2</v>
      </c>
      <c r="C3" s="547" t="s">
        <v>3</v>
      </c>
      <c r="D3" s="545" t="s">
        <v>234</v>
      </c>
      <c r="E3" s="546"/>
      <c r="F3" s="545" t="s">
        <v>235</v>
      </c>
      <c r="G3" s="546"/>
      <c r="H3" s="545" t="s">
        <v>236</v>
      </c>
      <c r="I3" s="546"/>
      <c r="K3" s="549" t="s">
        <v>2</v>
      </c>
      <c r="L3" s="547" t="s">
        <v>3</v>
      </c>
      <c r="M3" s="545" t="s">
        <v>234</v>
      </c>
      <c r="N3" s="546"/>
      <c r="O3" s="545" t="s">
        <v>235</v>
      </c>
      <c r="P3" s="546"/>
      <c r="Q3" s="545" t="s">
        <v>236</v>
      </c>
      <c r="R3" s="546"/>
    </row>
    <row r="4" spans="2:20" ht="25.5" x14ac:dyDescent="0.25">
      <c r="B4" s="548"/>
      <c r="C4" s="548"/>
      <c r="D4" s="229" t="s">
        <v>237</v>
      </c>
      <c r="E4" s="230" t="s">
        <v>238</v>
      </c>
      <c r="F4" s="229" t="s">
        <v>237</v>
      </c>
      <c r="G4" s="230" t="s">
        <v>238</v>
      </c>
      <c r="H4" s="229" t="s">
        <v>237</v>
      </c>
      <c r="I4" s="230" t="s">
        <v>238</v>
      </c>
      <c r="K4" s="548"/>
      <c r="L4" s="548"/>
      <c r="M4" s="229" t="s">
        <v>237</v>
      </c>
      <c r="N4" s="230" t="s">
        <v>238</v>
      </c>
      <c r="O4" s="229" t="s">
        <v>237</v>
      </c>
      <c r="P4" s="230" t="s">
        <v>238</v>
      </c>
      <c r="Q4" s="229" t="s">
        <v>237</v>
      </c>
      <c r="R4" s="230" t="s">
        <v>238</v>
      </c>
    </row>
    <row r="5" spans="2:20" x14ac:dyDescent="0.25">
      <c r="B5" s="53" t="s">
        <v>154</v>
      </c>
      <c r="C5" s="231" t="str">
        <f>VAC_Optim_Scenario!B19</f>
        <v>HCC In Office</v>
      </c>
      <c r="D5" s="232">
        <f>VAC_Optim_Scenario!$H49</f>
        <v>2277854.3418472391</v>
      </c>
      <c r="E5" s="233">
        <f>VAC_Optim_Scenario!$J49</f>
        <v>9115776.5379161369</v>
      </c>
      <c r="F5" s="232">
        <f>VAC_Optim_Scenario!$H49</f>
        <v>2277854.3418472391</v>
      </c>
      <c r="G5" s="233">
        <f>VAC_Optim_Scenario!$J49</f>
        <v>9115776.5379161369</v>
      </c>
      <c r="H5" s="232">
        <f>VAC_Optim_Scenario!$H49</f>
        <v>2277854.3418472391</v>
      </c>
      <c r="I5" s="233">
        <f>VAC_Optim_Scenario!$J49</f>
        <v>9115776.5379161369</v>
      </c>
      <c r="J5" s="234"/>
      <c r="K5" s="53" t="s">
        <v>154</v>
      </c>
      <c r="L5" s="53" t="str">
        <f>VAC_Optim_Scenario!B19</f>
        <v>HCC In Office</v>
      </c>
      <c r="M5" s="235">
        <f>D5/1000000</f>
        <v>2.277854341847239</v>
      </c>
      <c r="N5" s="236">
        <f t="shared" ref="N5:R13" si="0">E5/1000000</f>
        <v>9.1157765379161368</v>
      </c>
      <c r="O5" s="235">
        <f t="shared" si="0"/>
        <v>2.277854341847239</v>
      </c>
      <c r="P5" s="236">
        <f t="shared" si="0"/>
        <v>9.1157765379161368</v>
      </c>
      <c r="Q5" s="235">
        <f t="shared" si="0"/>
        <v>2.277854341847239</v>
      </c>
      <c r="R5" s="236">
        <f t="shared" si="0"/>
        <v>9.1157765379161368</v>
      </c>
    </row>
    <row r="6" spans="2:20" x14ac:dyDescent="0.25">
      <c r="B6" s="54" t="s">
        <v>154</v>
      </c>
      <c r="C6" s="237" t="str">
        <f>VAC_Optim_Scenario!B20</f>
        <v>HCP MCM</v>
      </c>
      <c r="D6" s="238">
        <f>VAC_Optim_Scenario!$H50</f>
        <v>13941734.60841202</v>
      </c>
      <c r="E6" s="239">
        <f>VAC_Optim_Scenario!$J50</f>
        <v>104466562.02528025</v>
      </c>
      <c r="F6" s="238">
        <f>VAC_Optim_Scenario!$H50</f>
        <v>13941734.60841202</v>
      </c>
      <c r="G6" s="239">
        <f>VAC_Optim_Scenario!$J50</f>
        <v>104466562.02528025</v>
      </c>
      <c r="H6" s="238">
        <f>VAC_Optim_Scenario!$H50</f>
        <v>13941734.60841202</v>
      </c>
      <c r="I6" s="239">
        <f>VAC_Optim_Scenario!$J50</f>
        <v>104466562.02528025</v>
      </c>
      <c r="J6" s="234"/>
      <c r="K6" s="54" t="s">
        <v>154</v>
      </c>
      <c r="L6" s="54" t="str">
        <f>VAC_Optim_Scenario!B20</f>
        <v>HCP MCM</v>
      </c>
      <c r="M6" s="240">
        <f t="shared" ref="M6:M13" si="1">D6/1000000</f>
        <v>13.94173460841202</v>
      </c>
      <c r="N6" s="241">
        <f t="shared" si="0"/>
        <v>104.46656202528025</v>
      </c>
      <c r="O6" s="240">
        <f t="shared" si="0"/>
        <v>13.94173460841202</v>
      </c>
      <c r="P6" s="241">
        <f t="shared" si="0"/>
        <v>104.46656202528025</v>
      </c>
      <c r="Q6" s="240">
        <f t="shared" si="0"/>
        <v>13.94173460841202</v>
      </c>
      <c r="R6" s="241">
        <f t="shared" si="0"/>
        <v>104.46656202528025</v>
      </c>
    </row>
    <row r="7" spans="2:20" x14ac:dyDescent="0.25">
      <c r="B7" s="54" t="s">
        <v>154</v>
      </c>
      <c r="C7" s="237" t="str">
        <f>VAC_Optim_Scenario!B21</f>
        <v>HCC Social</v>
      </c>
      <c r="D7" s="238">
        <f>VAC_Optim_Scenario!$H51</f>
        <v>5619000</v>
      </c>
      <c r="E7" s="239">
        <f>VAC_Optim_Scenario!$J51</f>
        <v>31117818.124337628</v>
      </c>
      <c r="F7" s="238">
        <f>VAC_Optim_Scenario!$H51</f>
        <v>5619000</v>
      </c>
      <c r="G7" s="239">
        <f>VAC_Optim_Scenario!$J51</f>
        <v>31117818.124337628</v>
      </c>
      <c r="H7" s="238">
        <f>VAC_Optim_Scenario!$H51</f>
        <v>5619000</v>
      </c>
      <c r="I7" s="239">
        <f>VAC_Optim_Scenario!$J51</f>
        <v>31117818.124337628</v>
      </c>
      <c r="J7" s="242"/>
      <c r="K7" s="54" t="s">
        <v>154</v>
      </c>
      <c r="L7" s="54" t="str">
        <f>VAC_Optim_Scenario!B21</f>
        <v>HCC Social</v>
      </c>
      <c r="M7" s="240">
        <f t="shared" si="1"/>
        <v>5.6189999999999998</v>
      </c>
      <c r="N7" s="241">
        <f t="shared" si="0"/>
        <v>31.117818124337628</v>
      </c>
      <c r="O7" s="240">
        <f t="shared" si="0"/>
        <v>5.6189999999999998</v>
      </c>
      <c r="P7" s="241">
        <f t="shared" si="0"/>
        <v>31.117818124337628</v>
      </c>
      <c r="Q7" s="240">
        <f t="shared" si="0"/>
        <v>5.6189999999999998</v>
      </c>
      <c r="R7" s="241">
        <f t="shared" si="0"/>
        <v>31.117818124337628</v>
      </c>
    </row>
    <row r="8" spans="2:20" x14ac:dyDescent="0.25">
      <c r="B8" s="54" t="s">
        <v>154</v>
      </c>
      <c r="C8" s="237" t="str">
        <f>VAC_Optim_Scenario!B22</f>
        <v>HCC Online Video</v>
      </c>
      <c r="D8" s="238">
        <f>VAC_Optim_Scenario!$H52</f>
        <v>431635.30632567109</v>
      </c>
      <c r="E8" s="239">
        <f>VAC_Optim_Scenario!$J52</f>
        <v>2813277.7806743854</v>
      </c>
      <c r="F8" s="238">
        <f>VAC_Optim_Scenario!$H52</f>
        <v>431635.30632567109</v>
      </c>
      <c r="G8" s="239">
        <f>VAC_Optim_Scenario!$J52</f>
        <v>2813277.7806743854</v>
      </c>
      <c r="H8" s="238">
        <f>VAC_Optim_Scenario!$H52</f>
        <v>431635.30632567109</v>
      </c>
      <c r="I8" s="239">
        <f>VAC_Optim_Scenario!$J52</f>
        <v>2813277.7806743854</v>
      </c>
      <c r="J8" s="234"/>
      <c r="K8" s="54" t="s">
        <v>154</v>
      </c>
      <c r="L8" s="54" t="str">
        <f>VAC_Optim_Scenario!B22</f>
        <v>HCC Online Video</v>
      </c>
      <c r="M8" s="240">
        <f t="shared" si="1"/>
        <v>0.4316353063256711</v>
      </c>
      <c r="N8" s="241">
        <f t="shared" si="0"/>
        <v>2.8132777806743854</v>
      </c>
      <c r="O8" s="240">
        <f t="shared" si="0"/>
        <v>0.4316353063256711</v>
      </c>
      <c r="P8" s="241">
        <f t="shared" si="0"/>
        <v>2.8132777806743854</v>
      </c>
      <c r="Q8" s="240">
        <f t="shared" si="0"/>
        <v>0.4316353063256711</v>
      </c>
      <c r="R8" s="241">
        <f t="shared" si="0"/>
        <v>2.8132777806743854</v>
      </c>
    </row>
    <row r="9" spans="2:20" x14ac:dyDescent="0.25">
      <c r="B9" s="54" t="s">
        <v>154</v>
      </c>
      <c r="C9" s="237" t="str">
        <f>VAC_Optim_Scenario!B23</f>
        <v>HCC Streaming Video</v>
      </c>
      <c r="D9" s="238">
        <f>VAC_Optim_Scenario!$H53</f>
        <v>18540375</v>
      </c>
      <c r="E9" s="239">
        <f>VAC_Optim_Scenario!$J53</f>
        <v>70520938.754477054</v>
      </c>
      <c r="F9" s="238">
        <f>VAC_Optim_Scenario!$H53</f>
        <v>18540375</v>
      </c>
      <c r="G9" s="239">
        <f>VAC_Optim_Scenario!$J53</f>
        <v>70520938.754477054</v>
      </c>
      <c r="H9" s="238">
        <f>VAC_Optim_Scenario!$H53</f>
        <v>18540375</v>
      </c>
      <c r="I9" s="239">
        <f>VAC_Optim_Scenario!$J53</f>
        <v>70520938.754477054</v>
      </c>
      <c r="J9" s="242"/>
      <c r="K9" s="54" t="s">
        <v>154</v>
      </c>
      <c r="L9" s="54" t="str">
        <f>VAC_Optim_Scenario!B23</f>
        <v>HCC Streaming Video</v>
      </c>
      <c r="M9" s="240">
        <f t="shared" si="1"/>
        <v>18.540375000000001</v>
      </c>
      <c r="N9" s="241">
        <f t="shared" si="0"/>
        <v>70.520938754477058</v>
      </c>
      <c r="O9" s="240">
        <f t="shared" si="0"/>
        <v>18.540375000000001</v>
      </c>
      <c r="P9" s="241">
        <f t="shared" si="0"/>
        <v>70.520938754477058</v>
      </c>
      <c r="Q9" s="240">
        <f t="shared" si="0"/>
        <v>18.540375000000001</v>
      </c>
      <c r="R9" s="241">
        <f t="shared" si="0"/>
        <v>70.520938754477058</v>
      </c>
    </row>
    <row r="10" spans="2:20" x14ac:dyDescent="0.25">
      <c r="B10" s="54" t="s">
        <v>154</v>
      </c>
      <c r="C10" s="237" t="str">
        <f>VAC_Optim_Scenario!B24</f>
        <v>HCC Display</v>
      </c>
      <c r="D10" s="238">
        <f>VAC_Optim_Scenario!$H54</f>
        <v>4945072.1100000003</v>
      </c>
      <c r="E10" s="239">
        <f>VAC_Optim_Scenario!$J54</f>
        <v>46266832.660476312</v>
      </c>
      <c r="F10" s="238">
        <f>VAC_Optim_Scenario!$H54</f>
        <v>4945072.1100000003</v>
      </c>
      <c r="G10" s="239">
        <f>VAC_Optim_Scenario!$J54</f>
        <v>46266832.660476312</v>
      </c>
      <c r="H10" s="238">
        <f>VAC_Optim_Scenario!$H54</f>
        <v>4945072.1100000003</v>
      </c>
      <c r="I10" s="239">
        <f>VAC_Optim_Scenario!$J54</f>
        <v>46266832.660476312</v>
      </c>
      <c r="J10" s="242"/>
      <c r="K10" s="54" t="s">
        <v>154</v>
      </c>
      <c r="L10" s="54" t="str">
        <f>VAC_Optim_Scenario!B24</f>
        <v>HCC Display</v>
      </c>
      <c r="M10" s="240">
        <f t="shared" si="1"/>
        <v>4.9450721099999999</v>
      </c>
      <c r="N10" s="241">
        <f t="shared" si="0"/>
        <v>46.266832660476311</v>
      </c>
      <c r="O10" s="240">
        <f t="shared" si="0"/>
        <v>4.9450721099999999</v>
      </c>
      <c r="P10" s="241">
        <f t="shared" si="0"/>
        <v>46.266832660476311</v>
      </c>
      <c r="Q10" s="240">
        <f t="shared" si="0"/>
        <v>4.9450721099999999</v>
      </c>
      <c r="R10" s="241">
        <f t="shared" si="0"/>
        <v>46.266832660476311</v>
      </c>
    </row>
    <row r="11" spans="2:20" x14ac:dyDescent="0.25">
      <c r="B11" s="54" t="s">
        <v>154</v>
      </c>
      <c r="C11" s="237" t="str">
        <f>VAC_Optim_Scenario!B25</f>
        <v>HCC Paid Search</v>
      </c>
      <c r="D11" s="238">
        <f>VAC_Optim_Scenario!$H55</f>
        <v>1034121</v>
      </c>
      <c r="E11" s="239">
        <f>VAC_Optim_Scenario!$J55</f>
        <v>63713864.20454748</v>
      </c>
      <c r="F11" s="238">
        <f>VAC_Optim_Scenario!$H55</f>
        <v>1034121</v>
      </c>
      <c r="G11" s="239">
        <f>VAC_Optim_Scenario!$J55</f>
        <v>63713864.20454748</v>
      </c>
      <c r="H11" s="238">
        <f>VAC_Optim_Scenario!$H55</f>
        <v>1034121</v>
      </c>
      <c r="I11" s="239">
        <f>VAC_Optim_Scenario!$J55</f>
        <v>63713864.20454748</v>
      </c>
      <c r="J11" s="234"/>
      <c r="K11" s="54" t="s">
        <v>154</v>
      </c>
      <c r="L11" s="54" t="str">
        <f>VAC_Optim_Scenario!B25</f>
        <v>HCC Paid Search</v>
      </c>
      <c r="M11" s="240">
        <f t="shared" si="1"/>
        <v>1.0341210000000001</v>
      </c>
      <c r="N11" s="241">
        <f t="shared" si="0"/>
        <v>63.713864204547477</v>
      </c>
      <c r="O11" s="240">
        <f t="shared" si="0"/>
        <v>1.0341210000000001</v>
      </c>
      <c r="P11" s="241">
        <f t="shared" si="0"/>
        <v>63.713864204547477</v>
      </c>
      <c r="Q11" s="240">
        <f t="shared" si="0"/>
        <v>1.0341210000000001</v>
      </c>
      <c r="R11" s="241">
        <f t="shared" si="0"/>
        <v>63.713864204547477</v>
      </c>
    </row>
    <row r="12" spans="2:20" x14ac:dyDescent="0.25">
      <c r="B12" s="54" t="s">
        <v>154</v>
      </c>
      <c r="C12" s="237" t="str">
        <f>VAC_Optim_Scenario!B26</f>
        <v>HCC Audio</v>
      </c>
      <c r="D12" s="238">
        <f>VAC_Optim_Scenario!$H56</f>
        <v>4311145.2299999995</v>
      </c>
      <c r="E12" s="239">
        <f>VAC_Optim_Scenario!$J56</f>
        <v>30823390.573985521</v>
      </c>
      <c r="F12" s="238">
        <f>VAC_Optim_Scenario!$H56</f>
        <v>4311145.2299999995</v>
      </c>
      <c r="G12" s="239">
        <f>VAC_Optim_Scenario!$J56</f>
        <v>30823390.573985521</v>
      </c>
      <c r="H12" s="238">
        <f>VAC_Optim_Scenario!$H56</f>
        <v>4311145.2299999995</v>
      </c>
      <c r="I12" s="239">
        <f>VAC_Optim_Scenario!$J56</f>
        <v>30823390.573985521</v>
      </c>
      <c r="J12" s="234"/>
      <c r="K12" s="54" t="s">
        <v>154</v>
      </c>
      <c r="L12" s="54" t="str">
        <f>VAC_Optim_Scenario!B26</f>
        <v>HCC Audio</v>
      </c>
      <c r="M12" s="240">
        <f t="shared" si="1"/>
        <v>4.3111452299999993</v>
      </c>
      <c r="N12" s="241">
        <f t="shared" si="0"/>
        <v>30.82339057398552</v>
      </c>
      <c r="O12" s="240">
        <f t="shared" si="0"/>
        <v>4.3111452299999993</v>
      </c>
      <c r="P12" s="241">
        <f t="shared" si="0"/>
        <v>30.82339057398552</v>
      </c>
      <c r="Q12" s="240">
        <f t="shared" si="0"/>
        <v>4.3111452299999993</v>
      </c>
      <c r="R12" s="241">
        <f t="shared" si="0"/>
        <v>30.82339057398552</v>
      </c>
    </row>
    <row r="13" spans="2:20" x14ac:dyDescent="0.25">
      <c r="B13" s="251" t="s">
        <v>154</v>
      </c>
      <c r="C13" s="223" t="str">
        <f>VAC_Optim_Scenario!B27</f>
        <v>HCC TV</v>
      </c>
      <c r="D13" s="252">
        <f>VAC_Optim_Scenario!$H57</f>
        <v>26372275.820726354</v>
      </c>
      <c r="E13" s="252">
        <f>VAC_Optim_Scenario!$J57</f>
        <v>91575740.591107547</v>
      </c>
      <c r="F13" s="252">
        <f>VAC_Optim_Scenario!$H57</f>
        <v>26372275.820726354</v>
      </c>
      <c r="G13" s="252">
        <f>VAC_Optim_Scenario!$J57</f>
        <v>91575740.591107547</v>
      </c>
      <c r="H13" s="252">
        <f>VAC_Optim_Scenario!$H57</f>
        <v>26372275.820726354</v>
      </c>
      <c r="I13" s="252">
        <f>VAC_Optim_Scenario!$J57</f>
        <v>91575740.591107547</v>
      </c>
      <c r="J13" s="234"/>
      <c r="K13" s="251" t="s">
        <v>154</v>
      </c>
      <c r="L13" s="251" t="str">
        <f>VAC_Optim_Scenario!B27</f>
        <v>HCC TV</v>
      </c>
      <c r="M13" s="245">
        <f t="shared" si="1"/>
        <v>26.372275820726355</v>
      </c>
      <c r="N13" s="245">
        <f t="shared" si="0"/>
        <v>91.575740591107547</v>
      </c>
      <c r="O13" s="245">
        <f t="shared" si="0"/>
        <v>26.372275820726355</v>
      </c>
      <c r="P13" s="245">
        <f t="shared" si="0"/>
        <v>91.575740591107547</v>
      </c>
      <c r="Q13" s="245">
        <f t="shared" si="0"/>
        <v>26.372275820726355</v>
      </c>
      <c r="R13" s="245">
        <f t="shared" si="0"/>
        <v>91.575740591107547</v>
      </c>
    </row>
    <row r="14" spans="2:20" x14ac:dyDescent="0.25">
      <c r="T14" s="292"/>
    </row>
    <row r="15" spans="2:20" x14ac:dyDescent="0.25">
      <c r="C15" s="228" t="s">
        <v>240</v>
      </c>
    </row>
    <row r="17" spans="2:19" ht="37.9" customHeight="1" x14ac:dyDescent="0.25">
      <c r="C17" s="547" t="s">
        <v>3</v>
      </c>
      <c r="D17" s="545" t="s">
        <v>234</v>
      </c>
      <c r="E17" s="546"/>
      <c r="F17" s="545" t="s">
        <v>241</v>
      </c>
      <c r="G17" s="546"/>
      <c r="H17" s="545" t="s">
        <v>242</v>
      </c>
      <c r="I17" s="546"/>
      <c r="L17" s="547" t="s">
        <v>3</v>
      </c>
      <c r="M17" s="545" t="s">
        <v>234</v>
      </c>
      <c r="N17" s="546"/>
      <c r="O17" s="545" t="s">
        <v>241</v>
      </c>
      <c r="P17" s="546"/>
      <c r="Q17" s="545" t="s">
        <v>242</v>
      </c>
      <c r="R17" s="546"/>
    </row>
    <row r="18" spans="2:19" ht="25.5" x14ac:dyDescent="0.25">
      <c r="C18" s="548"/>
      <c r="D18" s="55" t="s">
        <v>237</v>
      </c>
      <c r="E18" s="55" t="s">
        <v>238</v>
      </c>
      <c r="F18" s="55" t="s">
        <v>237</v>
      </c>
      <c r="G18" s="55" t="s">
        <v>238</v>
      </c>
      <c r="H18" s="55" t="s">
        <v>237</v>
      </c>
      <c r="I18" s="55" t="s">
        <v>238</v>
      </c>
      <c r="L18" s="548"/>
      <c r="M18" s="55" t="s">
        <v>237</v>
      </c>
      <c r="N18" s="55" t="s">
        <v>238</v>
      </c>
      <c r="O18" s="55" t="s">
        <v>237</v>
      </c>
      <c r="P18" s="55" t="s">
        <v>238</v>
      </c>
      <c r="Q18" s="55" t="s">
        <v>237</v>
      </c>
      <c r="R18" s="55" t="s">
        <v>238</v>
      </c>
    </row>
    <row r="19" spans="2:19" x14ac:dyDescent="0.25">
      <c r="B19" s="53" t="s">
        <v>154</v>
      </c>
      <c r="C19" s="231" t="str">
        <f>VAC_Optim_Scenario!B19</f>
        <v>HCC In Office</v>
      </c>
      <c r="D19" s="232">
        <f>VAC_Optim_Scenario!$H49</f>
        <v>2277854.3418472391</v>
      </c>
      <c r="E19" s="233">
        <f>VAC_Optim_Scenario!$J49</f>
        <v>9115776.5379161369</v>
      </c>
      <c r="F19" s="232">
        <f>VAC_Optim_Scenario!$H49</f>
        <v>2277854.3418472391</v>
      </c>
      <c r="G19" s="233">
        <f>VAC_Optim_Scenario!$J49</f>
        <v>9115776.5379161369</v>
      </c>
      <c r="H19" s="232">
        <f>VAC_Optim_Scenario!$H49</f>
        <v>2277854.3418472391</v>
      </c>
      <c r="I19" s="233">
        <f>VAC_Optim_Scenario!$J49</f>
        <v>9115776.5379161369</v>
      </c>
      <c r="J19" s="234"/>
      <c r="K19" s="53" t="s">
        <v>154</v>
      </c>
      <c r="L19" s="231" t="str">
        <f>VAC_Optim_Scenario!B19</f>
        <v>HCC In Office</v>
      </c>
      <c r="M19" s="235">
        <f>D19/1000000</f>
        <v>2.277854341847239</v>
      </c>
      <c r="N19" s="236">
        <f t="shared" ref="N19:R27" si="2">E19/1000000</f>
        <v>9.1157765379161368</v>
      </c>
      <c r="O19" s="235">
        <f t="shared" si="2"/>
        <v>2.277854341847239</v>
      </c>
      <c r="P19" s="236">
        <f t="shared" si="2"/>
        <v>9.1157765379161368</v>
      </c>
      <c r="Q19" s="235">
        <f t="shared" si="2"/>
        <v>2.277854341847239</v>
      </c>
      <c r="R19" s="236">
        <f t="shared" si="2"/>
        <v>9.1157765379161368</v>
      </c>
    </row>
    <row r="20" spans="2:19" x14ac:dyDescent="0.25">
      <c r="B20" s="54" t="s">
        <v>154</v>
      </c>
      <c r="C20" s="237" t="str">
        <f>VAC_Optim_Scenario!B20</f>
        <v>HCP MCM</v>
      </c>
      <c r="D20" s="238">
        <f>VAC_Optim_Scenario!$H50</f>
        <v>13941734.60841202</v>
      </c>
      <c r="E20" s="239">
        <f>VAC_Optim_Scenario!$J50</f>
        <v>104466562.02528025</v>
      </c>
      <c r="F20" s="238">
        <f>VAC_Optim_Scenario!$H50</f>
        <v>13941734.60841202</v>
      </c>
      <c r="G20" s="239">
        <f>VAC_Optim_Scenario!$J50</f>
        <v>104466562.02528025</v>
      </c>
      <c r="H20" s="238">
        <f>VAC_Optim_Scenario!$H50</f>
        <v>13941734.60841202</v>
      </c>
      <c r="I20" s="239">
        <f>VAC_Optim_Scenario!$J50</f>
        <v>104466562.02528025</v>
      </c>
      <c r="J20" s="234"/>
      <c r="K20" s="54" t="s">
        <v>154</v>
      </c>
      <c r="L20" s="237" t="str">
        <f>VAC_Optim_Scenario!B20</f>
        <v>HCP MCM</v>
      </c>
      <c r="M20" s="240">
        <f t="shared" ref="M20:M27" si="3">D20/1000000</f>
        <v>13.94173460841202</v>
      </c>
      <c r="N20" s="241">
        <f t="shared" si="2"/>
        <v>104.46656202528025</v>
      </c>
      <c r="O20" s="240">
        <f t="shared" si="2"/>
        <v>13.94173460841202</v>
      </c>
      <c r="P20" s="241">
        <f t="shared" si="2"/>
        <v>104.46656202528025</v>
      </c>
      <c r="Q20" s="240">
        <f t="shared" si="2"/>
        <v>13.94173460841202</v>
      </c>
      <c r="R20" s="241">
        <f t="shared" si="2"/>
        <v>104.46656202528025</v>
      </c>
    </row>
    <row r="21" spans="2:19" x14ac:dyDescent="0.25">
      <c r="B21" s="54" t="s">
        <v>154</v>
      </c>
      <c r="C21" s="237" t="str">
        <f>VAC_Optim_Scenario!B21</f>
        <v>HCC Social</v>
      </c>
      <c r="D21" s="238">
        <f>VAC_Optim_Scenario!$H51</f>
        <v>5619000</v>
      </c>
      <c r="E21" s="239">
        <f>VAC_Optim_Scenario!$J51</f>
        <v>31117818.124337628</v>
      </c>
      <c r="F21" s="238">
        <f>VAC_Optim_Scenario!$H51</f>
        <v>5619000</v>
      </c>
      <c r="G21" s="239">
        <f>VAC_Optim_Scenario!$J51</f>
        <v>31117818.124337628</v>
      </c>
      <c r="H21" s="238">
        <f>VAC_Optim_Scenario!$H51</f>
        <v>5619000</v>
      </c>
      <c r="I21" s="239">
        <f>VAC_Optim_Scenario!$J51</f>
        <v>31117818.124337628</v>
      </c>
      <c r="J21" s="242"/>
      <c r="K21" s="54" t="s">
        <v>154</v>
      </c>
      <c r="L21" s="237" t="str">
        <f>VAC_Optim_Scenario!B21</f>
        <v>HCC Social</v>
      </c>
      <c r="M21" s="240">
        <f t="shared" si="3"/>
        <v>5.6189999999999998</v>
      </c>
      <c r="N21" s="241">
        <f t="shared" si="2"/>
        <v>31.117818124337628</v>
      </c>
      <c r="O21" s="240">
        <f t="shared" si="2"/>
        <v>5.6189999999999998</v>
      </c>
      <c r="P21" s="241">
        <f t="shared" si="2"/>
        <v>31.117818124337628</v>
      </c>
      <c r="Q21" s="240">
        <f t="shared" si="2"/>
        <v>5.6189999999999998</v>
      </c>
      <c r="R21" s="241">
        <f t="shared" si="2"/>
        <v>31.117818124337628</v>
      </c>
    </row>
    <row r="22" spans="2:19" x14ac:dyDescent="0.25">
      <c r="B22" s="54" t="s">
        <v>154</v>
      </c>
      <c r="C22" s="237" t="str">
        <f>VAC_Optim_Scenario!B22</f>
        <v>HCC Online Video</v>
      </c>
      <c r="D22" s="238">
        <f>VAC_Optim_Scenario!$H52</f>
        <v>431635.30632567109</v>
      </c>
      <c r="E22" s="239">
        <f>VAC_Optim_Scenario!$J52</f>
        <v>2813277.7806743854</v>
      </c>
      <c r="F22" s="238">
        <f>VAC_Optim_Scenario!$H52</f>
        <v>431635.30632567109</v>
      </c>
      <c r="G22" s="239">
        <f>VAC_Optim_Scenario!$J52</f>
        <v>2813277.7806743854</v>
      </c>
      <c r="H22" s="238">
        <f>VAC_Optim_Scenario!$H52</f>
        <v>431635.30632567109</v>
      </c>
      <c r="I22" s="239">
        <f>VAC_Optim_Scenario!$J52</f>
        <v>2813277.7806743854</v>
      </c>
      <c r="J22" s="234"/>
      <c r="K22" s="54" t="s">
        <v>154</v>
      </c>
      <c r="L22" s="237" t="str">
        <f>VAC_Optim_Scenario!B22</f>
        <v>HCC Online Video</v>
      </c>
      <c r="M22" s="240">
        <f t="shared" si="3"/>
        <v>0.4316353063256711</v>
      </c>
      <c r="N22" s="241">
        <f t="shared" si="2"/>
        <v>2.8132777806743854</v>
      </c>
      <c r="O22" s="240">
        <f t="shared" si="2"/>
        <v>0.4316353063256711</v>
      </c>
      <c r="P22" s="241">
        <f t="shared" si="2"/>
        <v>2.8132777806743854</v>
      </c>
      <c r="Q22" s="240">
        <f t="shared" si="2"/>
        <v>0.4316353063256711</v>
      </c>
      <c r="R22" s="241">
        <f t="shared" si="2"/>
        <v>2.8132777806743854</v>
      </c>
    </row>
    <row r="23" spans="2:19" x14ac:dyDescent="0.25">
      <c r="B23" s="54" t="s">
        <v>154</v>
      </c>
      <c r="C23" s="237" t="str">
        <f>VAC_Optim_Scenario!B23</f>
        <v>HCC Streaming Video</v>
      </c>
      <c r="D23" s="238">
        <f>VAC_Optim_Scenario!$H53</f>
        <v>18540375</v>
      </c>
      <c r="E23" s="239">
        <f>VAC_Optim_Scenario!$J53</f>
        <v>70520938.754477054</v>
      </c>
      <c r="F23" s="238">
        <f>VAC_Optim_Scenario!$H53</f>
        <v>18540375</v>
      </c>
      <c r="G23" s="239">
        <f>VAC_Optim_Scenario!$J53</f>
        <v>70520938.754477054</v>
      </c>
      <c r="H23" s="238">
        <f>VAC_Optim_Scenario!$H53</f>
        <v>18540375</v>
      </c>
      <c r="I23" s="239">
        <f>VAC_Optim_Scenario!$J53</f>
        <v>70520938.754477054</v>
      </c>
      <c r="J23" s="242"/>
      <c r="K23" s="54" t="s">
        <v>154</v>
      </c>
      <c r="L23" s="237" t="str">
        <f>VAC_Optim_Scenario!B23</f>
        <v>HCC Streaming Video</v>
      </c>
      <c r="M23" s="240">
        <f t="shared" si="3"/>
        <v>18.540375000000001</v>
      </c>
      <c r="N23" s="241">
        <f t="shared" si="2"/>
        <v>70.520938754477058</v>
      </c>
      <c r="O23" s="240">
        <f t="shared" si="2"/>
        <v>18.540375000000001</v>
      </c>
      <c r="P23" s="241">
        <f t="shared" si="2"/>
        <v>70.520938754477058</v>
      </c>
      <c r="Q23" s="240">
        <f t="shared" si="2"/>
        <v>18.540375000000001</v>
      </c>
      <c r="R23" s="241">
        <f t="shared" si="2"/>
        <v>70.520938754477058</v>
      </c>
    </row>
    <row r="24" spans="2:19" x14ac:dyDescent="0.25">
      <c r="B24" s="54" t="s">
        <v>154</v>
      </c>
      <c r="C24" s="237" t="str">
        <f>VAC_Optim_Scenario!B24</f>
        <v>HCC Display</v>
      </c>
      <c r="D24" s="238">
        <f>VAC_Optim_Scenario!$H54</f>
        <v>4945072.1100000003</v>
      </c>
      <c r="E24" s="239">
        <f>VAC_Optim_Scenario!$J54</f>
        <v>46266832.660476312</v>
      </c>
      <c r="F24" s="238">
        <f>VAC_Optim_Scenario!$H54</f>
        <v>4945072.1100000003</v>
      </c>
      <c r="G24" s="239">
        <f>VAC_Optim_Scenario!$J54</f>
        <v>46266832.660476312</v>
      </c>
      <c r="H24" s="238">
        <f>VAC_Optim_Scenario!$H54</f>
        <v>4945072.1100000003</v>
      </c>
      <c r="I24" s="239">
        <f>VAC_Optim_Scenario!$J54</f>
        <v>46266832.660476312</v>
      </c>
      <c r="J24" s="242"/>
      <c r="K24" s="54" t="s">
        <v>154</v>
      </c>
      <c r="L24" s="237" t="str">
        <f>VAC_Optim_Scenario!B24</f>
        <v>HCC Display</v>
      </c>
      <c r="M24" s="240">
        <f t="shared" si="3"/>
        <v>4.9450721099999999</v>
      </c>
      <c r="N24" s="241">
        <f t="shared" si="2"/>
        <v>46.266832660476311</v>
      </c>
      <c r="O24" s="240">
        <f t="shared" si="2"/>
        <v>4.9450721099999999</v>
      </c>
      <c r="P24" s="241">
        <f t="shared" si="2"/>
        <v>46.266832660476311</v>
      </c>
      <c r="Q24" s="240">
        <f t="shared" si="2"/>
        <v>4.9450721099999999</v>
      </c>
      <c r="R24" s="241">
        <f t="shared" si="2"/>
        <v>46.266832660476311</v>
      </c>
    </row>
    <row r="25" spans="2:19" x14ac:dyDescent="0.25">
      <c r="B25" s="54" t="s">
        <v>154</v>
      </c>
      <c r="C25" s="237" t="str">
        <f>VAC_Optim_Scenario!B25</f>
        <v>HCC Paid Search</v>
      </c>
      <c r="D25" s="238">
        <f>VAC_Optim_Scenario!$H55</f>
        <v>1034121</v>
      </c>
      <c r="E25" s="239">
        <f>VAC_Optim_Scenario!$J55</f>
        <v>63713864.20454748</v>
      </c>
      <c r="F25" s="238">
        <f>VAC_Optim_Scenario!$H55</f>
        <v>1034121</v>
      </c>
      <c r="G25" s="239">
        <f>VAC_Optim_Scenario!$J55</f>
        <v>63713864.20454748</v>
      </c>
      <c r="H25" s="238">
        <f>VAC_Optim_Scenario!$H55</f>
        <v>1034121</v>
      </c>
      <c r="I25" s="239">
        <f>VAC_Optim_Scenario!$J55</f>
        <v>63713864.20454748</v>
      </c>
      <c r="J25" s="242"/>
      <c r="K25" s="54" t="s">
        <v>154</v>
      </c>
      <c r="L25" s="237" t="str">
        <f>VAC_Optim_Scenario!B25</f>
        <v>HCC Paid Search</v>
      </c>
      <c r="M25" s="240">
        <f t="shared" si="3"/>
        <v>1.0341210000000001</v>
      </c>
      <c r="N25" s="241">
        <f t="shared" si="2"/>
        <v>63.713864204547477</v>
      </c>
      <c r="O25" s="240">
        <f t="shared" si="2"/>
        <v>1.0341210000000001</v>
      </c>
      <c r="P25" s="241">
        <f t="shared" si="2"/>
        <v>63.713864204547477</v>
      </c>
      <c r="Q25" s="240">
        <f t="shared" si="2"/>
        <v>1.0341210000000001</v>
      </c>
      <c r="R25" s="241">
        <f t="shared" si="2"/>
        <v>63.713864204547477</v>
      </c>
    </row>
    <row r="26" spans="2:19" x14ac:dyDescent="0.25">
      <c r="B26" s="54" t="s">
        <v>154</v>
      </c>
      <c r="C26" s="237" t="str">
        <f>VAC_Optim_Scenario!B26</f>
        <v>HCC Audio</v>
      </c>
      <c r="D26" s="238">
        <f>VAC_Optim_Scenario!$H56</f>
        <v>4311145.2299999995</v>
      </c>
      <c r="E26" s="239">
        <f>VAC_Optim_Scenario!$J56</f>
        <v>30823390.573985521</v>
      </c>
      <c r="F26" s="238">
        <f>VAC_Optim_Scenario!$H56</f>
        <v>4311145.2299999995</v>
      </c>
      <c r="G26" s="239">
        <f>VAC_Optim_Scenario!$J56</f>
        <v>30823390.573985521</v>
      </c>
      <c r="H26" s="238">
        <f>VAC_Optim_Scenario!$H56</f>
        <v>4311145.2299999995</v>
      </c>
      <c r="I26" s="239">
        <f>VAC_Optim_Scenario!$J56</f>
        <v>30823390.573985521</v>
      </c>
      <c r="J26" s="242"/>
      <c r="K26" s="54" t="s">
        <v>154</v>
      </c>
      <c r="L26" s="237" t="str">
        <f>VAC_Optim_Scenario!B26</f>
        <v>HCC Audio</v>
      </c>
      <c r="M26" s="240">
        <f t="shared" si="3"/>
        <v>4.3111452299999993</v>
      </c>
      <c r="N26" s="241">
        <f t="shared" si="2"/>
        <v>30.82339057398552</v>
      </c>
      <c r="O26" s="240">
        <f t="shared" si="2"/>
        <v>4.3111452299999993</v>
      </c>
      <c r="P26" s="241">
        <f t="shared" si="2"/>
        <v>30.82339057398552</v>
      </c>
      <c r="Q26" s="240">
        <f t="shared" si="2"/>
        <v>4.3111452299999993</v>
      </c>
      <c r="R26" s="241">
        <f t="shared" si="2"/>
        <v>30.82339057398552</v>
      </c>
    </row>
    <row r="27" spans="2:19" x14ac:dyDescent="0.25">
      <c r="B27" s="251" t="s">
        <v>154</v>
      </c>
      <c r="C27" s="223" t="str">
        <f>VAC_Optim_Scenario!B27</f>
        <v>HCC TV</v>
      </c>
      <c r="D27" s="252">
        <f>VAC_Optim_Scenario!$H57</f>
        <v>26372275.820726354</v>
      </c>
      <c r="E27" s="252">
        <f>VAC_Optim_Scenario!$J57</f>
        <v>91575740.591107547</v>
      </c>
      <c r="F27" s="252">
        <f>VAC_Optim_Scenario!$H57</f>
        <v>26372275.820726354</v>
      </c>
      <c r="G27" s="252">
        <f>VAC_Optim_Scenario!$J57</f>
        <v>91575740.591107547</v>
      </c>
      <c r="H27" s="252">
        <f>VAC_Optim_Scenario!$H57</f>
        <v>26372275.820726354</v>
      </c>
      <c r="I27" s="252">
        <f>VAC_Optim_Scenario!$J57</f>
        <v>91575740.591107547</v>
      </c>
      <c r="J27" s="242"/>
      <c r="K27" s="251" t="s">
        <v>154</v>
      </c>
      <c r="L27" s="223" t="str">
        <f>VAC_Optim_Scenario!B27</f>
        <v>HCC TV</v>
      </c>
      <c r="M27" s="245">
        <f t="shared" si="3"/>
        <v>26.372275820726355</v>
      </c>
      <c r="N27" s="245">
        <f t="shared" si="2"/>
        <v>91.575740591107547</v>
      </c>
      <c r="O27" s="245">
        <f t="shared" si="2"/>
        <v>26.372275820726355</v>
      </c>
      <c r="P27" s="245">
        <f t="shared" si="2"/>
        <v>91.575740591107547</v>
      </c>
      <c r="Q27" s="245">
        <f t="shared" si="2"/>
        <v>26.372275820726355</v>
      </c>
      <c r="R27" s="245">
        <f t="shared" si="2"/>
        <v>91.575740591107547</v>
      </c>
    </row>
    <row r="30" spans="2:19" ht="34.35" customHeight="1" x14ac:dyDescent="0.25">
      <c r="C30" s="273" t="s">
        <v>3</v>
      </c>
      <c r="D30" s="274" t="s">
        <v>243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226</v>
      </c>
      <c r="L30" s="97" t="s">
        <v>227</v>
      </c>
      <c r="M30" s="97" t="s">
        <v>228</v>
      </c>
      <c r="N30" s="97" t="s">
        <v>246</v>
      </c>
      <c r="O30" s="97" t="s">
        <v>248</v>
      </c>
      <c r="P30" s="97" t="s">
        <v>229</v>
      </c>
      <c r="Q30" s="97" t="s">
        <v>230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3" t="str">
        <f>VAC_Optim_Scenario!B19</f>
        <v>HCC In Office</v>
      </c>
      <c r="D31" s="235">
        <f>M19</f>
        <v>2.277854341847239</v>
      </c>
      <c r="E31" s="235">
        <f>O5</f>
        <v>2.277854341847239</v>
      </c>
      <c r="F31" s="235">
        <f>Q5</f>
        <v>2.277854341847239</v>
      </c>
      <c r="G31" s="235">
        <f>O19</f>
        <v>2.277854341847239</v>
      </c>
      <c r="H31" s="235">
        <f>Q19</f>
        <v>2.277854341847239</v>
      </c>
      <c r="J31" s="244">
        <v>-0.5</v>
      </c>
      <c r="K31" s="245">
        <f>E$31</f>
        <v>2.277854341847239</v>
      </c>
      <c r="L31" s="245">
        <f>E$32</f>
        <v>13.94173460841202</v>
      </c>
      <c r="M31" s="245">
        <f>E$33</f>
        <v>5.6189999999999998</v>
      </c>
      <c r="N31" s="245">
        <f>E$34</f>
        <v>0.4316353063256711</v>
      </c>
      <c r="O31" s="245">
        <f>E$35</f>
        <v>18.540375000000001</v>
      </c>
      <c r="P31" s="245">
        <f>E$36</f>
        <v>4.9450721099999999</v>
      </c>
      <c r="Q31" s="245">
        <f>E$37</f>
        <v>1.0341210000000001</v>
      </c>
      <c r="R31" s="245">
        <f>E$38</f>
        <v>4.3111452299999993</v>
      </c>
      <c r="S31" s="245">
        <f>E$39</f>
        <v>26.372275820726355</v>
      </c>
    </row>
    <row r="32" spans="2:19" x14ac:dyDescent="0.25">
      <c r="B32" s="54" t="s">
        <v>154</v>
      </c>
      <c r="C32" s="294" t="str">
        <f>VAC_Optim_Scenario!B20</f>
        <v>HCP MCM</v>
      </c>
      <c r="D32" s="240">
        <f t="shared" ref="D32:D39" si="4">M20</f>
        <v>13.94173460841202</v>
      </c>
      <c r="E32" s="240">
        <f t="shared" ref="E32:E39" si="5">O6</f>
        <v>13.94173460841202</v>
      </c>
      <c r="F32" s="240">
        <f t="shared" ref="F32:F39" si="6">Q6</f>
        <v>13.94173460841202</v>
      </c>
      <c r="G32" s="240">
        <f t="shared" ref="G32:G39" si="7">O20</f>
        <v>13.94173460841202</v>
      </c>
      <c r="H32" s="240">
        <f t="shared" ref="H32:H39" si="8">Q20</f>
        <v>13.94173460841202</v>
      </c>
      <c r="J32" s="244">
        <v>-0.4</v>
      </c>
      <c r="K32" s="245">
        <f>G$31</f>
        <v>2.277854341847239</v>
      </c>
      <c r="L32" s="245">
        <f>G$32</f>
        <v>13.94173460841202</v>
      </c>
      <c r="M32" s="245">
        <f>G$33</f>
        <v>5.6189999999999998</v>
      </c>
      <c r="N32" s="245">
        <f>G$34</f>
        <v>0.4316353063256711</v>
      </c>
      <c r="O32" s="245">
        <f>G$35</f>
        <v>18.540375000000001</v>
      </c>
      <c r="P32" s="245">
        <f>G$36</f>
        <v>4.9450721099999999</v>
      </c>
      <c r="Q32" s="245">
        <f>G$37</f>
        <v>1.0341210000000001</v>
      </c>
      <c r="R32" s="245">
        <f>G$38</f>
        <v>4.3111452299999993</v>
      </c>
      <c r="S32" s="245">
        <f>G$39</f>
        <v>26.372275820726355</v>
      </c>
    </row>
    <row r="33" spans="2:22" x14ac:dyDescent="0.25">
      <c r="B33" s="54" t="s">
        <v>154</v>
      </c>
      <c r="C33" s="294" t="str">
        <f>VAC_Optim_Scenario!B21</f>
        <v>HCC Social</v>
      </c>
      <c r="D33" s="240">
        <f t="shared" si="4"/>
        <v>5.6189999999999998</v>
      </c>
      <c r="E33" s="240">
        <f t="shared" si="5"/>
        <v>5.6189999999999998</v>
      </c>
      <c r="F33" s="240">
        <f t="shared" si="6"/>
        <v>5.6189999999999998</v>
      </c>
      <c r="G33" s="240">
        <f t="shared" si="7"/>
        <v>5.6189999999999998</v>
      </c>
      <c r="H33" s="240">
        <f t="shared" si="8"/>
        <v>5.6189999999999998</v>
      </c>
      <c r="J33" s="244" t="s">
        <v>243</v>
      </c>
      <c r="K33" s="245">
        <f>D$31</f>
        <v>2.277854341847239</v>
      </c>
      <c r="L33" s="245">
        <f>D$32</f>
        <v>13.94173460841202</v>
      </c>
      <c r="M33" s="245">
        <f>D$33</f>
        <v>5.6189999999999998</v>
      </c>
      <c r="N33" s="245">
        <f>D$34</f>
        <v>0.4316353063256711</v>
      </c>
      <c r="O33" s="245">
        <f>D$35</f>
        <v>18.540375000000001</v>
      </c>
      <c r="P33" s="245">
        <f>D$36</f>
        <v>4.9450721099999999</v>
      </c>
      <c r="Q33" s="245">
        <f>D$37</f>
        <v>1.0341210000000001</v>
      </c>
      <c r="R33" s="245">
        <f>D$38</f>
        <v>4.3111452299999993</v>
      </c>
      <c r="S33" s="245">
        <f>D$39</f>
        <v>26.372275820726355</v>
      </c>
    </row>
    <row r="34" spans="2:22" x14ac:dyDescent="0.25">
      <c r="B34" s="54" t="s">
        <v>154</v>
      </c>
      <c r="C34" s="294" t="str">
        <f>VAC_Optim_Scenario!B22</f>
        <v>HCC Online Video</v>
      </c>
      <c r="D34" s="240">
        <f t="shared" si="4"/>
        <v>0.4316353063256711</v>
      </c>
      <c r="E34" s="240">
        <f t="shared" si="5"/>
        <v>0.4316353063256711</v>
      </c>
      <c r="F34" s="240">
        <f t="shared" si="6"/>
        <v>0.4316353063256711</v>
      </c>
      <c r="G34" s="240">
        <f t="shared" si="7"/>
        <v>0.4316353063256711</v>
      </c>
      <c r="H34" s="240">
        <f t="shared" si="8"/>
        <v>0.4316353063256711</v>
      </c>
      <c r="J34" s="244">
        <v>0.4</v>
      </c>
      <c r="K34" s="245">
        <f>H$31</f>
        <v>2.277854341847239</v>
      </c>
      <c r="L34" s="245">
        <f>H$32</f>
        <v>13.94173460841202</v>
      </c>
      <c r="M34" s="245">
        <f>H$33</f>
        <v>5.6189999999999998</v>
      </c>
      <c r="N34" s="245">
        <f>H$34</f>
        <v>0.4316353063256711</v>
      </c>
      <c r="O34" s="245">
        <f>H$35</f>
        <v>18.540375000000001</v>
      </c>
      <c r="P34" s="245">
        <f>H$36</f>
        <v>4.9450721099999999</v>
      </c>
      <c r="Q34" s="245">
        <f>H$37</f>
        <v>1.0341210000000001</v>
      </c>
      <c r="R34" s="245">
        <f>H$38</f>
        <v>4.3111452299999993</v>
      </c>
      <c r="S34" s="245">
        <f>H$39</f>
        <v>26.372275820726355</v>
      </c>
    </row>
    <row r="35" spans="2:22" x14ac:dyDescent="0.25">
      <c r="B35" s="54" t="s">
        <v>154</v>
      </c>
      <c r="C35" s="294" t="str">
        <f>VAC_Optim_Scenario!B23</f>
        <v>HCC Streaming Video</v>
      </c>
      <c r="D35" s="240">
        <f t="shared" si="4"/>
        <v>18.540375000000001</v>
      </c>
      <c r="E35" s="240">
        <f t="shared" si="5"/>
        <v>18.540375000000001</v>
      </c>
      <c r="F35" s="240">
        <f t="shared" si="6"/>
        <v>18.540375000000001</v>
      </c>
      <c r="G35" s="240">
        <f t="shared" si="7"/>
        <v>18.540375000000001</v>
      </c>
      <c r="H35" s="240">
        <f t="shared" si="8"/>
        <v>18.540375000000001</v>
      </c>
      <c r="J35" s="243">
        <v>2</v>
      </c>
      <c r="K35" s="245">
        <f>F$31</f>
        <v>2.277854341847239</v>
      </c>
      <c r="L35" s="245">
        <f>F$32</f>
        <v>13.94173460841202</v>
      </c>
      <c r="M35" s="245">
        <f>F$33</f>
        <v>5.6189999999999998</v>
      </c>
      <c r="N35" s="245">
        <f>F$34</f>
        <v>0.4316353063256711</v>
      </c>
      <c r="O35" s="245">
        <f>F$35</f>
        <v>18.540375000000001</v>
      </c>
      <c r="P35" s="245">
        <f>F$36</f>
        <v>4.9450721099999999</v>
      </c>
      <c r="Q35" s="245">
        <f>F$37</f>
        <v>1.0341210000000001</v>
      </c>
      <c r="R35" s="245">
        <f>F$38</f>
        <v>4.3111452299999993</v>
      </c>
      <c r="S35" s="245">
        <f>F$39</f>
        <v>26.372275820726355</v>
      </c>
    </row>
    <row r="36" spans="2:22" x14ac:dyDescent="0.25">
      <c r="B36" s="54" t="s">
        <v>154</v>
      </c>
      <c r="C36" s="294" t="str">
        <f>VAC_Optim_Scenario!B24</f>
        <v>HCC Display</v>
      </c>
      <c r="D36" s="240">
        <f t="shared" si="4"/>
        <v>4.9450721099999999</v>
      </c>
      <c r="E36" s="240">
        <f t="shared" si="5"/>
        <v>4.9450721099999999</v>
      </c>
      <c r="F36" s="240">
        <f t="shared" si="6"/>
        <v>4.9450721099999999</v>
      </c>
      <c r="G36" s="240">
        <f t="shared" si="7"/>
        <v>4.9450721099999999</v>
      </c>
      <c r="H36" s="240">
        <f t="shared" si="8"/>
        <v>4.9450721099999999</v>
      </c>
    </row>
    <row r="37" spans="2:22" x14ac:dyDescent="0.25">
      <c r="B37" s="54" t="s">
        <v>154</v>
      </c>
      <c r="C37" s="294" t="str">
        <f>VAC_Optim_Scenario!B25</f>
        <v>HCC Paid Search</v>
      </c>
      <c r="D37" s="240">
        <f t="shared" si="4"/>
        <v>1.0341210000000001</v>
      </c>
      <c r="E37" s="240">
        <f t="shared" si="5"/>
        <v>1.0341210000000001</v>
      </c>
      <c r="F37" s="240">
        <f t="shared" si="6"/>
        <v>1.0341210000000001</v>
      </c>
      <c r="G37" s="240">
        <f t="shared" si="7"/>
        <v>1.0341210000000001</v>
      </c>
      <c r="H37" s="240">
        <f t="shared" si="8"/>
        <v>1.0341210000000001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4" t="str">
        <f>VAC_Optim_Scenario!B26</f>
        <v>HCC Audio</v>
      </c>
      <c r="D38" s="240">
        <f t="shared" si="4"/>
        <v>4.3111452299999993</v>
      </c>
      <c r="E38" s="240">
        <f t="shared" si="5"/>
        <v>4.3111452299999993</v>
      </c>
      <c r="F38" s="240">
        <f t="shared" si="6"/>
        <v>4.3111452299999993</v>
      </c>
      <c r="G38" s="240">
        <f t="shared" si="7"/>
        <v>4.3111452299999993</v>
      </c>
      <c r="H38" s="240">
        <f t="shared" si="8"/>
        <v>4.3111452299999993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5" t="str">
        <f>VAC_Optim_Scenario!B27</f>
        <v>HCC TV</v>
      </c>
      <c r="D39" s="240">
        <f t="shared" si="4"/>
        <v>26.372275820726355</v>
      </c>
      <c r="E39" s="240">
        <f t="shared" si="5"/>
        <v>26.372275820726355</v>
      </c>
      <c r="F39" s="240">
        <f t="shared" si="6"/>
        <v>26.372275820726355</v>
      </c>
      <c r="G39" s="240">
        <f t="shared" si="7"/>
        <v>26.372275820726355</v>
      </c>
      <c r="H39" s="240">
        <f t="shared" si="8"/>
        <v>26.372275820726355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56"/>
  <sheetViews>
    <sheetView zoomScale="75" zoomScaleNormal="75" workbookViewId="0">
      <selection activeCell="E16" sqref="E16"/>
    </sheetView>
  </sheetViews>
  <sheetFormatPr defaultColWidth="8.7109375" defaultRowHeight="15" x14ac:dyDescent="0.25"/>
  <cols>
    <col min="1" max="1" width="14.85546875" style="97" bestFit="1" customWidth="1"/>
    <col min="2" max="2" width="21.140625" style="97" bestFit="1" customWidth="1"/>
    <col min="3" max="3" width="21.85546875" style="97" bestFit="1" customWidth="1"/>
    <col min="4" max="4" width="12.28515625" style="97" customWidth="1"/>
    <col min="5" max="5" width="22.28515625" style="97" bestFit="1" customWidth="1"/>
    <col min="6" max="6" width="25.285156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3" width="20.140625" style="97" customWidth="1"/>
    <col min="14" max="16" width="8.7109375" style="97"/>
    <col min="17" max="18" width="13.85546875" style="97" bestFit="1" customWidth="1"/>
    <col min="19" max="16384" width="8.7109375" style="97"/>
  </cols>
  <sheetData>
    <row r="2" spans="1:18" x14ac:dyDescent="0.25">
      <c r="D2" s="550">
        <v>2023</v>
      </c>
      <c r="E2" s="550"/>
      <c r="F2" s="550"/>
      <c r="G2" s="550"/>
      <c r="H2" s="550"/>
      <c r="I2" s="550"/>
      <c r="L2" s="97" t="s">
        <v>320</v>
      </c>
    </row>
    <row r="3" spans="1:18" ht="51" x14ac:dyDescent="0.25">
      <c r="B3" s="219" t="s">
        <v>2</v>
      </c>
      <c r="C3" s="220" t="s">
        <v>3</v>
      </c>
      <c r="D3" s="220" t="s">
        <v>316</v>
      </c>
      <c r="E3" s="220" t="s">
        <v>317</v>
      </c>
      <c r="F3" s="220" t="s">
        <v>318</v>
      </c>
      <c r="G3" s="220" t="s">
        <v>319</v>
      </c>
      <c r="H3" s="220" t="s">
        <v>224</v>
      </c>
      <c r="I3" s="220" t="s">
        <v>225</v>
      </c>
      <c r="J3" s="289" t="s">
        <v>209</v>
      </c>
      <c r="K3"/>
      <c r="L3" s="467">
        <v>8649234</v>
      </c>
      <c r="M3" s="221" t="s">
        <v>321</v>
      </c>
    </row>
    <row r="4" spans="1:18" ht="14.25" customHeight="1" x14ac:dyDescent="0.25">
      <c r="A4" s="97" t="s">
        <v>323</v>
      </c>
      <c r="B4" s="455" t="s">
        <v>175</v>
      </c>
      <c r="C4" s="456" t="str">
        <f>VAC_Optim_Scenario!B19</f>
        <v>HCC In Office</v>
      </c>
      <c r="D4" s="457">
        <f>VAC_Optim_Scenario!E19</f>
        <v>1755293</v>
      </c>
      <c r="E4" s="460">
        <f>VAC_Optim_Scenario!F19</f>
        <v>34079.723304951563</v>
      </c>
      <c r="F4" s="457">
        <f>VAC_Optim_Scenario!G49</f>
        <v>7699972.6835207557</v>
      </c>
      <c r="G4" s="462">
        <f>F4/D4</f>
        <v>4.3867164533332925</v>
      </c>
      <c r="H4" s="463">
        <f>E4/$L$3</f>
        <v>3.9402013293838006E-3</v>
      </c>
      <c r="I4" s="465">
        <f>D4/E4</f>
        <v>51.50549446347668</v>
      </c>
      <c r="J4" s="468">
        <f ca="1">(VLOOKUP($Q4,INDIRECT("'"&amp;A4&amp;"'!"&amp;"A20:E42"),5,0)-VLOOKUP($R4,INDIRECT("'"&amp;A4&amp;"'!"&amp;"A20:E42"),5,0))/(Q4-R4)</f>
        <v>3.0770541370015128</v>
      </c>
      <c r="K4"/>
      <c r="L4" s="467">
        <v>4647854</v>
      </c>
      <c r="M4" s="221" t="s">
        <v>322</v>
      </c>
      <c r="Q4" s="470" cm="1">
        <f t="array" aca="1" ref="Q4" ca="1">MAX(_xlfn._xlws.FILTER(INDIRECT("'"&amp;A4&amp;"'!"&amp;"A20:A42"),INDIRECT("'"&amp;A4&amp;"'!"&amp;"A20:A42")&lt;$D4))</f>
        <v>1600000</v>
      </c>
      <c r="R4" s="470" cm="1">
        <f t="array" aca="1" ref="R4" ca="1">MIN(_xlfn._xlws.FILTER(INDIRECT("'"&amp;A4&amp;"'!"&amp;"A20:A42"),INDIRECT("'"&amp;A4&amp;"'!"&amp;"A20:A42")&gt;=$D4))</f>
        <v>1800000</v>
      </c>
    </row>
    <row r="5" spans="1:18" x14ac:dyDescent="0.25">
      <c r="A5" s="97" t="s">
        <v>324</v>
      </c>
      <c r="B5" s="458" t="s">
        <v>175</v>
      </c>
      <c r="C5" s="478" t="str">
        <f>VAC_Optim_Scenario!B20</f>
        <v>HCP MCM</v>
      </c>
      <c r="D5" s="482">
        <f>VAC_Optim_Scenario!E20</f>
        <v>5365372.8900000006</v>
      </c>
      <c r="E5" s="479">
        <f>VAC_Optim_Scenario!F20</f>
        <v>282596.87941192184</v>
      </c>
      <c r="F5" s="482">
        <f>VAC_Optim_Scenario!G50</f>
        <v>63849938.934329621</v>
      </c>
      <c r="G5" s="483">
        <f>F5/D5</f>
        <v>11.900373048317544</v>
      </c>
      <c r="H5" s="464">
        <f t="shared" ref="H5:H12" si="0">E5/$L$3</f>
        <v>3.2673052828946683E-2</v>
      </c>
      <c r="I5" s="481">
        <f t="shared" ref="I5:I12" si="1">D5/E5</f>
        <v>18.98595943863651</v>
      </c>
      <c r="J5" s="469">
        <f t="shared" ref="J5:J9" ca="1" si="2">(VLOOKUP($Q5,INDIRECT("'"&amp;A5&amp;"'!"&amp;"A20:E42"),5,0)-VLOOKUP($R5,INDIRECT("'"&amp;A5&amp;"'!"&amp;"A20:E42"),5,0))/(Q5-R5)</f>
        <v>8.4227566464673362</v>
      </c>
      <c r="K5"/>
      <c r="Q5" s="470" cm="1">
        <f t="array" aca="1" ref="Q5" ca="1">MAX(_xlfn._xlws.FILTER(INDIRECT("'"&amp;A5&amp;"'!"&amp;"A20:A42"),INDIRECT("'"&amp;A5&amp;"'!"&amp;"A20:A42")&lt;$D5))</f>
        <v>4800000</v>
      </c>
      <c r="R5" s="470" cm="1">
        <f t="array" aca="1" ref="R5" ca="1">MIN(_xlfn._xlws.FILTER(INDIRECT("'"&amp;A5&amp;"'!"&amp;"A20:A42"),INDIRECT("'"&amp;A5&amp;"'!"&amp;"A20:A42")&gt;=$D5))</f>
        <v>5400000</v>
      </c>
    </row>
    <row r="6" spans="1:18" x14ac:dyDescent="0.25">
      <c r="A6" s="97" t="s">
        <v>325</v>
      </c>
      <c r="B6" s="458" t="s">
        <v>175</v>
      </c>
      <c r="C6" s="478" t="str">
        <f>VAC_Optim_Scenario!B21</f>
        <v>HCC Social</v>
      </c>
      <c r="D6" s="482">
        <f>VAC_Optim_Scenario!E21</f>
        <v>1873000</v>
      </c>
      <c r="E6" s="479">
        <f>VAC_Optim_Scenario!F21</f>
        <v>71243.17418511775</v>
      </c>
      <c r="F6" s="482">
        <f>VAC_Optim_Scenario!G51</f>
        <v>16096682.775385505</v>
      </c>
      <c r="G6" s="483">
        <f t="shared" ref="G6:G22" si="3">F6/D6</f>
        <v>8.5940644823200767</v>
      </c>
      <c r="H6" s="464">
        <f t="shared" si="0"/>
        <v>8.2369345291291411E-3</v>
      </c>
      <c r="I6" s="481">
        <f t="shared" si="1"/>
        <v>26.290237926979646</v>
      </c>
      <c r="J6" s="469">
        <f ca="1">(VLOOKUP($Q6,INDIRECT("'"&amp;A6&amp;"'!"&amp;"A20:E42"),3,0)-VLOOKUP($R6,INDIRECT("'"&amp;A6&amp;"'!"&amp;"A20:E42"),3,0))/(Q6-R6)</f>
        <v>5.1563798454813883</v>
      </c>
      <c r="K6"/>
      <c r="Q6" s="470" cm="1">
        <f t="array" aca="1" ref="Q6" ca="1">MAX(_xlfn._xlws.FILTER(INDIRECT("'"&amp;A6&amp;"'!"&amp;"A20:A42"),INDIRECT("'"&amp;A6&amp;"'!"&amp;"A20:A42")&lt;$D6))</f>
        <v>1750000</v>
      </c>
      <c r="R6" s="470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326</v>
      </c>
      <c r="B7" s="458" t="s">
        <v>175</v>
      </c>
      <c r="C7" s="478" t="str">
        <f>VAC_Optim_Scenario!B22</f>
        <v>HCC Online Video</v>
      </c>
      <c r="D7" s="482">
        <f>VAC_Optim_Scenario!E22</f>
        <v>173076.94</v>
      </c>
      <c r="E7" s="479">
        <f>VAC_Optim_Scenario!F22</f>
        <v>7568.2941111773252</v>
      </c>
      <c r="F7" s="482">
        <f>VAC_Optim_Scenario!G52</f>
        <v>1709980.3714794049</v>
      </c>
      <c r="G7" s="483">
        <f t="shared" si="3"/>
        <v>9.8798856247366338</v>
      </c>
      <c r="H7" s="464">
        <f t="shared" si="0"/>
        <v>8.7502478383372738E-4</v>
      </c>
      <c r="I7" s="481">
        <f t="shared" si="1"/>
        <v>22.868685790684225</v>
      </c>
      <c r="J7" s="469">
        <f t="shared" ca="1" si="2"/>
        <v>7.3949364813552894</v>
      </c>
      <c r="K7"/>
      <c r="Q7" s="470" cm="1">
        <f t="array" aca="1" ref="Q7" ca="1">MAX(_xlfn._xlws.FILTER(INDIRECT("'"&amp;A7&amp;"'!"&amp;"A20:A42"),INDIRECT("'"&amp;A7&amp;"'!"&amp;"A20:A42")&lt;$D7))</f>
        <v>103851.36184614981</v>
      </c>
      <c r="R7" s="470" cm="1">
        <f t="array" aca="1" ref="R7" ca="1">MIN(_xlfn._xlws.FILTER(INDIRECT("'"&amp;A7&amp;"'!"&amp;"A20:A42"),INDIRECT("'"&amp;A7&amp;"'!"&amp;"A20:A42")&gt;=$D7))</f>
        <v>207702.72369229962</v>
      </c>
    </row>
    <row r="8" spans="1:18" x14ac:dyDescent="0.25">
      <c r="A8" s="97" t="s">
        <v>327</v>
      </c>
      <c r="B8" s="458" t="s">
        <v>175</v>
      </c>
      <c r="C8" s="478" t="str">
        <f>VAC_Optim_Scenario!B23</f>
        <v>HCC Streaming Video</v>
      </c>
      <c r="D8" s="482">
        <f>VAC_Optim_Scenario!E23</f>
        <v>6180125</v>
      </c>
      <c r="E8" s="479">
        <f>VAC_Optim_Scenario!F23</f>
        <v>144657.20917756393</v>
      </c>
      <c r="F8" s="482">
        <f>VAC_Optim_Scenario!G53</f>
        <v>32683849.841578793</v>
      </c>
      <c r="G8" s="483">
        <f t="shared" si="3"/>
        <v>5.2885418727904039</v>
      </c>
      <c r="H8" s="464">
        <f t="shared" si="0"/>
        <v>1.6724857851870341E-2</v>
      </c>
      <c r="I8" s="481">
        <f t="shared" si="1"/>
        <v>42.722551023461378</v>
      </c>
      <c r="J8" s="469">
        <f ca="1">(VLOOKUP($Q8,INDIRECT("'"&amp;A8&amp;"'!"&amp;"A20:E42"),3,0)-VLOOKUP($R8,INDIRECT("'"&amp;A8&amp;"'!"&amp;"A20:E42"),3,0))/(Q8-R8)</f>
        <v>3.6898979193167833</v>
      </c>
      <c r="K8"/>
      <c r="Q8" s="470" cm="1">
        <f t="array" aca="1" ref="Q8" ca="1">MAX(_xlfn._xlws.FILTER(INDIRECT("'"&amp;A8&amp;"'!"&amp;"A20:A42"),INDIRECT("'"&amp;A8&amp;"'!"&amp;"A20:A42")&lt;$D8))</f>
        <v>6000000</v>
      </c>
      <c r="R8" s="470" cm="1">
        <f t="array" aca="1" ref="R8" ca="1">MIN(_xlfn._xlws.FILTER(INDIRECT("'"&amp;A8&amp;"'!"&amp;"A20:A42"),INDIRECT("'"&amp;A8&amp;"'!"&amp;"A20:A42")&gt;=$D8))</f>
        <v>6500000</v>
      </c>
    </row>
    <row r="9" spans="1:18" x14ac:dyDescent="0.25">
      <c r="A9" s="97" t="s">
        <v>328</v>
      </c>
      <c r="B9" s="458" t="s">
        <v>175</v>
      </c>
      <c r="C9" s="478" t="str">
        <f>VAC_Optim_Scenario!B24</f>
        <v>HCC Display</v>
      </c>
      <c r="D9" s="482">
        <f>VAC_Optim_Scenario!E24</f>
        <v>1648357.37</v>
      </c>
      <c r="E9" s="479">
        <f>VAC_Optim_Scenario!F24</f>
        <v>104116.36986385845</v>
      </c>
      <c r="F9" s="482">
        <f>VAC_Optim_Scenario!G54</f>
        <v>23524052.607040178</v>
      </c>
      <c r="G9" s="483">
        <f t="shared" si="3"/>
        <v>14.271209044334952</v>
      </c>
      <c r="H9" s="464">
        <f t="shared" si="0"/>
        <v>1.2037640542949635E-2</v>
      </c>
      <c r="I9" s="481">
        <f t="shared" si="1"/>
        <v>15.831875161949808</v>
      </c>
      <c r="J9" s="469">
        <f t="shared" ca="1" si="2"/>
        <v>10.825038062094338</v>
      </c>
      <c r="K9"/>
      <c r="Q9" s="470" cm="1">
        <f t="array" aca="1" ref="Q9" ca="1">MAX(_xlfn._xlws.FILTER(INDIRECT("'"&amp;A9&amp;"'!"&amp;"A20:A42"),INDIRECT("'"&amp;A9&amp;"'!"&amp;"A20:A42")&lt;$D9))</f>
        <v>1600000</v>
      </c>
      <c r="R9" s="470" cm="1">
        <f t="array" aca="1" ref="R9" ca="1">MIN(_xlfn._xlws.FILTER(INDIRECT("'"&amp;A9&amp;"'!"&amp;"A20:A42"),INDIRECT("'"&amp;A9&amp;"'!"&amp;"A20:A42")&gt;=$D9))</f>
        <v>1800000</v>
      </c>
    </row>
    <row r="10" spans="1:18" x14ac:dyDescent="0.25">
      <c r="A10" s="97" t="s">
        <v>329</v>
      </c>
      <c r="B10" s="458" t="s">
        <v>175</v>
      </c>
      <c r="C10" s="478" t="str">
        <f>VAC_Optim_Scenario!B25</f>
        <v>HCC Paid Search</v>
      </c>
      <c r="D10" s="482">
        <f>VAC_Optim_Scenario!E25</f>
        <v>344707</v>
      </c>
      <c r="E10" s="479">
        <f>VAC_Optim_Scenario!F25</f>
        <v>130694.08808973072</v>
      </c>
      <c r="F10" s="482">
        <f>VAC_Optim_Scenario!G55</f>
        <v>29529022.26299376</v>
      </c>
      <c r="G10" s="483">
        <f t="shared" si="3"/>
        <v>85.664121305902583</v>
      </c>
      <c r="H10" s="464">
        <f t="shared" si="0"/>
        <v>1.5110481239116749E-2</v>
      </c>
      <c r="I10" s="481">
        <f t="shared" si="1"/>
        <v>2.6375102733287696</v>
      </c>
      <c r="J10" s="469">
        <f ca="1">(VLOOKUP($Q10,INDIRECT("'"&amp;A10&amp;"'!"&amp;"A20:E42"),3,0)-VLOOKUP($R10,INDIRECT("'"&amp;A10&amp;"'!"&amp;"A20:E42"),3,0))/(Q10-R10)</f>
        <v>58.622972004453118</v>
      </c>
      <c r="K10"/>
      <c r="Q10" s="470" cm="1">
        <f t="array" aca="1" ref="Q10" ca="1">MAX(_xlfn._xlws.FILTER(INDIRECT("'"&amp;A10&amp;"'!"&amp;"A20:A42"),INDIRECT("'"&amp;A10&amp;"'!"&amp;"A20:A42")&lt;$D10))</f>
        <v>300000</v>
      </c>
      <c r="R10" s="470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330</v>
      </c>
      <c r="B11" s="458" t="s">
        <v>175</v>
      </c>
      <c r="C11" s="478" t="str">
        <f>VAC_Optim_Scenario!B26</f>
        <v>HCC Audio</v>
      </c>
      <c r="D11" s="482">
        <f>VAC_Optim_Scenario!E26</f>
        <v>1437048.41</v>
      </c>
      <c r="E11" s="479">
        <f>VAC_Optim_Scenario!F26</f>
        <v>70569.092436493243</v>
      </c>
      <c r="F11" s="482">
        <f>VAC_Optim_Scenario!G56</f>
        <v>15944380.745101282</v>
      </c>
      <c r="G11" s="483">
        <f t="shared" si="3"/>
        <v>11.095228688295395</v>
      </c>
      <c r="H11" s="464">
        <f t="shared" si="0"/>
        <v>8.1589991017115785E-3</v>
      </c>
      <c r="I11" s="481">
        <f t="shared" si="1"/>
        <v>20.363708252210174</v>
      </c>
      <c r="J11" s="469">
        <f ca="1">(VLOOKUP($Q11,INDIRECT("'"&amp;A11&amp;"'!"&amp;"A20:E42"),3,0)-VLOOKUP($R11,INDIRECT("'"&amp;A11&amp;"'!"&amp;"A20:E42"),3,0))/(Q11-R11)</f>
        <v>6.5466633097348268</v>
      </c>
      <c r="K11"/>
      <c r="Q11" s="470" cm="1">
        <f t="array" aca="1" ref="Q11" ca="1">MAX(_xlfn._xlws.FILTER(INDIRECT("'"&amp;A11&amp;"'!"&amp;"A20:A42"),INDIRECT("'"&amp;A11&amp;"'!"&amp;"A20:A42")&lt;$D11))</f>
        <v>1400000</v>
      </c>
      <c r="R11" s="470" cm="1">
        <f t="array" aca="1" ref="R11" ca="1">MIN(_xlfn._xlws.FILTER(INDIRECT("'"&amp;A11&amp;"'!"&amp;"A20:A42"),INDIRECT("'"&amp;A11&amp;"'!"&amp;"A20:A42")&gt;=$D11))</f>
        <v>1600000</v>
      </c>
    </row>
    <row r="12" spans="1:18" x14ac:dyDescent="0.25">
      <c r="A12" s="97" t="s">
        <v>331</v>
      </c>
      <c r="B12" s="484" t="s">
        <v>175</v>
      </c>
      <c r="C12" s="485" t="str">
        <f>VAC_Optim_Scenario!B27</f>
        <v>HCC TV</v>
      </c>
      <c r="D12" s="486">
        <f>VAC_Optim_Scenario!E27</f>
        <v>13503524.99</v>
      </c>
      <c r="E12" s="487">
        <f>VAC_Optim_Scenario!F27</f>
        <v>253686.28893952153</v>
      </c>
      <c r="F12" s="486">
        <f>VAC_Optim_Scenario!G57</f>
        <v>57317880.122995496</v>
      </c>
      <c r="G12" s="488">
        <f t="shared" si="3"/>
        <v>4.2446605731053264</v>
      </c>
      <c r="H12" s="489">
        <f t="shared" si="0"/>
        <v>2.9330492034268182E-2</v>
      </c>
      <c r="I12" s="490">
        <f t="shared" si="1"/>
        <v>53.229226721114685</v>
      </c>
      <c r="J12" s="491">
        <f ca="1">(VLOOKUP($Q12,INDIRECT("'"&amp;A12&amp;"'!"&amp;"A20:E42"),3,0)-VLOOKUP($R12,INDIRECT("'"&amp;A12&amp;"'!"&amp;"A20:E42"),3,0))/(Q12-R12)</f>
        <v>2.9971565057842673</v>
      </c>
      <c r="K12"/>
      <c r="Q12" s="470" cm="1">
        <f t="array" aca="1" ref="Q12" ca="1">MAX(_xlfn._xlws.FILTER(INDIRECT("'"&amp;A12&amp;"'!"&amp;"A20:A42"),INDIRECT("'"&amp;A12&amp;"'!"&amp;"A20:A42")&lt;$D12))</f>
        <v>12500000</v>
      </c>
      <c r="R12" s="470" cm="1">
        <f t="array" aca="1" ref="R12" ca="1">MIN(_xlfn._xlws.FILTER(INDIRECT("'"&amp;A12&amp;"'!"&amp;"A20:A42"),INDIRECT("'"&amp;A12&amp;"'!"&amp;"A20:A42")&gt;=$D12))</f>
        <v>13750000</v>
      </c>
    </row>
    <row r="13" spans="1:18" x14ac:dyDescent="0.25">
      <c r="A13" s="97" t="s">
        <v>333</v>
      </c>
      <c r="B13" s="458" t="s">
        <v>286</v>
      </c>
      <c r="C13" s="478" t="str">
        <f>VAC_Optim_Scenario!B29</f>
        <v>HCC InOffice</v>
      </c>
      <c r="D13" s="471">
        <f>VAC_Optim_Scenario!E29</f>
        <v>1134710</v>
      </c>
      <c r="E13" s="479">
        <f>VAC_Optim_Scenario!F29</f>
        <v>7367.8666140222922</v>
      </c>
      <c r="F13" s="471">
        <f>VAC_Optim_Scenario!G59</f>
        <v>1664695.7827721967</v>
      </c>
      <c r="G13" s="480">
        <f t="shared" si="3"/>
        <v>1.4670671649780092</v>
      </c>
      <c r="H13" s="464">
        <f>E13/$L$4</f>
        <v>1.5852190309812427E-3</v>
      </c>
      <c r="I13" s="481">
        <f>D13/E13</f>
        <v>154.00794550765286</v>
      </c>
      <c r="J13" s="469">
        <f ca="1">(VLOOKUP($Q13,INDIRECT("'"&amp;A13&amp;"'!"&amp;"A20:E42"),5,0)-VLOOKUP($R13,INDIRECT("'"&amp;A13&amp;"'!"&amp;"A20:E42"),5,0))/(Q13-R13)</f>
        <v>1.0281350987444842</v>
      </c>
      <c r="K13"/>
      <c r="Q13" s="470" cm="1">
        <f t="array" aca="1" ref="Q13" ca="1">MAX(_xlfn._xlws.FILTER(INDIRECT("'"&amp;A13&amp;"'!"&amp;"A20:A42"),INDIRECT("'"&amp;A13&amp;"'!"&amp;"A20:A42")&lt;$D13))</f>
        <v>1000000</v>
      </c>
      <c r="R13" s="470" cm="1">
        <f t="array" aca="1" ref="R13" ca="1">MIN(_xlfn._xlws.FILTER(INDIRECT("'"&amp;A13&amp;"'!"&amp;"A20:A42"),INDIRECT("'"&amp;A13&amp;"'!"&amp;"A20:A42")&gt;=$D13))</f>
        <v>1200000</v>
      </c>
    </row>
    <row r="14" spans="1:18" x14ac:dyDescent="0.25">
      <c r="A14" s="97" t="s">
        <v>334</v>
      </c>
      <c r="B14" s="458" t="s">
        <v>286</v>
      </c>
      <c r="C14" s="459" t="str">
        <f>VAC_Optim_Scenario!B30</f>
        <v>HCP MCM</v>
      </c>
      <c r="D14" s="471">
        <f>VAC_Optim_Scenario!E30</f>
        <v>10503728.719999999</v>
      </c>
      <c r="E14" s="461">
        <f>VAC_Optim_Scenario!F30</f>
        <v>288339.09761974216</v>
      </c>
      <c r="F14" s="471">
        <f>VAC_Optim_Scenario!G60</f>
        <v>65147335.716204539</v>
      </c>
      <c r="G14" s="476">
        <f t="shared" si="3"/>
        <v>6.2023056243025803</v>
      </c>
      <c r="H14" s="464">
        <f t="shared" ref="H14:H22" si="4">E14/$L$4</f>
        <v>6.2037038517075226E-2</v>
      </c>
      <c r="I14" s="466">
        <f t="shared" ref="I14:I22" si="5">D14/E14</f>
        <v>36.428388680927966</v>
      </c>
      <c r="J14" s="469">
        <f t="shared" ref="J14:J22" ca="1" si="6">(VLOOKUP($Q14,INDIRECT("'"&amp;A14&amp;"'!"&amp;"A20:E42"),5,0)-VLOOKUP($R14,INDIRECT("'"&amp;A14&amp;"'!"&amp;"A20:E42"),5,0))/(Q14-R14)</f>
        <v>4.9357259150992991</v>
      </c>
      <c r="K14"/>
      <c r="Q14" s="470" cm="1">
        <f t="array" aca="1" ref="Q14" ca="1">MAX(_xlfn._xlws.FILTER(INDIRECT("'"&amp;A14&amp;"'!"&amp;"A20:A42"),INDIRECT("'"&amp;A14&amp;"'!"&amp;"A20:A42")&lt;$D14))</f>
        <v>10000000</v>
      </c>
      <c r="R14" s="470" cm="1">
        <f t="array" aca="1" ref="R14" ca="1">MIN(_xlfn._xlws.FILTER(INDIRECT("'"&amp;A14&amp;"'!"&amp;"A20:A42"),INDIRECT("'"&amp;A14&amp;"'!"&amp;"A20:A42")&gt;=$D14))</f>
        <v>10625000</v>
      </c>
    </row>
    <row r="15" spans="1:18" x14ac:dyDescent="0.25">
      <c r="A15" s="97" t="s">
        <v>335</v>
      </c>
      <c r="B15" s="458" t="s">
        <v>286</v>
      </c>
      <c r="C15" s="459" t="str">
        <f>VAC_Optim_Scenario!B31</f>
        <v>HCC Social</v>
      </c>
      <c r="D15" s="471">
        <f>VAC_Optim_Scenario!E31</f>
        <v>1751000</v>
      </c>
      <c r="E15" s="461">
        <f>VAC_Optim_Scenario!F31</f>
        <v>23820.403572058858</v>
      </c>
      <c r="F15" s="471">
        <f>VAC_Optim_Scenario!G61</f>
        <v>5381981.983070978</v>
      </c>
      <c r="G15" s="476">
        <f t="shared" si="3"/>
        <v>3.0736618978132371</v>
      </c>
      <c r="H15" s="464">
        <f t="shared" si="4"/>
        <v>5.1250326649801949E-3</v>
      </c>
      <c r="I15" s="466">
        <f t="shared" si="5"/>
        <v>73.508410329953804</v>
      </c>
      <c r="J15" s="469">
        <f ca="1">(VLOOKUP($Q15,INDIRECT("'"&amp;A15&amp;"'!"&amp;"A20:E42"),3,0)-VLOOKUP($R15,INDIRECT("'"&amp;A15&amp;"'!"&amp;"A20:E42"),3,0))/(Q15-R15)</f>
        <v>1.7951540998233295</v>
      </c>
      <c r="K15"/>
      <c r="Q15" s="470" cm="1">
        <f t="array" aca="1" ref="Q15" ca="1">MAX(_xlfn._xlws.FILTER(INDIRECT("'"&amp;A15&amp;"'!"&amp;"A20:A42"),INDIRECT("'"&amp;A15&amp;"'!"&amp;"A20:A42")&lt;$D15))</f>
        <v>1750000</v>
      </c>
      <c r="R15" s="470" cm="1">
        <f t="array" aca="1" ref="R15" ca="1">MIN(_xlfn._xlws.FILTER(INDIRECT("'"&amp;A15&amp;"'!"&amp;"A20:A42"),INDIRECT("'"&amp;A15&amp;"'!"&amp;"A20:A42")&gt;=$D15))</f>
        <v>2000000</v>
      </c>
    </row>
    <row r="16" spans="1:18" x14ac:dyDescent="0.25">
      <c r="A16" s="97" t="s">
        <v>336</v>
      </c>
      <c r="B16" s="458" t="s">
        <v>286</v>
      </c>
      <c r="C16" s="459" t="str">
        <f>VAC_Optim_Scenario!B32</f>
        <v>HCC Online Video</v>
      </c>
      <c r="D16" s="471">
        <f>VAC_Optim_Scenario!E32</f>
        <v>1111779.04</v>
      </c>
      <c r="E16" s="461">
        <f>VAC_Optim_Scenario!F32</f>
        <v>21646.235649615526</v>
      </c>
      <c r="F16" s="471">
        <f>VAC_Optim_Scenario!G62</f>
        <v>4890750.4826741321</v>
      </c>
      <c r="G16" s="476">
        <f t="shared" si="3"/>
        <v>4.3990310184963839</v>
      </c>
      <c r="H16" s="464">
        <f t="shared" si="4"/>
        <v>4.6572537884398968E-3</v>
      </c>
      <c r="I16" s="466">
        <f t="shared" si="5"/>
        <v>51.361310945524473</v>
      </c>
      <c r="J16" s="469">
        <f t="shared" ca="1" si="6"/>
        <v>3.0799076810741566</v>
      </c>
      <c r="K16"/>
      <c r="Q16" s="470" cm="1">
        <f t="array" aca="1" ref="Q16" ca="1">MAX(_xlfn._xlws.FILTER(INDIRECT("'"&amp;A16&amp;"'!"&amp;"A20:A42"),INDIRECT("'"&amp;A16&amp;"'!"&amp;"A20:A42")&lt;$D16))</f>
        <v>1000000</v>
      </c>
      <c r="R16" s="470" cm="1">
        <f t="array" aca="1" ref="R16" ca="1">MIN(_xlfn._xlws.FILTER(INDIRECT("'"&amp;A16&amp;"'!"&amp;"A20:A42"),INDIRECT("'"&amp;A16&amp;"'!"&amp;"A20:A42")&gt;=$D16))</f>
        <v>1200000</v>
      </c>
    </row>
    <row r="17" spans="1:18" x14ac:dyDescent="0.25">
      <c r="A17" s="97" t="s">
        <v>337</v>
      </c>
      <c r="B17" s="458" t="s">
        <v>286</v>
      </c>
      <c r="C17" s="459" t="str">
        <f>VAC_Optim_Scenario!B33</f>
        <v>HCC Streaming Video</v>
      </c>
      <c r="D17" s="471">
        <f>VAC_Optim_Scenario!E33</f>
        <v>13418576</v>
      </c>
      <c r="E17" s="461">
        <f>VAC_Optim_Scenario!F33</f>
        <v>100808.3256282994</v>
      </c>
      <c r="F17" s="471">
        <f>VAC_Optim_Scenario!G63</f>
        <v>22776633.092457965</v>
      </c>
      <c r="G17" s="476">
        <f t="shared" si="3"/>
        <v>1.6973956917975472</v>
      </c>
      <c r="H17" s="464">
        <f t="shared" si="4"/>
        <v>2.1689219503947282E-2</v>
      </c>
      <c r="I17" s="466">
        <f t="shared" si="5"/>
        <v>133.10979937785092</v>
      </c>
      <c r="J17" s="469">
        <f ca="1">(VLOOKUP($Q17,INDIRECT("'"&amp;A17&amp;"'!"&amp;"A20:E42"),3,0)-VLOOKUP($R17,INDIRECT("'"&amp;A17&amp;"'!"&amp;"A20:E42"),3,0))/(Q17-R17)</f>
        <v>1.1961518650093477</v>
      </c>
      <c r="K17"/>
      <c r="Q17" s="470" cm="1">
        <f t="array" aca="1" ref="Q17" ca="1">MAX(_xlfn._xlws.FILTER(INDIRECT("'"&amp;A17&amp;"'!"&amp;"A20:A42"),INDIRECT("'"&amp;A17&amp;"'!"&amp;"A20:A42")&lt;$D17))</f>
        <v>12750000</v>
      </c>
      <c r="R17" s="470" cm="1">
        <f t="array" aca="1" ref="R17" ca="1">MIN(_xlfn._xlws.FILTER(INDIRECT("'"&amp;A17&amp;"'!"&amp;"A20:A42"),INDIRECT("'"&amp;A17&amp;"'!"&amp;"A20:A42")&gt;=$D17))</f>
        <v>13500000</v>
      </c>
    </row>
    <row r="18" spans="1:18" x14ac:dyDescent="0.25">
      <c r="A18" s="97" t="s">
        <v>338</v>
      </c>
      <c r="B18" s="458" t="s">
        <v>286</v>
      </c>
      <c r="C18" s="459" t="str">
        <f>VAC_Optim_Scenario!B34</f>
        <v>HCC Display</v>
      </c>
      <c r="D18" s="471">
        <f>VAC_Optim_Scenario!E34</f>
        <v>2859426.82</v>
      </c>
      <c r="E18" s="461">
        <f>VAC_Optim_Scenario!F34</f>
        <v>76065.012406995462</v>
      </c>
      <c r="F18" s="471">
        <f>VAC_Optim_Scenario!G64</f>
        <v>17186128.903236553</v>
      </c>
      <c r="G18" s="476">
        <f t="shared" si="3"/>
        <v>6.010340528049098</v>
      </c>
      <c r="H18" s="464">
        <f t="shared" si="4"/>
        <v>1.6365620005920036E-2</v>
      </c>
      <c r="I18" s="466">
        <f t="shared" si="5"/>
        <v>37.591880018375271</v>
      </c>
      <c r="J18" s="469">
        <f t="shared" ref="J18:J21" ca="1" si="7">(VLOOKUP($Q18,INDIRECT("'"&amp;A18&amp;"'!"&amp;"A20:E42"),3,0)-VLOOKUP($R18,INDIRECT("'"&amp;A18&amp;"'!"&amp;"A20:E42"),3,0))/(Q18-R18)</f>
        <v>3.5990133726234732</v>
      </c>
      <c r="K18"/>
      <c r="Q18" s="470" cm="1">
        <f t="array" aca="1" ref="Q18" ca="1">MAX(_xlfn._xlws.FILTER(INDIRECT("'"&amp;A18&amp;"'!"&amp;"A20:A42"),INDIRECT("'"&amp;A18&amp;"'!"&amp;"A20:A42")&lt;$D18))</f>
        <v>2750000</v>
      </c>
      <c r="R18" s="470" cm="1">
        <f t="array" aca="1" ref="R18" ca="1">MIN(_xlfn._xlws.FILTER(INDIRECT("'"&amp;A18&amp;"'!"&amp;"A20:A42"),INDIRECT("'"&amp;A18&amp;"'!"&amp;"A20:A42")&gt;=$D18))</f>
        <v>3000000</v>
      </c>
    </row>
    <row r="19" spans="1:18" x14ac:dyDescent="0.25">
      <c r="A19" s="97" t="s">
        <v>339</v>
      </c>
      <c r="B19" s="458" t="s">
        <v>286</v>
      </c>
      <c r="C19" s="459" t="str">
        <f>VAC_Optim_Scenario!B35</f>
        <v>HCC Paid Search</v>
      </c>
      <c r="D19" s="471">
        <f>VAC_Optim_Scenario!E35</f>
        <v>50000</v>
      </c>
      <c r="E19" s="461">
        <f>VAC_Optim_Scenario!F35</f>
        <v>30136.792938374307</v>
      </c>
      <c r="F19" s="471">
        <f>VAC_Optim_Scenario!G65</f>
        <v>6809106.9964962909</v>
      </c>
      <c r="G19" s="476">
        <f t="shared" si="3"/>
        <v>136.18213992992582</v>
      </c>
      <c r="H19" s="464">
        <f t="shared" si="4"/>
        <v>6.4840231509798512E-3</v>
      </c>
      <c r="I19" s="466">
        <f t="shared" si="5"/>
        <v>1.6591015541117227</v>
      </c>
      <c r="J19" s="469">
        <f t="shared" ca="1" si="7"/>
        <v>84.028991834438983</v>
      </c>
      <c r="K19"/>
      <c r="Q19" s="470" cm="1">
        <f t="array" aca="1" ref="Q19" ca="1">MAX(_xlfn._xlws.FILTER(INDIRECT("'"&amp;A19&amp;"'!"&amp;"A20:A42"),INDIRECT("'"&amp;A19&amp;"'!"&amp;"A20:A42")&lt;$D19))</f>
        <v>0</v>
      </c>
      <c r="R19" s="470" cm="1">
        <f t="array" aca="1" ref="R19" ca="1">MIN(_xlfn._xlws.FILTER(INDIRECT("'"&amp;A19&amp;"'!"&amp;"A20:A42"),INDIRECT("'"&amp;A19&amp;"'!"&amp;"A20:A42")&gt;=$D19))</f>
        <v>250000</v>
      </c>
    </row>
    <row r="20" spans="1:18" x14ac:dyDescent="0.25">
      <c r="A20" s="97" t="s">
        <v>340</v>
      </c>
      <c r="B20" s="458" t="s">
        <v>286</v>
      </c>
      <c r="C20" s="459" t="str">
        <f>VAC_Optim_Scenario!B36</f>
        <v>HCC Linear TV</v>
      </c>
      <c r="D20" s="471">
        <f>VAC_Optim_Scenario!E36</f>
        <v>25810928.600000001</v>
      </c>
      <c r="E20" s="461">
        <f>VAC_Optim_Scenario!F36</f>
        <v>168508.00202805389</v>
      </c>
      <c r="F20" s="471">
        <f>VAC_Optim_Scenario!G66</f>
        <v>38072697.978218496</v>
      </c>
      <c r="G20" s="476">
        <f t="shared" si="3"/>
        <v>1.4750611482540188</v>
      </c>
      <c r="H20" s="464">
        <f t="shared" si="4"/>
        <v>3.6255011888939259E-2</v>
      </c>
      <c r="I20" s="466">
        <f t="shared" si="5"/>
        <v>153.17331099625105</v>
      </c>
      <c r="J20" s="469">
        <f t="shared" ca="1" si="7"/>
        <v>1.0273854514533429</v>
      </c>
      <c r="K20"/>
      <c r="Q20" s="470" cm="1">
        <f t="array" aca="1" ref="Q20" ca="1">MAX(_xlfn._xlws.FILTER(INDIRECT("'"&amp;A20&amp;"'!"&amp;"A20:A42"),INDIRECT("'"&amp;A20&amp;"'!"&amp;"A20:A42")&lt;$D20))</f>
        <v>25500000</v>
      </c>
      <c r="R20" s="470" cm="1">
        <f t="array" aca="1" ref="R20" ca="1">MIN(_xlfn._xlws.FILTER(INDIRECT("'"&amp;A20&amp;"'!"&amp;"A20:A42"),INDIRECT("'"&amp;A20&amp;"'!"&amp;"A20:A42")&gt;=$D20))</f>
        <v>27000000</v>
      </c>
    </row>
    <row r="21" spans="1:18" x14ac:dyDescent="0.25">
      <c r="A21" s="97" t="s">
        <v>332</v>
      </c>
      <c r="B21" s="458" t="s">
        <v>286</v>
      </c>
      <c r="C21" s="459" t="str">
        <f>VAC_Optim_Scenario!B37</f>
        <v>HCC Radio</v>
      </c>
      <c r="D21" s="471">
        <f>VAC_Optim_Scenario!E37</f>
        <v>923975</v>
      </c>
      <c r="E21" s="461">
        <f>VAC_Optim_Scenario!F37</f>
        <v>26581.559263521289</v>
      </c>
      <c r="F21" s="471">
        <f>VAC_Optim_Scenario!G67</f>
        <v>6005837.5</v>
      </c>
      <c r="G21" s="476">
        <f t="shared" si="3"/>
        <v>6.5</v>
      </c>
      <c r="H21" s="464">
        <f t="shared" si="4"/>
        <v>5.7191037548772593E-3</v>
      </c>
      <c r="I21" s="466">
        <f t="shared" si="5"/>
        <v>34.76</v>
      </c>
      <c r="J21" s="469">
        <f t="shared" ca="1" si="7"/>
        <v>2.6952193392368331</v>
      </c>
      <c r="K21"/>
      <c r="Q21" s="470" cm="1">
        <f t="array" aca="1" ref="Q21" ca="1">MAX(_xlfn._xlws.FILTER(INDIRECT("'"&amp;A21&amp;"'!"&amp;"A20:A42"),INDIRECT("'"&amp;A21&amp;"'!"&amp;"A20:A42")&lt;$D21))</f>
        <v>750000</v>
      </c>
      <c r="R21" s="470" cm="1">
        <f t="array" aca="1" ref="R21" ca="1">MIN(_xlfn._xlws.FILTER(INDIRECT("'"&amp;A21&amp;"'!"&amp;"A20:A42"),INDIRECT("'"&amp;A21&amp;"'!"&amp;"A20:A42")&gt;=$D21))</f>
        <v>1000000</v>
      </c>
    </row>
    <row r="22" spans="1:18" x14ac:dyDescent="0.25">
      <c r="A22" s="97" t="s">
        <v>341</v>
      </c>
      <c r="B22" s="458" t="s">
        <v>286</v>
      </c>
      <c r="C22" s="459" t="str">
        <f>VAC_Optim_Scenario!B38</f>
        <v>HCC Pharmacy</v>
      </c>
      <c r="D22" s="471">
        <f>VAC_Optim_Scenario!E38</f>
        <v>2411968</v>
      </c>
      <c r="E22" s="461">
        <f>VAC_Optim_Scenario!F38</f>
        <v>18205.929821531288</v>
      </c>
      <c r="F22" s="471">
        <f>VAC_Optim_Scenario!G68</f>
        <v>4113447.783876779</v>
      </c>
      <c r="G22" s="476">
        <f t="shared" si="3"/>
        <v>1.7054321549360436</v>
      </c>
      <c r="H22" s="464">
        <f t="shared" si="4"/>
        <v>3.9170614699883619E-3</v>
      </c>
      <c r="I22" s="466">
        <f t="shared" si="5"/>
        <v>132.48254956731077</v>
      </c>
      <c r="J22" s="469">
        <f t="shared" ca="1" si="6"/>
        <v>1.2851107311617118</v>
      </c>
      <c r="K22"/>
      <c r="Q22" s="470" cm="1">
        <f t="array" aca="1" ref="Q22" ca="1">MAX(_xlfn._xlws.FILTER(INDIRECT("'"&amp;A22&amp;"'!"&amp;"A20:A42"),INDIRECT("'"&amp;A22&amp;"'!"&amp;"A20:A42")&lt;$D22))</f>
        <v>2400000</v>
      </c>
      <c r="R22" s="470" cm="1">
        <f t="array" aca="1" ref="R22" ca="1">MIN(_xlfn._xlws.FILTER(INDIRECT("'"&amp;A22&amp;"'!"&amp;"A20:A42"),INDIRECT("'"&amp;A22&amp;"'!"&amp;"A20:A42")&gt;=$D22))</f>
        <v>2600000</v>
      </c>
    </row>
    <row r="23" spans="1:18" x14ac:dyDescent="0.25">
      <c r="B23" s="472" t="s">
        <v>154</v>
      </c>
      <c r="C23" s="473" t="s">
        <v>232</v>
      </c>
      <c r="D23" s="474">
        <f>SUM(D4:D22)</f>
        <v>92256597.780000001</v>
      </c>
      <c r="E23" s="475">
        <f>SUM(E4:E22)</f>
        <v>1860690.3450625509</v>
      </c>
      <c r="F23" s="474">
        <f>SUM(F4:F22)</f>
        <v>420404376.56343269</v>
      </c>
      <c r="G23" s="477">
        <f>F23/D23</f>
        <v>4.5569031015640897</v>
      </c>
      <c r="H23" s="225">
        <f>SUM(H4:H22)</f>
        <v>0.29092226801733845</v>
      </c>
      <c r="I23" s="290">
        <f>D23/E23</f>
        <v>49.581918896289331</v>
      </c>
      <c r="J23" s="291"/>
    </row>
    <row r="24" spans="1:18" x14ac:dyDescent="0.25">
      <c r="F24" s="97">
        <f>F23/D23</f>
        <v>4.5569031015640897</v>
      </c>
      <c r="G24" s="226"/>
      <c r="H24" s="227"/>
    </row>
    <row r="26" spans="1:18" ht="51" x14ac:dyDescent="0.25">
      <c r="E26" s="220" t="s">
        <v>3</v>
      </c>
      <c r="F26" s="221" t="s">
        <v>311</v>
      </c>
    </row>
    <row r="27" spans="1:18" x14ac:dyDescent="0.25">
      <c r="E27" s="222" t="s">
        <v>189</v>
      </c>
      <c r="F27" s="259">
        <f t="shared" ref="F27:F35" si="8">VLOOKUP(E27,$C$4:$I$12,7,0)</f>
        <v>53.229226721114685</v>
      </c>
    </row>
    <row r="28" spans="1:18" x14ac:dyDescent="0.25">
      <c r="E28" s="223" t="s">
        <v>226</v>
      </c>
      <c r="F28" s="259">
        <f t="shared" si="8"/>
        <v>51.50549446347668</v>
      </c>
    </row>
    <row r="29" spans="1:18" x14ac:dyDescent="0.25">
      <c r="E29" s="223" t="s">
        <v>248</v>
      </c>
      <c r="F29" s="259">
        <f t="shared" si="8"/>
        <v>42.722551023461378</v>
      </c>
    </row>
    <row r="30" spans="1:18" x14ac:dyDescent="0.25">
      <c r="E30" s="223" t="s">
        <v>228</v>
      </c>
      <c r="F30" s="259">
        <f t="shared" si="8"/>
        <v>26.290237926979646</v>
      </c>
    </row>
    <row r="31" spans="1:18" x14ac:dyDescent="0.25">
      <c r="E31" s="223" t="s">
        <v>246</v>
      </c>
      <c r="F31" s="259">
        <f t="shared" si="8"/>
        <v>22.868685790684225</v>
      </c>
    </row>
    <row r="32" spans="1:18" x14ac:dyDescent="0.25">
      <c r="E32" s="223" t="s">
        <v>285</v>
      </c>
      <c r="F32" s="259">
        <f t="shared" si="8"/>
        <v>20.363708252210174</v>
      </c>
    </row>
    <row r="33" spans="5:6" x14ac:dyDescent="0.25">
      <c r="E33" s="223" t="s">
        <v>227</v>
      </c>
      <c r="F33" s="259">
        <f t="shared" si="8"/>
        <v>18.98595943863651</v>
      </c>
    </row>
    <row r="34" spans="5:6" x14ac:dyDescent="0.25">
      <c r="E34" s="223" t="s">
        <v>229</v>
      </c>
      <c r="F34" s="259">
        <f t="shared" si="8"/>
        <v>15.831875161949808</v>
      </c>
    </row>
    <row r="35" spans="5:6" x14ac:dyDescent="0.25">
      <c r="E35" s="224" t="s">
        <v>230</v>
      </c>
      <c r="F35" s="259">
        <f t="shared" si="8"/>
        <v>2.6375102733287696</v>
      </c>
    </row>
    <row r="46" spans="5:6" ht="25.5" x14ac:dyDescent="0.25">
      <c r="E46" s="220" t="s">
        <v>3</v>
      </c>
      <c r="F46" s="221" t="s">
        <v>300</v>
      </c>
    </row>
    <row r="47" spans="5:6" x14ac:dyDescent="0.25">
      <c r="E47" s="222" t="s">
        <v>287</v>
      </c>
      <c r="F47" s="259">
        <f t="shared" ref="F47:F56" si="9">VLOOKUP(E47,$C$13:$I$22,7,0)</f>
        <v>154.00794550765286</v>
      </c>
    </row>
    <row r="48" spans="5:6" x14ac:dyDescent="0.25">
      <c r="E48" s="223" t="s">
        <v>288</v>
      </c>
      <c r="F48" s="259">
        <f t="shared" si="9"/>
        <v>153.17331099625105</v>
      </c>
    </row>
    <row r="49" spans="5:6" x14ac:dyDescent="0.25">
      <c r="E49" s="223" t="s">
        <v>248</v>
      </c>
      <c r="F49" s="259">
        <f t="shared" si="9"/>
        <v>133.10979937785092</v>
      </c>
    </row>
    <row r="50" spans="5:6" x14ac:dyDescent="0.25">
      <c r="E50" s="223" t="s">
        <v>305</v>
      </c>
      <c r="F50" s="259">
        <f t="shared" si="9"/>
        <v>132.48254956731077</v>
      </c>
    </row>
    <row r="51" spans="5:6" x14ac:dyDescent="0.25">
      <c r="E51" s="223" t="s">
        <v>228</v>
      </c>
      <c r="F51" s="259">
        <f t="shared" si="9"/>
        <v>73.508410329953804</v>
      </c>
    </row>
    <row r="52" spans="5:6" x14ac:dyDescent="0.25">
      <c r="E52" s="223" t="s">
        <v>246</v>
      </c>
      <c r="F52" s="259">
        <f t="shared" si="9"/>
        <v>51.361310945524473</v>
      </c>
    </row>
    <row r="53" spans="5:6" x14ac:dyDescent="0.25">
      <c r="E53" s="223" t="s">
        <v>229</v>
      </c>
      <c r="F53" s="259">
        <f t="shared" si="9"/>
        <v>37.591880018375271</v>
      </c>
    </row>
    <row r="54" spans="5:6" x14ac:dyDescent="0.25">
      <c r="E54" s="223" t="s">
        <v>227</v>
      </c>
      <c r="F54" s="259">
        <f t="shared" si="9"/>
        <v>36.428388680927966</v>
      </c>
    </row>
    <row r="55" spans="5:6" x14ac:dyDescent="0.25">
      <c r="E55" s="224" t="s">
        <v>192</v>
      </c>
      <c r="F55" s="259">
        <f t="shared" si="9"/>
        <v>34.76</v>
      </c>
    </row>
    <row r="56" spans="5:6" x14ac:dyDescent="0.25">
      <c r="E56" s="223" t="s">
        <v>230</v>
      </c>
      <c r="F56" s="259">
        <f t="shared" si="9"/>
        <v>1.6591015541117227</v>
      </c>
    </row>
  </sheetData>
  <autoFilter ref="E26:F35" xr:uid="{8BCDA747-D407-4282-8381-F585CCEDDB35}">
    <sortState xmlns:xlrd2="http://schemas.microsoft.com/office/spreadsheetml/2017/richdata2" ref="E27:F35">
      <sortCondition descending="1" ref="F26:F3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13 J6:J9 G23 J15:J16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21C93-D658-41FB-882E-FD97534A77C5}">
  <sheetPr>
    <pageSetUpPr autoPageBreaks="0"/>
  </sheetPr>
  <dimension ref="B3:V60"/>
  <sheetViews>
    <sheetView zoomScale="75" zoomScaleNormal="75" workbookViewId="0">
      <selection activeCell="K6" sqref="K6:K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5.140625" style="97" bestFit="1" customWidth="1"/>
    <col min="4" max="4" width="12.140625" style="97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5.1406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527" t="s">
        <v>202</v>
      </c>
      <c r="H4" s="527"/>
      <c r="I4" s="528" t="s">
        <v>203</v>
      </c>
      <c r="J4" s="528"/>
      <c r="K4" s="529" t="s">
        <v>204</v>
      </c>
      <c r="L4" s="529"/>
    </row>
    <row r="5" spans="2:13" ht="38.65" customHeight="1" x14ac:dyDescent="0.25">
      <c r="B5" s="183"/>
      <c r="C5" s="258" t="s">
        <v>205</v>
      </c>
      <c r="D5" s="258" t="s">
        <v>206</v>
      </c>
      <c r="E5" s="167" t="s">
        <v>207</v>
      </c>
      <c r="F5" s="258" t="s">
        <v>310</v>
      </c>
      <c r="G5" s="276" t="s">
        <v>344</v>
      </c>
      <c r="H5" s="276"/>
      <c r="I5" s="276" t="s">
        <v>344</v>
      </c>
      <c r="J5" s="276"/>
      <c r="K5" s="276" t="s">
        <v>344</v>
      </c>
      <c r="L5" s="276"/>
      <c r="M5" s="277"/>
    </row>
    <row r="6" spans="2:13" ht="15" customHeight="1" x14ac:dyDescent="0.25">
      <c r="B6" s="183"/>
      <c r="C6" s="169">
        <f>$C$8+E6</f>
        <v>184513195.56</v>
      </c>
      <c r="D6" s="170">
        <v>1</v>
      </c>
      <c r="E6" s="171">
        <f>D6*$C$8</f>
        <v>92256597.780000001</v>
      </c>
      <c r="F6" s="258"/>
      <c r="G6" s="169">
        <f>'Scenario deep dive_23_dz'!P28</f>
        <v>733798524.04581571</v>
      </c>
      <c r="H6" s="276"/>
      <c r="I6" s="169">
        <f t="shared" ref="I6:J8" si="0">G6-$F$8</f>
        <v>313394147.48238301</v>
      </c>
      <c r="J6" s="169">
        <f t="shared" si="0"/>
        <v>-420404376.56343269</v>
      </c>
      <c r="K6" s="172">
        <f t="shared" ref="K6:L8" si="1">G6/$C6</f>
        <v>3.9769433390318096</v>
      </c>
      <c r="L6" s="172">
        <f t="shared" si="1"/>
        <v>0</v>
      </c>
      <c r="M6" s="277"/>
    </row>
    <row r="7" spans="2:13" x14ac:dyDescent="0.25">
      <c r="C7" s="169">
        <f>$C$8+E7</f>
        <v>138384896.67000002</v>
      </c>
      <c r="D7" s="170">
        <v>0.5</v>
      </c>
      <c r="E7" s="171">
        <f>D7*$C$8</f>
        <v>46128298.890000001</v>
      </c>
      <c r="F7" s="169"/>
      <c r="G7" s="169">
        <f>'Scenario deep dive_23_dz'!L28</f>
        <v>653032617.07699025</v>
      </c>
      <c r="H7" s="169"/>
      <c r="I7" s="169">
        <f t="shared" si="0"/>
        <v>232628240.51355755</v>
      </c>
      <c r="J7" s="169">
        <f t="shared" si="0"/>
        <v>-420404376.56343269</v>
      </c>
      <c r="K7" s="172">
        <f t="shared" si="1"/>
        <v>4.7189587360407295</v>
      </c>
      <c r="L7" s="172">
        <f t="shared" si="1"/>
        <v>0</v>
      </c>
    </row>
    <row r="8" spans="2:13" x14ac:dyDescent="0.25">
      <c r="B8" s="174">
        <f>F8/C8</f>
        <v>4.5569031015640897</v>
      </c>
      <c r="C8" s="169">
        <f>'Scenario deep dive_23_dz'!C28</f>
        <v>92256597.780000001</v>
      </c>
      <c r="D8" s="170">
        <v>0</v>
      </c>
      <c r="E8" s="171">
        <f>D8*$C$8</f>
        <v>0</v>
      </c>
      <c r="F8" s="169">
        <f>'Scenario deep dive_23_dz'!D28</f>
        <v>420404376.56343269</v>
      </c>
      <c r="G8" s="169">
        <f>'Scenario deep dive_23_dz'!H28</f>
        <v>542337118.52396643</v>
      </c>
      <c r="H8" s="169"/>
      <c r="I8" s="169">
        <f t="shared" si="0"/>
        <v>121932741.96053374</v>
      </c>
      <c r="J8" s="169">
        <f t="shared" si="0"/>
        <v>-420404376.56343269</v>
      </c>
      <c r="K8" s="172">
        <f t="shared" si="1"/>
        <v>5.8785727153872767</v>
      </c>
      <c r="L8" s="172">
        <f t="shared" si="1"/>
        <v>0</v>
      </c>
    </row>
    <row r="9" spans="2:13" x14ac:dyDescent="0.25">
      <c r="C9" s="169"/>
      <c r="D9" s="170"/>
      <c r="E9" s="334"/>
      <c r="F9" s="169"/>
      <c r="G9" s="169"/>
      <c r="L9" s="172"/>
    </row>
    <row r="10" spans="2:13" x14ac:dyDescent="0.25">
      <c r="D10" s="334"/>
      <c r="E10" s="334"/>
    </row>
    <row r="11" spans="2:13" x14ac:dyDescent="0.25">
      <c r="F11" s="530" t="s">
        <v>208</v>
      </c>
      <c r="G11" s="530"/>
      <c r="H11" s="530" t="s">
        <v>209</v>
      </c>
      <c r="I11" s="530"/>
    </row>
    <row r="12" spans="2:13" x14ac:dyDescent="0.25">
      <c r="C12" s="166" t="s">
        <v>205</v>
      </c>
      <c r="D12" s="166" t="s">
        <v>206</v>
      </c>
      <c r="E12" s="97" t="s">
        <v>210</v>
      </c>
      <c r="F12" s="276" t="s">
        <v>344</v>
      </c>
      <c r="G12" s="168"/>
      <c r="H12" s="276" t="s">
        <v>344</v>
      </c>
      <c r="I12" s="168"/>
    </row>
    <row r="13" spans="2:13" x14ac:dyDescent="0.25">
      <c r="C13" s="176">
        <f>C6</f>
        <v>184513195.56</v>
      </c>
      <c r="D13" s="177">
        <v>0.5</v>
      </c>
      <c r="E13" s="176">
        <f>C13-C14</f>
        <v>46128298.889999986</v>
      </c>
      <c r="F13" s="178">
        <f>G6-G7</f>
        <v>80765906.968825459</v>
      </c>
      <c r="G13" s="178">
        <f>H6-H7</f>
        <v>0</v>
      </c>
      <c r="H13" s="172">
        <f t="shared" ref="H13:I14" si="2">F13/$E13</f>
        <v>1.7508971480050495</v>
      </c>
      <c r="I13" s="172">
        <f t="shared" si="2"/>
        <v>0</v>
      </c>
    </row>
    <row r="14" spans="2:13" x14ac:dyDescent="0.25">
      <c r="C14" s="176">
        <f>C7</f>
        <v>138384896.67000002</v>
      </c>
      <c r="D14" s="177">
        <f>D7</f>
        <v>0.5</v>
      </c>
      <c r="E14" s="176">
        <f>C14-C15</f>
        <v>46128298.890000015</v>
      </c>
      <c r="F14" s="178">
        <f>G7-G8</f>
        <v>110695498.55302382</v>
      </c>
      <c r="G14" s="178">
        <f>H7-H8</f>
        <v>0</v>
      </c>
      <c r="H14" s="172">
        <f t="shared" si="2"/>
        <v>2.3997307773476355</v>
      </c>
      <c r="I14" s="172">
        <f t="shared" si="2"/>
        <v>0</v>
      </c>
    </row>
    <row r="15" spans="2:13" x14ac:dyDescent="0.25">
      <c r="C15" s="176">
        <f>C8</f>
        <v>92256597.780000001</v>
      </c>
      <c r="D15" s="177">
        <f>D8</f>
        <v>0</v>
      </c>
      <c r="E15" s="176"/>
      <c r="F15" s="178"/>
      <c r="G15" s="178"/>
      <c r="H15" s="172"/>
      <c r="I15" s="172"/>
    </row>
    <row r="16" spans="2:13" x14ac:dyDescent="0.25">
      <c r="C16" s="176"/>
      <c r="D16" s="177"/>
      <c r="E16" s="176"/>
      <c r="F16" s="178"/>
      <c r="G16" s="178"/>
      <c r="H16" s="172"/>
      <c r="I16" s="172"/>
    </row>
    <row r="17" spans="8:8" x14ac:dyDescent="0.25">
      <c r="H17" s="172"/>
    </row>
    <row r="53" spans="21:22" x14ac:dyDescent="0.25">
      <c r="U53" s="179"/>
      <c r="V53" s="179"/>
    </row>
    <row r="54" spans="21:22" x14ac:dyDescent="0.25">
      <c r="U54" s="179"/>
      <c r="V54" s="179"/>
    </row>
    <row r="55" spans="21:22" x14ac:dyDescent="0.25">
      <c r="U55" s="179"/>
      <c r="V55" s="179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</sheetData>
  <mergeCells count="5">
    <mergeCell ref="G4:H4"/>
    <mergeCell ref="I4:J4"/>
    <mergeCell ref="K4:L4"/>
    <mergeCell ref="F11:G11"/>
    <mergeCell ref="H11:I11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D8CAB-0C57-4837-99B8-83A8FC4CE2AB}">
  <sheetPr>
    <pageSetUpPr autoPageBreaks="0"/>
  </sheetPr>
  <dimension ref="A3:V91"/>
  <sheetViews>
    <sheetView showGridLines="0" tabSelected="1" topLeftCell="A4" zoomScale="75" zoomScaleNormal="75" workbookViewId="0">
      <selection activeCell="K10" sqref="K10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3" width="12.7109375" style="97" bestFit="1" customWidth="1"/>
    <col min="4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8.7109375" style="97"/>
    <col min="18" max="18" width="17.85546875" style="97" bestFit="1" customWidth="1"/>
    <col min="19" max="19" width="12.140625" style="97" bestFit="1" customWidth="1"/>
    <col min="20" max="20" width="13.85546875" style="97" bestFit="1" customWidth="1"/>
    <col min="21" max="21" width="12.7109375" style="97" bestFit="1" customWidth="1"/>
    <col min="22" max="22" width="12.140625" style="97" bestFit="1" customWidth="1"/>
    <col min="23" max="16384" width="8.7109375" style="97"/>
  </cols>
  <sheetData>
    <row r="3" spans="1:22" x14ac:dyDescent="0.25">
      <c r="B3" s="180">
        <f>SUM(C9:C13)</f>
        <v>10219266.309999999</v>
      </c>
      <c r="C3" s="180">
        <f>SUM(D9:D13)</f>
        <v>103543587.85847765</v>
      </c>
    </row>
    <row r="4" spans="1:22" x14ac:dyDescent="0.25">
      <c r="F4" s="539" t="s">
        <v>345</v>
      </c>
      <c r="G4" s="539"/>
      <c r="H4" s="539"/>
      <c r="I4" s="539"/>
      <c r="J4" s="539"/>
      <c r="K4" s="539"/>
      <c r="L4" s="539"/>
      <c r="M4" s="539"/>
      <c r="N4" s="539"/>
      <c r="O4" s="539"/>
      <c r="P4" s="539"/>
    </row>
    <row r="5" spans="1:22" x14ac:dyDescent="0.25">
      <c r="F5" s="533" t="s">
        <v>313</v>
      </c>
      <c r="G5" s="534"/>
      <c r="H5" s="535"/>
      <c r="I5" s="181"/>
      <c r="J5" s="533" t="s">
        <v>314</v>
      </c>
      <c r="K5" s="534"/>
      <c r="L5" s="535"/>
      <c r="N5" s="533" t="s">
        <v>315</v>
      </c>
      <c r="O5" s="534"/>
      <c r="P5" s="535"/>
      <c r="R5" s="97" t="s">
        <v>250</v>
      </c>
    </row>
    <row r="6" spans="1:22" ht="51.75" customHeight="1" x14ac:dyDescent="0.25">
      <c r="B6" s="392" t="s">
        <v>213</v>
      </c>
      <c r="C6" s="394" t="s">
        <v>214</v>
      </c>
      <c r="D6" s="393" t="s">
        <v>215</v>
      </c>
      <c r="E6" s="395"/>
      <c r="F6" s="396" t="s">
        <v>223</v>
      </c>
      <c r="G6" s="395" t="s">
        <v>216</v>
      </c>
      <c r="H6" s="393" t="s">
        <v>217</v>
      </c>
      <c r="I6" s="395"/>
      <c r="J6" s="396" t="s">
        <v>223</v>
      </c>
      <c r="K6" s="395" t="s">
        <v>216</v>
      </c>
      <c r="L6" s="393" t="s">
        <v>217</v>
      </c>
      <c r="M6" s="397"/>
      <c r="N6" s="396" t="s">
        <v>223</v>
      </c>
      <c r="O6" s="395" t="s">
        <v>216</v>
      </c>
      <c r="P6" s="393" t="s">
        <v>217</v>
      </c>
      <c r="R6" s="183" t="s">
        <v>223</v>
      </c>
      <c r="S6" s="183" t="s">
        <v>216</v>
      </c>
      <c r="T6" s="183" t="s">
        <v>217</v>
      </c>
    </row>
    <row r="7" spans="1:22" x14ac:dyDescent="0.25">
      <c r="A7" s="385" t="str">
        <f>VAC_Optim_Scenario!A49</f>
        <v>Gardasil Adolescents</v>
      </c>
      <c r="B7" s="385" t="str">
        <f>VAC_Optim_Scenario!B19</f>
        <v>HCC In Office</v>
      </c>
      <c r="C7" s="389">
        <f>VAC_Optim_Scenario!E19</f>
        <v>1755293</v>
      </c>
      <c r="D7" s="381">
        <f>VAC_Optim_Scenario!G49</f>
        <v>7699972.6835207557</v>
      </c>
      <c r="E7" s="374"/>
      <c r="F7" s="388">
        <v>1160737.4995043471</v>
      </c>
      <c r="G7" s="375">
        <v>-0.33872151287315161</v>
      </c>
      <c r="H7" s="377">
        <v>5676967.7305448912</v>
      </c>
      <c r="I7" s="374"/>
      <c r="J7" s="389">
        <v>1813771.6562254906</v>
      </c>
      <c r="K7" s="379">
        <v>3.331560954523867E-2</v>
      </c>
      <c r="L7" s="381">
        <v>7873786.919882088</v>
      </c>
      <c r="M7" s="376"/>
      <c r="N7" s="389">
        <v>2277854.3418472391</v>
      </c>
      <c r="O7" s="379">
        <v>0.2977060478491278</v>
      </c>
      <c r="P7" s="381">
        <v>9115776.5379161369</v>
      </c>
      <c r="R7" s="185">
        <f>VAC_Optim_Scenario!$H49</f>
        <v>2277854.3418472391</v>
      </c>
      <c r="S7" s="177">
        <f>(R7-$C7)/$C7</f>
        <v>0.2977060478491278</v>
      </c>
      <c r="T7" s="185">
        <f>VAC_Optim_Scenario!$J49</f>
        <v>9115776.5379161369</v>
      </c>
      <c r="U7" s="185"/>
      <c r="V7" s="180"/>
    </row>
    <row r="8" spans="1:22" x14ac:dyDescent="0.25">
      <c r="A8" s="386" t="str">
        <f>VAC_Optim_Scenario!A50</f>
        <v>Gardasil Adolescents</v>
      </c>
      <c r="B8" s="386" t="str">
        <f>VAC_Optim_Scenario!B20</f>
        <v>HCP MCM</v>
      </c>
      <c r="C8" s="389">
        <f>VAC_Optim_Scenario!E20</f>
        <v>5365372.8900000006</v>
      </c>
      <c r="D8" s="381">
        <f>VAC_Optim_Scenario!G50</f>
        <v>63849938.934329621</v>
      </c>
      <c r="E8" s="378"/>
      <c r="F8" s="389">
        <v>10750726.912564887</v>
      </c>
      <c r="G8" s="379">
        <v>1.0037240901936428</v>
      </c>
      <c r="H8" s="381">
        <v>94646683.033161119</v>
      </c>
      <c r="I8" s="378"/>
      <c r="J8" s="389">
        <v>12615493.458568929</v>
      </c>
      <c r="K8" s="379">
        <v>1.3512799049031106</v>
      </c>
      <c r="L8" s="381">
        <v>100917999.42068674</v>
      </c>
      <c r="M8" s="380"/>
      <c r="N8" s="389">
        <v>13941734.60841202</v>
      </c>
      <c r="O8" s="379">
        <v>1.5984651755326587</v>
      </c>
      <c r="P8" s="381">
        <v>104466562.02528025</v>
      </c>
      <c r="R8" s="185">
        <f>VAC_Optim_Scenario!$H50</f>
        <v>13941734.60841202</v>
      </c>
      <c r="S8" s="177">
        <f t="shared" ref="S8:S22" si="0">(R8-$C8)/$C8</f>
        <v>1.5984651755326587</v>
      </c>
      <c r="T8" s="185">
        <f>VAC_Optim_Scenario!$J50</f>
        <v>104466562.02528025</v>
      </c>
      <c r="U8" s="185"/>
      <c r="V8" s="180"/>
    </row>
    <row r="9" spans="1:22" x14ac:dyDescent="0.25">
      <c r="A9" s="386" t="str">
        <f>VAC_Optim_Scenario!A51</f>
        <v>Gardasil Adolescents</v>
      </c>
      <c r="B9" s="386" t="str">
        <f>VAC_Optim_Scenario!B21</f>
        <v>HCC Social</v>
      </c>
      <c r="C9" s="389">
        <f>VAC_Optim_Scenario!E21</f>
        <v>1873000</v>
      </c>
      <c r="D9" s="381">
        <f>VAC_Optim_Scenario!G51</f>
        <v>16096682.775385505</v>
      </c>
      <c r="E9" s="378"/>
      <c r="F9" s="389">
        <v>3944326.2513002553</v>
      </c>
      <c r="G9" s="379">
        <v>1.1058869467700241</v>
      </c>
      <c r="H9" s="381">
        <v>25165027.938257728</v>
      </c>
      <c r="I9" s="378"/>
      <c r="J9" s="389">
        <v>5619000</v>
      </c>
      <c r="K9" s="379">
        <v>2</v>
      </c>
      <c r="L9" s="381">
        <v>31117818.124337628</v>
      </c>
      <c r="M9" s="380"/>
      <c r="N9" s="389">
        <v>5619000</v>
      </c>
      <c r="O9" s="379">
        <v>2</v>
      </c>
      <c r="P9" s="381">
        <v>31117818.124337628</v>
      </c>
      <c r="R9" s="185">
        <f>VAC_Optim_Scenario!$H51</f>
        <v>5619000</v>
      </c>
      <c r="S9" s="177">
        <f t="shared" si="0"/>
        <v>2</v>
      </c>
      <c r="T9" s="185">
        <f>VAC_Optim_Scenario!$J51</f>
        <v>31117818.124337628</v>
      </c>
      <c r="U9" s="185"/>
      <c r="V9" s="180"/>
    </row>
    <row r="10" spans="1:22" x14ac:dyDescent="0.25">
      <c r="A10" s="386" t="str">
        <f>VAC_Optim_Scenario!A52</f>
        <v>Gardasil Adolescents</v>
      </c>
      <c r="B10" s="386" t="str">
        <f>VAC_Optim_Scenario!B22</f>
        <v>HCC Online Video</v>
      </c>
      <c r="C10" s="389">
        <f>VAC_Optim_Scenario!E22</f>
        <v>173076.94</v>
      </c>
      <c r="D10" s="381">
        <f>VAC_Optim_Scenario!G52</f>
        <v>1709980.3714794049</v>
      </c>
      <c r="E10" s="378"/>
      <c r="F10" s="389">
        <v>319995.18759241182</v>
      </c>
      <c r="G10" s="379">
        <v>0.8488609030897577</v>
      </c>
      <c r="H10" s="381">
        <v>2470876.2610528478</v>
      </c>
      <c r="I10" s="378"/>
      <c r="J10" s="389">
        <v>383328.46999712987</v>
      </c>
      <c r="K10" s="379">
        <v>1.2147864989820705</v>
      </c>
      <c r="L10" s="381">
        <v>2683654.5750002181</v>
      </c>
      <c r="M10" s="380"/>
      <c r="N10" s="389">
        <v>431635.30632567109</v>
      </c>
      <c r="O10" s="379">
        <v>1.4938926371454861</v>
      </c>
      <c r="P10" s="381">
        <v>2813277.7806743854</v>
      </c>
      <c r="R10" s="185">
        <f>VAC_Optim_Scenario!$H52</f>
        <v>431635.30632567109</v>
      </c>
      <c r="S10" s="177">
        <f t="shared" si="0"/>
        <v>1.4938926371454861</v>
      </c>
      <c r="T10" s="185">
        <f>VAC_Optim_Scenario!$J52</f>
        <v>2813277.7806743854</v>
      </c>
      <c r="U10" s="185"/>
      <c r="V10" s="180"/>
    </row>
    <row r="11" spans="1:22" x14ac:dyDescent="0.25">
      <c r="A11" s="386" t="str">
        <f>VAC_Optim_Scenario!A53</f>
        <v>Gardasil Adolescents</v>
      </c>
      <c r="B11" s="386" t="str">
        <f>VAC_Optim_Scenario!B23</f>
        <v>HCC Streaming Video</v>
      </c>
      <c r="C11" s="389">
        <f>VAC_Optim_Scenario!E23</f>
        <v>6180125</v>
      </c>
      <c r="D11" s="381">
        <f>VAC_Optim_Scenario!G53</f>
        <v>32683849.841578793</v>
      </c>
      <c r="E11" s="378"/>
      <c r="F11" s="389">
        <v>5518720.0340381004</v>
      </c>
      <c r="G11" s="379">
        <v>-0.10702129260523041</v>
      </c>
      <c r="H11" s="381">
        <v>30194092.348878063</v>
      </c>
      <c r="I11" s="378"/>
      <c r="J11" s="389">
        <v>13363062.555054171</v>
      </c>
      <c r="K11" s="379">
        <v>1.1622641216891521</v>
      </c>
      <c r="L11" s="381">
        <v>56075005.657765001</v>
      </c>
      <c r="M11" s="380"/>
      <c r="N11" s="389">
        <v>18540375</v>
      </c>
      <c r="O11" s="379">
        <v>2</v>
      </c>
      <c r="P11" s="381">
        <v>70520938.754477054</v>
      </c>
      <c r="R11" s="185">
        <f>VAC_Optim_Scenario!$H53</f>
        <v>18540375</v>
      </c>
      <c r="S11" s="177">
        <f t="shared" si="0"/>
        <v>2</v>
      </c>
      <c r="T11" s="185">
        <f>VAC_Optim_Scenario!$J53</f>
        <v>70520938.754477054</v>
      </c>
      <c r="U11" s="185"/>
      <c r="V11" s="180"/>
    </row>
    <row r="12" spans="1:22" x14ac:dyDescent="0.25">
      <c r="A12" s="386" t="str">
        <f>VAC_Optim_Scenario!A54</f>
        <v>Gardasil Adolescents</v>
      </c>
      <c r="B12" s="386" t="str">
        <f>VAC_Optim_Scenario!B24</f>
        <v>HCC Display</v>
      </c>
      <c r="C12" s="389">
        <f>VAC_Optim_Scenario!E24</f>
        <v>1648357.37</v>
      </c>
      <c r="D12" s="381">
        <f>VAC_Optim_Scenario!G54</f>
        <v>23524052.607040178</v>
      </c>
      <c r="E12" s="378"/>
      <c r="F12" s="389">
        <v>4945072.1100000003</v>
      </c>
      <c r="G12" s="379">
        <v>2</v>
      </c>
      <c r="H12" s="381">
        <v>46266832.660476312</v>
      </c>
      <c r="I12" s="378"/>
      <c r="J12" s="389">
        <v>4945072.1100000003</v>
      </c>
      <c r="K12" s="379">
        <v>2</v>
      </c>
      <c r="L12" s="381">
        <v>46266832.660476312</v>
      </c>
      <c r="M12" s="380"/>
      <c r="N12" s="389">
        <v>4945072.1100000003</v>
      </c>
      <c r="O12" s="379">
        <v>2</v>
      </c>
      <c r="P12" s="381">
        <v>46266832.660476312</v>
      </c>
      <c r="R12" s="185">
        <f>VAC_Optim_Scenario!$H54</f>
        <v>4945072.1100000003</v>
      </c>
      <c r="S12" s="177">
        <f t="shared" si="0"/>
        <v>2</v>
      </c>
      <c r="T12" s="185">
        <f>VAC_Optim_Scenario!$J54</f>
        <v>46266832.660476312</v>
      </c>
      <c r="U12" s="185"/>
      <c r="V12" s="180"/>
    </row>
    <row r="13" spans="1:22" x14ac:dyDescent="0.25">
      <c r="A13" s="386" t="str">
        <f>VAC_Optim_Scenario!A55</f>
        <v>Gardasil Adolescents</v>
      </c>
      <c r="B13" s="386" t="str">
        <f>VAC_Optim_Scenario!B25</f>
        <v>HCC Paid Search</v>
      </c>
      <c r="C13" s="389">
        <f>VAC_Optim_Scenario!E25</f>
        <v>344707</v>
      </c>
      <c r="D13" s="381">
        <f>VAC_Optim_Scenario!G55</f>
        <v>29529022.26299376</v>
      </c>
      <c r="E13" s="378"/>
      <c r="F13" s="389">
        <v>1034121</v>
      </c>
      <c r="G13" s="379">
        <v>2</v>
      </c>
      <c r="H13" s="381">
        <v>63713864.20454748</v>
      </c>
      <c r="I13" s="378"/>
      <c r="J13" s="389">
        <v>1034121</v>
      </c>
      <c r="K13" s="379">
        <v>2</v>
      </c>
      <c r="L13" s="381">
        <v>63713864.20454748</v>
      </c>
      <c r="M13" s="380"/>
      <c r="N13" s="389">
        <v>1034121</v>
      </c>
      <c r="O13" s="379">
        <v>2</v>
      </c>
      <c r="P13" s="381">
        <v>63713864.20454748</v>
      </c>
      <c r="R13" s="185">
        <f>VAC_Optim_Scenario!$H55</f>
        <v>1034121</v>
      </c>
      <c r="S13" s="177">
        <f t="shared" si="0"/>
        <v>2</v>
      </c>
      <c r="T13" s="185">
        <f>VAC_Optim_Scenario!$J55</f>
        <v>63713864.20454748</v>
      </c>
      <c r="U13" s="185"/>
      <c r="V13" s="180"/>
    </row>
    <row r="14" spans="1:22" x14ac:dyDescent="0.25">
      <c r="A14" s="386" t="str">
        <f>VAC_Optim_Scenario!A56</f>
        <v>Gardasil Adolescents</v>
      </c>
      <c r="B14" s="386" t="str">
        <f>VAC_Optim_Scenario!B26</f>
        <v>HCC Audio</v>
      </c>
      <c r="C14" s="389">
        <f>VAC_Optim_Scenario!E26</f>
        <v>1437048.41</v>
      </c>
      <c r="D14" s="381">
        <f>VAC_Optim_Scenario!G56</f>
        <v>15944380.745101282</v>
      </c>
      <c r="E14" s="378"/>
      <c r="F14" s="389">
        <v>4311145.2299999995</v>
      </c>
      <c r="G14" s="379">
        <v>1.9999999999999998</v>
      </c>
      <c r="H14" s="381">
        <v>30823390.573985521</v>
      </c>
      <c r="I14" s="378"/>
      <c r="J14" s="389">
        <v>4311145.2299999995</v>
      </c>
      <c r="K14" s="379">
        <v>1.9999999999999998</v>
      </c>
      <c r="L14" s="381">
        <v>30823390.573985521</v>
      </c>
      <c r="M14" s="380"/>
      <c r="N14" s="389">
        <v>4311145.2299999995</v>
      </c>
      <c r="O14" s="379">
        <v>1.9999999999999998</v>
      </c>
      <c r="P14" s="381">
        <v>30823390.573985521</v>
      </c>
      <c r="R14" s="185">
        <f>VAC_Optim_Scenario!$H56</f>
        <v>4311145.2299999995</v>
      </c>
      <c r="S14" s="177">
        <f t="shared" si="0"/>
        <v>1.9999999999999998</v>
      </c>
      <c r="T14" s="185">
        <f>VAC_Optim_Scenario!$J56</f>
        <v>30823390.573985521</v>
      </c>
      <c r="U14" s="185"/>
      <c r="V14" s="180"/>
    </row>
    <row r="15" spans="1:22" x14ac:dyDescent="0.25">
      <c r="A15" s="444" t="str">
        <f>VAC_Optim_Scenario!A57</f>
        <v>Gardasil Adolescents</v>
      </c>
      <c r="B15" s="444" t="str">
        <f>VAC_Optim_Scenario!B27</f>
        <v>HCC TV</v>
      </c>
      <c r="C15" s="389">
        <f>VAC_Optim_Scenario!E27</f>
        <v>13503524.99</v>
      </c>
      <c r="D15" s="381">
        <f>VAC_Optim_Scenario!G57</f>
        <v>57317880.122995496</v>
      </c>
      <c r="E15" s="382"/>
      <c r="F15" s="390">
        <v>6751762.4950000001</v>
      </c>
      <c r="G15" s="383">
        <v>-0.5</v>
      </c>
      <c r="H15" s="384">
        <v>35283293.949099764</v>
      </c>
      <c r="I15" s="378"/>
      <c r="J15" s="389">
        <v>14019915.600782571</v>
      </c>
      <c r="K15" s="379">
        <v>3.8241171187892262E-2</v>
      </c>
      <c r="L15" s="381">
        <v>58843553.649202093</v>
      </c>
      <c r="M15" s="380"/>
      <c r="N15" s="389">
        <v>26372275.820726354</v>
      </c>
      <c r="O15" s="379">
        <v>0.95299196619077409</v>
      </c>
      <c r="P15" s="381">
        <v>91575740.591107547</v>
      </c>
      <c r="R15" s="185">
        <f>VAC_Optim_Scenario!$H57</f>
        <v>26372275.820726354</v>
      </c>
      <c r="S15" s="177">
        <f t="shared" si="0"/>
        <v>0.95299196619077409</v>
      </c>
      <c r="T15" s="185">
        <f>VAC_Optim_Scenario!$J57</f>
        <v>91575740.591107547</v>
      </c>
      <c r="U15" s="185"/>
      <c r="V15" s="180"/>
    </row>
    <row r="16" spans="1:22" x14ac:dyDescent="0.25">
      <c r="A16" s="385" t="str">
        <f>VAC_Optim_Scenario!A59</f>
        <v>Gardasil Adults</v>
      </c>
      <c r="B16" s="385" t="str">
        <f>VAC_Optim_Scenario!B29</f>
        <v>HCC InOffice</v>
      </c>
      <c r="C16" s="388">
        <f>VAC_Optim_Scenario!E29</f>
        <v>1134710</v>
      </c>
      <c r="D16" s="377">
        <f>VAC_Optim_Scenario!G59</f>
        <v>1664695.7827721967</v>
      </c>
      <c r="E16" s="374"/>
      <c r="F16" s="388">
        <v>567355</v>
      </c>
      <c r="G16" s="375">
        <v>-0.5</v>
      </c>
      <c r="H16" s="377">
        <v>979252.61536259553</v>
      </c>
      <c r="I16" s="378"/>
      <c r="J16" s="388">
        <v>901995.85863356048</v>
      </c>
      <c r="K16" s="375">
        <v>-0.20508688684019663</v>
      </c>
      <c r="L16" s="377">
        <v>1412756.0620588274</v>
      </c>
      <c r="M16" s="380"/>
      <c r="N16" s="388">
        <v>1174217.317731498</v>
      </c>
      <c r="O16" s="375">
        <v>3.481710545557723E-2</v>
      </c>
      <c r="P16" s="377">
        <v>1703920.5434261584</v>
      </c>
      <c r="R16" s="185">
        <f>VAC_Optim_Scenario!$H59</f>
        <v>1174217.317731498</v>
      </c>
      <c r="S16" s="177">
        <f t="shared" si="0"/>
        <v>3.481710545557723E-2</v>
      </c>
      <c r="T16" s="185">
        <f>VAC_Optim_Scenario!$J59</f>
        <v>1703920.5434261584</v>
      </c>
      <c r="U16" s="185"/>
      <c r="V16" s="180"/>
    </row>
    <row r="17" spans="1:22" x14ac:dyDescent="0.25">
      <c r="A17" s="386" t="str">
        <f>VAC_Optim_Scenario!A60</f>
        <v>Gardasil Adults</v>
      </c>
      <c r="B17" s="386" t="str">
        <f>VAC_Optim_Scenario!B30</f>
        <v>HCP MCM</v>
      </c>
      <c r="C17" s="389">
        <f>VAC_Optim_Scenario!E30</f>
        <v>10503728.719999999</v>
      </c>
      <c r="D17" s="381">
        <f>VAC_Optim_Scenario!G60</f>
        <v>65147335.716204539</v>
      </c>
      <c r="E17" s="378"/>
      <c r="F17" s="389">
        <v>23216672.692139436</v>
      </c>
      <c r="G17" s="379">
        <v>1.21032676214618</v>
      </c>
      <c r="H17" s="381">
        <v>111963823.97000758</v>
      </c>
      <c r="I17" s="378"/>
      <c r="J17" s="389">
        <v>31511186.159999996</v>
      </c>
      <c r="K17" s="379">
        <v>2</v>
      </c>
      <c r="L17" s="381">
        <v>130006693.24428791</v>
      </c>
      <c r="M17" s="380"/>
      <c r="N17" s="389">
        <v>31511186.159999996</v>
      </c>
      <c r="O17" s="379">
        <v>2</v>
      </c>
      <c r="P17" s="381">
        <v>130006693.24428791</v>
      </c>
      <c r="R17" s="185">
        <f>VAC_Optim_Scenario!$H60</f>
        <v>31511186.159999996</v>
      </c>
      <c r="S17" s="177">
        <f t="shared" si="0"/>
        <v>2</v>
      </c>
      <c r="T17" s="185">
        <f>VAC_Optim_Scenario!$J60</f>
        <v>130006693.24428791</v>
      </c>
      <c r="U17" s="185"/>
      <c r="V17" s="180"/>
    </row>
    <row r="18" spans="1:22" x14ac:dyDescent="0.25">
      <c r="A18" s="386" t="str">
        <f>VAC_Optim_Scenario!A61</f>
        <v>Gardasil Adults</v>
      </c>
      <c r="B18" s="386" t="str">
        <f>VAC_Optim_Scenario!B31</f>
        <v>HCC Social</v>
      </c>
      <c r="C18" s="389">
        <f>VAC_Optim_Scenario!E31</f>
        <v>1751000</v>
      </c>
      <c r="D18" s="381">
        <f>VAC_Optim_Scenario!G61</f>
        <v>5381981.983070978</v>
      </c>
      <c r="E18" s="378"/>
      <c r="F18" s="389">
        <v>875500.00000000012</v>
      </c>
      <c r="G18" s="379">
        <v>-0.49999999999999994</v>
      </c>
      <c r="H18" s="381">
        <v>3550783.9011496729</v>
      </c>
      <c r="I18" s="378"/>
      <c r="J18" s="389">
        <v>5253000</v>
      </c>
      <c r="K18" s="379">
        <v>2</v>
      </c>
      <c r="L18" s="381">
        <v>10404350.935819058</v>
      </c>
      <c r="M18" s="380"/>
      <c r="N18" s="389">
        <v>5253000</v>
      </c>
      <c r="O18" s="379">
        <v>2</v>
      </c>
      <c r="P18" s="381">
        <v>10404350.935819058</v>
      </c>
      <c r="R18" s="185">
        <f>VAC_Optim_Scenario!$H61</f>
        <v>5253000</v>
      </c>
      <c r="S18" s="177">
        <f t="shared" si="0"/>
        <v>2</v>
      </c>
      <c r="T18" s="185">
        <f>VAC_Optim_Scenario!$J61</f>
        <v>10404350.935819058</v>
      </c>
      <c r="U18" s="185"/>
      <c r="V18" s="180"/>
    </row>
    <row r="19" spans="1:22" x14ac:dyDescent="0.25">
      <c r="A19" s="386" t="str">
        <f>VAC_Optim_Scenario!A62</f>
        <v>Gardasil Adults</v>
      </c>
      <c r="B19" s="386" t="str">
        <f>VAC_Optim_Scenario!B32</f>
        <v>HCC Online Video</v>
      </c>
      <c r="C19" s="389">
        <f>VAC_Optim_Scenario!E32</f>
        <v>1111779.04</v>
      </c>
      <c r="D19" s="381">
        <f>VAC_Optim_Scenario!G62</f>
        <v>4890750.4826741321</v>
      </c>
      <c r="E19" s="378"/>
      <c r="F19" s="389">
        <v>1328100.0395036626</v>
      </c>
      <c r="G19" s="379">
        <v>0.19457193535836273</v>
      </c>
      <c r="H19" s="381">
        <v>5509171.5395226376</v>
      </c>
      <c r="I19" s="378"/>
      <c r="J19" s="389">
        <v>2631128.3308694786</v>
      </c>
      <c r="K19" s="379">
        <v>1.3665928536208765</v>
      </c>
      <c r="L19" s="381">
        <v>7891514.3064488508</v>
      </c>
      <c r="M19" s="380"/>
      <c r="N19" s="389">
        <v>2933724.0189072718</v>
      </c>
      <c r="O19" s="379">
        <v>1.6387653601629977</v>
      </c>
      <c r="P19" s="381">
        <v>8217959.2888082592</v>
      </c>
      <c r="R19" s="185">
        <f>VAC_Optim_Scenario!$H62</f>
        <v>2933724.0189072718</v>
      </c>
      <c r="S19" s="177">
        <f t="shared" si="0"/>
        <v>1.6387653601629977</v>
      </c>
      <c r="T19" s="185">
        <f>VAC_Optim_Scenario!$J62</f>
        <v>8217959.2888082592</v>
      </c>
      <c r="U19" s="185"/>
      <c r="V19" s="180"/>
    </row>
    <row r="20" spans="1:22" x14ac:dyDescent="0.25">
      <c r="A20" s="386" t="str">
        <f>VAC_Optim_Scenario!A63</f>
        <v>Gardasil Adults</v>
      </c>
      <c r="B20" s="386" t="str">
        <f>VAC_Optim_Scenario!B33</f>
        <v>HCC Streaming Video</v>
      </c>
      <c r="C20" s="389">
        <f>VAC_Optim_Scenario!E33</f>
        <v>13418576</v>
      </c>
      <c r="D20" s="381">
        <f>VAC_Optim_Scenario!G63</f>
        <v>22776633.092457965</v>
      </c>
      <c r="E20" s="378"/>
      <c r="F20" s="389">
        <v>6709288</v>
      </c>
      <c r="G20" s="379">
        <v>-0.5</v>
      </c>
      <c r="H20" s="381">
        <v>14020662.293293284</v>
      </c>
      <c r="I20" s="378"/>
      <c r="J20" s="389">
        <v>13412094.233100468</v>
      </c>
      <c r="K20" s="379">
        <v>-4.8304431852766694E-4</v>
      </c>
      <c r="L20" s="381">
        <v>22768931.048069902</v>
      </c>
      <c r="M20" s="380"/>
      <c r="N20" s="389">
        <v>25298391.099956226</v>
      </c>
      <c r="O20" s="379">
        <v>0.8853260658922546</v>
      </c>
      <c r="P20" s="381">
        <v>35502591.566770315</v>
      </c>
      <c r="R20" s="185">
        <f>VAC_Optim_Scenario!$H63</f>
        <v>25298391.099956226</v>
      </c>
      <c r="S20" s="177">
        <f t="shared" si="0"/>
        <v>0.8853260658922546</v>
      </c>
      <c r="T20" s="185">
        <f>VAC_Optim_Scenario!$J63</f>
        <v>35502591.566770315</v>
      </c>
      <c r="U20" s="185"/>
      <c r="V20" s="180"/>
    </row>
    <row r="21" spans="1:22" x14ac:dyDescent="0.25">
      <c r="A21" s="386" t="str">
        <f>VAC_Optim_Scenario!A64</f>
        <v>Gardasil Adults</v>
      </c>
      <c r="B21" s="386" t="str">
        <f>VAC_Optim_Scenario!B34</f>
        <v>HCC Display</v>
      </c>
      <c r="C21" s="389">
        <f>VAC_Optim_Scenario!E34</f>
        <v>2859426.82</v>
      </c>
      <c r="D21" s="381">
        <f>VAC_Optim_Scenario!G64</f>
        <v>17186128.903236553</v>
      </c>
      <c r="E21" s="378"/>
      <c r="F21" s="389">
        <v>6099639.528356906</v>
      </c>
      <c r="G21" s="379">
        <v>1.1331686076711369</v>
      </c>
      <c r="H21" s="381">
        <v>27076540.519063387</v>
      </c>
      <c r="I21" s="378"/>
      <c r="J21" s="389">
        <v>8578280.459999999</v>
      </c>
      <c r="K21" s="379">
        <v>1.9999999999999998</v>
      </c>
      <c r="L21" s="381">
        <v>33223915.817619715</v>
      </c>
      <c r="M21" s="380"/>
      <c r="N21" s="389">
        <v>8578280.459999999</v>
      </c>
      <c r="O21" s="379">
        <v>1.9999999999999998</v>
      </c>
      <c r="P21" s="381">
        <v>33223915.817619715</v>
      </c>
      <c r="R21" s="185">
        <f>VAC_Optim_Scenario!$H64</f>
        <v>8578280.459999999</v>
      </c>
      <c r="S21" s="177">
        <f t="shared" si="0"/>
        <v>1.9999999999999998</v>
      </c>
      <c r="T21" s="185">
        <f>VAC_Optim_Scenario!$J64</f>
        <v>33223915.817619715</v>
      </c>
      <c r="U21" s="185"/>
      <c r="V21" s="180"/>
    </row>
    <row r="22" spans="1:22" x14ac:dyDescent="0.25">
      <c r="A22" s="386" t="str">
        <f>VAC_Optim_Scenario!A65</f>
        <v>Gardasil Adults</v>
      </c>
      <c r="B22" s="386" t="str">
        <f>VAC_Optim_Scenario!B35</f>
        <v>HCC Paid Search</v>
      </c>
      <c r="C22" s="389">
        <f>VAC_Optim_Scenario!E35</f>
        <v>50000</v>
      </c>
      <c r="D22" s="381">
        <f>VAC_Optim_Scenario!G65</f>
        <v>6809106.9964962909</v>
      </c>
      <c r="E22" s="378"/>
      <c r="F22" s="389">
        <v>150000</v>
      </c>
      <c r="G22" s="379">
        <v>2</v>
      </c>
      <c r="H22" s="381">
        <v>14691800.990400117</v>
      </c>
      <c r="I22" s="378"/>
      <c r="J22" s="389">
        <v>150000</v>
      </c>
      <c r="K22" s="379">
        <v>2</v>
      </c>
      <c r="L22" s="381">
        <v>14691800.990400117</v>
      </c>
      <c r="M22" s="380"/>
      <c r="N22" s="389">
        <v>150000</v>
      </c>
      <c r="O22" s="379">
        <v>2</v>
      </c>
      <c r="P22" s="381">
        <v>14691800.990400117</v>
      </c>
      <c r="R22" s="185">
        <f>VAC_Optim_Scenario!$H65</f>
        <v>150000</v>
      </c>
      <c r="S22" s="177">
        <f t="shared" si="0"/>
        <v>2</v>
      </c>
      <c r="T22" s="185">
        <f>VAC_Optim_Scenario!$J65</f>
        <v>14691800.990400117</v>
      </c>
      <c r="U22" s="185"/>
      <c r="V22" s="180"/>
    </row>
    <row r="23" spans="1:22" x14ac:dyDescent="0.25">
      <c r="A23" s="386" t="str">
        <f>VAC_Optim_Scenario!A66</f>
        <v>Gardasil Adults</v>
      </c>
      <c r="B23" s="386" t="str">
        <f>VAC_Optim_Scenario!B36</f>
        <v>HCC Linear TV</v>
      </c>
      <c r="C23" s="389">
        <f>VAC_Optim_Scenario!E36</f>
        <v>25810928.600000001</v>
      </c>
      <c r="D23" s="381">
        <f>VAC_Optim_Scenario!G66</f>
        <v>38072697.978218496</v>
      </c>
      <c r="E23" s="378"/>
      <c r="F23" s="389">
        <v>12905464.300000001</v>
      </c>
      <c r="G23" s="379">
        <v>-0.5</v>
      </c>
      <c r="H23" s="381">
        <v>23436494.708425995</v>
      </c>
      <c r="I23" s="378"/>
      <c r="J23" s="389">
        <v>16174330.222743023</v>
      </c>
      <c r="K23" s="379">
        <v>-0.37335341655460541</v>
      </c>
      <c r="L23" s="381">
        <v>27449189.599665474</v>
      </c>
      <c r="M23" s="380"/>
      <c r="N23" s="389">
        <v>30473211.382820502</v>
      </c>
      <c r="O23" s="379">
        <v>0.18063212118685648</v>
      </c>
      <c r="P23" s="381">
        <v>42765531.11914473</v>
      </c>
      <c r="R23" s="185">
        <f>VAC_Optim_Scenario!$H66</f>
        <v>30473211.382820502</v>
      </c>
      <c r="S23" s="177">
        <f>(R23-$C23)/$C23</f>
        <v>0.18063212118685648</v>
      </c>
      <c r="T23" s="185">
        <f>VAC_Optim_Scenario!$J66</f>
        <v>42765531.11914473</v>
      </c>
      <c r="U23" s="185"/>
      <c r="V23" s="180"/>
    </row>
    <row r="24" spans="1:22" x14ac:dyDescent="0.25">
      <c r="A24" s="444" t="str">
        <f>VAC_Optim_Scenario!A67</f>
        <v>Gardasil Adults</v>
      </c>
      <c r="B24" s="444" t="str">
        <f>VAC_Optim_Scenario!B37</f>
        <v>HCC Radio</v>
      </c>
      <c r="C24" s="389">
        <f>VAC_Optim_Scenario!E37</f>
        <v>923975</v>
      </c>
      <c r="D24" s="381">
        <f>VAC_Optim_Scenario!G67</f>
        <v>6005837.5</v>
      </c>
      <c r="E24" s="378"/>
      <c r="F24" s="389">
        <v>461987.5</v>
      </c>
      <c r="G24" s="379">
        <v>-0.5</v>
      </c>
      <c r="H24" s="381">
        <v>4551573.6972596971</v>
      </c>
      <c r="I24" s="378"/>
      <c r="J24" s="389">
        <v>461987.5</v>
      </c>
      <c r="K24" s="379">
        <v>-0.5</v>
      </c>
      <c r="L24" s="381">
        <v>4551573.6972596971</v>
      </c>
      <c r="M24" s="380"/>
      <c r="N24" s="389">
        <v>461987.5</v>
      </c>
      <c r="O24" s="379">
        <v>-0.5</v>
      </c>
      <c r="P24" s="381">
        <v>4551573.6972596971</v>
      </c>
      <c r="R24" s="185">
        <f>VAC_Optim_Scenario!$H67</f>
        <v>461987.5</v>
      </c>
      <c r="S24" s="177">
        <f t="shared" ref="S24:S25" si="1">(R24-$C24)/$C24</f>
        <v>-0.5</v>
      </c>
      <c r="T24" s="185">
        <f>VAC_Optim_Scenario!$J67</f>
        <v>4551573.6972596971</v>
      </c>
      <c r="U24" s="185"/>
      <c r="V24" s="180"/>
    </row>
    <row r="25" spans="1:22" x14ac:dyDescent="0.25">
      <c r="A25" s="387" t="str">
        <f>VAC_Optim_Scenario!A68</f>
        <v>Gardasil Adults</v>
      </c>
      <c r="B25" s="444" t="str">
        <f>VAC_Optim_Scenario!B38</f>
        <v>HCC Pharmacy</v>
      </c>
      <c r="C25" s="390">
        <f>VAC_Optim_Scenario!E38</f>
        <v>2411968</v>
      </c>
      <c r="D25" s="384">
        <f>VAC_Optim_Scenario!G68</f>
        <v>4113447.783876779</v>
      </c>
      <c r="E25" s="378"/>
      <c r="F25" s="389">
        <v>1205984</v>
      </c>
      <c r="G25" s="379">
        <v>-0.5</v>
      </c>
      <c r="H25" s="381">
        <v>2315985.5894776098</v>
      </c>
      <c r="I25" s="378"/>
      <c r="J25" s="389">
        <v>1205984</v>
      </c>
      <c r="K25" s="379">
        <v>-0.5</v>
      </c>
      <c r="L25" s="381">
        <v>2315985.5894776098</v>
      </c>
      <c r="M25" s="380"/>
      <c r="N25" s="389">
        <v>1205984</v>
      </c>
      <c r="O25" s="379">
        <v>-0.5</v>
      </c>
      <c r="P25" s="381">
        <v>2315985.5894776098</v>
      </c>
      <c r="R25" s="185">
        <f>VAC_Optim_Scenario!$H68</f>
        <v>1205984</v>
      </c>
      <c r="S25" s="177">
        <f t="shared" si="1"/>
        <v>-0.5</v>
      </c>
      <c r="T25" s="185">
        <f>VAC_Optim_Scenario!$J68</f>
        <v>2315985.5894776098</v>
      </c>
      <c r="U25" s="185"/>
      <c r="V25" s="180"/>
    </row>
    <row r="26" spans="1:22" x14ac:dyDescent="0.25">
      <c r="A26" s="446"/>
      <c r="B26" s="447" t="s">
        <v>175</v>
      </c>
      <c r="C26" s="388">
        <f>SUM(C7:C15)</f>
        <v>32280505.600000001</v>
      </c>
      <c r="D26" s="377">
        <f>SUM(D7:D15)</f>
        <v>248355760.34442478</v>
      </c>
      <c r="E26" s="378"/>
      <c r="F26" s="388">
        <f>SUM(F7:F15)</f>
        <v>38736606.719999999</v>
      </c>
      <c r="G26" s="449">
        <f>(F26-$C$26)/$C$26</f>
        <v>0.1999999999999999</v>
      </c>
      <c r="H26" s="377">
        <f>SUM(H7:H15)</f>
        <v>334241028.70000374</v>
      </c>
      <c r="I26" s="378"/>
      <c r="J26" s="388">
        <f>SUM(J7:J15)</f>
        <v>58104910.080628291</v>
      </c>
      <c r="K26" s="449">
        <f>(J26-$C$26)/$C$26</f>
        <v>0.80000000001946336</v>
      </c>
      <c r="L26" s="377">
        <f>SUM(L7:L15)</f>
        <v>398315905.78588307</v>
      </c>
      <c r="M26" s="380"/>
      <c r="N26" s="388">
        <f>SUM(N7:N15)</f>
        <v>77473213.417311281</v>
      </c>
      <c r="O26" s="449">
        <f>(N26-$C$26)/$C$26</f>
        <v>1.3999999992971386</v>
      </c>
      <c r="P26" s="377">
        <f>SUM(P7:P15)</f>
        <v>450414201.25280231</v>
      </c>
      <c r="R26" s="185"/>
      <c r="S26" s="177"/>
      <c r="T26" s="185"/>
      <c r="U26" s="185"/>
      <c r="V26" s="180"/>
    </row>
    <row r="27" spans="1:22" x14ac:dyDescent="0.25">
      <c r="A27" s="446"/>
      <c r="B27" s="448" t="s">
        <v>286</v>
      </c>
      <c r="C27" s="390">
        <f>SUM(C16:C25)</f>
        <v>59976092.18</v>
      </c>
      <c r="D27" s="384">
        <f>SUM(D16:D25)</f>
        <v>172048616.21900794</v>
      </c>
      <c r="E27" s="378"/>
      <c r="F27" s="390">
        <f>SUM(F16:F25)</f>
        <v>53519991.060000002</v>
      </c>
      <c r="G27" s="450">
        <f>(F27-$C$27)/$C$27</f>
        <v>-0.10764457778649487</v>
      </c>
      <c r="H27" s="384">
        <f>SUM(H16:H25)</f>
        <v>208096089.82396257</v>
      </c>
      <c r="I27" s="378"/>
      <c r="J27" s="390">
        <f>SUM(J16:J25)</f>
        <v>80279986.765346527</v>
      </c>
      <c r="K27" s="450">
        <f>(J27-$C$27)/$C$27</f>
        <v>0.33853313624386466</v>
      </c>
      <c r="L27" s="384">
        <f>SUM(L16:L25)</f>
        <v>254716711.29110709</v>
      </c>
      <c r="M27" s="380"/>
      <c r="N27" s="390">
        <f>SUM(N16:N25)</f>
        <v>107039981.93941548</v>
      </c>
      <c r="O27" s="450">
        <f>(N27-$C$27)/$C$27</f>
        <v>0.78471084141606851</v>
      </c>
      <c r="P27" s="384">
        <f>SUM(P16:P25)</f>
        <v>283384322.79301357</v>
      </c>
      <c r="R27" s="185"/>
      <c r="S27" s="177"/>
      <c r="T27" s="185"/>
      <c r="U27" s="185"/>
      <c r="V27" s="180"/>
    </row>
    <row r="28" spans="1:22" ht="34.35" customHeight="1" x14ac:dyDescent="0.25">
      <c r="B28" s="451" t="s">
        <v>219</v>
      </c>
      <c r="C28" s="452">
        <f>SUM(C7:C25)</f>
        <v>92256597.780000001</v>
      </c>
      <c r="D28" s="453">
        <f>SUM(D7:D25)</f>
        <v>420404376.56343269</v>
      </c>
      <c r="E28" s="179"/>
      <c r="F28" s="452">
        <f>SUM(F7:F25)</f>
        <v>92256597.780000001</v>
      </c>
      <c r="G28" s="454">
        <f>(F28-$C$28)/$C$28</f>
        <v>0</v>
      </c>
      <c r="H28" s="453">
        <f>SUM(H7:H25)</f>
        <v>542337118.52396643</v>
      </c>
      <c r="I28" s="445"/>
      <c r="J28" s="452">
        <f>SUM(J7:J25)</f>
        <v>138384896.84597483</v>
      </c>
      <c r="K28" s="454">
        <f>(J28-$C$28)/$C$28</f>
        <v>0.50000000190744986</v>
      </c>
      <c r="L28" s="453">
        <f>SUM(L7:L25)</f>
        <v>653032617.07699025</v>
      </c>
      <c r="M28" s="380"/>
      <c r="N28" s="452">
        <f>SUM(N7:N25)</f>
        <v>184513195.35672677</v>
      </c>
      <c r="O28" s="454">
        <f>(N28-$C$28)/$C$28</f>
        <v>0.99999999779665372</v>
      </c>
      <c r="P28" s="453">
        <f>SUM(P7:P25)</f>
        <v>733798524.04581571</v>
      </c>
      <c r="R28" s="188">
        <f>SUM(R7:R25)</f>
        <v>184513195.35672677</v>
      </c>
      <c r="S28" s="189">
        <f>(R28-$C$28)/$C$28</f>
        <v>0.99999999779665372</v>
      </c>
      <c r="T28" s="188">
        <f>SUM(T7:T25)</f>
        <v>733798524.04581571</v>
      </c>
    </row>
    <row r="29" spans="1:22" x14ac:dyDescent="0.25">
      <c r="D29" s="391">
        <f>SUM(D7:D15)/D28</f>
        <v>0.59075445972896912</v>
      </c>
      <c r="E29" s="391"/>
      <c r="F29" s="391"/>
      <c r="G29" s="391"/>
      <c r="H29" s="391">
        <f>SUM(H7:H15)/H28</f>
        <v>0.61629753392074582</v>
      </c>
      <c r="I29" s="391"/>
      <c r="J29" s="391"/>
      <c r="K29" s="391"/>
      <c r="L29" s="391">
        <f>SUM(L7:L15)/L28</f>
        <v>0.60994794956608278</v>
      </c>
      <c r="P29" s="391">
        <f>SUM(P7:P15)/P28</f>
        <v>0.61381181140762298</v>
      </c>
    </row>
    <row r="30" spans="1:22" x14ac:dyDescent="0.25">
      <c r="D30" s="391">
        <f>SUM(D16:D25)/D28</f>
        <v>0.40924554027103094</v>
      </c>
      <c r="E30" s="391"/>
      <c r="F30" s="391"/>
      <c r="G30" s="391"/>
      <c r="H30" s="391">
        <f>SUM(H16:H25)/H28</f>
        <v>0.38370246607925396</v>
      </c>
      <c r="I30" s="391"/>
      <c r="J30" s="391"/>
      <c r="K30" s="391"/>
      <c r="L30" s="391">
        <f>SUM(L16:L25)/L28</f>
        <v>0.39005205043391711</v>
      </c>
      <c r="P30" s="391">
        <f>SUM(P16:P25)/P28</f>
        <v>0.3861881885923773</v>
      </c>
    </row>
    <row r="31" spans="1:22" ht="26.85" customHeight="1" x14ac:dyDescent="0.25">
      <c r="A31" s="492"/>
      <c r="B31" s="492"/>
      <c r="C31" s="492"/>
      <c r="D31" s="492"/>
      <c r="E31" s="492"/>
      <c r="F31" s="556" t="str">
        <f>F4</f>
        <v>Optimal channel spend allowed to vary between -50% / +200% of the 2023 channel spend and Gobal Spend is alowed to vary by +/-20%</v>
      </c>
      <c r="G31" s="557"/>
      <c r="H31" s="557"/>
      <c r="I31" s="557"/>
      <c r="J31" s="557"/>
      <c r="K31" s="557"/>
      <c r="L31" s="557"/>
      <c r="M31" s="557"/>
      <c r="N31" s="557"/>
      <c r="O31" s="557"/>
      <c r="P31" s="558"/>
    </row>
    <row r="32" spans="1:22" ht="30.4" customHeight="1" x14ac:dyDescent="0.25">
      <c r="A32" s="492"/>
      <c r="B32" s="492"/>
      <c r="C32" s="551" t="s">
        <v>308</v>
      </c>
      <c r="D32" s="552"/>
      <c r="E32" s="493"/>
      <c r="F32" s="553" t="str">
        <f>F5</f>
        <v>Current Optimal ($92MM)</v>
      </c>
      <c r="G32" s="554"/>
      <c r="H32" s="555"/>
      <c r="I32" s="494"/>
      <c r="J32" s="553" t="str">
        <f>J5</f>
        <v>50% increase optimal ($139M)</v>
      </c>
      <c r="K32" s="554"/>
      <c r="L32" s="555"/>
      <c r="M32" s="492"/>
      <c r="N32" s="553" t="str">
        <f>N5</f>
        <v>100% increase optimal ($185M)</v>
      </c>
      <c r="O32" s="554"/>
      <c r="P32" s="555"/>
    </row>
    <row r="33" spans="1:16" ht="28.5" x14ac:dyDescent="0.25">
      <c r="A33" s="495" t="s">
        <v>347</v>
      </c>
      <c r="B33" s="495" t="s">
        <v>348</v>
      </c>
      <c r="C33" s="496" t="s">
        <v>220</v>
      </c>
      <c r="D33" s="497" t="s">
        <v>221</v>
      </c>
      <c r="E33" s="498"/>
      <c r="F33" s="499" t="s">
        <v>223</v>
      </c>
      <c r="G33" s="497" t="s">
        <v>216</v>
      </c>
      <c r="H33" s="500" t="s">
        <v>217</v>
      </c>
      <c r="I33" s="498"/>
      <c r="J33" s="499" t="s">
        <v>223</v>
      </c>
      <c r="K33" s="497" t="s">
        <v>216</v>
      </c>
      <c r="L33" s="500" t="s">
        <v>217</v>
      </c>
      <c r="M33" s="492"/>
      <c r="N33" s="499" t="s">
        <v>223</v>
      </c>
      <c r="O33" s="497" t="s">
        <v>216</v>
      </c>
      <c r="P33" s="500" t="s">
        <v>217</v>
      </c>
    </row>
    <row r="34" spans="1:16" x14ac:dyDescent="0.25">
      <c r="A34" s="511" t="str">
        <f t="shared" ref="A34:B50" si="2">A7</f>
        <v>Gardasil Adolescents</v>
      </c>
      <c r="B34" s="511" t="str">
        <f t="shared" si="2"/>
        <v>HCC In Office</v>
      </c>
      <c r="C34" s="512">
        <f t="shared" ref="C34:D42" si="3">C7/1000000</f>
        <v>1.755293</v>
      </c>
      <c r="D34" s="513">
        <f t="shared" si="3"/>
        <v>7.6999726835207554</v>
      </c>
      <c r="E34" s="514"/>
      <c r="F34" s="515">
        <f t="shared" ref="F34:F50" si="4">F7/1000000</f>
        <v>1.1607374995043471</v>
      </c>
      <c r="G34" s="516">
        <f t="shared" ref="G34:G50" si="5">G7</f>
        <v>-0.33872151287315161</v>
      </c>
      <c r="H34" s="517">
        <f t="shared" ref="H34:H50" si="6">H7/1000000</f>
        <v>5.6769677305448916</v>
      </c>
      <c r="I34" s="514"/>
      <c r="J34" s="515">
        <f t="shared" ref="J34:J50" si="7">J7/1000000</f>
        <v>1.8137716562254906</v>
      </c>
      <c r="K34" s="516">
        <f t="shared" ref="K34:K50" si="8">K7</f>
        <v>3.331560954523867E-2</v>
      </c>
      <c r="L34" s="517">
        <f t="shared" ref="L34:L50" si="9">L7/1000000</f>
        <v>7.8737869198820878</v>
      </c>
      <c r="M34" s="518"/>
      <c r="N34" s="515">
        <f t="shared" ref="N34:N50" si="10">N7/1000000</f>
        <v>2.277854341847239</v>
      </c>
      <c r="O34" s="516">
        <f t="shared" ref="O34:O50" si="11">O7</f>
        <v>0.2977060478491278</v>
      </c>
      <c r="P34" s="519">
        <f t="shared" ref="P34:P50" si="12">P7/1000000</f>
        <v>9.1157765379161368</v>
      </c>
    </row>
    <row r="35" spans="1:16" x14ac:dyDescent="0.25">
      <c r="A35" s="511" t="str">
        <f t="shared" si="2"/>
        <v>Gardasil Adolescents</v>
      </c>
      <c r="B35" s="511" t="str">
        <f t="shared" si="2"/>
        <v>HCP MCM</v>
      </c>
      <c r="C35" s="520">
        <f t="shared" si="3"/>
        <v>5.3653728900000006</v>
      </c>
      <c r="D35" s="521">
        <f t="shared" si="3"/>
        <v>63.849938934329622</v>
      </c>
      <c r="E35" s="514"/>
      <c r="F35" s="522">
        <f t="shared" si="4"/>
        <v>10.750726912564886</v>
      </c>
      <c r="G35" s="523">
        <f t="shared" si="5"/>
        <v>1.0037240901936428</v>
      </c>
      <c r="H35" s="524">
        <f t="shared" si="6"/>
        <v>94.646683033161125</v>
      </c>
      <c r="I35" s="514"/>
      <c r="J35" s="522">
        <f t="shared" si="7"/>
        <v>12.615493458568929</v>
      </c>
      <c r="K35" s="516">
        <f t="shared" si="8"/>
        <v>1.3512799049031106</v>
      </c>
      <c r="L35" s="524">
        <f t="shared" si="9"/>
        <v>100.91799942068674</v>
      </c>
      <c r="M35" s="518"/>
      <c r="N35" s="522">
        <f t="shared" si="10"/>
        <v>13.94173460841202</v>
      </c>
      <c r="O35" s="516">
        <f t="shared" si="11"/>
        <v>1.5984651755326587</v>
      </c>
      <c r="P35" s="525">
        <f t="shared" si="12"/>
        <v>104.46656202528025</v>
      </c>
    </row>
    <row r="36" spans="1:16" x14ac:dyDescent="0.25">
      <c r="A36" s="511" t="str">
        <f t="shared" si="2"/>
        <v>Gardasil Adolescents</v>
      </c>
      <c r="B36" s="511" t="str">
        <f t="shared" si="2"/>
        <v>HCC Social</v>
      </c>
      <c r="C36" s="520">
        <f t="shared" si="3"/>
        <v>1.873</v>
      </c>
      <c r="D36" s="521">
        <f t="shared" si="3"/>
        <v>16.096682775385503</v>
      </c>
      <c r="E36" s="514"/>
      <c r="F36" s="522">
        <f t="shared" si="4"/>
        <v>3.9443262513002555</v>
      </c>
      <c r="G36" s="523">
        <f t="shared" si="5"/>
        <v>1.1058869467700241</v>
      </c>
      <c r="H36" s="524">
        <f t="shared" si="6"/>
        <v>25.16502793825773</v>
      </c>
      <c r="I36" s="514"/>
      <c r="J36" s="522">
        <f t="shared" si="7"/>
        <v>5.6189999999999998</v>
      </c>
      <c r="K36" s="516">
        <f t="shared" si="8"/>
        <v>2</v>
      </c>
      <c r="L36" s="524">
        <f t="shared" si="9"/>
        <v>31.117818124337628</v>
      </c>
      <c r="M36" s="518"/>
      <c r="N36" s="522">
        <f t="shared" si="10"/>
        <v>5.6189999999999998</v>
      </c>
      <c r="O36" s="516">
        <f t="shared" si="11"/>
        <v>2</v>
      </c>
      <c r="P36" s="525">
        <f t="shared" si="12"/>
        <v>31.117818124337628</v>
      </c>
    </row>
    <row r="37" spans="1:16" x14ac:dyDescent="0.25">
      <c r="A37" s="511" t="str">
        <f t="shared" si="2"/>
        <v>Gardasil Adolescents</v>
      </c>
      <c r="B37" s="511" t="str">
        <f t="shared" si="2"/>
        <v>HCC Online Video</v>
      </c>
      <c r="C37" s="520">
        <f t="shared" si="3"/>
        <v>0.17307694000000001</v>
      </c>
      <c r="D37" s="521">
        <f t="shared" si="3"/>
        <v>1.7099803714794048</v>
      </c>
      <c r="E37" s="514"/>
      <c r="F37" s="522">
        <f t="shared" si="4"/>
        <v>0.3199951875924118</v>
      </c>
      <c r="G37" s="523">
        <f t="shared" si="5"/>
        <v>0.8488609030897577</v>
      </c>
      <c r="H37" s="524">
        <f t="shared" si="6"/>
        <v>2.4708762610528479</v>
      </c>
      <c r="I37" s="514"/>
      <c r="J37" s="522">
        <f t="shared" si="7"/>
        <v>0.38332846999712988</v>
      </c>
      <c r="K37" s="516">
        <f t="shared" si="8"/>
        <v>1.2147864989820705</v>
      </c>
      <c r="L37" s="524">
        <f t="shared" si="9"/>
        <v>2.6836545750002183</v>
      </c>
      <c r="M37" s="518"/>
      <c r="N37" s="522">
        <f t="shared" si="10"/>
        <v>0.4316353063256711</v>
      </c>
      <c r="O37" s="516">
        <f t="shared" si="11"/>
        <v>1.4938926371454861</v>
      </c>
      <c r="P37" s="525">
        <f t="shared" si="12"/>
        <v>2.8132777806743854</v>
      </c>
    </row>
    <row r="38" spans="1:16" x14ac:dyDescent="0.25">
      <c r="A38" s="511" t="str">
        <f t="shared" si="2"/>
        <v>Gardasil Adolescents</v>
      </c>
      <c r="B38" s="511" t="str">
        <f t="shared" si="2"/>
        <v>HCC Streaming Video</v>
      </c>
      <c r="C38" s="520">
        <f t="shared" si="3"/>
        <v>6.1801250000000003</v>
      </c>
      <c r="D38" s="521">
        <f t="shared" si="3"/>
        <v>32.683849841578791</v>
      </c>
      <c r="E38" s="514"/>
      <c r="F38" s="522">
        <f t="shared" si="4"/>
        <v>5.5187200340381004</v>
      </c>
      <c r="G38" s="523">
        <f t="shared" si="5"/>
        <v>-0.10702129260523041</v>
      </c>
      <c r="H38" s="524">
        <f t="shared" si="6"/>
        <v>30.194092348878062</v>
      </c>
      <c r="I38" s="514"/>
      <c r="J38" s="522">
        <f t="shared" si="7"/>
        <v>13.363062555054171</v>
      </c>
      <c r="K38" s="516">
        <f t="shared" si="8"/>
        <v>1.1622641216891521</v>
      </c>
      <c r="L38" s="524">
        <f t="shared" si="9"/>
        <v>56.075005657765004</v>
      </c>
      <c r="M38" s="518"/>
      <c r="N38" s="522">
        <f t="shared" si="10"/>
        <v>18.540375000000001</v>
      </c>
      <c r="O38" s="516">
        <f t="shared" si="11"/>
        <v>2</v>
      </c>
      <c r="P38" s="525">
        <f t="shared" si="12"/>
        <v>70.520938754477058</v>
      </c>
    </row>
    <row r="39" spans="1:16" x14ac:dyDescent="0.25">
      <c r="A39" s="511" t="str">
        <f t="shared" si="2"/>
        <v>Gardasil Adolescents</v>
      </c>
      <c r="B39" s="511" t="str">
        <f t="shared" si="2"/>
        <v>HCC Display</v>
      </c>
      <c r="C39" s="520">
        <f t="shared" si="3"/>
        <v>1.64835737</v>
      </c>
      <c r="D39" s="521">
        <f t="shared" si="3"/>
        <v>23.524052607040179</v>
      </c>
      <c r="E39" s="514"/>
      <c r="F39" s="522">
        <f t="shared" si="4"/>
        <v>4.9450721099999999</v>
      </c>
      <c r="G39" s="523">
        <f t="shared" si="5"/>
        <v>2</v>
      </c>
      <c r="H39" s="524">
        <f t="shared" si="6"/>
        <v>46.266832660476311</v>
      </c>
      <c r="I39" s="514"/>
      <c r="J39" s="522">
        <f t="shared" si="7"/>
        <v>4.9450721099999999</v>
      </c>
      <c r="K39" s="516">
        <f t="shared" si="8"/>
        <v>2</v>
      </c>
      <c r="L39" s="524">
        <f t="shared" si="9"/>
        <v>46.266832660476311</v>
      </c>
      <c r="M39" s="518"/>
      <c r="N39" s="522">
        <f t="shared" si="10"/>
        <v>4.9450721099999999</v>
      </c>
      <c r="O39" s="516">
        <f t="shared" si="11"/>
        <v>2</v>
      </c>
      <c r="P39" s="525">
        <f t="shared" si="12"/>
        <v>46.266832660476311</v>
      </c>
    </row>
    <row r="40" spans="1:16" x14ac:dyDescent="0.25">
      <c r="A40" s="511" t="str">
        <f t="shared" si="2"/>
        <v>Gardasil Adolescents</v>
      </c>
      <c r="B40" s="511" t="str">
        <f t="shared" si="2"/>
        <v>HCC Paid Search</v>
      </c>
      <c r="C40" s="520">
        <f t="shared" si="3"/>
        <v>0.34470699999999999</v>
      </c>
      <c r="D40" s="521">
        <f t="shared" si="3"/>
        <v>29.52902226299376</v>
      </c>
      <c r="E40" s="514"/>
      <c r="F40" s="522">
        <f t="shared" si="4"/>
        <v>1.0341210000000001</v>
      </c>
      <c r="G40" s="523">
        <f t="shared" si="5"/>
        <v>2</v>
      </c>
      <c r="H40" s="524">
        <f t="shared" si="6"/>
        <v>63.713864204547477</v>
      </c>
      <c r="I40" s="514"/>
      <c r="J40" s="522">
        <f t="shared" si="7"/>
        <v>1.0341210000000001</v>
      </c>
      <c r="K40" s="516">
        <f t="shared" si="8"/>
        <v>2</v>
      </c>
      <c r="L40" s="524">
        <f t="shared" si="9"/>
        <v>63.713864204547477</v>
      </c>
      <c r="M40" s="518"/>
      <c r="N40" s="522">
        <f t="shared" si="10"/>
        <v>1.0341210000000001</v>
      </c>
      <c r="O40" s="516">
        <f t="shared" si="11"/>
        <v>2</v>
      </c>
      <c r="P40" s="525">
        <f t="shared" si="12"/>
        <v>63.713864204547477</v>
      </c>
    </row>
    <row r="41" spans="1:16" x14ac:dyDescent="0.25">
      <c r="A41" s="511" t="str">
        <f t="shared" si="2"/>
        <v>Gardasil Adolescents</v>
      </c>
      <c r="B41" s="511" t="str">
        <f t="shared" si="2"/>
        <v>HCC Audio</v>
      </c>
      <c r="C41" s="520">
        <f t="shared" si="3"/>
        <v>1.4370484099999998</v>
      </c>
      <c r="D41" s="521">
        <f t="shared" si="3"/>
        <v>15.944380745101283</v>
      </c>
      <c r="E41" s="514"/>
      <c r="F41" s="522">
        <f t="shared" si="4"/>
        <v>4.3111452299999993</v>
      </c>
      <c r="G41" s="523">
        <f t="shared" si="5"/>
        <v>1.9999999999999998</v>
      </c>
      <c r="H41" s="524">
        <f t="shared" si="6"/>
        <v>30.82339057398552</v>
      </c>
      <c r="I41" s="514"/>
      <c r="J41" s="522">
        <f t="shared" si="7"/>
        <v>4.3111452299999993</v>
      </c>
      <c r="K41" s="516">
        <f t="shared" si="8"/>
        <v>1.9999999999999998</v>
      </c>
      <c r="L41" s="524">
        <f t="shared" si="9"/>
        <v>30.82339057398552</v>
      </c>
      <c r="M41" s="518"/>
      <c r="N41" s="522">
        <f t="shared" si="10"/>
        <v>4.3111452299999993</v>
      </c>
      <c r="O41" s="516">
        <f t="shared" si="11"/>
        <v>1.9999999999999998</v>
      </c>
      <c r="P41" s="525">
        <f t="shared" si="12"/>
        <v>30.82339057398552</v>
      </c>
    </row>
    <row r="42" spans="1:16" x14ac:dyDescent="0.25">
      <c r="A42" s="511" t="str">
        <f t="shared" si="2"/>
        <v>Gardasil Adolescents</v>
      </c>
      <c r="B42" s="511" t="str">
        <f t="shared" si="2"/>
        <v>HCC TV</v>
      </c>
      <c r="C42" s="520">
        <f t="shared" si="3"/>
        <v>13.503524990000001</v>
      </c>
      <c r="D42" s="521">
        <f t="shared" si="3"/>
        <v>57.317880122995497</v>
      </c>
      <c r="E42" s="514"/>
      <c r="F42" s="522">
        <f t="shared" si="4"/>
        <v>6.7517624950000004</v>
      </c>
      <c r="G42" s="523">
        <f t="shared" si="5"/>
        <v>-0.5</v>
      </c>
      <c r="H42" s="524">
        <f t="shared" si="6"/>
        <v>35.283293949099765</v>
      </c>
      <c r="I42" s="514"/>
      <c r="J42" s="522">
        <f t="shared" si="7"/>
        <v>14.019915600782571</v>
      </c>
      <c r="K42" s="516">
        <f t="shared" si="8"/>
        <v>3.8241171187892262E-2</v>
      </c>
      <c r="L42" s="524">
        <f t="shared" si="9"/>
        <v>58.843553649202093</v>
      </c>
      <c r="M42" s="518"/>
      <c r="N42" s="522">
        <f t="shared" si="10"/>
        <v>26.372275820726355</v>
      </c>
      <c r="O42" s="516">
        <f t="shared" si="11"/>
        <v>0.95299196619077409</v>
      </c>
      <c r="P42" s="525">
        <f t="shared" si="12"/>
        <v>91.575740591107547</v>
      </c>
    </row>
    <row r="43" spans="1:16" x14ac:dyDescent="0.25">
      <c r="A43" s="511" t="str">
        <f t="shared" si="2"/>
        <v>Gardasil Adults</v>
      </c>
      <c r="B43" s="511" t="str">
        <f t="shared" si="2"/>
        <v>HCC InOffice</v>
      </c>
      <c r="C43" s="520">
        <f t="shared" ref="C43:D43" si="13">C16/1000000</f>
        <v>1.1347100000000001</v>
      </c>
      <c r="D43" s="521">
        <f t="shared" si="13"/>
        <v>1.6646957827721967</v>
      </c>
      <c r="E43" s="514"/>
      <c r="F43" s="522">
        <f t="shared" si="4"/>
        <v>0.56735500000000005</v>
      </c>
      <c r="G43" s="523">
        <f t="shared" si="5"/>
        <v>-0.5</v>
      </c>
      <c r="H43" s="524">
        <f t="shared" si="6"/>
        <v>0.97925261536259556</v>
      </c>
      <c r="I43" s="514"/>
      <c r="J43" s="522">
        <f t="shared" si="7"/>
        <v>0.90199585863356047</v>
      </c>
      <c r="K43" s="516">
        <f t="shared" si="8"/>
        <v>-0.20508688684019663</v>
      </c>
      <c r="L43" s="524">
        <f t="shared" si="9"/>
        <v>1.4127560620588273</v>
      </c>
      <c r="M43" s="518"/>
      <c r="N43" s="522">
        <f t="shared" si="10"/>
        <v>1.1742173177314981</v>
      </c>
      <c r="O43" s="516">
        <f t="shared" si="11"/>
        <v>3.481710545557723E-2</v>
      </c>
      <c r="P43" s="525">
        <f t="shared" si="12"/>
        <v>1.7039205434261584</v>
      </c>
    </row>
    <row r="44" spans="1:16" x14ac:dyDescent="0.25">
      <c r="A44" s="511" t="str">
        <f t="shared" si="2"/>
        <v>Gardasil Adults</v>
      </c>
      <c r="B44" s="511" t="str">
        <f t="shared" si="2"/>
        <v>HCP MCM</v>
      </c>
      <c r="C44" s="520">
        <f t="shared" ref="C44:D44" si="14">C17/1000000</f>
        <v>10.503728719999998</v>
      </c>
      <c r="D44" s="521">
        <f t="shared" si="14"/>
        <v>65.147335716204537</v>
      </c>
      <c r="E44" s="514"/>
      <c r="F44" s="522">
        <f t="shared" si="4"/>
        <v>23.216672692139436</v>
      </c>
      <c r="G44" s="523">
        <f t="shared" si="5"/>
        <v>1.21032676214618</v>
      </c>
      <c r="H44" s="524">
        <f t="shared" si="6"/>
        <v>111.96382397000758</v>
      </c>
      <c r="I44" s="514"/>
      <c r="J44" s="522">
        <f t="shared" si="7"/>
        <v>31.511186159999998</v>
      </c>
      <c r="K44" s="516">
        <f t="shared" si="8"/>
        <v>2</v>
      </c>
      <c r="L44" s="524">
        <f t="shared" si="9"/>
        <v>130.0066932442879</v>
      </c>
      <c r="M44" s="518"/>
      <c r="N44" s="522">
        <f t="shared" si="10"/>
        <v>31.511186159999998</v>
      </c>
      <c r="O44" s="516">
        <f t="shared" si="11"/>
        <v>2</v>
      </c>
      <c r="P44" s="525">
        <f t="shared" si="12"/>
        <v>130.0066932442879</v>
      </c>
    </row>
    <row r="45" spans="1:16" x14ac:dyDescent="0.25">
      <c r="A45" s="511" t="str">
        <f t="shared" si="2"/>
        <v>Gardasil Adults</v>
      </c>
      <c r="B45" s="511" t="str">
        <f t="shared" si="2"/>
        <v>HCC Social</v>
      </c>
      <c r="C45" s="520">
        <f t="shared" ref="C45:D45" si="15">C18/1000000</f>
        <v>1.7509999999999999</v>
      </c>
      <c r="D45" s="521">
        <f t="shared" si="15"/>
        <v>5.3819819830709781</v>
      </c>
      <c r="E45" s="514"/>
      <c r="F45" s="522">
        <f t="shared" si="4"/>
        <v>0.87550000000000017</v>
      </c>
      <c r="G45" s="523">
        <f t="shared" si="5"/>
        <v>-0.49999999999999994</v>
      </c>
      <c r="H45" s="524">
        <f t="shared" si="6"/>
        <v>3.5507839011496731</v>
      </c>
      <c r="I45" s="514"/>
      <c r="J45" s="522">
        <f t="shared" si="7"/>
        <v>5.2530000000000001</v>
      </c>
      <c r="K45" s="516">
        <f t="shared" si="8"/>
        <v>2</v>
      </c>
      <c r="L45" s="524">
        <f t="shared" si="9"/>
        <v>10.404350935819057</v>
      </c>
      <c r="M45" s="518"/>
      <c r="N45" s="522">
        <f t="shared" si="10"/>
        <v>5.2530000000000001</v>
      </c>
      <c r="O45" s="516">
        <f t="shared" si="11"/>
        <v>2</v>
      </c>
      <c r="P45" s="525">
        <f t="shared" si="12"/>
        <v>10.404350935819057</v>
      </c>
    </row>
    <row r="46" spans="1:16" x14ac:dyDescent="0.25">
      <c r="A46" s="511" t="str">
        <f t="shared" si="2"/>
        <v>Gardasil Adults</v>
      </c>
      <c r="B46" s="511" t="str">
        <f t="shared" si="2"/>
        <v>HCC Online Video</v>
      </c>
      <c r="C46" s="520">
        <f t="shared" ref="C46:D46" si="16">C19/1000000</f>
        <v>1.1117790400000001</v>
      </c>
      <c r="D46" s="521">
        <f t="shared" si="16"/>
        <v>4.8907504826741324</v>
      </c>
      <c r="E46" s="514"/>
      <c r="F46" s="522">
        <f t="shared" si="4"/>
        <v>1.3281000395036626</v>
      </c>
      <c r="G46" s="523">
        <f t="shared" si="5"/>
        <v>0.19457193535836273</v>
      </c>
      <c r="H46" s="524">
        <f t="shared" si="6"/>
        <v>5.5091715395226375</v>
      </c>
      <c r="I46" s="514"/>
      <c r="J46" s="522">
        <f t="shared" si="7"/>
        <v>2.6311283308694788</v>
      </c>
      <c r="K46" s="516">
        <f t="shared" si="8"/>
        <v>1.3665928536208765</v>
      </c>
      <c r="L46" s="524">
        <f t="shared" si="9"/>
        <v>7.8915143064488511</v>
      </c>
      <c r="M46" s="518"/>
      <c r="N46" s="522">
        <f t="shared" si="10"/>
        <v>2.933724018907272</v>
      </c>
      <c r="O46" s="516">
        <f t="shared" si="11"/>
        <v>1.6387653601629977</v>
      </c>
      <c r="P46" s="525">
        <f t="shared" si="12"/>
        <v>8.2179592888082595</v>
      </c>
    </row>
    <row r="47" spans="1:16" x14ac:dyDescent="0.25">
      <c r="A47" s="511" t="str">
        <f t="shared" si="2"/>
        <v>Gardasil Adults</v>
      </c>
      <c r="B47" s="511" t="str">
        <f t="shared" si="2"/>
        <v>HCC Streaming Video</v>
      </c>
      <c r="C47" s="520">
        <f t="shared" ref="C47:D47" si="17">C20/1000000</f>
        <v>13.418576</v>
      </c>
      <c r="D47" s="521">
        <f t="shared" si="17"/>
        <v>22.776633092457963</v>
      </c>
      <c r="E47" s="514"/>
      <c r="F47" s="522">
        <f t="shared" si="4"/>
        <v>6.7092879999999999</v>
      </c>
      <c r="G47" s="523">
        <f t="shared" si="5"/>
        <v>-0.5</v>
      </c>
      <c r="H47" s="524">
        <f t="shared" si="6"/>
        <v>14.020662293293285</v>
      </c>
      <c r="I47" s="514"/>
      <c r="J47" s="522">
        <f t="shared" si="7"/>
        <v>13.412094233100468</v>
      </c>
      <c r="K47" s="516">
        <f t="shared" si="8"/>
        <v>-4.8304431852766694E-4</v>
      </c>
      <c r="L47" s="524">
        <f t="shared" si="9"/>
        <v>22.768931048069902</v>
      </c>
      <c r="M47" s="518"/>
      <c r="N47" s="522">
        <f t="shared" si="10"/>
        <v>25.298391099956227</v>
      </c>
      <c r="O47" s="516">
        <f t="shared" si="11"/>
        <v>0.8853260658922546</v>
      </c>
      <c r="P47" s="525">
        <f t="shared" si="12"/>
        <v>35.502591566770313</v>
      </c>
    </row>
    <row r="48" spans="1:16" x14ac:dyDescent="0.25">
      <c r="A48" s="511" t="str">
        <f t="shared" si="2"/>
        <v>Gardasil Adults</v>
      </c>
      <c r="B48" s="511" t="str">
        <f t="shared" si="2"/>
        <v>HCC Display</v>
      </c>
      <c r="C48" s="520">
        <f t="shared" ref="C48:D48" si="18">C21/1000000</f>
        <v>2.8594268199999999</v>
      </c>
      <c r="D48" s="521">
        <f t="shared" si="18"/>
        <v>17.186128903236554</v>
      </c>
      <c r="E48" s="514"/>
      <c r="F48" s="522">
        <f t="shared" si="4"/>
        <v>6.0996395283569056</v>
      </c>
      <c r="G48" s="523">
        <f t="shared" si="5"/>
        <v>1.1331686076711369</v>
      </c>
      <c r="H48" s="524">
        <f t="shared" si="6"/>
        <v>27.076540519063386</v>
      </c>
      <c r="I48" s="514"/>
      <c r="J48" s="522">
        <f t="shared" si="7"/>
        <v>8.5782804599999984</v>
      </c>
      <c r="K48" s="516">
        <f t="shared" si="8"/>
        <v>1.9999999999999998</v>
      </c>
      <c r="L48" s="524">
        <f t="shared" si="9"/>
        <v>33.223915817619712</v>
      </c>
      <c r="M48" s="518"/>
      <c r="N48" s="522">
        <f t="shared" si="10"/>
        <v>8.5782804599999984</v>
      </c>
      <c r="O48" s="516">
        <f t="shared" si="11"/>
        <v>1.9999999999999998</v>
      </c>
      <c r="P48" s="525">
        <f t="shared" si="12"/>
        <v>33.223915817619712</v>
      </c>
    </row>
    <row r="49" spans="1:16" x14ac:dyDescent="0.25">
      <c r="A49" s="511" t="str">
        <f t="shared" si="2"/>
        <v>Gardasil Adults</v>
      </c>
      <c r="B49" s="511" t="str">
        <f t="shared" si="2"/>
        <v>HCC Paid Search</v>
      </c>
      <c r="C49" s="520">
        <f t="shared" ref="C49:D49" si="19">C22/1000000</f>
        <v>0.05</v>
      </c>
      <c r="D49" s="521">
        <f t="shared" si="19"/>
        <v>6.8091069964962907</v>
      </c>
      <c r="E49" s="514"/>
      <c r="F49" s="522">
        <f t="shared" si="4"/>
        <v>0.15</v>
      </c>
      <c r="G49" s="523">
        <f t="shared" si="5"/>
        <v>2</v>
      </c>
      <c r="H49" s="524">
        <f t="shared" si="6"/>
        <v>14.691800990400116</v>
      </c>
      <c r="I49" s="514"/>
      <c r="J49" s="522">
        <f t="shared" si="7"/>
        <v>0.15</v>
      </c>
      <c r="K49" s="516">
        <f t="shared" si="8"/>
        <v>2</v>
      </c>
      <c r="L49" s="524">
        <f t="shared" si="9"/>
        <v>14.691800990400116</v>
      </c>
      <c r="M49" s="518"/>
      <c r="N49" s="522">
        <f t="shared" si="10"/>
        <v>0.15</v>
      </c>
      <c r="O49" s="516">
        <f t="shared" si="11"/>
        <v>2</v>
      </c>
      <c r="P49" s="525">
        <f t="shared" si="12"/>
        <v>14.691800990400116</v>
      </c>
    </row>
    <row r="50" spans="1:16" x14ac:dyDescent="0.25">
      <c r="A50" s="511" t="str">
        <f t="shared" si="2"/>
        <v>Gardasil Adults</v>
      </c>
      <c r="B50" s="511" t="str">
        <f t="shared" si="2"/>
        <v>HCC Linear TV</v>
      </c>
      <c r="C50" s="520">
        <f>C23/1000000</f>
        <v>25.8109286</v>
      </c>
      <c r="D50" s="521">
        <f>D23/1000000</f>
        <v>38.072697978218493</v>
      </c>
      <c r="E50" s="514"/>
      <c r="F50" s="522">
        <f t="shared" si="4"/>
        <v>12.9054643</v>
      </c>
      <c r="G50" s="523">
        <f t="shared" si="5"/>
        <v>-0.5</v>
      </c>
      <c r="H50" s="524">
        <f t="shared" si="6"/>
        <v>23.436494708425997</v>
      </c>
      <c r="I50" s="514"/>
      <c r="J50" s="522">
        <f t="shared" si="7"/>
        <v>16.174330222743023</v>
      </c>
      <c r="K50" s="516">
        <f t="shared" si="8"/>
        <v>-0.37335341655460541</v>
      </c>
      <c r="L50" s="524">
        <f t="shared" si="9"/>
        <v>27.449189599665473</v>
      </c>
      <c r="M50" s="518"/>
      <c r="N50" s="522">
        <f t="shared" si="10"/>
        <v>30.473211382820502</v>
      </c>
      <c r="O50" s="516">
        <f t="shared" si="11"/>
        <v>0.18063212118685648</v>
      </c>
      <c r="P50" s="525">
        <f t="shared" si="12"/>
        <v>42.765531119144732</v>
      </c>
    </row>
    <row r="51" spans="1:16" x14ac:dyDescent="0.25">
      <c r="A51" s="511" t="str">
        <f>A24</f>
        <v>Gardasil Adults</v>
      </c>
      <c r="B51" s="511" t="str">
        <f>B24</f>
        <v>HCC Radio</v>
      </c>
      <c r="C51" s="520">
        <f t="shared" ref="C51:D51" si="20">C24/1000000</f>
        <v>0.92397499999999999</v>
      </c>
      <c r="D51" s="521">
        <f t="shared" si="20"/>
        <v>6.0058375000000002</v>
      </c>
      <c r="E51" s="514"/>
      <c r="F51" s="522">
        <f>F24/1000000</f>
        <v>0.4619875</v>
      </c>
      <c r="G51" s="523">
        <f>G24</f>
        <v>-0.5</v>
      </c>
      <c r="H51" s="524">
        <f>H24/1000000</f>
        <v>4.5515736972596974</v>
      </c>
      <c r="I51" s="514"/>
      <c r="J51" s="522">
        <f>J24/1000000</f>
        <v>0.4619875</v>
      </c>
      <c r="K51" s="516">
        <f>K24</f>
        <v>-0.5</v>
      </c>
      <c r="L51" s="524">
        <f>L24/1000000</f>
        <v>4.5515736972596974</v>
      </c>
      <c r="M51" s="518"/>
      <c r="N51" s="522">
        <f>N24/1000000</f>
        <v>0.4619875</v>
      </c>
      <c r="O51" s="516">
        <f>O24</f>
        <v>-0.5</v>
      </c>
      <c r="P51" s="525">
        <f>P24/1000000</f>
        <v>4.5515736972596974</v>
      </c>
    </row>
    <row r="52" spans="1:16" x14ac:dyDescent="0.25">
      <c r="A52" s="511" t="str">
        <f>A25</f>
        <v>Gardasil Adults</v>
      </c>
      <c r="B52" s="511" t="str">
        <f>B25</f>
        <v>HCC Pharmacy</v>
      </c>
      <c r="C52" s="520">
        <f t="shared" ref="C52:D52" si="21">C25/1000000</f>
        <v>2.4119679999999999</v>
      </c>
      <c r="D52" s="521">
        <f t="shared" si="21"/>
        <v>4.1134477838767793</v>
      </c>
      <c r="E52" s="514"/>
      <c r="F52" s="522">
        <f>F25/1000000</f>
        <v>1.2059839999999999</v>
      </c>
      <c r="G52" s="523">
        <f>G25</f>
        <v>-0.5</v>
      </c>
      <c r="H52" s="524">
        <f>H25/1000000</f>
        <v>2.3159855894776098</v>
      </c>
      <c r="I52" s="514"/>
      <c r="J52" s="522">
        <f>J25/1000000</f>
        <v>1.2059839999999999</v>
      </c>
      <c r="K52" s="516">
        <f>K25</f>
        <v>-0.5</v>
      </c>
      <c r="L52" s="524">
        <f>L25/1000000</f>
        <v>2.3159855894776098</v>
      </c>
      <c r="M52" s="518"/>
      <c r="N52" s="522">
        <f>N25/1000000</f>
        <v>1.2059839999999999</v>
      </c>
      <c r="O52" s="516">
        <f>O25</f>
        <v>-0.5</v>
      </c>
      <c r="P52" s="525">
        <f>P25/1000000</f>
        <v>2.3159855894776098</v>
      </c>
    </row>
    <row r="53" spans="1:16" x14ac:dyDescent="0.25">
      <c r="A53" s="476"/>
      <c r="B53" s="526" t="str">
        <f>B26</f>
        <v>Gardasil Adolescents</v>
      </c>
      <c r="C53" s="502">
        <f t="shared" ref="C53:D53" si="22">C26/1000000</f>
        <v>32.280505600000005</v>
      </c>
      <c r="D53" s="503">
        <f t="shared" si="22"/>
        <v>248.35576034442479</v>
      </c>
      <c r="E53" s="504"/>
      <c r="F53" s="336">
        <f t="shared" ref="F53:F54" si="23">F26/1000000</f>
        <v>38.736606719999997</v>
      </c>
      <c r="G53" s="501">
        <f t="shared" ref="G53:G54" si="24">G26</f>
        <v>0.1999999999999999</v>
      </c>
      <c r="H53" s="505">
        <f t="shared" ref="H53:H54" si="25">H26/1000000</f>
        <v>334.24102870000377</v>
      </c>
      <c r="I53" s="504"/>
      <c r="J53" s="336">
        <f t="shared" ref="J53:J54" si="26">J26/1000000</f>
        <v>58.104910080628294</v>
      </c>
      <c r="K53" s="501">
        <f t="shared" ref="K53:K54" si="27">K26</f>
        <v>0.80000000001946336</v>
      </c>
      <c r="L53" s="505">
        <f t="shared" ref="L53:L54" si="28">L26/1000000</f>
        <v>398.31590578588305</v>
      </c>
      <c r="M53" s="492"/>
      <c r="N53" s="336">
        <f t="shared" ref="N53:N54" si="29">N26/1000000</f>
        <v>77.473213417311285</v>
      </c>
      <c r="O53" s="501">
        <f t="shared" ref="O53:O54" si="30">O26</f>
        <v>1.3999999992971386</v>
      </c>
      <c r="P53" s="505">
        <f t="shared" ref="P53:P54" si="31">P26/1000000</f>
        <v>450.41420125280229</v>
      </c>
    </row>
    <row r="54" spans="1:16" x14ac:dyDescent="0.25">
      <c r="A54" s="476"/>
      <c r="B54" s="526" t="str">
        <f>B27</f>
        <v>Gardasil Adults</v>
      </c>
      <c r="C54" s="502">
        <f t="shared" ref="C54:D54" si="32">C27/1000000</f>
        <v>59.976092180000002</v>
      </c>
      <c r="D54" s="503">
        <f t="shared" si="32"/>
        <v>172.04861621900793</v>
      </c>
      <c r="E54" s="504"/>
      <c r="F54" s="336">
        <f t="shared" si="23"/>
        <v>53.519991060000002</v>
      </c>
      <c r="G54" s="501">
        <f t="shared" si="24"/>
        <v>-0.10764457778649487</v>
      </c>
      <c r="H54" s="505">
        <f t="shared" si="25"/>
        <v>208.09608982396256</v>
      </c>
      <c r="I54" s="504"/>
      <c r="J54" s="336">
        <f t="shared" si="26"/>
        <v>80.279986765346521</v>
      </c>
      <c r="K54" s="501">
        <f t="shared" si="27"/>
        <v>0.33853313624386466</v>
      </c>
      <c r="L54" s="505">
        <f t="shared" si="28"/>
        <v>254.71671129110709</v>
      </c>
      <c r="M54" s="492"/>
      <c r="N54" s="336">
        <f t="shared" si="29"/>
        <v>107.03998193941548</v>
      </c>
      <c r="O54" s="501">
        <f t="shared" si="30"/>
        <v>0.78471084141606851</v>
      </c>
      <c r="P54" s="505">
        <f t="shared" si="31"/>
        <v>283.38432279301355</v>
      </c>
    </row>
    <row r="55" spans="1:16" ht="29.65" customHeight="1" x14ac:dyDescent="0.25">
      <c r="A55" s="492"/>
      <c r="B55" s="526" t="s">
        <v>219</v>
      </c>
      <c r="C55" s="506">
        <f>C28/1000000</f>
        <v>92.256597780000007</v>
      </c>
      <c r="D55" s="503">
        <f>D28/1000000</f>
        <v>420.40437656343272</v>
      </c>
      <c r="E55" s="504"/>
      <c r="F55" s="507">
        <f>F28/1000000</f>
        <v>92.256597780000007</v>
      </c>
      <c r="G55" s="508">
        <f>G28</f>
        <v>0</v>
      </c>
      <c r="H55" s="505">
        <f>H28/1000000</f>
        <v>542.33711852396641</v>
      </c>
      <c r="I55" s="504"/>
      <c r="J55" s="507">
        <f>J28/1000000</f>
        <v>138.38489684597482</v>
      </c>
      <c r="K55" s="508">
        <f>K28</f>
        <v>0.50000000190744986</v>
      </c>
      <c r="L55" s="505">
        <f>L28/1000000</f>
        <v>653.03261707699028</v>
      </c>
      <c r="M55" s="492"/>
      <c r="N55" s="507">
        <f>N28/1000000</f>
        <v>184.51319535672675</v>
      </c>
      <c r="O55" s="508">
        <f>O28</f>
        <v>0.99999999779665372</v>
      </c>
      <c r="P55" s="505">
        <f>P28/1000000</f>
        <v>733.79852404581573</v>
      </c>
    </row>
    <row r="56" spans="1:16" ht="45" x14ac:dyDescent="0.25">
      <c r="A56" s="492"/>
      <c r="B56" s="526" t="s">
        <v>309</v>
      </c>
      <c r="C56" s="336" t="str">
        <f>_xlfn.CONCAT("ROI"," ", ,C57)</f>
        <v>ROI 4.56</v>
      </c>
      <c r="D56" s="509"/>
      <c r="E56" s="504"/>
      <c r="F56" s="336" t="str">
        <f>_xlfn.CONCAT("ROI"," ", ,F57)</f>
        <v>ROI 5.88</v>
      </c>
      <c r="G56" s="508"/>
      <c r="H56" s="510" t="s">
        <v>342</v>
      </c>
      <c r="I56" s="504"/>
      <c r="J56" s="336" t="str">
        <f>_xlfn.CONCAT("ROI"," ", ,J57)</f>
        <v>ROI 4.72</v>
      </c>
      <c r="K56" s="508"/>
      <c r="L56" s="510" t="s">
        <v>343</v>
      </c>
      <c r="M56" s="492"/>
      <c r="N56" s="336" t="str">
        <f>_xlfn.CONCAT("ROI"," ", ,N57)</f>
        <v>ROI 3.98</v>
      </c>
      <c r="O56" s="508"/>
      <c r="P56" s="510" t="s">
        <v>346</v>
      </c>
    </row>
    <row r="57" spans="1:16" x14ac:dyDescent="0.25">
      <c r="C57" s="97">
        <f>ROUND(D55/C55,2)</f>
        <v>4.5599999999999996</v>
      </c>
      <c r="F57" s="97">
        <f>ROUND(H55/F55,2)</f>
        <v>5.88</v>
      </c>
      <c r="H57" s="216">
        <f>(H55-$D$55)</f>
        <v>121.93274196053369</v>
      </c>
      <c r="J57" s="97">
        <f>ROUND(L55/J55,2)</f>
        <v>4.72</v>
      </c>
      <c r="L57" s="216">
        <f>(L55-$D$55)</f>
        <v>232.62824051355756</v>
      </c>
      <c r="N57" s="97">
        <f>ROUND(P55/N55,2)</f>
        <v>3.98</v>
      </c>
      <c r="P57" s="216">
        <f>(P55-$D$55)</f>
        <v>313.394147482383</v>
      </c>
    </row>
    <row r="58" spans="1:16" x14ac:dyDescent="0.25">
      <c r="H58" s="335">
        <f>H57/$D$55</f>
        <v>0.29003680446256219</v>
      </c>
      <c r="J58" s="248"/>
      <c r="K58" s="248"/>
      <c r="L58" s="335">
        <f>L57/$D$55</f>
        <v>0.55334400277932749</v>
      </c>
      <c r="M58" s="248"/>
      <c r="N58" s="248"/>
      <c r="O58" s="248"/>
      <c r="P58" s="335">
        <f>P57/$D$55</f>
        <v>0.74545881287964311</v>
      </c>
    </row>
    <row r="60" spans="1:16" x14ac:dyDescent="0.25">
      <c r="B60" s="540" t="s">
        <v>255</v>
      </c>
      <c r="C60" s="540"/>
      <c r="D60" s="540"/>
      <c r="E60" s="540"/>
      <c r="F60" s="540"/>
      <c r="G60" s="540"/>
      <c r="H60" s="540"/>
      <c r="I60" s="540"/>
    </row>
    <row r="61" spans="1:16" x14ac:dyDescent="0.25">
      <c r="B61" s="540"/>
      <c r="C61" s="540"/>
      <c r="D61" s="540"/>
      <c r="E61" s="540"/>
      <c r="F61" s="540"/>
      <c r="G61" s="540"/>
      <c r="H61" s="540"/>
      <c r="I61" s="540"/>
    </row>
    <row r="63" spans="1:16" x14ac:dyDescent="0.25">
      <c r="F63" s="533" t="s">
        <v>244</v>
      </c>
      <c r="G63" s="534"/>
      <c r="H63" s="535"/>
      <c r="I63" s="181"/>
      <c r="J63" s="541"/>
      <c r="K63" s="542"/>
      <c r="L63" s="543"/>
    </row>
    <row r="64" spans="1:16" ht="45" x14ac:dyDescent="0.25">
      <c r="B64" s="182" t="s">
        <v>213</v>
      </c>
      <c r="C64" s="97" t="s">
        <v>214</v>
      </c>
      <c r="D64" s="183" t="s">
        <v>215</v>
      </c>
      <c r="E64" s="183"/>
      <c r="F64" s="97" t="s">
        <v>214</v>
      </c>
      <c r="G64" s="183" t="s">
        <v>216</v>
      </c>
      <c r="H64" s="183" t="s">
        <v>217</v>
      </c>
      <c r="I64" s="183"/>
      <c r="J64" s="97" t="s">
        <v>214</v>
      </c>
      <c r="K64" s="183" t="s">
        <v>216</v>
      </c>
      <c r="L64" s="183" t="s">
        <v>217</v>
      </c>
    </row>
    <row r="65" spans="2:12" x14ac:dyDescent="0.25">
      <c r="B65" s="184" t="s">
        <v>226</v>
      </c>
      <c r="C65" s="185"/>
      <c r="D65" s="185"/>
      <c r="E65" s="185"/>
      <c r="F65" s="185"/>
      <c r="G65" s="177"/>
      <c r="H65" s="185"/>
      <c r="I65" s="185"/>
      <c r="J65" s="185"/>
      <c r="K65" s="177"/>
      <c r="L65" s="185"/>
    </row>
    <row r="66" spans="2:12" x14ac:dyDescent="0.25">
      <c r="B66" s="186" t="s">
        <v>227</v>
      </c>
      <c r="C66" s="185"/>
      <c r="D66" s="185"/>
      <c r="E66" s="185"/>
      <c r="F66" s="185"/>
      <c r="G66" s="177"/>
      <c r="H66" s="185"/>
      <c r="I66" s="185"/>
      <c r="J66" s="185"/>
      <c r="K66" s="177"/>
      <c r="L66" s="185"/>
    </row>
    <row r="67" spans="2:12" x14ac:dyDescent="0.25">
      <c r="B67" s="186" t="s">
        <v>228</v>
      </c>
      <c r="C67" s="185"/>
      <c r="D67" s="185"/>
      <c r="E67" s="185"/>
      <c r="F67" s="185"/>
      <c r="G67" s="177"/>
      <c r="H67" s="185"/>
      <c r="I67" s="185"/>
      <c r="J67" s="185"/>
      <c r="K67" s="177"/>
      <c r="L67" s="185"/>
    </row>
    <row r="68" spans="2:12" x14ac:dyDescent="0.25">
      <c r="B68" s="186" t="s">
        <v>239</v>
      </c>
      <c r="C68" s="185"/>
      <c r="D68" s="185"/>
      <c r="E68" s="185"/>
      <c r="F68" s="185"/>
      <c r="G68" s="177"/>
      <c r="H68" s="185"/>
      <c r="I68" s="185"/>
      <c r="J68" s="185"/>
      <c r="K68" s="177"/>
      <c r="L68" s="185"/>
    </row>
    <row r="69" spans="2:12" x14ac:dyDescent="0.25">
      <c r="B69" s="186" t="s">
        <v>229</v>
      </c>
      <c r="C69" s="185"/>
      <c r="D69" s="185"/>
      <c r="E69" s="185"/>
      <c r="F69" s="185"/>
      <c r="G69" s="177"/>
      <c r="H69" s="185"/>
      <c r="I69" s="185"/>
      <c r="J69" s="185"/>
      <c r="K69" s="177"/>
      <c r="L69" s="185"/>
    </row>
    <row r="70" spans="2:12" x14ac:dyDescent="0.25">
      <c r="B70" s="186" t="s">
        <v>230</v>
      </c>
      <c r="C70" s="185"/>
      <c r="D70" s="185"/>
      <c r="E70" s="185"/>
      <c r="F70" s="185"/>
      <c r="G70" s="177"/>
      <c r="H70" s="185"/>
      <c r="I70" s="185"/>
      <c r="J70" s="185"/>
      <c r="K70" s="177"/>
      <c r="L70" s="185"/>
    </row>
    <row r="71" spans="2:12" x14ac:dyDescent="0.25">
      <c r="B71" s="186" t="s">
        <v>192</v>
      </c>
      <c r="C71" s="185"/>
      <c r="D71" s="185"/>
      <c r="E71" s="185"/>
      <c r="F71" s="185"/>
      <c r="G71" s="177"/>
      <c r="H71" s="185"/>
      <c r="I71" s="185"/>
      <c r="J71" s="185"/>
      <c r="K71" s="177"/>
      <c r="L71" s="185"/>
    </row>
    <row r="72" spans="2:12" x14ac:dyDescent="0.25">
      <c r="B72" s="186" t="s">
        <v>189</v>
      </c>
      <c r="C72" s="185"/>
      <c r="D72" s="185"/>
      <c r="E72" s="185"/>
      <c r="F72" s="185"/>
      <c r="G72" s="177"/>
      <c r="H72" s="185"/>
      <c r="I72" s="185"/>
      <c r="J72" s="185"/>
      <c r="K72" s="177"/>
      <c r="L72" s="185"/>
    </row>
    <row r="73" spans="2:12" x14ac:dyDescent="0.25">
      <c r="B73" s="186" t="s">
        <v>231</v>
      </c>
      <c r="C73" s="185"/>
      <c r="D73" s="185"/>
      <c r="E73" s="185"/>
      <c r="F73" s="185"/>
      <c r="G73" s="177"/>
      <c r="H73" s="185"/>
      <c r="I73" s="185"/>
      <c r="J73" s="185"/>
      <c r="K73" s="177"/>
      <c r="L73" s="185"/>
    </row>
    <row r="74" spans="2:12" x14ac:dyDescent="0.25">
      <c r="B74" s="187" t="s">
        <v>219</v>
      </c>
      <c r="C74" s="188">
        <f>SUM(C65:C73)</f>
        <v>0</v>
      </c>
      <c r="D74" s="188">
        <f>SUM(D65:D73)</f>
        <v>0</v>
      </c>
      <c r="E74" s="179"/>
      <c r="F74" s="188">
        <f>SUM(F65:F73)</f>
        <v>0</v>
      </c>
      <c r="G74" s="189">
        <f>(F74-$C$28)/$C$28</f>
        <v>-1</v>
      </c>
      <c r="H74" s="188">
        <f>SUM(H65:H73)</f>
        <v>0</v>
      </c>
      <c r="I74" s="179"/>
      <c r="J74" s="188">
        <f>SUM(J65:J73)</f>
        <v>0</v>
      </c>
      <c r="K74" s="179"/>
      <c r="L74" s="188">
        <f>SUM(L65:L73)</f>
        <v>0</v>
      </c>
    </row>
    <row r="75" spans="2:12" x14ac:dyDescent="0.25">
      <c r="D75" s="97" t="e">
        <f>D74/C74</f>
        <v>#DIV/0!</v>
      </c>
    </row>
    <row r="77" spans="2:12" ht="27.6" customHeight="1" x14ac:dyDescent="0.25">
      <c r="F77" s="544" t="str">
        <f>B60</f>
        <v>Optimal Channel Spend  allowed to vary between  of the 2021 spend</v>
      </c>
      <c r="G77" s="544"/>
      <c r="H77" s="544"/>
      <c r="I77" s="544"/>
    </row>
    <row r="78" spans="2:12" x14ac:dyDescent="0.25">
      <c r="C78" s="531" t="s">
        <v>245</v>
      </c>
      <c r="D78" s="532"/>
      <c r="E78" s="190"/>
      <c r="F78" s="533" t="str">
        <f>F63</f>
        <v>Current Optimal ($MM)</v>
      </c>
      <c r="G78" s="534"/>
      <c r="H78" s="535"/>
      <c r="I78" s="191"/>
      <c r="J78" s="536"/>
      <c r="K78" s="537"/>
      <c r="L78" s="538"/>
    </row>
    <row r="79" spans="2:12" ht="30" x14ac:dyDescent="0.25">
      <c r="B79" s="182" t="s">
        <v>213</v>
      </c>
      <c r="C79" s="193" t="s">
        <v>223</v>
      </c>
      <c r="D79" s="193" t="s">
        <v>221</v>
      </c>
      <c r="E79" s="194"/>
      <c r="F79" s="217" t="s">
        <v>223</v>
      </c>
      <c r="G79" s="193" t="s">
        <v>216</v>
      </c>
      <c r="H79" s="195" t="s">
        <v>217</v>
      </c>
      <c r="I79" s="194"/>
      <c r="J79" s="217" t="s">
        <v>223</v>
      </c>
      <c r="K79" s="193" t="s">
        <v>216</v>
      </c>
      <c r="L79" s="195" t="s">
        <v>217</v>
      </c>
    </row>
    <row r="80" spans="2:12" x14ac:dyDescent="0.25">
      <c r="B80" s="184" t="s">
        <v>155</v>
      </c>
      <c r="C80" s="196">
        <f t="shared" ref="C80:D86" si="33">C65/1000000</f>
        <v>0</v>
      </c>
      <c r="D80" s="197">
        <f t="shared" si="33"/>
        <v>0</v>
      </c>
      <c r="E80" s="198"/>
      <c r="F80" s="199">
        <f t="shared" ref="F80:F86" si="34">F65/1000000</f>
        <v>0</v>
      </c>
      <c r="G80" s="200">
        <f t="shared" ref="G80:G86" si="35">G65</f>
        <v>0</v>
      </c>
      <c r="H80" s="201">
        <f t="shared" ref="H80:H86" si="36">H65/1000000</f>
        <v>0</v>
      </c>
      <c r="I80" s="198"/>
      <c r="J80" s="199">
        <f t="shared" ref="J80:J86" si="37">J65/1000000</f>
        <v>0</v>
      </c>
      <c r="K80" s="200">
        <f t="shared" ref="K80:K86" si="38">K65</f>
        <v>0</v>
      </c>
      <c r="L80" s="201">
        <f t="shared" ref="L80:L86" si="39">L65/1000000</f>
        <v>0</v>
      </c>
    </row>
    <row r="81" spans="2:12" x14ac:dyDescent="0.25">
      <c r="B81" s="186" t="s">
        <v>93</v>
      </c>
      <c r="C81" s="202">
        <f t="shared" si="33"/>
        <v>0</v>
      </c>
      <c r="D81" s="203">
        <f t="shared" si="33"/>
        <v>0</v>
      </c>
      <c r="E81" s="198"/>
      <c r="F81" s="204">
        <f t="shared" si="34"/>
        <v>0</v>
      </c>
      <c r="G81" s="205">
        <f t="shared" si="35"/>
        <v>0</v>
      </c>
      <c r="H81" s="206">
        <f t="shared" si="36"/>
        <v>0</v>
      </c>
      <c r="I81" s="198"/>
      <c r="J81" s="204">
        <f t="shared" si="37"/>
        <v>0</v>
      </c>
      <c r="K81" s="200">
        <f t="shared" si="38"/>
        <v>0</v>
      </c>
      <c r="L81" s="206">
        <f t="shared" si="39"/>
        <v>0</v>
      </c>
    </row>
    <row r="82" spans="2:12" x14ac:dyDescent="0.25">
      <c r="B82" s="186" t="s">
        <v>164</v>
      </c>
      <c r="C82" s="202">
        <f t="shared" si="33"/>
        <v>0</v>
      </c>
      <c r="D82" s="203">
        <f t="shared" si="33"/>
        <v>0</v>
      </c>
      <c r="E82" s="198"/>
      <c r="F82" s="204">
        <f t="shared" si="34"/>
        <v>0</v>
      </c>
      <c r="G82" s="205">
        <f t="shared" si="35"/>
        <v>0</v>
      </c>
      <c r="H82" s="206">
        <f t="shared" si="36"/>
        <v>0</v>
      </c>
      <c r="I82" s="198"/>
      <c r="J82" s="204">
        <f t="shared" si="37"/>
        <v>0</v>
      </c>
      <c r="K82" s="200">
        <f t="shared" si="38"/>
        <v>0</v>
      </c>
      <c r="L82" s="206">
        <f t="shared" si="39"/>
        <v>0</v>
      </c>
    </row>
    <row r="83" spans="2:12" x14ac:dyDescent="0.25">
      <c r="B83" s="186" t="s">
        <v>165</v>
      </c>
      <c r="C83" s="202">
        <f t="shared" si="33"/>
        <v>0</v>
      </c>
      <c r="D83" s="203">
        <f t="shared" si="33"/>
        <v>0</v>
      </c>
      <c r="E83" s="198"/>
      <c r="F83" s="204">
        <f t="shared" si="34"/>
        <v>0</v>
      </c>
      <c r="G83" s="205">
        <f t="shared" si="35"/>
        <v>0</v>
      </c>
      <c r="H83" s="206">
        <f t="shared" si="36"/>
        <v>0</v>
      </c>
      <c r="I83" s="198"/>
      <c r="J83" s="204">
        <f t="shared" si="37"/>
        <v>0</v>
      </c>
      <c r="K83" s="200">
        <f t="shared" si="38"/>
        <v>0</v>
      </c>
      <c r="L83" s="206">
        <f t="shared" si="39"/>
        <v>0</v>
      </c>
    </row>
    <row r="84" spans="2:12" x14ac:dyDescent="0.25">
      <c r="B84" s="186" t="s">
        <v>167</v>
      </c>
      <c r="C84" s="202">
        <f t="shared" si="33"/>
        <v>0</v>
      </c>
      <c r="D84" s="203">
        <f t="shared" si="33"/>
        <v>0</v>
      </c>
      <c r="E84" s="198"/>
      <c r="F84" s="204">
        <f t="shared" si="34"/>
        <v>0</v>
      </c>
      <c r="G84" s="205">
        <f t="shared" si="35"/>
        <v>0</v>
      </c>
      <c r="H84" s="206">
        <f t="shared" si="36"/>
        <v>0</v>
      </c>
      <c r="I84" s="198"/>
      <c r="J84" s="204">
        <f t="shared" si="37"/>
        <v>0</v>
      </c>
      <c r="K84" s="200">
        <f t="shared" si="38"/>
        <v>0</v>
      </c>
      <c r="L84" s="206">
        <f t="shared" si="39"/>
        <v>0</v>
      </c>
    </row>
    <row r="85" spans="2:12" x14ac:dyDescent="0.25">
      <c r="B85" s="186" t="s">
        <v>166</v>
      </c>
      <c r="C85" s="202">
        <f t="shared" si="33"/>
        <v>0</v>
      </c>
      <c r="D85" s="203">
        <f t="shared" si="33"/>
        <v>0</v>
      </c>
      <c r="E85" s="198"/>
      <c r="F85" s="204">
        <f t="shared" si="34"/>
        <v>0</v>
      </c>
      <c r="G85" s="205">
        <f t="shared" si="35"/>
        <v>0</v>
      </c>
      <c r="H85" s="206">
        <f t="shared" si="36"/>
        <v>0</v>
      </c>
      <c r="I85" s="198"/>
      <c r="J85" s="204">
        <f t="shared" si="37"/>
        <v>0</v>
      </c>
      <c r="K85" s="200">
        <f t="shared" si="38"/>
        <v>0</v>
      </c>
      <c r="L85" s="206">
        <f t="shared" si="39"/>
        <v>0</v>
      </c>
    </row>
    <row r="86" spans="2:12" x14ac:dyDescent="0.25">
      <c r="B86" s="186" t="s">
        <v>162</v>
      </c>
      <c r="C86" s="202">
        <f t="shared" si="33"/>
        <v>0</v>
      </c>
      <c r="D86" s="203">
        <f t="shared" si="33"/>
        <v>0</v>
      </c>
      <c r="E86" s="198"/>
      <c r="F86" s="204">
        <f t="shared" si="34"/>
        <v>0</v>
      </c>
      <c r="G86" s="205">
        <f t="shared" si="35"/>
        <v>0</v>
      </c>
      <c r="H86" s="206">
        <f t="shared" si="36"/>
        <v>0</v>
      </c>
      <c r="I86" s="198"/>
      <c r="J86" s="204">
        <f t="shared" si="37"/>
        <v>0</v>
      </c>
      <c r="K86" s="200">
        <f t="shared" si="38"/>
        <v>0</v>
      </c>
      <c r="L86" s="206">
        <f t="shared" si="39"/>
        <v>0</v>
      </c>
    </row>
    <row r="87" spans="2:12" x14ac:dyDescent="0.25">
      <c r="B87" s="186" t="s">
        <v>218</v>
      </c>
      <c r="C87" s="202">
        <f t="shared" ref="C87:D88" si="40">C73/1000000</f>
        <v>0</v>
      </c>
      <c r="D87" s="203">
        <f t="shared" si="40"/>
        <v>0</v>
      </c>
      <c r="E87" s="198"/>
      <c r="F87" s="204">
        <f t="shared" ref="F87:F88" si="41">F73/1000000</f>
        <v>0</v>
      </c>
      <c r="G87" s="205">
        <f t="shared" ref="G87" si="42">G73</f>
        <v>0</v>
      </c>
      <c r="H87" s="206">
        <f t="shared" ref="H87:H88" si="43">H73/1000000</f>
        <v>0</v>
      </c>
      <c r="I87" s="198"/>
      <c r="J87" s="204">
        <f t="shared" ref="J87:J88" si="44">J73/1000000</f>
        <v>0</v>
      </c>
      <c r="K87" s="200">
        <f t="shared" ref="K87" si="45">K73</f>
        <v>0</v>
      </c>
      <c r="L87" s="206">
        <f t="shared" ref="L87:L88" si="46">L73/1000000</f>
        <v>0</v>
      </c>
    </row>
    <row r="88" spans="2:12" x14ac:dyDescent="0.25">
      <c r="B88" s="207" t="s">
        <v>219</v>
      </c>
      <c r="C88" s="208">
        <f t="shared" si="40"/>
        <v>0</v>
      </c>
      <c r="D88" s="209">
        <f t="shared" si="40"/>
        <v>0</v>
      </c>
      <c r="E88" s="210"/>
      <c r="F88" s="211">
        <f t="shared" si="41"/>
        <v>0</v>
      </c>
      <c r="G88" s="212">
        <f>G74</f>
        <v>-1</v>
      </c>
      <c r="H88" s="213">
        <f t="shared" si="43"/>
        <v>0</v>
      </c>
      <c r="I88" s="210"/>
      <c r="J88" s="211">
        <f t="shared" si="44"/>
        <v>0</v>
      </c>
      <c r="K88" s="212" t="e">
        <v>#REF!</v>
      </c>
      <c r="L88" s="213">
        <f t="shared" si="46"/>
        <v>0</v>
      </c>
    </row>
    <row r="89" spans="2:12" x14ac:dyDescent="0.25">
      <c r="B89" s="207" t="s">
        <v>222</v>
      </c>
      <c r="C89" s="208"/>
      <c r="D89" s="209"/>
      <c r="E89" s="210"/>
      <c r="F89" s="211"/>
      <c r="G89" s="212"/>
      <c r="H89" s="214"/>
      <c r="I89" s="210"/>
      <c r="J89" s="211"/>
      <c r="K89" s="212"/>
      <c r="L89" s="216"/>
    </row>
    <row r="90" spans="2:12" x14ac:dyDescent="0.25">
      <c r="H90" s="218">
        <f>H88-$D$88</f>
        <v>0</v>
      </c>
      <c r="L90" s="218">
        <f>L88-$D$88</f>
        <v>0</v>
      </c>
    </row>
    <row r="91" spans="2:12" x14ac:dyDescent="0.25">
      <c r="H91" s="177" t="e">
        <f>H90/$D$88</f>
        <v>#DIV/0!</v>
      </c>
      <c r="I91" s="332"/>
      <c r="J91" s="332"/>
      <c r="K91" s="332"/>
    </row>
  </sheetData>
  <mergeCells count="16">
    <mergeCell ref="J78:L78"/>
    <mergeCell ref="C78:D78"/>
    <mergeCell ref="F78:H78"/>
    <mergeCell ref="B60:I61"/>
    <mergeCell ref="F63:H63"/>
    <mergeCell ref="J63:L63"/>
    <mergeCell ref="F77:I77"/>
    <mergeCell ref="F4:P4"/>
    <mergeCell ref="N5:P5"/>
    <mergeCell ref="J5:L5"/>
    <mergeCell ref="F5:H5"/>
    <mergeCell ref="C32:D32"/>
    <mergeCell ref="F32:H32"/>
    <mergeCell ref="F31:P31"/>
    <mergeCell ref="N32:P32"/>
    <mergeCell ref="J32:L32"/>
  </mergeCells>
  <conditionalFormatting sqref="G34:G52">
    <cfRule type="cellIs" dxfId="15" priority="39" operator="lessThan">
      <formula>0</formula>
    </cfRule>
    <cfRule type="cellIs" dxfId="14" priority="40" operator="greaterThan">
      <formula>0</formula>
    </cfRule>
  </conditionalFormatting>
  <conditionalFormatting sqref="G80:G87">
    <cfRule type="cellIs" dxfId="13" priority="31" operator="lessThan">
      <formula>0</formula>
    </cfRule>
    <cfRule type="cellIs" dxfId="12" priority="32" operator="greaterThan">
      <formula>0</formula>
    </cfRule>
  </conditionalFormatting>
  <conditionalFormatting sqref="O34:O52">
    <cfRule type="cellIs" dxfId="11" priority="23" operator="lessThan">
      <formula>0</formula>
    </cfRule>
    <cfRule type="cellIs" dxfId="10" priority="24" operator="greaterThan">
      <formula>0</formula>
    </cfRule>
  </conditionalFormatting>
  <conditionalFormatting sqref="K34:K52">
    <cfRule type="cellIs" dxfId="9" priority="13" operator="lessThan">
      <formula>0</formula>
    </cfRule>
    <cfRule type="cellIs" dxfId="8" priority="14" operator="greaterThan">
      <formula>0</formula>
    </cfRule>
  </conditionalFormatting>
  <conditionalFormatting sqref="K80:K87">
    <cfRule type="cellIs" dxfId="7" priority="11" operator="lessThan">
      <formula>0</formula>
    </cfRule>
    <cfRule type="cellIs" dxfId="6" priority="12" operator="greaterThan">
      <formula>0</formula>
    </cfRule>
  </conditionalFormatting>
  <conditionalFormatting sqref="G53:G54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K53:K54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O53:O5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F26:F27 H26:H27 J26:J27" formulaRange="1"/>
    <ignoredError sqref="G26:G27 K26:K27" formula="1"/>
    <ignoredError sqref="L26:P27" formula="1" formulaRang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81"/>
  <sheetViews>
    <sheetView zoomScale="90" zoomScaleNormal="90" workbookViewId="0">
      <selection activeCell="E65" sqref="E65"/>
    </sheetView>
  </sheetViews>
  <sheetFormatPr defaultColWidth="8.85546875" defaultRowHeight="12.75" x14ac:dyDescent="0.2"/>
  <cols>
    <col min="1" max="1" width="24.5703125" style="1" customWidth="1"/>
    <col min="2" max="2" width="18.42578125" style="1" customWidth="1"/>
    <col min="3" max="3" width="16.28515625" style="1" customWidth="1"/>
    <col min="4" max="4" width="22.42578125" style="1" bestFit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194</v>
      </c>
    </row>
    <row r="2" spans="1:14" x14ac:dyDescent="0.2">
      <c r="A2" s="48" t="s">
        <v>76</v>
      </c>
      <c r="B2" s="1" t="s">
        <v>200</v>
      </c>
    </row>
    <row r="3" spans="1:14" x14ac:dyDescent="0.2">
      <c r="A3" s="48" t="s">
        <v>77</v>
      </c>
      <c r="B3" s="1" t="s">
        <v>201</v>
      </c>
    </row>
    <row r="4" spans="1:14" ht="28.9" customHeight="1" x14ac:dyDescent="0.2">
      <c r="A4" s="49" t="s">
        <v>78</v>
      </c>
      <c r="B4" s="563" t="s">
        <v>312</v>
      </c>
      <c r="C4" s="564"/>
      <c r="D4" s="564"/>
      <c r="E4" s="564"/>
      <c r="F4" s="564"/>
      <c r="G4" s="564"/>
      <c r="H4" s="564"/>
      <c r="I4" s="564"/>
      <c r="N4" s="1" t="s">
        <v>271</v>
      </c>
    </row>
    <row r="5" spans="1:14" x14ac:dyDescent="0.2">
      <c r="A5" s="48" t="s">
        <v>79</v>
      </c>
      <c r="B5" s="1" t="s">
        <v>127</v>
      </c>
      <c r="E5" s="565" t="s">
        <v>50</v>
      </c>
      <c r="F5" s="566"/>
      <c r="G5" s="566"/>
      <c r="H5" s="566"/>
      <c r="I5" s="567"/>
      <c r="N5" s="1" t="s">
        <v>272</v>
      </c>
    </row>
    <row r="6" spans="1:14" x14ac:dyDescent="0.2">
      <c r="A6" s="48" t="s">
        <v>80</v>
      </c>
      <c r="B6" s="1" t="s">
        <v>195</v>
      </c>
      <c r="E6" s="568" t="s">
        <v>51</v>
      </c>
      <c r="F6" s="569"/>
      <c r="G6" s="569"/>
      <c r="H6" s="569"/>
      <c r="I6" s="570"/>
    </row>
    <row r="7" spans="1:14" ht="13.5" thickBot="1" x14ac:dyDescent="0.25"/>
    <row r="8" spans="1:14" ht="13.5" thickBot="1" x14ac:dyDescent="0.25">
      <c r="A8" s="51" t="s">
        <v>81</v>
      </c>
    </row>
    <row r="9" spans="1:14" ht="13.5" thickBot="1" x14ac:dyDescent="0.25">
      <c r="A9" s="29" t="s">
        <v>83</v>
      </c>
      <c r="B9" s="57">
        <f>SUM(J49:J66)</f>
        <v>1177345166.0118806</v>
      </c>
    </row>
    <row r="10" spans="1:14" ht="13.5" thickBot="1" x14ac:dyDescent="0.25">
      <c r="A10" s="50"/>
      <c r="B10" s="1">
        <v>2</v>
      </c>
      <c r="E10" s="1" t="s">
        <v>94</v>
      </c>
    </row>
    <row r="11" spans="1:14" x14ac:dyDescent="0.2">
      <c r="A11" s="409" t="s">
        <v>82</v>
      </c>
      <c r="B11" s="404" t="s">
        <v>84</v>
      </c>
      <c r="C11" s="404" t="s">
        <v>97</v>
      </c>
      <c r="D11" s="404" t="s">
        <v>98</v>
      </c>
      <c r="E11" s="404" t="s">
        <v>160</v>
      </c>
      <c r="F11" s="404" t="s">
        <v>161</v>
      </c>
      <c r="G11" s="405" t="s">
        <v>303</v>
      </c>
    </row>
    <row r="12" spans="1:14" s="98" customFormat="1" x14ac:dyDescent="0.2">
      <c r="A12" s="410" t="s">
        <v>301</v>
      </c>
      <c r="B12" s="406">
        <f>SUM(E19:E27)*B10</f>
        <v>64561011.200000003</v>
      </c>
      <c r="C12" s="407">
        <f>B12*E12</f>
        <v>51648808.960000008</v>
      </c>
      <c r="D12" s="407">
        <f>B12*F12</f>
        <v>77473213.439999998</v>
      </c>
      <c r="E12" s="408">
        <v>0.8</v>
      </c>
      <c r="F12" s="408">
        <v>1.2</v>
      </c>
      <c r="G12" s="425">
        <f>I28</f>
        <v>77473213.417311281</v>
      </c>
    </row>
    <row r="13" spans="1:14" s="98" customFormat="1" x14ac:dyDescent="0.2">
      <c r="A13" s="410" t="s">
        <v>302</v>
      </c>
      <c r="B13" s="406">
        <f>SUM(E29:E38)*B10</f>
        <v>119952184.36</v>
      </c>
      <c r="C13" s="407">
        <f>B13*E13</f>
        <v>95961747.488000005</v>
      </c>
      <c r="D13" s="407">
        <f>B13*F13</f>
        <v>143942621.23199999</v>
      </c>
      <c r="E13" s="408">
        <v>0.8</v>
      </c>
      <c r="F13" s="408">
        <v>1.2</v>
      </c>
      <c r="G13" s="425">
        <f>I39</f>
        <v>107039981.93941548</v>
      </c>
    </row>
    <row r="14" spans="1:14" s="251" customFormat="1" ht="13.5" thickBot="1" x14ac:dyDescent="0.25">
      <c r="A14" s="411" t="s">
        <v>159</v>
      </c>
      <c r="B14" s="95">
        <f>E40*B10</f>
        <v>184513195.56</v>
      </c>
      <c r="C14" s="412">
        <f>B14*E14</f>
        <v>184513195.56</v>
      </c>
      <c r="D14" s="412">
        <f>B14*F14</f>
        <v>184513195.56</v>
      </c>
      <c r="E14" s="413">
        <v>1</v>
      </c>
      <c r="F14" s="413">
        <v>1</v>
      </c>
      <c r="G14" s="426">
        <f>I40</f>
        <v>184513195.35672677</v>
      </c>
      <c r="I14" s="265"/>
      <c r="K14" s="266"/>
      <c r="L14" s="266"/>
    </row>
    <row r="15" spans="1:14" ht="13.5" thickBot="1" x14ac:dyDescent="0.25">
      <c r="L15" s="143">
        <f>G70</f>
        <v>420404376.56343269</v>
      </c>
      <c r="M15" s="113">
        <f>J70</f>
        <v>733798524.04581571</v>
      </c>
    </row>
    <row r="16" spans="1:14" ht="60.6" customHeight="1" thickBot="1" x14ac:dyDescent="0.25">
      <c r="A16" s="52" t="s">
        <v>85</v>
      </c>
      <c r="D16" s="96" t="s">
        <v>95</v>
      </c>
      <c r="E16" s="96" t="s">
        <v>95</v>
      </c>
      <c r="F16" s="96" t="s">
        <v>96</v>
      </c>
      <c r="G16" s="275">
        <v>0.5</v>
      </c>
      <c r="H16" s="275">
        <v>3</v>
      </c>
      <c r="I16" s="56" t="s">
        <v>95</v>
      </c>
      <c r="J16" s="56" t="s">
        <v>96</v>
      </c>
    </row>
    <row r="17" spans="1:17" ht="27.75" customHeight="1" x14ac:dyDescent="0.2">
      <c r="A17" s="549" t="s">
        <v>2</v>
      </c>
      <c r="B17" s="547" t="s">
        <v>3</v>
      </c>
      <c r="C17" s="547" t="s">
        <v>38</v>
      </c>
      <c r="D17" s="547" t="s">
        <v>128</v>
      </c>
      <c r="E17" s="571" t="s">
        <v>86</v>
      </c>
      <c r="F17" s="573"/>
      <c r="G17" s="545" t="s">
        <v>131</v>
      </c>
      <c r="H17" s="546"/>
      <c r="I17" s="545" t="s">
        <v>89</v>
      </c>
      <c r="J17" s="546"/>
      <c r="K17" s="571" t="s">
        <v>90</v>
      </c>
      <c r="L17" s="572"/>
      <c r="M17" s="572"/>
      <c r="N17" s="573"/>
    </row>
    <row r="18" spans="1:17" ht="25.5" x14ac:dyDescent="0.2">
      <c r="A18" s="548"/>
      <c r="B18" s="548"/>
      <c r="C18" s="548"/>
      <c r="D18" s="548"/>
      <c r="E18" s="78" t="s">
        <v>149</v>
      </c>
      <c r="F18" s="78" t="s">
        <v>193</v>
      </c>
      <c r="G18" s="78" t="s">
        <v>87</v>
      </c>
      <c r="H18" s="78" t="s">
        <v>88</v>
      </c>
      <c r="I18" s="55" t="s">
        <v>148</v>
      </c>
      <c r="J18" s="55" t="s">
        <v>196</v>
      </c>
      <c r="K18" s="78" t="s">
        <v>130</v>
      </c>
      <c r="L18" s="78" t="s">
        <v>197</v>
      </c>
      <c r="M18" s="78" t="s">
        <v>91</v>
      </c>
      <c r="N18" s="78" t="s">
        <v>92</v>
      </c>
    </row>
    <row r="19" spans="1:17" x14ac:dyDescent="0.2">
      <c r="A19" s="268" t="s">
        <v>175</v>
      </c>
      <c r="B19" s="286" t="s">
        <v>226</v>
      </c>
      <c r="C19" s="53" t="s">
        <v>129</v>
      </c>
      <c r="D19" s="297">
        <v>1</v>
      </c>
      <c r="E19" s="307">
        <v>1755293</v>
      </c>
      <c r="F19" s="298">
        <f>GINOFF!I9</f>
        <v>34079.723304951563</v>
      </c>
      <c r="G19" s="347">
        <f>E19*$G$16</f>
        <v>877646.5</v>
      </c>
      <c r="H19" s="347">
        <f>E19*$H$16</f>
        <v>5265879</v>
      </c>
      <c r="I19" s="309">
        <v>2277854.3418472391</v>
      </c>
      <c r="J19" s="299">
        <f>GINOFF!F9</f>
        <v>40346.00574451685</v>
      </c>
      <c r="K19" s="300">
        <f>I19-E19</f>
        <v>522561.34184723906</v>
      </c>
      <c r="L19" s="300">
        <f>J19-F19</f>
        <v>6266.282439565286</v>
      </c>
      <c r="M19" s="301">
        <f>K19/E19</f>
        <v>0.2977060478491278</v>
      </c>
      <c r="N19" s="301">
        <f>L19/F19</f>
        <v>0.18387128274174797</v>
      </c>
      <c r="O19" s="328">
        <f>E19/F19</f>
        <v>51.50549446347668</v>
      </c>
      <c r="P19" s="288">
        <f>G19/1000000</f>
        <v>0.8776465</v>
      </c>
      <c r="Q19" s="288">
        <f>H19/1000000</f>
        <v>5.265879</v>
      </c>
    </row>
    <row r="20" spans="1:17" x14ac:dyDescent="0.2">
      <c r="A20" s="269" t="s">
        <v>175</v>
      </c>
      <c r="B20" s="287" t="s">
        <v>227</v>
      </c>
      <c r="C20" s="54" t="s">
        <v>129</v>
      </c>
      <c r="D20" s="302">
        <v>1</v>
      </c>
      <c r="E20" s="308">
        <v>5365372.8900000006</v>
      </c>
      <c r="F20" s="303">
        <f>GMCM!I9</f>
        <v>282596.87941192184</v>
      </c>
      <c r="G20" s="310">
        <f>E20*$G$16</f>
        <v>2682686.4450000003</v>
      </c>
      <c r="H20" s="310">
        <f>E20*$H$16</f>
        <v>16096118.670000002</v>
      </c>
      <c r="I20" s="311">
        <v>13941734.60841202</v>
      </c>
      <c r="J20" s="304">
        <f>GMCM!F9</f>
        <v>462364.17644188832</v>
      </c>
      <c r="K20" s="305">
        <f>I20-E20</f>
        <v>8576361.7184120193</v>
      </c>
      <c r="L20" s="305">
        <f t="shared" ref="L20" si="0">J20-F20</f>
        <v>179767.29702996649</v>
      </c>
      <c r="M20" s="306">
        <f>K20/E20</f>
        <v>1.5984651755326587</v>
      </c>
      <c r="N20" s="306">
        <f t="shared" ref="N20:N38" si="1">L20/F20</f>
        <v>0.63612626368719449</v>
      </c>
      <c r="O20" s="328">
        <f t="shared" ref="O20:O36" si="2">E20/F20</f>
        <v>18.98595943863651</v>
      </c>
      <c r="P20" s="288">
        <f t="shared" ref="P20:Q28" si="3">G20/1000000</f>
        <v>2.6826864450000003</v>
      </c>
      <c r="Q20" s="288">
        <f t="shared" si="3"/>
        <v>16.096118670000003</v>
      </c>
    </row>
    <row r="21" spans="1:17" s="98" customFormat="1" x14ac:dyDescent="0.2">
      <c r="A21" s="269" t="s">
        <v>175</v>
      </c>
      <c r="B21" s="287" t="s">
        <v>228</v>
      </c>
      <c r="C21" s="54" t="s">
        <v>169</v>
      </c>
      <c r="D21" s="302">
        <v>1</v>
      </c>
      <c r="E21" s="308">
        <v>1873000</v>
      </c>
      <c r="F21" s="303">
        <f>GSOC!I9</f>
        <v>71243.17418511775</v>
      </c>
      <c r="G21" s="310">
        <f t="shared" ref="G21:G36" si="4">E21*$G$16</f>
        <v>936500</v>
      </c>
      <c r="H21" s="310">
        <f t="shared" ref="H21:H36" si="5">E21*$H$16</f>
        <v>5619000</v>
      </c>
      <c r="I21" s="311">
        <v>5619000</v>
      </c>
      <c r="J21" s="304">
        <f>GSOC!F9</f>
        <v>137726.0251586157</v>
      </c>
      <c r="K21" s="305">
        <f t="shared" ref="K21:K38" si="6">I21-E21</f>
        <v>3746000</v>
      </c>
      <c r="L21" s="305">
        <f t="shared" ref="L21:L38" si="7">J21-F21</f>
        <v>66482.850973497945</v>
      </c>
      <c r="M21" s="306">
        <f t="shared" ref="M21:M38" si="8">K21/E21</f>
        <v>2</v>
      </c>
      <c r="N21" s="306">
        <f t="shared" si="1"/>
        <v>0.9331820449317626</v>
      </c>
      <c r="O21" s="328">
        <f t="shared" si="2"/>
        <v>26.290237926979646</v>
      </c>
      <c r="P21" s="288">
        <f t="shared" si="3"/>
        <v>0.9365</v>
      </c>
      <c r="Q21" s="288">
        <f t="shared" si="3"/>
        <v>5.6189999999999998</v>
      </c>
    </row>
    <row r="22" spans="1:17" s="98" customFormat="1" x14ac:dyDescent="0.2">
      <c r="A22" s="269" t="s">
        <v>175</v>
      </c>
      <c r="B22" s="287" t="s">
        <v>246</v>
      </c>
      <c r="C22" s="54" t="s">
        <v>129</v>
      </c>
      <c r="D22" s="302">
        <v>1</v>
      </c>
      <c r="E22" s="308">
        <v>173076.94</v>
      </c>
      <c r="F22" s="303">
        <f>GOLV!I9</f>
        <v>7568.2941111773252</v>
      </c>
      <c r="G22" s="310">
        <f t="shared" si="4"/>
        <v>86538.47</v>
      </c>
      <c r="H22" s="310">
        <f t="shared" si="5"/>
        <v>519230.82</v>
      </c>
      <c r="I22" s="311">
        <v>431635.30632567109</v>
      </c>
      <c r="J22" s="304">
        <f>GOLV!F9</f>
        <v>12451.437464257702</v>
      </c>
      <c r="K22" s="305">
        <f t="shared" si="6"/>
        <v>258558.36632567109</v>
      </c>
      <c r="L22" s="305">
        <f t="shared" si="7"/>
        <v>4883.143353080377</v>
      </c>
      <c r="M22" s="306">
        <f t="shared" si="8"/>
        <v>1.4938926371454861</v>
      </c>
      <c r="N22" s="306">
        <f t="shared" si="1"/>
        <v>0.64521056942919919</v>
      </c>
      <c r="O22" s="328">
        <f t="shared" si="2"/>
        <v>22.868685790684225</v>
      </c>
      <c r="P22" s="288">
        <f t="shared" si="3"/>
        <v>8.6538470000000006E-2</v>
      </c>
      <c r="Q22" s="288">
        <f t="shared" si="3"/>
        <v>0.51923081999999998</v>
      </c>
    </row>
    <row r="23" spans="1:17" s="98" customFormat="1" x14ac:dyDescent="0.2">
      <c r="A23" s="269" t="s">
        <v>175</v>
      </c>
      <c r="B23" s="287" t="s">
        <v>248</v>
      </c>
      <c r="C23" s="54" t="s">
        <v>169</v>
      </c>
      <c r="D23" s="302">
        <v>1</v>
      </c>
      <c r="E23" s="308">
        <v>6180125</v>
      </c>
      <c r="F23" s="303">
        <f>GSTRV!I9</f>
        <v>144657.20917756393</v>
      </c>
      <c r="G23" s="310">
        <f t="shared" si="4"/>
        <v>3090062.5</v>
      </c>
      <c r="H23" s="310">
        <f t="shared" si="5"/>
        <v>18540375</v>
      </c>
      <c r="I23" s="311">
        <v>18540375</v>
      </c>
      <c r="J23" s="304">
        <f>GSTRV!F9</f>
        <v>312122.41636928852</v>
      </c>
      <c r="K23" s="305">
        <f t="shared" si="6"/>
        <v>12360250</v>
      </c>
      <c r="L23" s="305">
        <f t="shared" si="7"/>
        <v>167465.20719172459</v>
      </c>
      <c r="M23" s="306">
        <f t="shared" si="8"/>
        <v>2</v>
      </c>
      <c r="N23" s="306">
        <f t="shared" si="1"/>
        <v>1.1576692799745936</v>
      </c>
      <c r="O23" s="328">
        <f t="shared" si="2"/>
        <v>42.722551023461378</v>
      </c>
      <c r="P23" s="288">
        <f t="shared" si="3"/>
        <v>3.0900625000000002</v>
      </c>
      <c r="Q23" s="288">
        <f t="shared" si="3"/>
        <v>18.540375000000001</v>
      </c>
    </row>
    <row r="24" spans="1:17" s="98" customFormat="1" x14ac:dyDescent="0.2">
      <c r="A24" s="269" t="s">
        <v>175</v>
      </c>
      <c r="B24" s="287" t="s">
        <v>229</v>
      </c>
      <c r="C24" s="54" t="s">
        <v>169</v>
      </c>
      <c r="D24" s="302">
        <v>1</v>
      </c>
      <c r="E24" s="308">
        <v>1648357.37</v>
      </c>
      <c r="F24" s="303">
        <f>GDISP!I9</f>
        <v>104116.36986385845</v>
      </c>
      <c r="G24" s="310">
        <f t="shared" si="4"/>
        <v>824178.68500000006</v>
      </c>
      <c r="H24" s="310">
        <f t="shared" si="5"/>
        <v>4945072.1100000003</v>
      </c>
      <c r="I24" s="311">
        <v>4945072.1100000003</v>
      </c>
      <c r="J24" s="304">
        <f>GDISP!F9</f>
        <v>204774.86350569315</v>
      </c>
      <c r="K24" s="305">
        <f t="shared" si="6"/>
        <v>3296714.74</v>
      </c>
      <c r="L24" s="305">
        <f t="shared" si="7"/>
        <v>100658.49364183471</v>
      </c>
      <c r="M24" s="306">
        <f t="shared" si="8"/>
        <v>2</v>
      </c>
      <c r="N24" s="306">
        <f t="shared" si="1"/>
        <v>0.96678835204737523</v>
      </c>
      <c r="O24" s="328">
        <f t="shared" si="2"/>
        <v>15.831875161949808</v>
      </c>
      <c r="P24" s="288">
        <f t="shared" si="3"/>
        <v>0.82417868500000002</v>
      </c>
      <c r="Q24" s="288">
        <f t="shared" si="3"/>
        <v>4.9450721099999999</v>
      </c>
    </row>
    <row r="25" spans="1:17" s="98" customFormat="1" x14ac:dyDescent="0.2">
      <c r="A25" s="269" t="s">
        <v>175</v>
      </c>
      <c r="B25" s="287" t="s">
        <v>230</v>
      </c>
      <c r="C25" s="54" t="s">
        <v>169</v>
      </c>
      <c r="D25" s="302">
        <v>1</v>
      </c>
      <c r="E25" s="308">
        <v>344707</v>
      </c>
      <c r="F25" s="303">
        <f>GSEARCH!I9</f>
        <v>130694.08808973072</v>
      </c>
      <c r="G25" s="310">
        <f t="shared" si="4"/>
        <v>172353.5</v>
      </c>
      <c r="H25" s="310">
        <f t="shared" si="5"/>
        <v>1034121</v>
      </c>
      <c r="I25" s="311">
        <v>1034121</v>
      </c>
      <c r="J25" s="304">
        <f>GSEARCH!F9</f>
        <v>281994.61894550535</v>
      </c>
      <c r="K25" s="305">
        <f t="shared" si="6"/>
        <v>689414</v>
      </c>
      <c r="L25" s="305">
        <f t="shared" si="7"/>
        <v>151300.53085577465</v>
      </c>
      <c r="M25" s="306">
        <f t="shared" si="8"/>
        <v>2</v>
      </c>
      <c r="N25" s="306">
        <f t="shared" si="1"/>
        <v>1.1576692799745933</v>
      </c>
      <c r="O25" s="328">
        <f t="shared" si="2"/>
        <v>2.6375102733287696</v>
      </c>
      <c r="P25" s="288">
        <f t="shared" si="3"/>
        <v>0.17235349999999999</v>
      </c>
      <c r="Q25" s="288">
        <f t="shared" si="3"/>
        <v>1.0341210000000001</v>
      </c>
    </row>
    <row r="26" spans="1:17" x14ac:dyDescent="0.2">
      <c r="A26" s="269" t="s">
        <v>175</v>
      </c>
      <c r="B26" s="287" t="s">
        <v>285</v>
      </c>
      <c r="C26" s="54" t="s">
        <v>169</v>
      </c>
      <c r="D26" s="302">
        <v>1</v>
      </c>
      <c r="E26" s="308">
        <v>1437048.41</v>
      </c>
      <c r="F26" s="303">
        <f>GRADIO!I9</f>
        <v>70569.092436493243</v>
      </c>
      <c r="G26" s="310">
        <f t="shared" si="4"/>
        <v>718524.20499999996</v>
      </c>
      <c r="H26" s="310">
        <f t="shared" si="5"/>
        <v>4311145.2299999995</v>
      </c>
      <c r="I26" s="311">
        <v>4311145.2299999995</v>
      </c>
      <c r="J26" s="304">
        <f>GRADIO!F9</f>
        <v>136422.9024253586</v>
      </c>
      <c r="K26" s="305">
        <f t="shared" si="6"/>
        <v>2874096.8199999994</v>
      </c>
      <c r="L26" s="305">
        <f t="shared" si="7"/>
        <v>65853.809988865352</v>
      </c>
      <c r="M26" s="306">
        <f t="shared" si="8"/>
        <v>1.9999999999999998</v>
      </c>
      <c r="N26" s="306">
        <f t="shared" si="1"/>
        <v>0.93318204493176271</v>
      </c>
      <c r="O26" s="328">
        <f t="shared" si="2"/>
        <v>20.363708252210174</v>
      </c>
      <c r="P26" s="288">
        <f t="shared" si="3"/>
        <v>0.71852420499999992</v>
      </c>
      <c r="Q26" s="288">
        <f t="shared" si="3"/>
        <v>4.3111452299999993</v>
      </c>
    </row>
    <row r="27" spans="1:17" s="98" customFormat="1" x14ac:dyDescent="0.2">
      <c r="A27" s="348" t="s">
        <v>175</v>
      </c>
      <c r="B27" s="349" t="s">
        <v>189</v>
      </c>
      <c r="C27" s="350" t="s">
        <v>169</v>
      </c>
      <c r="D27" s="351">
        <v>1</v>
      </c>
      <c r="E27" s="352">
        <v>13503524.99</v>
      </c>
      <c r="F27" s="361">
        <f>GTV!I9</f>
        <v>253686.28893952153</v>
      </c>
      <c r="G27" s="353">
        <f t="shared" si="4"/>
        <v>6751762.4950000001</v>
      </c>
      <c r="H27" s="353">
        <f t="shared" si="5"/>
        <v>40510574.969999999</v>
      </c>
      <c r="I27" s="354">
        <v>26372275.820726354</v>
      </c>
      <c r="J27" s="362">
        <f>GTV!F9</f>
        <v>405309.99641987938</v>
      </c>
      <c r="K27" s="355">
        <f t="shared" si="6"/>
        <v>12868750.830726353</v>
      </c>
      <c r="L27" s="355">
        <f t="shared" si="7"/>
        <v>151623.70748035784</v>
      </c>
      <c r="M27" s="356">
        <f t="shared" si="8"/>
        <v>0.95299196619077409</v>
      </c>
      <c r="N27" s="356">
        <f t="shared" si="1"/>
        <v>0.59768191696203465</v>
      </c>
      <c r="O27" s="328">
        <f t="shared" si="2"/>
        <v>53.229226721114685</v>
      </c>
      <c r="P27" s="288">
        <f t="shared" si="3"/>
        <v>6.7517624950000004</v>
      </c>
      <c r="Q27" s="288">
        <f t="shared" si="3"/>
        <v>40.51057497</v>
      </c>
    </row>
    <row r="28" spans="1:17" s="98" customFormat="1" x14ac:dyDescent="0.2">
      <c r="A28" s="414" t="s">
        <v>175</v>
      </c>
      <c r="B28" s="415" t="s">
        <v>232</v>
      </c>
      <c r="C28" s="36"/>
      <c r="D28" s="416"/>
      <c r="E28" s="417">
        <f t="shared" ref="E28:L28" si="9">SUM(E19:E27)</f>
        <v>32280505.600000001</v>
      </c>
      <c r="F28" s="418">
        <f t="shared" si="9"/>
        <v>1099211.1195203364</v>
      </c>
      <c r="G28" s="419">
        <f t="shared" si="9"/>
        <v>16140252.800000001</v>
      </c>
      <c r="H28" s="419">
        <f t="shared" si="9"/>
        <v>96841516.799999997</v>
      </c>
      <c r="I28" s="417">
        <f t="shared" si="9"/>
        <v>77473213.417311281</v>
      </c>
      <c r="J28" s="418">
        <f t="shared" si="9"/>
        <v>1993512.4424750034</v>
      </c>
      <c r="K28" s="419">
        <f t="shared" si="9"/>
        <v>45192707.817311287</v>
      </c>
      <c r="L28" s="419">
        <f t="shared" si="9"/>
        <v>894301.32295466727</v>
      </c>
      <c r="M28" s="420">
        <f t="shared" si="8"/>
        <v>1.3999999992971388</v>
      </c>
      <c r="N28" s="420">
        <f t="shared" si="1"/>
        <v>0.81358467638583776</v>
      </c>
      <c r="O28" s="328"/>
      <c r="P28" s="288">
        <f t="shared" si="3"/>
        <v>16.140252800000003</v>
      </c>
      <c r="Q28" s="288"/>
    </row>
    <row r="29" spans="1:17" s="98" customFormat="1" x14ac:dyDescent="0.2">
      <c r="A29" s="346" t="s">
        <v>286</v>
      </c>
      <c r="B29" s="237" t="s">
        <v>287</v>
      </c>
      <c r="C29" s="54" t="s">
        <v>129</v>
      </c>
      <c r="D29" s="302">
        <v>1</v>
      </c>
      <c r="E29" s="310">
        <v>1134710</v>
      </c>
      <c r="F29" s="303">
        <f>GINOFF_adt!I9</f>
        <v>7367.8666140222922</v>
      </c>
      <c r="G29" s="310">
        <f t="shared" si="4"/>
        <v>567355</v>
      </c>
      <c r="H29" s="310">
        <f t="shared" si="5"/>
        <v>3404130</v>
      </c>
      <c r="I29" s="311">
        <v>1174217.317731498</v>
      </c>
      <c r="J29" s="304">
        <f>GINOFF_adt!F9</f>
        <v>7541.4735922198743</v>
      </c>
      <c r="K29" s="305">
        <f t="shared" si="6"/>
        <v>39507.317731498042</v>
      </c>
      <c r="L29" s="305">
        <f t="shared" si="7"/>
        <v>173.60697819758207</v>
      </c>
      <c r="M29" s="306">
        <f t="shared" si="8"/>
        <v>3.481710545557723E-2</v>
      </c>
      <c r="N29" s="306">
        <f t="shared" si="1"/>
        <v>2.3562720023619688E-2</v>
      </c>
      <c r="O29" s="328">
        <f t="shared" si="2"/>
        <v>154.00794550765286</v>
      </c>
      <c r="P29" s="288">
        <f t="shared" ref="P29:P36" si="10">G29/1000000</f>
        <v>0.56735500000000005</v>
      </c>
      <c r="Q29" s="288">
        <f t="shared" ref="Q29:Q36" si="11">H29/1000000</f>
        <v>3.4041299999999999</v>
      </c>
    </row>
    <row r="30" spans="1:17" s="98" customFormat="1" x14ac:dyDescent="0.2">
      <c r="A30" s="346" t="s">
        <v>286</v>
      </c>
      <c r="B30" s="237" t="s">
        <v>227</v>
      </c>
      <c r="C30" s="54" t="s">
        <v>129</v>
      </c>
      <c r="D30" s="302">
        <v>1</v>
      </c>
      <c r="E30" s="310">
        <v>10503728.719999999</v>
      </c>
      <c r="F30" s="303">
        <f>GMCM_adt!I9</f>
        <v>288339.09761974216</v>
      </c>
      <c r="G30" s="310">
        <f t="shared" si="4"/>
        <v>5251864.3599999994</v>
      </c>
      <c r="H30" s="310">
        <f t="shared" si="5"/>
        <v>31511186.159999996</v>
      </c>
      <c r="I30" s="311">
        <v>31511186.159999996</v>
      </c>
      <c r="J30" s="304">
        <f>GMCM_adt!F9</f>
        <v>575403.61708545592</v>
      </c>
      <c r="K30" s="305">
        <f t="shared" si="6"/>
        <v>21007457.439999998</v>
      </c>
      <c r="L30" s="305">
        <f t="shared" si="7"/>
        <v>287064.51946571376</v>
      </c>
      <c r="M30" s="306">
        <f t="shared" si="8"/>
        <v>2</v>
      </c>
      <c r="N30" s="306">
        <f t="shared" si="1"/>
        <v>0.99557958610347985</v>
      </c>
      <c r="O30" s="328">
        <f t="shared" si="2"/>
        <v>36.428388680927966</v>
      </c>
      <c r="P30" s="288">
        <f t="shared" si="10"/>
        <v>5.251864359999999</v>
      </c>
      <c r="Q30" s="288">
        <f t="shared" si="11"/>
        <v>31.511186159999998</v>
      </c>
    </row>
    <row r="31" spans="1:17" s="98" customFormat="1" x14ac:dyDescent="0.2">
      <c r="A31" s="346" t="s">
        <v>286</v>
      </c>
      <c r="B31" s="237" t="s">
        <v>228</v>
      </c>
      <c r="C31" s="54" t="s">
        <v>170</v>
      </c>
      <c r="D31" s="302">
        <v>1</v>
      </c>
      <c r="E31" s="310">
        <v>1751000</v>
      </c>
      <c r="F31" s="303">
        <f>GSOCIAL_adt!I9</f>
        <v>23820.403572058858</v>
      </c>
      <c r="G31" s="310">
        <f t="shared" si="4"/>
        <v>875500</v>
      </c>
      <c r="H31" s="310">
        <f t="shared" si="5"/>
        <v>5253000</v>
      </c>
      <c r="I31" s="311">
        <v>5253000</v>
      </c>
      <c r="J31" s="304">
        <f>GSOCIAL_adt!F9</f>
        <v>46049.176488532612</v>
      </c>
      <c r="K31" s="305">
        <f t="shared" si="6"/>
        <v>3502000</v>
      </c>
      <c r="L31" s="305">
        <f t="shared" si="7"/>
        <v>22228.772916473754</v>
      </c>
      <c r="M31" s="306">
        <f t="shared" si="8"/>
        <v>2</v>
      </c>
      <c r="N31" s="306">
        <f t="shared" si="1"/>
        <v>0.93318204493176282</v>
      </c>
      <c r="O31" s="328">
        <f t="shared" si="2"/>
        <v>73.508410329953804</v>
      </c>
      <c r="P31" s="288">
        <f t="shared" si="10"/>
        <v>0.87549999999999994</v>
      </c>
      <c r="Q31" s="288">
        <f t="shared" si="11"/>
        <v>5.2530000000000001</v>
      </c>
    </row>
    <row r="32" spans="1:17" s="98" customFormat="1" x14ac:dyDescent="0.2">
      <c r="A32" s="346" t="s">
        <v>286</v>
      </c>
      <c r="B32" s="237" t="s">
        <v>246</v>
      </c>
      <c r="C32" s="54" t="s">
        <v>129</v>
      </c>
      <c r="D32" s="302">
        <v>1</v>
      </c>
      <c r="E32" s="310">
        <v>1111779.04</v>
      </c>
      <c r="F32" s="303">
        <f>GOLV_adt!I9</f>
        <v>21646.235649615526</v>
      </c>
      <c r="G32" s="310">
        <f t="shared" si="4"/>
        <v>555889.52</v>
      </c>
      <c r="H32" s="310">
        <f t="shared" si="5"/>
        <v>3335337.12</v>
      </c>
      <c r="I32" s="311">
        <v>2933724.0189072718</v>
      </c>
      <c r="J32" s="304">
        <f>GOLV_adt!F9</f>
        <v>36372.308085368946</v>
      </c>
      <c r="K32" s="305">
        <f t="shared" si="6"/>
        <v>1821944.9789072718</v>
      </c>
      <c r="L32" s="305">
        <f t="shared" si="7"/>
        <v>14726.07243575342</v>
      </c>
      <c r="M32" s="306">
        <f t="shared" si="8"/>
        <v>1.6387653601629977</v>
      </c>
      <c r="N32" s="306">
        <f t="shared" si="1"/>
        <v>0.68030639017897687</v>
      </c>
      <c r="O32" s="328">
        <f t="shared" si="2"/>
        <v>51.361310945524473</v>
      </c>
      <c r="P32" s="288">
        <f t="shared" si="10"/>
        <v>0.55588952000000003</v>
      </c>
      <c r="Q32" s="288">
        <f t="shared" si="11"/>
        <v>3.3353371200000002</v>
      </c>
    </row>
    <row r="33" spans="1:22" s="98" customFormat="1" x14ac:dyDescent="0.2">
      <c r="A33" s="346" t="s">
        <v>286</v>
      </c>
      <c r="B33" s="237" t="s">
        <v>248</v>
      </c>
      <c r="C33" s="54" t="s">
        <v>170</v>
      </c>
      <c r="D33" s="302">
        <v>1</v>
      </c>
      <c r="E33" s="310">
        <v>13418576</v>
      </c>
      <c r="F33" s="303">
        <f>GSTRTV_adt!I9</f>
        <v>100808.3256282994</v>
      </c>
      <c r="G33" s="310">
        <f t="shared" si="4"/>
        <v>6709288</v>
      </c>
      <c r="H33" s="310">
        <f t="shared" si="5"/>
        <v>40255728</v>
      </c>
      <c r="I33" s="311">
        <v>25298391.099956226</v>
      </c>
      <c r="J33" s="304">
        <f>GSTRTV_adt!F9</f>
        <v>157132.82980778223</v>
      </c>
      <c r="K33" s="305">
        <f t="shared" si="6"/>
        <v>11879815.099956226</v>
      </c>
      <c r="L33" s="305">
        <f t="shared" si="7"/>
        <v>56324.504179482828</v>
      </c>
      <c r="M33" s="306">
        <f t="shared" si="8"/>
        <v>0.8853260658922546</v>
      </c>
      <c r="N33" s="306">
        <f t="shared" si="1"/>
        <v>0.55872869456400476</v>
      </c>
      <c r="O33" s="328">
        <f t="shared" si="2"/>
        <v>133.10979937785092</v>
      </c>
      <c r="P33" s="288">
        <f t="shared" si="10"/>
        <v>6.7092879999999999</v>
      </c>
      <c r="Q33" s="288">
        <f t="shared" si="11"/>
        <v>40.255727999999998</v>
      </c>
    </row>
    <row r="34" spans="1:22" s="98" customFormat="1" x14ac:dyDescent="0.2">
      <c r="A34" s="346" t="s">
        <v>286</v>
      </c>
      <c r="B34" s="237" t="s">
        <v>229</v>
      </c>
      <c r="C34" s="54" t="s">
        <v>170</v>
      </c>
      <c r="D34" s="302">
        <v>1</v>
      </c>
      <c r="E34" s="310">
        <v>2859426.82</v>
      </c>
      <c r="F34" s="303">
        <f>GDISP_adt!I9</f>
        <v>76065.012406995462</v>
      </c>
      <c r="G34" s="310">
        <f t="shared" si="4"/>
        <v>1429713.41</v>
      </c>
      <c r="H34" s="310">
        <f t="shared" si="5"/>
        <v>8578280.459999999</v>
      </c>
      <c r="I34" s="311">
        <v>8578280.459999999</v>
      </c>
      <c r="J34" s="304">
        <f>GDISP_adt!F9</f>
        <v>147047.5162327154</v>
      </c>
      <c r="K34" s="305">
        <f t="shared" si="6"/>
        <v>5718853.6399999987</v>
      </c>
      <c r="L34" s="305">
        <f t="shared" si="7"/>
        <v>70982.503825719934</v>
      </c>
      <c r="M34" s="306">
        <f t="shared" si="8"/>
        <v>1.9999999999999998</v>
      </c>
      <c r="N34" s="306">
        <f t="shared" si="1"/>
        <v>0.93318204493176282</v>
      </c>
      <c r="O34" s="328">
        <f t="shared" si="2"/>
        <v>37.591880018375271</v>
      </c>
      <c r="P34" s="288">
        <f t="shared" si="10"/>
        <v>1.42971341</v>
      </c>
      <c r="Q34" s="288">
        <f t="shared" si="11"/>
        <v>8.5782804599999984</v>
      </c>
    </row>
    <row r="35" spans="1:22" s="98" customFormat="1" x14ac:dyDescent="0.2">
      <c r="A35" s="346" t="s">
        <v>286</v>
      </c>
      <c r="B35" s="237" t="s">
        <v>230</v>
      </c>
      <c r="C35" s="54" t="s">
        <v>170</v>
      </c>
      <c r="D35" s="302">
        <v>1</v>
      </c>
      <c r="E35" s="310">
        <v>50000</v>
      </c>
      <c r="F35" s="303">
        <f>GPDSRCH_adt!I9</f>
        <v>30136.792938374307</v>
      </c>
      <c r="G35" s="310">
        <f t="shared" si="4"/>
        <v>25000</v>
      </c>
      <c r="H35" s="310">
        <f t="shared" si="5"/>
        <v>150000</v>
      </c>
      <c r="I35" s="311">
        <v>150000</v>
      </c>
      <c r="J35" s="304">
        <f>GPDSRCH_adt!F9</f>
        <v>65025.232320085495</v>
      </c>
      <c r="K35" s="305">
        <f t="shared" si="6"/>
        <v>100000</v>
      </c>
      <c r="L35" s="305">
        <f t="shared" si="7"/>
        <v>34888.439381711185</v>
      </c>
      <c r="M35" s="306">
        <f t="shared" si="8"/>
        <v>2</v>
      </c>
      <c r="N35" s="306">
        <f t="shared" si="1"/>
        <v>1.1576692799745931</v>
      </c>
      <c r="O35" s="328">
        <f t="shared" si="2"/>
        <v>1.6591015541117227</v>
      </c>
      <c r="P35" s="288">
        <f t="shared" si="10"/>
        <v>2.5000000000000001E-2</v>
      </c>
      <c r="Q35" s="288">
        <f t="shared" si="11"/>
        <v>0.15</v>
      </c>
    </row>
    <row r="36" spans="1:22" s="98" customFormat="1" x14ac:dyDescent="0.2">
      <c r="A36" s="346" t="s">
        <v>286</v>
      </c>
      <c r="B36" s="237" t="s">
        <v>288</v>
      </c>
      <c r="C36" s="54" t="s">
        <v>170</v>
      </c>
      <c r="D36" s="302">
        <v>1</v>
      </c>
      <c r="E36" s="310">
        <v>25810928.600000001</v>
      </c>
      <c r="F36" s="303">
        <f>GLINEARTV_adt!I9</f>
        <v>168508.00202805389</v>
      </c>
      <c r="G36" s="310">
        <f t="shared" si="4"/>
        <v>12905464.300000001</v>
      </c>
      <c r="H36" s="310">
        <f t="shared" si="5"/>
        <v>77432785.800000012</v>
      </c>
      <c r="I36" s="311">
        <v>30473211.382820502</v>
      </c>
      <c r="J36" s="304">
        <f>GLINEARTV_adt!F9</f>
        <v>189278.26466825145</v>
      </c>
      <c r="K36" s="305">
        <f t="shared" si="6"/>
        <v>4662282.7828205004</v>
      </c>
      <c r="L36" s="305">
        <f t="shared" si="7"/>
        <v>20770.262640197558</v>
      </c>
      <c r="M36" s="306">
        <f t="shared" si="8"/>
        <v>0.18063212118685648</v>
      </c>
      <c r="N36" s="306">
        <f t="shared" si="1"/>
        <v>0.12325980007014528</v>
      </c>
      <c r="O36" s="328">
        <f t="shared" si="2"/>
        <v>153.17331099625105</v>
      </c>
      <c r="P36" s="288">
        <f t="shared" si="10"/>
        <v>12.9054643</v>
      </c>
      <c r="Q36" s="288">
        <f t="shared" si="11"/>
        <v>77.432785800000005</v>
      </c>
    </row>
    <row r="37" spans="1:22" s="98" customFormat="1" x14ac:dyDescent="0.2">
      <c r="A37" s="346" t="s">
        <v>286</v>
      </c>
      <c r="B37" s="237" t="s">
        <v>192</v>
      </c>
      <c r="C37" s="54" t="s">
        <v>170</v>
      </c>
      <c r="D37" s="302">
        <v>1</v>
      </c>
      <c r="E37" s="310">
        <v>923975</v>
      </c>
      <c r="F37" s="303">
        <f>GAUDIO!I9</f>
        <v>26581.559263521289</v>
      </c>
      <c r="G37" s="310">
        <f t="shared" ref="G37" si="12">E37*$G$16</f>
        <v>461987.5</v>
      </c>
      <c r="H37" s="310">
        <f t="shared" ref="H37" si="13">E37*$H$16</f>
        <v>2771925</v>
      </c>
      <c r="I37" s="311">
        <v>461987.5</v>
      </c>
      <c r="J37" s="304">
        <f>GAUDIO!F9</f>
        <v>20145.054869698579</v>
      </c>
      <c r="K37" s="305">
        <f t="shared" si="6"/>
        <v>-461987.5</v>
      </c>
      <c r="L37" s="305">
        <f t="shared" si="7"/>
        <v>-6436.50439382271</v>
      </c>
      <c r="M37" s="306">
        <f t="shared" si="8"/>
        <v>-0.5</v>
      </c>
      <c r="N37" s="306">
        <f t="shared" si="1"/>
        <v>-0.24214171674480089</v>
      </c>
      <c r="O37" s="328"/>
      <c r="P37" s="288"/>
      <c r="Q37" s="288"/>
    </row>
    <row r="38" spans="1:22" s="98" customFormat="1" x14ac:dyDescent="0.2">
      <c r="A38" s="346" t="s">
        <v>286</v>
      </c>
      <c r="B38" s="237" t="s">
        <v>305</v>
      </c>
      <c r="C38" s="54" t="s">
        <v>129</v>
      </c>
      <c r="D38" s="302">
        <v>1</v>
      </c>
      <c r="E38" s="310">
        <v>2411968</v>
      </c>
      <c r="F38" s="303">
        <f>GPHRMCY_adt!I9</f>
        <v>18205.929821531288</v>
      </c>
      <c r="G38" s="310">
        <f t="shared" ref="G38" si="14">E38*$G$16</f>
        <v>1205984</v>
      </c>
      <c r="H38" s="310">
        <f t="shared" ref="H38" si="15">E38*$H$16</f>
        <v>7235904</v>
      </c>
      <c r="I38" s="311">
        <v>1205984</v>
      </c>
      <c r="J38" s="304">
        <f>GPHRMCY_adt!F9</f>
        <v>10250.445204379968</v>
      </c>
      <c r="K38" s="305">
        <f t="shared" si="6"/>
        <v>-1205984</v>
      </c>
      <c r="L38" s="305">
        <f t="shared" si="7"/>
        <v>-7955.48461715132</v>
      </c>
      <c r="M38" s="306">
        <f t="shared" si="8"/>
        <v>-0.5</v>
      </c>
      <c r="N38" s="306">
        <f t="shared" si="1"/>
        <v>-0.43697216759249208</v>
      </c>
      <c r="O38" s="328"/>
      <c r="P38" s="288"/>
      <c r="Q38" s="288"/>
    </row>
    <row r="39" spans="1:22" s="98" customFormat="1" x14ac:dyDescent="0.2">
      <c r="A39" s="414" t="s">
        <v>286</v>
      </c>
      <c r="B39" s="415" t="s">
        <v>232</v>
      </c>
      <c r="C39" s="36"/>
      <c r="D39" s="416"/>
      <c r="E39" s="419">
        <f t="shared" ref="E39:L39" si="16">SUM(E29:E38)</f>
        <v>59976092.18</v>
      </c>
      <c r="F39" s="419">
        <f t="shared" si="16"/>
        <v>761479.22554221447</v>
      </c>
      <c r="G39" s="419">
        <f t="shared" si="16"/>
        <v>29988046.09</v>
      </c>
      <c r="H39" s="419">
        <f t="shared" si="16"/>
        <v>179928276.54000002</v>
      </c>
      <c r="I39" s="419">
        <f t="shared" si="16"/>
        <v>107039981.93941548</v>
      </c>
      <c r="J39" s="418">
        <f t="shared" si="16"/>
        <v>1254245.9183544905</v>
      </c>
      <c r="K39" s="419">
        <f t="shared" si="16"/>
        <v>47063889.7594155</v>
      </c>
      <c r="L39" s="419">
        <f t="shared" si="16"/>
        <v>492766.69281227601</v>
      </c>
      <c r="M39" s="420">
        <f t="shared" ref="M39" si="17">K39/E39</f>
        <v>0.78471084141606873</v>
      </c>
      <c r="N39" s="420">
        <f t="shared" ref="N39" si="18">L39/F39</f>
        <v>0.64711771021907971</v>
      </c>
      <c r="O39" s="328"/>
      <c r="P39" s="288"/>
      <c r="Q39" s="288"/>
    </row>
    <row r="40" spans="1:22" s="98" customFormat="1" x14ac:dyDescent="0.2">
      <c r="A40" s="421" t="s">
        <v>154</v>
      </c>
      <c r="B40" s="421" t="s">
        <v>99</v>
      </c>
      <c r="C40" s="421"/>
      <c r="D40" s="422"/>
      <c r="E40" s="423">
        <f t="shared" ref="E40:L40" si="19">SUM(E19:E27,E29:E38)</f>
        <v>92256597.780000001</v>
      </c>
      <c r="F40" s="423">
        <f t="shared" si="19"/>
        <v>1860690.3450625509</v>
      </c>
      <c r="G40" s="423">
        <f t="shared" si="19"/>
        <v>46128298.890000001</v>
      </c>
      <c r="H40" s="423">
        <f t="shared" si="19"/>
        <v>276769793.34000003</v>
      </c>
      <c r="I40" s="423">
        <f t="shared" si="19"/>
        <v>184513195.35672677</v>
      </c>
      <c r="J40" s="427">
        <f t="shared" si="19"/>
        <v>3247758.3608294935</v>
      </c>
      <c r="K40" s="428">
        <f t="shared" si="19"/>
        <v>92256597.576726794</v>
      </c>
      <c r="L40" s="428">
        <f t="shared" si="19"/>
        <v>1387068.0157669431</v>
      </c>
      <c r="M40" s="424">
        <f>K40/E40</f>
        <v>0.99999999779665394</v>
      </c>
      <c r="N40" s="424">
        <f>L40/F40</f>
        <v>0.74545881287964333</v>
      </c>
    </row>
    <row r="41" spans="1:22" x14ac:dyDescent="0.2">
      <c r="E41" s="113"/>
    </row>
    <row r="43" spans="1:22" x14ac:dyDescent="0.2">
      <c r="J43" s="318"/>
      <c r="K43" s="87"/>
    </row>
    <row r="44" spans="1:22" s="98" customFormat="1" x14ac:dyDescent="0.2">
      <c r="D44" s="578" t="s">
        <v>154</v>
      </c>
      <c r="E44" s="578"/>
      <c r="F44" s="578"/>
      <c r="G44" s="578"/>
      <c r="H44" s="578"/>
      <c r="I44" s="578"/>
      <c r="J44" s="577"/>
      <c r="K44" s="577"/>
      <c r="L44" s="577"/>
      <c r="M44" s="577"/>
      <c r="N44" s="577"/>
      <c r="O44" s="577"/>
      <c r="P44" s="128"/>
    </row>
    <row r="45" spans="1:22" ht="25.5" x14ac:dyDescent="0.2">
      <c r="A45" s="560" t="s">
        <v>132</v>
      </c>
      <c r="D45" s="140" t="s">
        <v>126</v>
      </c>
      <c r="E45" s="140" t="s">
        <v>141</v>
      </c>
      <c r="F45" s="140" t="s">
        <v>145</v>
      </c>
      <c r="G45" s="140" t="s">
        <v>142</v>
      </c>
      <c r="H45" s="140" t="s">
        <v>143</v>
      </c>
      <c r="I45" s="140" t="s">
        <v>144</v>
      </c>
      <c r="J45" s="82"/>
      <c r="K45" s="82"/>
      <c r="L45" s="82"/>
      <c r="M45" s="82"/>
      <c r="N45" s="82"/>
      <c r="O45" s="82"/>
      <c r="P45" s="128"/>
    </row>
    <row r="46" spans="1:22" x14ac:dyDescent="0.2">
      <c r="A46" s="560"/>
      <c r="D46" s="154">
        <v>1</v>
      </c>
      <c r="E46" s="126">
        <v>225.94</v>
      </c>
      <c r="F46" s="296">
        <f>E46</f>
        <v>225.94</v>
      </c>
      <c r="G46" s="126">
        <f>E46</f>
        <v>225.94</v>
      </c>
      <c r="H46" s="141"/>
      <c r="I46" s="126">
        <f>E46</f>
        <v>225.94</v>
      </c>
      <c r="J46" s="127"/>
      <c r="K46" s="129"/>
      <c r="L46" s="130"/>
      <c r="M46" s="129"/>
      <c r="N46" s="131"/>
      <c r="O46" s="129"/>
      <c r="P46" s="128"/>
    </row>
    <row r="47" spans="1:22" ht="13.9" customHeight="1" x14ac:dyDescent="0.2">
      <c r="A47" s="559" t="s">
        <v>2</v>
      </c>
      <c r="B47" s="547" t="s">
        <v>3</v>
      </c>
      <c r="C47" s="547" t="str">
        <f t="shared" ref="C47:C57" si="20">D17</f>
        <v>Response Scaling Factor for Sensitivity Analysis</v>
      </c>
      <c r="D47" s="574" t="s">
        <v>86</v>
      </c>
      <c r="E47" s="575"/>
      <c r="F47" s="575"/>
      <c r="G47" s="576"/>
      <c r="H47" s="561" t="s">
        <v>89</v>
      </c>
      <c r="I47" s="562"/>
      <c r="J47" s="562"/>
      <c r="K47" s="574" t="s">
        <v>136</v>
      </c>
      <c r="L47" s="575"/>
      <c r="M47" s="575"/>
      <c r="N47" s="576"/>
      <c r="P47" s="128"/>
      <c r="Q47" s="128"/>
      <c r="R47" s="128"/>
      <c r="S47" s="128"/>
      <c r="T47" s="128"/>
      <c r="U47" s="128"/>
      <c r="V47" s="128"/>
    </row>
    <row r="48" spans="1:22" ht="74.45" customHeight="1" x14ac:dyDescent="0.2">
      <c r="A48" s="548"/>
      <c r="B48" s="548"/>
      <c r="C48" s="548">
        <f t="shared" si="20"/>
        <v>0</v>
      </c>
      <c r="D48" s="93" t="s">
        <v>163</v>
      </c>
      <c r="E48" s="93" t="s">
        <v>133</v>
      </c>
      <c r="F48" s="93" t="s">
        <v>134</v>
      </c>
      <c r="G48" s="93" t="s">
        <v>146</v>
      </c>
      <c r="H48" s="55" t="s">
        <v>156</v>
      </c>
      <c r="I48" s="55" t="s">
        <v>135</v>
      </c>
      <c r="J48" s="55" t="s">
        <v>147</v>
      </c>
      <c r="K48" s="93" t="s">
        <v>137</v>
      </c>
      <c r="L48" s="93" t="s">
        <v>138</v>
      </c>
      <c r="M48" s="93" t="s">
        <v>139</v>
      </c>
      <c r="N48" s="93" t="s">
        <v>140</v>
      </c>
      <c r="P48" s="1" t="s">
        <v>209</v>
      </c>
    </row>
    <row r="49" spans="1:16" x14ac:dyDescent="0.2">
      <c r="A49" s="231" t="str">
        <f t="shared" ref="A49:B52" si="21">A19</f>
        <v>Gardasil Adolescents</v>
      </c>
      <c r="B49" s="231" t="str">
        <f t="shared" si="21"/>
        <v>HCC In Office</v>
      </c>
      <c r="C49" s="297">
        <f t="shared" si="20"/>
        <v>1</v>
      </c>
      <c r="D49" s="99">
        <f t="shared" ref="D49:D66" si="22">E19</f>
        <v>1755293</v>
      </c>
      <c r="E49" s="253" t="s">
        <v>168</v>
      </c>
      <c r="F49" s="101">
        <f t="shared" ref="F49:F66" si="23">F19/$D$46</f>
        <v>34079.723304951563</v>
      </c>
      <c r="G49" s="103">
        <f>F49*$F$46</f>
        <v>7699972.6835207557</v>
      </c>
      <c r="H49" s="105">
        <f t="shared" ref="H49:H66" si="24">I19</f>
        <v>2277854.3418472391</v>
      </c>
      <c r="I49" s="101">
        <f t="shared" ref="I49:I66" si="25">J19/$D$46</f>
        <v>40346.00574451685</v>
      </c>
      <c r="J49" s="107">
        <f>I49*$F$46</f>
        <v>9115776.5379161369</v>
      </c>
      <c r="K49" s="99">
        <f>H49-D49</f>
        <v>522561.34184723906</v>
      </c>
      <c r="L49" s="99">
        <f>J49-G49</f>
        <v>1415803.8543953812</v>
      </c>
      <c r="M49" s="109">
        <f>K49/D49</f>
        <v>0.2977060478491278</v>
      </c>
      <c r="N49" s="110">
        <f>L49/G49</f>
        <v>0.18387128274174802</v>
      </c>
      <c r="O49" s="142"/>
      <c r="P49" s="312">
        <f>(J49-G49)/1000000</f>
        <v>1.4158038543953813</v>
      </c>
    </row>
    <row r="50" spans="1:16" x14ac:dyDescent="0.2">
      <c r="A50" s="237" t="str">
        <f t="shared" si="21"/>
        <v>Gardasil Adolescents</v>
      </c>
      <c r="B50" s="237" t="str">
        <f t="shared" si="21"/>
        <v>HCP MCM</v>
      </c>
      <c r="C50" s="302">
        <f t="shared" si="20"/>
        <v>1</v>
      </c>
      <c r="D50" s="100">
        <f t="shared" si="22"/>
        <v>5365372.8900000006</v>
      </c>
      <c r="E50" s="254" t="s">
        <v>168</v>
      </c>
      <c r="F50" s="102">
        <f t="shared" si="23"/>
        <v>282596.87941192184</v>
      </c>
      <c r="G50" s="104">
        <f t="shared" ref="G50:G69" si="26">F50*$F$46</f>
        <v>63849938.934329621</v>
      </c>
      <c r="H50" s="106">
        <f t="shared" si="24"/>
        <v>13941734.60841202</v>
      </c>
      <c r="I50" s="102">
        <f t="shared" si="25"/>
        <v>462364.17644188832</v>
      </c>
      <c r="J50" s="108">
        <f t="shared" ref="J50" si="27">I50*$F$46</f>
        <v>104466562.02528025</v>
      </c>
      <c r="K50" s="100">
        <f t="shared" ref="K50" si="28">H50-D50</f>
        <v>8576361.7184120193</v>
      </c>
      <c r="L50" s="100">
        <f t="shared" ref="L50" si="29">J50-G50</f>
        <v>40616623.090950631</v>
      </c>
      <c r="M50" s="111">
        <f t="shared" ref="M50" si="30">K50/D50</f>
        <v>1.5984651755326587</v>
      </c>
      <c r="N50" s="112">
        <f t="shared" ref="N50" si="31">L50/G50</f>
        <v>0.63612626368719449</v>
      </c>
      <c r="O50" s="142"/>
      <c r="P50" s="312">
        <f t="shared" ref="P50:P57" si="32">(J50-G50)/1000000</f>
        <v>40.616623090950633</v>
      </c>
    </row>
    <row r="51" spans="1:16" s="98" customFormat="1" x14ac:dyDescent="0.2">
      <c r="A51" s="237" t="str">
        <f t="shared" si="21"/>
        <v>Gardasil Adolescents</v>
      </c>
      <c r="B51" s="237" t="str">
        <f t="shared" si="21"/>
        <v>HCC Social</v>
      </c>
      <c r="C51" s="302">
        <f t="shared" si="20"/>
        <v>1</v>
      </c>
      <c r="D51" s="100">
        <f t="shared" si="22"/>
        <v>1873000</v>
      </c>
      <c r="E51" s="254" t="s">
        <v>168</v>
      </c>
      <c r="F51" s="102">
        <f t="shared" si="23"/>
        <v>71243.17418511775</v>
      </c>
      <c r="G51" s="104">
        <f t="shared" si="26"/>
        <v>16096682.775385505</v>
      </c>
      <c r="H51" s="106">
        <f t="shared" si="24"/>
        <v>5619000</v>
      </c>
      <c r="I51" s="102">
        <f t="shared" si="25"/>
        <v>137726.0251586157</v>
      </c>
      <c r="J51" s="108">
        <f t="shared" ref="J51:J69" si="33">I51*$F$46</f>
        <v>31117818.124337628</v>
      </c>
      <c r="K51" s="100">
        <f t="shared" ref="K51:K69" si="34">H51-D51</f>
        <v>3746000</v>
      </c>
      <c r="L51" s="100">
        <f t="shared" ref="L51:L69" si="35">J51-G51</f>
        <v>15021135.348952124</v>
      </c>
      <c r="M51" s="111">
        <f t="shared" ref="M51:M66" si="36">K51/D51</f>
        <v>2</v>
      </c>
      <c r="N51" s="112">
        <f t="shared" ref="N51:N66" si="37">L51/G51</f>
        <v>0.93318204493176249</v>
      </c>
      <c r="O51" s="142"/>
      <c r="P51" s="312">
        <f t="shared" si="32"/>
        <v>15.021135348952123</v>
      </c>
    </row>
    <row r="52" spans="1:16" s="98" customFormat="1" x14ac:dyDescent="0.2">
      <c r="A52" s="237" t="str">
        <f t="shared" si="21"/>
        <v>Gardasil Adolescents</v>
      </c>
      <c r="B52" s="237" t="str">
        <f t="shared" si="21"/>
        <v>HCC Online Video</v>
      </c>
      <c r="C52" s="302">
        <f t="shared" si="20"/>
        <v>1</v>
      </c>
      <c r="D52" s="100">
        <f t="shared" si="22"/>
        <v>173076.94</v>
      </c>
      <c r="E52" s="254" t="s">
        <v>168</v>
      </c>
      <c r="F52" s="102">
        <f t="shared" si="23"/>
        <v>7568.2941111773252</v>
      </c>
      <c r="G52" s="104">
        <f t="shared" si="26"/>
        <v>1709980.3714794049</v>
      </c>
      <c r="H52" s="106">
        <f t="shared" si="24"/>
        <v>431635.30632567109</v>
      </c>
      <c r="I52" s="102">
        <f t="shared" si="25"/>
        <v>12451.437464257702</v>
      </c>
      <c r="J52" s="108">
        <f t="shared" si="33"/>
        <v>2813277.7806743854</v>
      </c>
      <c r="K52" s="100">
        <f t="shared" si="34"/>
        <v>258558.36632567109</v>
      </c>
      <c r="L52" s="100">
        <f t="shared" si="35"/>
        <v>1103297.4091949805</v>
      </c>
      <c r="M52" s="111">
        <f t="shared" si="36"/>
        <v>1.4938926371454861</v>
      </c>
      <c r="N52" s="112">
        <f t="shared" si="37"/>
        <v>0.6452105694291993</v>
      </c>
      <c r="O52" s="142"/>
      <c r="P52" s="312">
        <f t="shared" si="32"/>
        <v>1.1032974091949805</v>
      </c>
    </row>
    <row r="53" spans="1:16" s="98" customFormat="1" x14ac:dyDescent="0.2">
      <c r="A53" s="237" t="s">
        <v>175</v>
      </c>
      <c r="B53" s="237" t="str">
        <f>B23</f>
        <v>HCC Streaming Video</v>
      </c>
      <c r="C53" s="302">
        <f t="shared" si="20"/>
        <v>1</v>
      </c>
      <c r="D53" s="100">
        <f t="shared" si="22"/>
        <v>6180125</v>
      </c>
      <c r="E53" s="254" t="s">
        <v>168</v>
      </c>
      <c r="F53" s="102">
        <f t="shared" si="23"/>
        <v>144657.20917756393</v>
      </c>
      <c r="G53" s="104">
        <f t="shared" si="26"/>
        <v>32683849.841578793</v>
      </c>
      <c r="H53" s="106">
        <f t="shared" si="24"/>
        <v>18540375</v>
      </c>
      <c r="I53" s="102">
        <f t="shared" si="25"/>
        <v>312122.41636928852</v>
      </c>
      <c r="J53" s="108">
        <f t="shared" si="33"/>
        <v>70520938.754477054</v>
      </c>
      <c r="K53" s="100">
        <f t="shared" si="34"/>
        <v>12360250</v>
      </c>
      <c r="L53" s="100">
        <f t="shared" si="35"/>
        <v>37837088.912898257</v>
      </c>
      <c r="M53" s="111">
        <f t="shared" si="36"/>
        <v>2</v>
      </c>
      <c r="N53" s="112">
        <f t="shared" si="37"/>
        <v>1.1576692799745936</v>
      </c>
      <c r="O53" s="142"/>
      <c r="P53" s="312">
        <f t="shared" si="32"/>
        <v>37.83708891289826</v>
      </c>
    </row>
    <row r="54" spans="1:16" s="98" customFormat="1" x14ac:dyDescent="0.2">
      <c r="A54" s="237" t="str">
        <f>A24</f>
        <v>Gardasil Adolescents</v>
      </c>
      <c r="B54" s="237" t="str">
        <f>B24</f>
        <v>HCC Display</v>
      </c>
      <c r="C54" s="302">
        <f t="shared" si="20"/>
        <v>1</v>
      </c>
      <c r="D54" s="100">
        <f t="shared" si="22"/>
        <v>1648357.37</v>
      </c>
      <c r="E54" s="254" t="s">
        <v>168</v>
      </c>
      <c r="F54" s="102">
        <f t="shared" si="23"/>
        <v>104116.36986385845</v>
      </c>
      <c r="G54" s="104">
        <f t="shared" si="26"/>
        <v>23524052.607040178</v>
      </c>
      <c r="H54" s="106">
        <f t="shared" si="24"/>
        <v>4945072.1100000003</v>
      </c>
      <c r="I54" s="102">
        <f t="shared" si="25"/>
        <v>204774.86350569315</v>
      </c>
      <c r="J54" s="108">
        <f t="shared" si="33"/>
        <v>46266832.660476312</v>
      </c>
      <c r="K54" s="100">
        <f t="shared" si="34"/>
        <v>3296714.74</v>
      </c>
      <c r="L54" s="100">
        <f t="shared" si="35"/>
        <v>22742780.053436134</v>
      </c>
      <c r="M54" s="111">
        <f t="shared" si="36"/>
        <v>2</v>
      </c>
      <c r="N54" s="112">
        <f t="shared" si="37"/>
        <v>0.96678835204737523</v>
      </c>
      <c r="O54" s="142"/>
      <c r="P54" s="312">
        <f t="shared" si="32"/>
        <v>22.742780053436135</v>
      </c>
    </row>
    <row r="55" spans="1:16" x14ac:dyDescent="0.2">
      <c r="A55" s="237" t="str">
        <f>A25</f>
        <v>Gardasil Adolescents</v>
      </c>
      <c r="B55" s="237" t="str">
        <f>B25</f>
        <v>HCC Paid Search</v>
      </c>
      <c r="C55" s="302">
        <f t="shared" si="20"/>
        <v>1</v>
      </c>
      <c r="D55" s="100">
        <f t="shared" si="22"/>
        <v>344707</v>
      </c>
      <c r="E55" s="254" t="s">
        <v>168</v>
      </c>
      <c r="F55" s="102">
        <f t="shared" si="23"/>
        <v>130694.08808973072</v>
      </c>
      <c r="G55" s="104">
        <f t="shared" si="26"/>
        <v>29529022.26299376</v>
      </c>
      <c r="H55" s="106">
        <f t="shared" si="24"/>
        <v>1034121</v>
      </c>
      <c r="I55" s="102">
        <f t="shared" si="25"/>
        <v>281994.61894550535</v>
      </c>
      <c r="J55" s="108">
        <f t="shared" si="33"/>
        <v>63713864.20454748</v>
      </c>
      <c r="K55" s="100">
        <f t="shared" si="34"/>
        <v>689414</v>
      </c>
      <c r="L55" s="100">
        <f t="shared" si="35"/>
        <v>34184841.941553719</v>
      </c>
      <c r="M55" s="111">
        <f t="shared" si="36"/>
        <v>2</v>
      </c>
      <c r="N55" s="112">
        <f t="shared" si="37"/>
        <v>1.1576692799745931</v>
      </c>
      <c r="O55" s="142"/>
      <c r="P55" s="312">
        <f t="shared" si="32"/>
        <v>34.184841941553721</v>
      </c>
    </row>
    <row r="56" spans="1:16" s="98" customFormat="1" x14ac:dyDescent="0.2">
      <c r="A56" s="237" t="str">
        <f>A26</f>
        <v>Gardasil Adolescents</v>
      </c>
      <c r="B56" s="237" t="str">
        <f>B26</f>
        <v>HCC Audio</v>
      </c>
      <c r="C56" s="302">
        <f t="shared" si="20"/>
        <v>1</v>
      </c>
      <c r="D56" s="100">
        <f t="shared" si="22"/>
        <v>1437048.41</v>
      </c>
      <c r="E56" s="254" t="s">
        <v>168</v>
      </c>
      <c r="F56" s="102">
        <f t="shared" si="23"/>
        <v>70569.092436493243</v>
      </c>
      <c r="G56" s="104">
        <f t="shared" si="26"/>
        <v>15944380.745101282</v>
      </c>
      <c r="H56" s="106">
        <f t="shared" si="24"/>
        <v>4311145.2299999995</v>
      </c>
      <c r="I56" s="102">
        <f t="shared" si="25"/>
        <v>136422.9024253586</v>
      </c>
      <c r="J56" s="108">
        <f t="shared" si="33"/>
        <v>30823390.573985521</v>
      </c>
      <c r="K56" s="100">
        <f t="shared" si="34"/>
        <v>2874096.8199999994</v>
      </c>
      <c r="L56" s="100">
        <f t="shared" si="35"/>
        <v>14879009.828884238</v>
      </c>
      <c r="M56" s="111">
        <f t="shared" si="36"/>
        <v>1.9999999999999998</v>
      </c>
      <c r="N56" s="112">
        <f t="shared" si="37"/>
        <v>0.93318204493176282</v>
      </c>
      <c r="O56" s="142"/>
      <c r="P56" s="312">
        <f t="shared" si="32"/>
        <v>14.879009828884238</v>
      </c>
    </row>
    <row r="57" spans="1:16" s="98" customFormat="1" x14ac:dyDescent="0.2">
      <c r="A57" s="364" t="str">
        <f>A27</f>
        <v>Gardasil Adolescents</v>
      </c>
      <c r="B57" s="364" t="str">
        <f>B27</f>
        <v>HCC TV</v>
      </c>
      <c r="C57" s="351">
        <f t="shared" si="20"/>
        <v>1</v>
      </c>
      <c r="D57" s="365">
        <f t="shared" si="22"/>
        <v>13503524.99</v>
      </c>
      <c r="E57" s="366" t="s">
        <v>168</v>
      </c>
      <c r="F57" s="367">
        <f t="shared" si="23"/>
        <v>253686.28893952153</v>
      </c>
      <c r="G57" s="368">
        <f t="shared" si="26"/>
        <v>57317880.122995496</v>
      </c>
      <c r="H57" s="369">
        <f t="shared" si="24"/>
        <v>26372275.820726354</v>
      </c>
      <c r="I57" s="367">
        <f t="shared" si="25"/>
        <v>405309.99641987938</v>
      </c>
      <c r="J57" s="370">
        <f t="shared" si="33"/>
        <v>91575740.591107547</v>
      </c>
      <c r="K57" s="365">
        <f t="shared" si="34"/>
        <v>12868750.830726353</v>
      </c>
      <c r="L57" s="365">
        <f t="shared" si="35"/>
        <v>34257860.468112051</v>
      </c>
      <c r="M57" s="371">
        <f t="shared" si="36"/>
        <v>0.95299196619077409</v>
      </c>
      <c r="N57" s="372">
        <f t="shared" si="37"/>
        <v>0.59768191696203465</v>
      </c>
      <c r="O57" s="142"/>
      <c r="P57" s="312">
        <f t="shared" si="32"/>
        <v>34.25786046811205</v>
      </c>
    </row>
    <row r="58" spans="1:16" s="98" customFormat="1" x14ac:dyDescent="0.2">
      <c r="A58" s="415" t="str">
        <f>A28</f>
        <v>Gardasil Adolescents</v>
      </c>
      <c r="B58" s="415" t="s">
        <v>232</v>
      </c>
      <c r="C58" s="416"/>
      <c r="D58" s="434">
        <f t="shared" si="22"/>
        <v>32280505.600000001</v>
      </c>
      <c r="E58" s="418"/>
      <c r="F58" s="435">
        <f t="shared" si="23"/>
        <v>1099211.1195203364</v>
      </c>
      <c r="G58" s="436">
        <f t="shared" si="26"/>
        <v>248355760.34442481</v>
      </c>
      <c r="H58" s="437">
        <f t="shared" si="24"/>
        <v>77473213.417311281</v>
      </c>
      <c r="I58" s="435">
        <f t="shared" si="25"/>
        <v>1993512.4424750034</v>
      </c>
      <c r="J58" s="436">
        <f t="shared" si="33"/>
        <v>450414201.25280225</v>
      </c>
      <c r="K58" s="437">
        <f t="shared" si="34"/>
        <v>45192707.817311279</v>
      </c>
      <c r="L58" s="437">
        <f t="shared" si="35"/>
        <v>202058440.90837744</v>
      </c>
      <c r="M58" s="438">
        <f t="shared" si="36"/>
        <v>1.3999999992971386</v>
      </c>
      <c r="N58" s="439">
        <f t="shared" si="37"/>
        <v>0.81358467638583731</v>
      </c>
      <c r="O58" s="142"/>
      <c r="P58" s="312"/>
    </row>
    <row r="59" spans="1:16" s="98" customFormat="1" x14ac:dyDescent="0.2">
      <c r="A59" s="373" t="s">
        <v>286</v>
      </c>
      <c r="B59" s="237" t="str">
        <f>B29</f>
        <v>HCC InOffice</v>
      </c>
      <c r="C59" s="302">
        <f>D29</f>
        <v>1</v>
      </c>
      <c r="D59" s="100">
        <f t="shared" si="22"/>
        <v>1134710</v>
      </c>
      <c r="E59" s="254" t="s">
        <v>168</v>
      </c>
      <c r="F59" s="102">
        <f t="shared" si="23"/>
        <v>7367.8666140222922</v>
      </c>
      <c r="G59" s="104">
        <f t="shared" si="26"/>
        <v>1664695.7827721967</v>
      </c>
      <c r="H59" s="106">
        <f t="shared" si="24"/>
        <v>1174217.317731498</v>
      </c>
      <c r="I59" s="102">
        <f t="shared" si="25"/>
        <v>7541.4735922198743</v>
      </c>
      <c r="J59" s="108">
        <f t="shared" si="33"/>
        <v>1703920.5434261584</v>
      </c>
      <c r="K59" s="100">
        <f t="shared" si="34"/>
        <v>39507.317731498042</v>
      </c>
      <c r="L59" s="100">
        <f t="shared" si="35"/>
        <v>39224.760653961683</v>
      </c>
      <c r="M59" s="111">
        <f t="shared" si="36"/>
        <v>3.481710545557723E-2</v>
      </c>
      <c r="N59" s="112">
        <f t="shared" si="37"/>
        <v>2.3562720023619685E-2</v>
      </c>
      <c r="O59" s="142"/>
      <c r="P59" s="312"/>
    </row>
    <row r="60" spans="1:16" s="98" customFormat="1" x14ac:dyDescent="0.2">
      <c r="A60" s="373" t="s">
        <v>286</v>
      </c>
      <c r="B60" s="237" t="str">
        <f t="shared" ref="B60:B69" si="38">B30</f>
        <v>HCP MCM</v>
      </c>
      <c r="C60" s="302">
        <f t="shared" ref="C60:D68" si="39">D30</f>
        <v>1</v>
      </c>
      <c r="D60" s="100">
        <f t="shared" si="22"/>
        <v>10503728.719999999</v>
      </c>
      <c r="E60" s="254" t="s">
        <v>168</v>
      </c>
      <c r="F60" s="102">
        <f t="shared" si="23"/>
        <v>288339.09761974216</v>
      </c>
      <c r="G60" s="104">
        <f t="shared" si="26"/>
        <v>65147335.716204539</v>
      </c>
      <c r="H60" s="106">
        <f t="shared" si="24"/>
        <v>31511186.159999996</v>
      </c>
      <c r="I60" s="102">
        <f t="shared" si="25"/>
        <v>575403.61708545592</v>
      </c>
      <c r="J60" s="108">
        <f t="shared" si="33"/>
        <v>130006693.24428791</v>
      </c>
      <c r="K60" s="100">
        <f t="shared" si="34"/>
        <v>21007457.439999998</v>
      </c>
      <c r="L60" s="100">
        <f t="shared" si="35"/>
        <v>64859357.528083369</v>
      </c>
      <c r="M60" s="111">
        <f t="shared" si="36"/>
        <v>2</v>
      </c>
      <c r="N60" s="112">
        <f t="shared" si="37"/>
        <v>0.99557958610347996</v>
      </c>
      <c r="O60" s="142"/>
      <c r="P60" s="312"/>
    </row>
    <row r="61" spans="1:16" s="98" customFormat="1" x14ac:dyDescent="0.2">
      <c r="A61" s="373" t="s">
        <v>286</v>
      </c>
      <c r="B61" s="237" t="str">
        <f t="shared" si="38"/>
        <v>HCC Social</v>
      </c>
      <c r="C61" s="302">
        <f t="shared" si="39"/>
        <v>1</v>
      </c>
      <c r="D61" s="100">
        <f t="shared" si="22"/>
        <v>1751000</v>
      </c>
      <c r="E61" s="254" t="s">
        <v>168</v>
      </c>
      <c r="F61" s="102">
        <f t="shared" si="23"/>
        <v>23820.403572058858</v>
      </c>
      <c r="G61" s="104">
        <f t="shared" si="26"/>
        <v>5381981.983070978</v>
      </c>
      <c r="H61" s="106">
        <f t="shared" si="24"/>
        <v>5253000</v>
      </c>
      <c r="I61" s="102">
        <f t="shared" si="25"/>
        <v>46049.176488532612</v>
      </c>
      <c r="J61" s="108">
        <f t="shared" si="33"/>
        <v>10404350.935819058</v>
      </c>
      <c r="K61" s="100">
        <f t="shared" si="34"/>
        <v>3502000</v>
      </c>
      <c r="L61" s="100">
        <f t="shared" si="35"/>
        <v>5022368.9527480798</v>
      </c>
      <c r="M61" s="111">
        <f t="shared" si="36"/>
        <v>2</v>
      </c>
      <c r="N61" s="112">
        <f t="shared" si="37"/>
        <v>0.93318204493176293</v>
      </c>
      <c r="O61" s="142"/>
      <c r="P61" s="312"/>
    </row>
    <row r="62" spans="1:16" s="98" customFormat="1" x14ac:dyDescent="0.2">
      <c r="A62" s="373" t="s">
        <v>286</v>
      </c>
      <c r="B62" s="237" t="str">
        <f t="shared" si="38"/>
        <v>HCC Online Video</v>
      </c>
      <c r="C62" s="302">
        <f t="shared" si="39"/>
        <v>1</v>
      </c>
      <c r="D62" s="100">
        <f t="shared" si="22"/>
        <v>1111779.04</v>
      </c>
      <c r="E62" s="254" t="s">
        <v>168</v>
      </c>
      <c r="F62" s="102">
        <f t="shared" si="23"/>
        <v>21646.235649615526</v>
      </c>
      <c r="G62" s="104">
        <f t="shared" si="26"/>
        <v>4890750.4826741321</v>
      </c>
      <c r="H62" s="106">
        <f t="shared" si="24"/>
        <v>2933724.0189072718</v>
      </c>
      <c r="I62" s="102">
        <f t="shared" si="25"/>
        <v>36372.308085368946</v>
      </c>
      <c r="J62" s="108">
        <f t="shared" si="33"/>
        <v>8217959.2888082592</v>
      </c>
      <c r="K62" s="100">
        <f t="shared" si="34"/>
        <v>1821944.9789072718</v>
      </c>
      <c r="L62" s="100">
        <f t="shared" si="35"/>
        <v>3327208.8061341271</v>
      </c>
      <c r="M62" s="111">
        <f t="shared" si="36"/>
        <v>1.6387653601629977</v>
      </c>
      <c r="N62" s="112">
        <f t="shared" si="37"/>
        <v>0.68030639017897676</v>
      </c>
      <c r="O62" s="142"/>
      <c r="P62" s="312"/>
    </row>
    <row r="63" spans="1:16" s="98" customFormat="1" x14ac:dyDescent="0.2">
      <c r="A63" s="373" t="s">
        <v>286</v>
      </c>
      <c r="B63" s="237" t="str">
        <f t="shared" si="38"/>
        <v>HCC Streaming Video</v>
      </c>
      <c r="C63" s="302">
        <f t="shared" si="39"/>
        <v>1</v>
      </c>
      <c r="D63" s="100">
        <f t="shared" si="22"/>
        <v>13418576</v>
      </c>
      <c r="E63" s="254" t="s">
        <v>168</v>
      </c>
      <c r="F63" s="102">
        <f t="shared" si="23"/>
        <v>100808.3256282994</v>
      </c>
      <c r="G63" s="104">
        <f t="shared" si="26"/>
        <v>22776633.092457965</v>
      </c>
      <c r="H63" s="106">
        <f t="shared" si="24"/>
        <v>25298391.099956226</v>
      </c>
      <c r="I63" s="102">
        <f t="shared" si="25"/>
        <v>157132.82980778223</v>
      </c>
      <c r="J63" s="108">
        <f t="shared" si="33"/>
        <v>35502591.566770315</v>
      </c>
      <c r="K63" s="100">
        <f t="shared" si="34"/>
        <v>11879815.099956226</v>
      </c>
      <c r="L63" s="100">
        <f t="shared" si="35"/>
        <v>12725958.47431235</v>
      </c>
      <c r="M63" s="111">
        <f t="shared" si="36"/>
        <v>0.8853260658922546</v>
      </c>
      <c r="N63" s="112">
        <f t="shared" si="37"/>
        <v>0.55872869456400476</v>
      </c>
      <c r="O63" s="142"/>
      <c r="P63" s="312"/>
    </row>
    <row r="64" spans="1:16" s="98" customFormat="1" x14ac:dyDescent="0.2">
      <c r="A64" s="373" t="s">
        <v>286</v>
      </c>
      <c r="B64" s="237" t="str">
        <f t="shared" si="38"/>
        <v>HCC Display</v>
      </c>
      <c r="C64" s="302">
        <f t="shared" si="39"/>
        <v>1</v>
      </c>
      <c r="D64" s="100">
        <f t="shared" si="22"/>
        <v>2859426.82</v>
      </c>
      <c r="E64" s="254" t="s">
        <v>168</v>
      </c>
      <c r="F64" s="102">
        <f t="shared" si="23"/>
        <v>76065.012406995462</v>
      </c>
      <c r="G64" s="104">
        <f t="shared" si="26"/>
        <v>17186128.903236553</v>
      </c>
      <c r="H64" s="106">
        <f t="shared" si="24"/>
        <v>8578280.459999999</v>
      </c>
      <c r="I64" s="102">
        <f t="shared" si="25"/>
        <v>147047.5162327154</v>
      </c>
      <c r="J64" s="108">
        <f t="shared" si="33"/>
        <v>33223915.817619715</v>
      </c>
      <c r="K64" s="100">
        <f t="shared" si="34"/>
        <v>5718853.6399999987</v>
      </c>
      <c r="L64" s="100">
        <f t="shared" si="35"/>
        <v>16037786.914383162</v>
      </c>
      <c r="M64" s="111">
        <f t="shared" si="36"/>
        <v>1.9999999999999998</v>
      </c>
      <c r="N64" s="112">
        <f t="shared" si="37"/>
        <v>0.93318204493176293</v>
      </c>
      <c r="O64" s="142"/>
      <c r="P64" s="312"/>
    </row>
    <row r="65" spans="1:16" s="98" customFormat="1" x14ac:dyDescent="0.2">
      <c r="A65" s="373" t="s">
        <v>286</v>
      </c>
      <c r="B65" s="237" t="str">
        <f t="shared" si="38"/>
        <v>HCC Paid Search</v>
      </c>
      <c r="C65" s="302">
        <f t="shared" si="39"/>
        <v>1</v>
      </c>
      <c r="D65" s="100">
        <f t="shared" si="22"/>
        <v>50000</v>
      </c>
      <c r="E65" s="254" t="s">
        <v>168</v>
      </c>
      <c r="F65" s="102">
        <f t="shared" si="23"/>
        <v>30136.792938374307</v>
      </c>
      <c r="G65" s="104">
        <f t="shared" si="26"/>
        <v>6809106.9964962909</v>
      </c>
      <c r="H65" s="106">
        <f t="shared" si="24"/>
        <v>150000</v>
      </c>
      <c r="I65" s="102">
        <f t="shared" si="25"/>
        <v>65025.232320085495</v>
      </c>
      <c r="J65" s="108">
        <f t="shared" si="33"/>
        <v>14691800.990400117</v>
      </c>
      <c r="K65" s="100">
        <f t="shared" si="34"/>
        <v>100000</v>
      </c>
      <c r="L65" s="100">
        <f t="shared" si="35"/>
        <v>7882693.993903826</v>
      </c>
      <c r="M65" s="111">
        <f t="shared" si="36"/>
        <v>2</v>
      </c>
      <c r="N65" s="112">
        <f t="shared" si="37"/>
        <v>1.1576692799745931</v>
      </c>
      <c r="O65" s="142"/>
      <c r="P65" s="312"/>
    </row>
    <row r="66" spans="1:16" s="98" customFormat="1" x14ac:dyDescent="0.2">
      <c r="A66" s="373" t="s">
        <v>286</v>
      </c>
      <c r="B66" s="237" t="str">
        <f t="shared" si="38"/>
        <v>HCC Linear TV</v>
      </c>
      <c r="C66" s="302">
        <f t="shared" si="39"/>
        <v>1</v>
      </c>
      <c r="D66" s="100">
        <f t="shared" si="22"/>
        <v>25810928.600000001</v>
      </c>
      <c r="E66" s="254" t="s">
        <v>168</v>
      </c>
      <c r="F66" s="102">
        <f t="shared" si="23"/>
        <v>168508.00202805389</v>
      </c>
      <c r="G66" s="104">
        <f t="shared" si="26"/>
        <v>38072697.978218496</v>
      </c>
      <c r="H66" s="106">
        <f t="shared" si="24"/>
        <v>30473211.382820502</v>
      </c>
      <c r="I66" s="102">
        <f t="shared" si="25"/>
        <v>189278.26466825145</v>
      </c>
      <c r="J66" s="108">
        <f t="shared" si="33"/>
        <v>42765531.11914473</v>
      </c>
      <c r="K66" s="100">
        <f t="shared" si="34"/>
        <v>4662282.7828205004</v>
      </c>
      <c r="L66" s="100">
        <f t="shared" si="35"/>
        <v>4692833.1409262344</v>
      </c>
      <c r="M66" s="111">
        <f t="shared" si="36"/>
        <v>0.18063212118685648</v>
      </c>
      <c r="N66" s="112">
        <f t="shared" si="37"/>
        <v>0.12325980007014524</v>
      </c>
      <c r="O66" s="142"/>
      <c r="P66" s="312"/>
    </row>
    <row r="67" spans="1:16" s="98" customFormat="1" x14ac:dyDescent="0.2">
      <c r="A67" s="373" t="s">
        <v>286</v>
      </c>
      <c r="B67" s="237" t="str">
        <f t="shared" si="38"/>
        <v>HCC Radio</v>
      </c>
      <c r="C67" s="302">
        <f t="shared" si="39"/>
        <v>1</v>
      </c>
      <c r="D67" s="100">
        <f t="shared" si="39"/>
        <v>923975</v>
      </c>
      <c r="E67" s="254" t="s">
        <v>168</v>
      </c>
      <c r="F67" s="102">
        <f t="shared" ref="F67:F69" si="40">F37/$D$46</f>
        <v>26581.559263521289</v>
      </c>
      <c r="G67" s="104">
        <f t="shared" si="26"/>
        <v>6005837.5</v>
      </c>
      <c r="H67" s="106">
        <f t="shared" ref="H67:H69" si="41">I37</f>
        <v>461987.5</v>
      </c>
      <c r="I67" s="102">
        <f t="shared" ref="I67:I69" si="42">J37/$D$46</f>
        <v>20145.054869698579</v>
      </c>
      <c r="J67" s="108">
        <f t="shared" si="33"/>
        <v>4551573.6972596971</v>
      </c>
      <c r="K67" s="100">
        <f t="shared" si="34"/>
        <v>-461987.5</v>
      </c>
      <c r="L67" s="100">
        <f t="shared" si="35"/>
        <v>-1454263.8027403029</v>
      </c>
      <c r="M67" s="111">
        <f t="shared" ref="M67:M69" si="43">K67/D67</f>
        <v>-0.5</v>
      </c>
      <c r="N67" s="112">
        <f t="shared" ref="N67:N69" si="44">L67/G67</f>
        <v>-0.24214171674480084</v>
      </c>
      <c r="O67" s="142"/>
      <c r="P67" s="312"/>
    </row>
    <row r="68" spans="1:16" s="98" customFormat="1" x14ac:dyDescent="0.2">
      <c r="A68" s="373" t="s">
        <v>286</v>
      </c>
      <c r="B68" s="237" t="str">
        <f t="shared" si="38"/>
        <v>HCC Pharmacy</v>
      </c>
      <c r="C68" s="302">
        <f t="shared" si="39"/>
        <v>1</v>
      </c>
      <c r="D68" s="100">
        <f t="shared" si="39"/>
        <v>2411968</v>
      </c>
      <c r="E68" s="254" t="s">
        <v>168</v>
      </c>
      <c r="F68" s="102">
        <f t="shared" si="40"/>
        <v>18205.929821531288</v>
      </c>
      <c r="G68" s="104">
        <f t="shared" si="26"/>
        <v>4113447.783876779</v>
      </c>
      <c r="H68" s="106">
        <f t="shared" si="41"/>
        <v>1205984</v>
      </c>
      <c r="I68" s="102">
        <f t="shared" si="42"/>
        <v>10250.445204379968</v>
      </c>
      <c r="J68" s="108">
        <f t="shared" si="33"/>
        <v>2315985.5894776098</v>
      </c>
      <c r="K68" s="100">
        <f t="shared" si="34"/>
        <v>-1205984</v>
      </c>
      <c r="L68" s="100">
        <f t="shared" si="35"/>
        <v>-1797462.1943991692</v>
      </c>
      <c r="M68" s="111">
        <f t="shared" si="43"/>
        <v>-0.5</v>
      </c>
      <c r="N68" s="112">
        <f t="shared" si="44"/>
        <v>-0.43697216759249213</v>
      </c>
      <c r="O68" s="142"/>
      <c r="P68" s="312"/>
    </row>
    <row r="69" spans="1:16" s="98" customFormat="1" x14ac:dyDescent="0.2">
      <c r="A69" s="415" t="s">
        <v>286</v>
      </c>
      <c r="B69" s="415" t="str">
        <f t="shared" si="38"/>
        <v>Total</v>
      </c>
      <c r="C69" s="36"/>
      <c r="D69" s="434">
        <f t="shared" ref="D69" si="45">E39</f>
        <v>59976092.18</v>
      </c>
      <c r="E69" s="418"/>
      <c r="F69" s="440">
        <f t="shared" si="40"/>
        <v>761479.22554221447</v>
      </c>
      <c r="G69" s="441">
        <f t="shared" si="26"/>
        <v>172048616.21900794</v>
      </c>
      <c r="H69" s="434">
        <f t="shared" si="41"/>
        <v>107039981.93941548</v>
      </c>
      <c r="I69" s="440">
        <f t="shared" si="42"/>
        <v>1254245.9183544905</v>
      </c>
      <c r="J69" s="441">
        <f t="shared" si="33"/>
        <v>283384322.79301357</v>
      </c>
      <c r="K69" s="434">
        <f t="shared" si="34"/>
        <v>47063889.759415485</v>
      </c>
      <c r="L69" s="434">
        <f t="shared" si="35"/>
        <v>111335706.57400563</v>
      </c>
      <c r="M69" s="442">
        <f t="shared" si="43"/>
        <v>0.78471084141606851</v>
      </c>
      <c r="N69" s="443">
        <f t="shared" si="44"/>
        <v>0.64711771021907971</v>
      </c>
      <c r="O69" s="142"/>
      <c r="P69" s="312"/>
    </row>
    <row r="70" spans="1:16" s="98" customFormat="1" x14ac:dyDescent="0.2">
      <c r="A70" s="421" t="s">
        <v>154</v>
      </c>
      <c r="B70" s="421" t="s">
        <v>99</v>
      </c>
      <c r="C70" s="422"/>
      <c r="D70" s="429">
        <f>SUM(D49:D57,D59:D68)</f>
        <v>92256597.780000001</v>
      </c>
      <c r="E70" s="430"/>
      <c r="F70" s="431">
        <f>SUM(F49:F57,F59:F68)</f>
        <v>1860690.3450625509</v>
      </c>
      <c r="G70" s="429">
        <f>SUM(G49:G57,G59:G68)</f>
        <v>420404376.56343269</v>
      </c>
      <c r="H70" s="429">
        <f>SUM(H49:H57,H59:H68)</f>
        <v>184513195.35672677</v>
      </c>
      <c r="I70" s="431">
        <f>SUM(I49:I57,I59:I68)</f>
        <v>3247758.3608294935</v>
      </c>
      <c r="J70" s="429">
        <f>SUM(J49:J57,J59:J68)</f>
        <v>733798524.04581571</v>
      </c>
      <c r="K70" s="429">
        <f t="shared" ref="K70" si="46">H70-D70</f>
        <v>92256597.576726764</v>
      </c>
      <c r="L70" s="429">
        <f t="shared" ref="L70" si="47">J70-G70</f>
        <v>313394147.48238301</v>
      </c>
      <c r="M70" s="432">
        <f t="shared" ref="M70" si="48">K70/D70</f>
        <v>0.99999999779665372</v>
      </c>
      <c r="N70" s="433">
        <f t="shared" ref="N70" si="49">L70/G70</f>
        <v>0.74545881287964311</v>
      </c>
    </row>
    <row r="71" spans="1:16" x14ac:dyDescent="0.2">
      <c r="D71" s="150"/>
      <c r="E71" s="255"/>
      <c r="F71" s="151"/>
      <c r="G71" s="113"/>
      <c r="H71" s="98"/>
      <c r="I71" s="94"/>
      <c r="J71" s="113"/>
      <c r="K71" s="98"/>
      <c r="L71" s="113"/>
      <c r="M71" s="117"/>
      <c r="N71" s="114"/>
    </row>
    <row r="72" spans="1:16" x14ac:dyDescent="0.2">
      <c r="D72" s="150"/>
      <c r="E72" s="255"/>
      <c r="F72" s="151"/>
      <c r="G72" s="113"/>
      <c r="H72" s="98"/>
      <c r="I72" s="94"/>
      <c r="J72" s="113"/>
      <c r="K72" s="98"/>
      <c r="L72" s="113"/>
      <c r="M72" s="117"/>
      <c r="N72" s="114"/>
    </row>
    <row r="73" spans="1:16" x14ac:dyDescent="0.2">
      <c r="D73" s="150"/>
      <c r="E73" s="255"/>
      <c r="F73" s="151"/>
      <c r="G73" s="113"/>
      <c r="H73" s="98"/>
      <c r="I73" s="94"/>
      <c r="J73" s="113"/>
      <c r="K73" s="98"/>
      <c r="L73" s="113"/>
      <c r="M73" s="117"/>
      <c r="N73" s="114"/>
    </row>
    <row r="74" spans="1:16" x14ac:dyDescent="0.2">
      <c r="D74" s="128"/>
      <c r="E74" s="256"/>
      <c r="F74" s="128"/>
      <c r="G74" s="98"/>
      <c r="H74" s="98"/>
      <c r="I74" s="98"/>
      <c r="J74" s="98"/>
      <c r="K74" s="98"/>
      <c r="L74" s="98"/>
      <c r="M74" s="98"/>
      <c r="N74" s="98"/>
    </row>
    <row r="75" spans="1:16" x14ac:dyDescent="0.2">
      <c r="D75" s="152"/>
      <c r="E75" s="256"/>
      <c r="F75" s="128"/>
      <c r="G75" s="98"/>
      <c r="H75" s="98"/>
      <c r="I75" s="98"/>
      <c r="J75" s="98"/>
      <c r="K75" s="98"/>
      <c r="L75" s="98"/>
      <c r="M75" s="98"/>
      <c r="N75" s="98"/>
    </row>
    <row r="76" spans="1:16" x14ac:dyDescent="0.2">
      <c r="D76" s="128"/>
      <c r="E76" s="256"/>
      <c r="F76" s="128"/>
    </row>
    <row r="77" spans="1:16" x14ac:dyDescent="0.2">
      <c r="E77" s="257"/>
    </row>
    <row r="78" spans="1:16" x14ac:dyDescent="0.2">
      <c r="E78" s="257"/>
    </row>
    <row r="79" spans="1:16" x14ac:dyDescent="0.2">
      <c r="E79" s="257"/>
    </row>
    <row r="80" spans="1:16" x14ac:dyDescent="0.2">
      <c r="E80" s="257"/>
    </row>
    <row r="81" spans="5:5" x14ac:dyDescent="0.2">
      <c r="E81" s="257"/>
    </row>
  </sheetData>
  <mergeCells count="20">
    <mergeCell ref="H47:J47"/>
    <mergeCell ref="B4:I4"/>
    <mergeCell ref="E5:I5"/>
    <mergeCell ref="E6:I6"/>
    <mergeCell ref="K17:N17"/>
    <mergeCell ref="K47:N47"/>
    <mergeCell ref="J44:O44"/>
    <mergeCell ref="C17:C18"/>
    <mergeCell ref="D17:D18"/>
    <mergeCell ref="E17:F17"/>
    <mergeCell ref="G17:H17"/>
    <mergeCell ref="I17:J17"/>
    <mergeCell ref="D44:I44"/>
    <mergeCell ref="C47:C48"/>
    <mergeCell ref="D47:G47"/>
    <mergeCell ref="A47:A48"/>
    <mergeCell ref="B47:B48"/>
    <mergeCell ref="A45:A46"/>
    <mergeCell ref="A17:A18"/>
    <mergeCell ref="B17:B18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20 G28:H28 K28:L2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K5" sqref="K5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89" t="s">
        <v>106</v>
      </c>
      <c r="C4" s="589"/>
      <c r="D4" s="589"/>
      <c r="E4" s="589"/>
      <c r="F4" s="590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VAC_Optim_Scenario!$G$16</f>
        <v>0.5</v>
      </c>
      <c r="C6" s="94">
        <f>VAC_Optim_Scenario!$H$16</f>
        <v>3</v>
      </c>
    </row>
    <row r="7" spans="1:18" ht="27.75" customHeight="1" x14ac:dyDescent="0.2">
      <c r="A7" s="587" t="s">
        <v>8</v>
      </c>
      <c r="B7" s="592" t="s">
        <v>9</v>
      </c>
      <c r="C7" s="593"/>
      <c r="D7" s="594" t="s">
        <v>12</v>
      </c>
      <c r="E7" s="595"/>
      <c r="F7" s="596"/>
      <c r="G7" s="592" t="s">
        <v>124</v>
      </c>
      <c r="H7" s="592"/>
      <c r="I7" s="597"/>
      <c r="J7" s="98" t="s">
        <v>125</v>
      </c>
    </row>
    <row r="8" spans="1:18" ht="28.15" customHeight="1" x14ac:dyDescent="0.2">
      <c r="A8" s="59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88"/>
      <c r="B9" s="95">
        <f>VAC_Optim_Scenario!G19</f>
        <v>877646.5</v>
      </c>
      <c r="C9" s="95">
        <f>VAC_Optim_Scenario!H19</f>
        <v>5265879</v>
      </c>
      <c r="D9" s="68">
        <f>VAC_Optim_Scenario!I19</f>
        <v>2277854.3418472391</v>
      </c>
      <c r="E9" s="84">
        <f>((($R$12/(1+EXP($P$12+$Q$12*D9)))-1) - ($F$12-$C$12))*$I$12</f>
        <v>40346.00574451685</v>
      </c>
      <c r="F9" s="89">
        <f>E9*$G$12</f>
        <v>40346.00574451685</v>
      </c>
      <c r="G9" s="95">
        <f>VAC_Optim_Scenario!E19</f>
        <v>1755293</v>
      </c>
      <c r="H9" s="85">
        <f>((($R$12/(1+EXP($P$12+$Q$12*G9)))-1) - ($F$12-$C$12))*$I$12</f>
        <v>34079.723304951563</v>
      </c>
      <c r="I9" s="90">
        <f>H9*$G$12</f>
        <v>34079.723304951563</v>
      </c>
      <c r="J9" s="87">
        <f>G9/I9</f>
        <v>51.50549446347668</v>
      </c>
      <c r="K9" s="98" t="s">
        <v>180</v>
      </c>
    </row>
    <row r="10" spans="1:18" ht="13.5" thickBot="1" x14ac:dyDescent="0.25"/>
    <row r="11" spans="1:18" ht="51.6" customHeight="1" x14ac:dyDescent="0.2">
      <c r="A11" s="587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57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88"/>
      <c r="B12" s="95">
        <f>'[1]HCC Inoffice Curve'!$B$12</f>
        <v>1700000</v>
      </c>
      <c r="C12" s="153">
        <f>'[1]HCC Inoffice Curve'!$C$12</f>
        <v>33335.304822477454</v>
      </c>
      <c r="D12" s="153">
        <f>'[1]HCC Inoffice Curve'!$D$12</f>
        <v>0</v>
      </c>
      <c r="E12" s="153">
        <f>'[1]HCC Inoffice Curve'!$E$12</f>
        <v>66670.609644954908</v>
      </c>
      <c r="F12" s="153">
        <f>'[1]HCC Inoffice Curve'!$F$12</f>
        <v>8649234</v>
      </c>
      <c r="G12" s="155">
        <f>VAC_Optim_Scenario!$D$46</f>
        <v>1</v>
      </c>
      <c r="H12" s="71">
        <f>C12*G12</f>
        <v>33335.304822477454</v>
      </c>
      <c r="I12" s="115">
        <f>VAC_Optim_Scenario!D19</f>
        <v>1</v>
      </c>
      <c r="K12" s="580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581" t="s">
        <v>182</v>
      </c>
      <c r="B13" s="582"/>
      <c r="C13" s="582"/>
      <c r="D13" s="582"/>
      <c r="E13" s="582"/>
      <c r="F13" s="583"/>
      <c r="G13" s="119" t="s">
        <v>150</v>
      </c>
      <c r="H13" s="119" t="s">
        <v>151</v>
      </c>
      <c r="K13" s="581" t="s">
        <v>115</v>
      </c>
      <c r="L13" s="582"/>
      <c r="M13" s="582"/>
      <c r="N13" s="582"/>
      <c r="O13" s="582"/>
      <c r="P13" s="582"/>
      <c r="Q13" s="582"/>
      <c r="R13" s="583"/>
    </row>
    <row r="14" spans="1:18" ht="33.6" customHeight="1" thickBot="1" x14ac:dyDescent="0.25">
      <c r="A14" s="584"/>
      <c r="B14" s="585"/>
      <c r="C14" s="585"/>
      <c r="D14" s="585"/>
      <c r="E14" s="585"/>
      <c r="F14" s="586"/>
      <c r="G14" s="95">
        <f>VAC_Optim_Scenario!$I$46</f>
        <v>225.94</v>
      </c>
      <c r="H14" s="95">
        <f>VAC_Optim_Scenario!$F$46</f>
        <v>225.94</v>
      </c>
      <c r="K14" s="584"/>
      <c r="L14" s="585"/>
      <c r="M14" s="585"/>
      <c r="N14" s="585"/>
      <c r="O14" s="585"/>
      <c r="P14" s="585"/>
      <c r="Q14" s="585"/>
      <c r="R14" s="586"/>
    </row>
    <row r="16" spans="1:18" ht="13.5" thickBot="1" x14ac:dyDescent="0.25"/>
    <row r="17" spans="1:8" ht="42.6" customHeight="1" x14ac:dyDescent="0.2">
      <c r="A17" s="57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80"/>
      <c r="B18" s="75">
        <v>0</v>
      </c>
      <c r="C18" s="76">
        <v>4000000</v>
      </c>
      <c r="D18" s="26">
        <v>20</v>
      </c>
    </row>
    <row r="20" spans="1:8" x14ac:dyDescent="0.2">
      <c r="A20" s="560" t="s">
        <v>37</v>
      </c>
      <c r="B20" s="560"/>
      <c r="C20" s="560"/>
    </row>
    <row r="21" spans="1:8" ht="25.5" x14ac:dyDescent="0.2">
      <c r="A21" s="119" t="s">
        <v>35</v>
      </c>
      <c r="B21" s="119" t="s">
        <v>183</v>
      </c>
      <c r="C21" s="119" t="s">
        <v>184</v>
      </c>
      <c r="D21" s="98" t="s">
        <v>185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2AF0-17AE-48A5-8DC1-8D5DF6FA6B86}">
  <sheetPr codeName="Sheet11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286</v>
      </c>
      <c r="C2" s="9" t="s">
        <v>4</v>
      </c>
      <c r="D2" s="8" t="s">
        <v>6</v>
      </c>
      <c r="E2" s="9" t="s">
        <v>116</v>
      </c>
      <c r="F2" s="10" t="s">
        <v>176</v>
      </c>
      <c r="H2" s="339" t="s">
        <v>102</v>
      </c>
      <c r="I2" s="340"/>
      <c r="J2" s="340"/>
      <c r="K2" s="340"/>
      <c r="L2" s="341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89" t="s">
        <v>106</v>
      </c>
      <c r="C4" s="589"/>
      <c r="D4" s="589"/>
      <c r="E4" s="589"/>
      <c r="F4" s="590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[2]VAC_Optim_Scenario!$G$14</f>
        <v>0.5</v>
      </c>
      <c r="C6" s="94">
        <f>[2]VAC_Optim_Scenario!$H$14</f>
        <v>1.5</v>
      </c>
    </row>
    <row r="7" spans="1:18" ht="27.75" customHeight="1" x14ac:dyDescent="0.2">
      <c r="A7" s="587" t="s">
        <v>8</v>
      </c>
      <c r="B7" s="592" t="s">
        <v>9</v>
      </c>
      <c r="C7" s="593"/>
      <c r="D7" s="594" t="s">
        <v>12</v>
      </c>
      <c r="E7" s="595"/>
      <c r="F7" s="596"/>
      <c r="G7" s="592" t="s">
        <v>124</v>
      </c>
      <c r="H7" s="592"/>
      <c r="I7" s="597"/>
      <c r="J7" s="98" t="s">
        <v>125</v>
      </c>
    </row>
    <row r="8" spans="1:18" ht="28.35" customHeight="1" x14ac:dyDescent="0.2">
      <c r="A8" s="591"/>
      <c r="B8" s="338" t="s">
        <v>10</v>
      </c>
      <c r="C8" s="17" t="s">
        <v>11</v>
      </c>
      <c r="D8" s="19" t="s">
        <v>20</v>
      </c>
      <c r="E8" s="338" t="s">
        <v>21</v>
      </c>
      <c r="F8" s="81" t="s">
        <v>117</v>
      </c>
      <c r="G8" s="342" t="s">
        <v>22</v>
      </c>
      <c r="H8" s="338" t="s">
        <v>23</v>
      </c>
      <c r="I8" s="88" t="s">
        <v>123</v>
      </c>
    </row>
    <row r="9" spans="1:18" ht="14.45" customHeight="1" thickBot="1" x14ac:dyDescent="0.25">
      <c r="A9" s="588"/>
      <c r="B9" s="95">
        <f>VAC_Optim_Scenario!G29</f>
        <v>567355</v>
      </c>
      <c r="C9" s="95">
        <f>VAC_Optim_Scenario!H29</f>
        <v>3404130</v>
      </c>
      <c r="D9" s="68">
        <f>VAC_Optim_Scenario!I29</f>
        <v>1174217.317731498</v>
      </c>
      <c r="E9" s="84">
        <f>((($R$12/(1+EXP($P$12+$Q$12*D9)))-1) - ($F$12-$C$12))*$I$12</f>
        <v>7541.4735922198743</v>
      </c>
      <c r="F9" s="89">
        <f>E9*$G$12</f>
        <v>7541.4735922198743</v>
      </c>
      <c r="G9" s="95">
        <f>VAC_Optim_Scenario!E29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98" t="s">
        <v>180</v>
      </c>
    </row>
    <row r="10" spans="1:18" ht="13.5" thickBot="1" x14ac:dyDescent="0.25"/>
    <row r="11" spans="1:18" ht="51.6" customHeight="1" x14ac:dyDescent="0.2">
      <c r="A11" s="587" t="s">
        <v>15</v>
      </c>
      <c r="B11" s="344" t="s">
        <v>16</v>
      </c>
      <c r="C11" s="344" t="s">
        <v>17</v>
      </c>
      <c r="D11" s="344" t="s">
        <v>18</v>
      </c>
      <c r="E11" s="344" t="s">
        <v>19</v>
      </c>
      <c r="F11" s="345" t="s">
        <v>109</v>
      </c>
      <c r="G11" s="343" t="s">
        <v>181</v>
      </c>
      <c r="H11" s="344" t="s">
        <v>119</v>
      </c>
      <c r="I11" s="92" t="s">
        <v>122</v>
      </c>
      <c r="K11" s="579" t="s">
        <v>25</v>
      </c>
      <c r="L11" s="344" t="s">
        <v>110</v>
      </c>
      <c r="M11" s="344" t="s">
        <v>111</v>
      </c>
      <c r="N11" s="344" t="s">
        <v>112</v>
      </c>
      <c r="O11" s="344" t="s">
        <v>113</v>
      </c>
      <c r="P11" s="344" t="s">
        <v>26</v>
      </c>
      <c r="Q11" s="344" t="s">
        <v>27</v>
      </c>
      <c r="R11" s="345" t="s">
        <v>28</v>
      </c>
    </row>
    <row r="12" spans="1:18" ht="15" customHeight="1" thickBot="1" x14ac:dyDescent="0.25">
      <c r="A12" s="588"/>
      <c r="B12" s="357">
        <f>'[3]HCC Inoffice Curve'!$B$12</f>
        <v>1100000</v>
      </c>
      <c r="C12" s="357">
        <f>'[3]HCC Inoffice Curve'!$C$12</f>
        <v>7211.735697901333</v>
      </c>
      <c r="D12" s="357">
        <f>'[3]HCC Inoffice Curve'!$D$12</f>
        <v>0</v>
      </c>
      <c r="E12" s="357">
        <f>'[3]HCC Inoffice Curve'!$E$12</f>
        <v>14423.471395802664</v>
      </c>
      <c r="F12" s="357">
        <f>'[3]HCC Inoffice Curve'!$F$12</f>
        <v>4647854</v>
      </c>
      <c r="G12" s="363">
        <f>VAC_Optim_Scenario!$D$46</f>
        <v>1</v>
      </c>
      <c r="H12" s="71">
        <f>C12*G12</f>
        <v>7211.735697901333</v>
      </c>
      <c r="I12" s="359">
        <f>VAC_Optim_Scenario!D29</f>
        <v>1</v>
      </c>
      <c r="K12" s="580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24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581" t="s">
        <v>182</v>
      </c>
      <c r="B13" s="582"/>
      <c r="C13" s="582"/>
      <c r="D13" s="582"/>
      <c r="E13" s="582"/>
      <c r="F13" s="583"/>
      <c r="G13" s="338" t="s">
        <v>150</v>
      </c>
      <c r="H13" s="338" t="s">
        <v>151</v>
      </c>
      <c r="K13" s="581" t="s">
        <v>115</v>
      </c>
      <c r="L13" s="582"/>
      <c r="M13" s="582"/>
      <c r="N13" s="582"/>
      <c r="O13" s="582"/>
      <c r="P13" s="582"/>
      <c r="Q13" s="582"/>
      <c r="R13" s="583"/>
    </row>
    <row r="14" spans="1:18" ht="33.6" customHeight="1" thickBot="1" x14ac:dyDescent="0.25">
      <c r="A14" s="584"/>
      <c r="B14" s="585"/>
      <c r="C14" s="585"/>
      <c r="D14" s="585"/>
      <c r="E14" s="585"/>
      <c r="F14" s="586"/>
      <c r="G14" s="95">
        <f>VAC_Optim_Scenario!$I$46</f>
        <v>225.94</v>
      </c>
      <c r="H14" s="95">
        <f>VAC_Optim_Scenario!$F$46</f>
        <v>225.94</v>
      </c>
      <c r="K14" s="584"/>
      <c r="L14" s="585"/>
      <c r="M14" s="585"/>
      <c r="N14" s="585"/>
      <c r="O14" s="585"/>
      <c r="P14" s="585"/>
      <c r="Q14" s="585"/>
      <c r="R14" s="586"/>
    </row>
    <row r="16" spans="1:18" ht="13.5" thickBot="1" x14ac:dyDescent="0.25"/>
    <row r="17" spans="1:8" ht="42.6" customHeight="1" x14ac:dyDescent="0.2">
      <c r="A17" s="579" t="s">
        <v>34</v>
      </c>
      <c r="B17" s="344" t="s">
        <v>32</v>
      </c>
      <c r="C17" s="344" t="s">
        <v>31</v>
      </c>
      <c r="D17" s="345" t="s">
        <v>33</v>
      </c>
      <c r="F17" s="96"/>
      <c r="G17" s="96"/>
      <c r="H17" s="360"/>
    </row>
    <row r="18" spans="1:8" ht="23.45" customHeight="1" thickBot="1" x14ac:dyDescent="0.25">
      <c r="A18" s="580"/>
      <c r="B18" s="75">
        <v>0</v>
      </c>
      <c r="C18" s="76">
        <v>4000000</v>
      </c>
      <c r="D18" s="26">
        <v>20</v>
      </c>
    </row>
    <row r="20" spans="1:8" x14ac:dyDescent="0.2">
      <c r="A20" s="560" t="s">
        <v>37</v>
      </c>
      <c r="B20" s="560"/>
      <c r="C20" s="560"/>
    </row>
    <row r="21" spans="1:8" ht="25.5" x14ac:dyDescent="0.2">
      <c r="A21" s="338" t="s">
        <v>35</v>
      </c>
      <c r="B21" s="338" t="s">
        <v>183</v>
      </c>
      <c r="C21" s="338" t="s">
        <v>184</v>
      </c>
      <c r="D21" s="98" t="s">
        <v>185</v>
      </c>
      <c r="E21" s="338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topLeftCell="A10" workbookViewId="0">
      <selection activeCell="C19" sqref="C1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89" t="s">
        <v>106</v>
      </c>
      <c r="C4" s="589"/>
      <c r="D4" s="589"/>
      <c r="E4" s="589"/>
      <c r="F4" s="590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VAC_Optim_Scenario!$G$16</f>
        <v>0.5</v>
      </c>
      <c r="C6" s="94">
        <f>VAC_Optim_Scenario!$H$16</f>
        <v>3</v>
      </c>
    </row>
    <row r="7" spans="1:18" ht="27.75" customHeight="1" x14ac:dyDescent="0.2">
      <c r="A7" s="587" t="s">
        <v>8</v>
      </c>
      <c r="B7" s="592" t="s">
        <v>9</v>
      </c>
      <c r="C7" s="593"/>
      <c r="D7" s="594" t="s">
        <v>12</v>
      </c>
      <c r="E7" s="595"/>
      <c r="F7" s="596"/>
      <c r="G7" s="592" t="s">
        <v>124</v>
      </c>
      <c r="H7" s="592"/>
      <c r="I7" s="597"/>
      <c r="J7" s="98" t="s">
        <v>125</v>
      </c>
    </row>
    <row r="8" spans="1:18" ht="28.15" customHeight="1" x14ac:dyDescent="0.2">
      <c r="A8" s="59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88"/>
      <c r="B9" s="95">
        <f>VAC_Optim_Scenario!G20</f>
        <v>2682686.4450000003</v>
      </c>
      <c r="C9" s="95">
        <f>VAC_Optim_Scenario!H20</f>
        <v>16096118.670000002</v>
      </c>
      <c r="D9" s="68">
        <f>VAC_Optim_Scenario!I20</f>
        <v>13941734.60841202</v>
      </c>
      <c r="E9" s="84">
        <f>((($R$12/(1+EXP($P$12+$Q$12*D9)))-1) - ($F$12-$C$12))*$I$12</f>
        <v>462364.17644188832</v>
      </c>
      <c r="F9" s="89">
        <f>E9*$G$12</f>
        <v>462364.17644188832</v>
      </c>
      <c r="G9" s="95">
        <f>VAC_Optim_Scenario!E20</f>
        <v>5365372.8900000006</v>
      </c>
      <c r="H9" s="85">
        <f>((($R$12/(1+EXP($P$12+$Q$12*G9)))-1) - ($F$12-$C$12))*$I$12</f>
        <v>282596.87941192184</v>
      </c>
      <c r="I9" s="90">
        <f>H9*$G$12</f>
        <v>282596.87941192184</v>
      </c>
      <c r="J9" s="87">
        <f>G9/I9</f>
        <v>18.98595943863651</v>
      </c>
      <c r="K9" s="98" t="s">
        <v>180</v>
      </c>
    </row>
    <row r="10" spans="1:18" ht="13.5" thickBot="1" x14ac:dyDescent="0.25"/>
    <row r="11" spans="1:18" ht="51.6" customHeight="1" x14ac:dyDescent="0.2">
      <c r="A11" s="587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57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88"/>
      <c r="B12" s="95">
        <f>'[4]HCP MCM SCurve'!$B$12</f>
        <v>5365372.8900000006</v>
      </c>
      <c r="C12" s="95">
        <f>'[4]HCP MCM SCurve'!$C$12</f>
        <v>282596.87941192201</v>
      </c>
      <c r="D12" s="95">
        <f>'[4]HCP MCM SCurve'!$D$12</f>
        <v>0</v>
      </c>
      <c r="E12" s="95">
        <f>'[4]HCP MCM SCurve'!$E$12</f>
        <v>536934.07088265184</v>
      </c>
      <c r="F12" s="95">
        <f>'[4]HCP MCM SCurve'!$F$12</f>
        <v>8649234</v>
      </c>
      <c r="G12" s="91">
        <f>VAC_Optim_Scenario!$D$46</f>
        <v>1</v>
      </c>
      <c r="H12" s="71">
        <f>C12*G12</f>
        <v>282596.87941192201</v>
      </c>
      <c r="I12" s="115">
        <f>VAC_Optim_Scenario!D20</f>
        <v>1</v>
      </c>
      <c r="K12" s="580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581" t="s">
        <v>187</v>
      </c>
      <c r="B13" s="582"/>
      <c r="C13" s="582"/>
      <c r="D13" s="582"/>
      <c r="E13" s="582"/>
      <c r="F13" s="583"/>
      <c r="G13" s="119" t="s">
        <v>150</v>
      </c>
      <c r="H13" s="119" t="s">
        <v>151</v>
      </c>
      <c r="K13" s="581" t="s">
        <v>115</v>
      </c>
      <c r="L13" s="582"/>
      <c r="M13" s="582"/>
      <c r="N13" s="582"/>
      <c r="O13" s="582"/>
      <c r="P13" s="582"/>
      <c r="Q13" s="582"/>
      <c r="R13" s="583"/>
    </row>
    <row r="14" spans="1:18" ht="33.6" customHeight="1" thickBot="1" x14ac:dyDescent="0.25">
      <c r="A14" s="584"/>
      <c r="B14" s="585"/>
      <c r="C14" s="585"/>
      <c r="D14" s="585"/>
      <c r="E14" s="585"/>
      <c r="F14" s="586"/>
      <c r="G14" s="95">
        <f>VAC_Optim_Scenario!$I$46</f>
        <v>225.94</v>
      </c>
      <c r="H14" s="95">
        <f>VAC_Optim_Scenario!$F$46</f>
        <v>225.94</v>
      </c>
      <c r="K14" s="584"/>
      <c r="L14" s="585"/>
      <c r="M14" s="585"/>
      <c r="N14" s="585"/>
      <c r="O14" s="585"/>
      <c r="P14" s="585"/>
      <c r="Q14" s="585"/>
      <c r="R14" s="586"/>
    </row>
    <row r="16" spans="1:18" ht="13.5" thickBot="1" x14ac:dyDescent="0.25"/>
    <row r="17" spans="1:8" ht="42.6" customHeight="1" x14ac:dyDescent="0.2">
      <c r="A17" s="57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80"/>
      <c r="B18" s="75">
        <v>0</v>
      </c>
      <c r="C18" s="76">
        <v>12000000</v>
      </c>
      <c r="D18" s="26">
        <v>20</v>
      </c>
    </row>
    <row r="20" spans="1:8" x14ac:dyDescent="0.2">
      <c r="A20" s="560" t="s">
        <v>37</v>
      </c>
      <c r="B20" s="560"/>
      <c r="C20" s="560"/>
    </row>
    <row r="21" spans="1:8" ht="25.5" x14ac:dyDescent="0.2">
      <c r="A21" s="119" t="s">
        <v>35</v>
      </c>
      <c r="B21" s="119" t="s">
        <v>177</v>
      </c>
      <c r="C21" s="119" t="s">
        <v>184</v>
      </c>
      <c r="D21" s="98" t="s">
        <v>188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600000</v>
      </c>
      <c r="B23" s="79">
        <f t="shared" si="0"/>
        <v>42381.419556918554</v>
      </c>
      <c r="C23" s="79">
        <f t="shared" ref="C23:C42" si="1">B23*$G$12</f>
        <v>42381.419556918554</v>
      </c>
      <c r="D23" s="98">
        <f>(B23-B22)/A23</f>
        <v>7.0635699261529378E-2</v>
      </c>
      <c r="E23" s="116">
        <f t="shared" ref="E23:E42" si="2">B23*$H$14</f>
        <v>9575657.9346901774</v>
      </c>
    </row>
    <row r="24" spans="1:8" x14ac:dyDescent="0.2">
      <c r="A24" s="86">
        <f t="shared" ref="A24:A42" si="3">A23+(($C$18-$B$18)/$D$18)</f>
        <v>1200000</v>
      </c>
      <c r="B24" s="79">
        <f t="shared" si="0"/>
        <v>81599.635803586803</v>
      </c>
      <c r="C24" s="79">
        <f t="shared" si="1"/>
        <v>81599.635803586803</v>
      </c>
      <c r="D24" s="98">
        <f t="shared" ref="D24:D42" si="4">(B24-B23)/A24</f>
        <v>3.2681846872223544E-2</v>
      </c>
      <c r="E24" s="116">
        <f t="shared" si="2"/>
        <v>18436621.713462401</v>
      </c>
    </row>
    <row r="25" spans="1:8" x14ac:dyDescent="0.2">
      <c r="A25" s="86">
        <f t="shared" si="3"/>
        <v>1800000</v>
      </c>
      <c r="B25" s="79">
        <f t="shared" si="0"/>
        <v>117862.82305689622</v>
      </c>
      <c r="C25" s="79">
        <f t="shared" si="1"/>
        <v>117862.82305689622</v>
      </c>
      <c r="D25" s="98">
        <f t="shared" si="4"/>
        <v>2.0146215140727453E-2</v>
      </c>
      <c r="E25" s="116">
        <f t="shared" si="2"/>
        <v>26629926.241475131</v>
      </c>
    </row>
    <row r="26" spans="1:8" x14ac:dyDescent="0.2">
      <c r="A26" s="86">
        <f t="shared" si="3"/>
        <v>2400000</v>
      </c>
      <c r="B26" s="79">
        <f t="shared" si="0"/>
        <v>151369.78704747837</v>
      </c>
      <c r="C26" s="79">
        <f t="shared" si="1"/>
        <v>151369.78704747837</v>
      </c>
      <c r="D26" s="98">
        <f t="shared" si="4"/>
        <v>1.3961234996075897E-2</v>
      </c>
      <c r="E26" s="116">
        <f t="shared" si="2"/>
        <v>34200489.68550726</v>
      </c>
    </row>
    <row r="27" spans="1:8" x14ac:dyDescent="0.2">
      <c r="A27" s="86">
        <f t="shared" si="3"/>
        <v>3000000</v>
      </c>
      <c r="B27" s="79">
        <f t="shared" si="0"/>
        <v>182309.66785994079</v>
      </c>
      <c r="C27" s="79">
        <f t="shared" si="1"/>
        <v>182309.66785994079</v>
      </c>
      <c r="D27" s="98">
        <f t="shared" si="4"/>
        <v>1.0313293604154139E-2</v>
      </c>
      <c r="E27" s="116">
        <f t="shared" si="2"/>
        <v>41191046.356275022</v>
      </c>
    </row>
    <row r="28" spans="1:8" x14ac:dyDescent="0.2">
      <c r="A28" s="86">
        <f t="shared" si="3"/>
        <v>3600000</v>
      </c>
      <c r="B28" s="79">
        <f t="shared" si="0"/>
        <v>210861.79804271925</v>
      </c>
      <c r="C28" s="79">
        <f t="shared" si="1"/>
        <v>210861.79804271925</v>
      </c>
      <c r="D28" s="98">
        <f t="shared" si="4"/>
        <v>7.9311472729940175E-3</v>
      </c>
      <c r="E28" s="116">
        <f t="shared" si="2"/>
        <v>47642114.649771988</v>
      </c>
    </row>
    <row r="29" spans="1:8" x14ac:dyDescent="0.2">
      <c r="A29" s="86">
        <f t="shared" si="3"/>
        <v>4200000</v>
      </c>
      <c r="B29" s="79">
        <f t="shared" si="0"/>
        <v>237195.69055531267</v>
      </c>
      <c r="C29" s="79">
        <f t="shared" si="1"/>
        <v>237195.69055531267</v>
      </c>
      <c r="D29" s="98">
        <f t="shared" si="4"/>
        <v>6.2699744077603379E-3</v>
      </c>
      <c r="E29" s="116">
        <f t="shared" si="2"/>
        <v>53591994.324067347</v>
      </c>
    </row>
    <row r="30" spans="1:8" x14ac:dyDescent="0.2">
      <c r="A30" s="86">
        <f t="shared" si="3"/>
        <v>4800000</v>
      </c>
      <c r="B30" s="79">
        <f t="shared" si="0"/>
        <v>261471.13370743673</v>
      </c>
      <c r="C30" s="79">
        <f t="shared" si="1"/>
        <v>261471.13370743673</v>
      </c>
      <c r="D30" s="98">
        <f t="shared" si="4"/>
        <v>5.0573839900258464E-3</v>
      </c>
      <c r="E30" s="116">
        <f t="shared" si="2"/>
        <v>59076787.949858256</v>
      </c>
    </row>
    <row r="31" spans="1:8" x14ac:dyDescent="0.2">
      <c r="A31" s="86">
        <f t="shared" si="3"/>
        <v>5400000</v>
      </c>
      <c r="B31" s="79">
        <f t="shared" si="0"/>
        <v>283838.37274381984</v>
      </c>
      <c r="C31" s="79">
        <f t="shared" si="1"/>
        <v>283838.37274381984</v>
      </c>
      <c r="D31" s="98">
        <f t="shared" si="4"/>
        <v>4.1420813030339084E-3</v>
      </c>
      <c r="E31" s="116">
        <f t="shared" si="2"/>
        <v>64130441.937738657</v>
      </c>
    </row>
    <row r="32" spans="1:8" x14ac:dyDescent="0.2">
      <c r="A32" s="86">
        <f t="shared" si="3"/>
        <v>6000000</v>
      </c>
      <c r="B32" s="79">
        <f t="shared" si="0"/>
        <v>304438.36016260181</v>
      </c>
      <c r="C32" s="79">
        <f t="shared" si="1"/>
        <v>304438.36016260181</v>
      </c>
      <c r="D32" s="98">
        <f t="shared" si="4"/>
        <v>3.4333312364636611E-3</v>
      </c>
      <c r="E32" s="116">
        <f t="shared" si="2"/>
        <v>68784803.095138252</v>
      </c>
    </row>
    <row r="33" spans="1:5" x14ac:dyDescent="0.2">
      <c r="A33" s="86">
        <f t="shared" si="3"/>
        <v>6600000</v>
      </c>
      <c r="B33" s="79">
        <f t="shared" si="0"/>
        <v>323403.05916970689</v>
      </c>
      <c r="C33" s="79">
        <f t="shared" si="1"/>
        <v>323403.05916970689</v>
      </c>
      <c r="D33" s="98">
        <f t="shared" si="4"/>
        <v>2.8734392435007701E-3</v>
      </c>
      <c r="E33" s="116">
        <f t="shared" si="2"/>
        <v>73069687.188803568</v>
      </c>
    </row>
    <row r="34" spans="1:5" x14ac:dyDescent="0.2">
      <c r="A34" s="86">
        <f>A33+(($C$18-$B$18)/$D$18)</f>
        <v>7200000</v>
      </c>
      <c r="B34" s="79">
        <f t="shared" si="0"/>
        <v>340855.78682918753</v>
      </c>
      <c r="C34" s="79">
        <f t="shared" si="1"/>
        <v>340855.78682918753</v>
      </c>
      <c r="D34" s="98">
        <f t="shared" si="4"/>
        <v>2.4239899527056454E-3</v>
      </c>
      <c r="E34" s="116">
        <f t="shared" si="2"/>
        <v>77012956.476186633</v>
      </c>
    </row>
    <row r="35" spans="1:5" x14ac:dyDescent="0.2">
      <c r="A35" s="86">
        <f t="shared" si="3"/>
        <v>7800000</v>
      </c>
      <c r="B35" s="79">
        <f t="shared" si="0"/>
        <v>356911.58544945624</v>
      </c>
      <c r="C35" s="79">
        <f t="shared" si="1"/>
        <v>356911.58544945624</v>
      </c>
      <c r="D35" s="98">
        <f t="shared" si="4"/>
        <v>2.0584357205472694E-3</v>
      </c>
      <c r="E35" s="116">
        <f t="shared" si="2"/>
        <v>80640603.616450146</v>
      </c>
    </row>
    <row r="36" spans="1:5" x14ac:dyDescent="0.2">
      <c r="A36" s="86">
        <f t="shared" si="3"/>
        <v>8400000</v>
      </c>
      <c r="B36" s="79">
        <f t="shared" si="0"/>
        <v>371677.61253666226</v>
      </c>
      <c r="C36" s="79">
        <f t="shared" si="1"/>
        <v>371677.61253666226</v>
      </c>
      <c r="D36" s="98">
        <f t="shared" si="4"/>
        <v>1.7578603675245262E-3</v>
      </c>
      <c r="E36" s="116">
        <f t="shared" si="2"/>
        <v>83976839.77653347</v>
      </c>
    </row>
    <row r="37" spans="1:5" x14ac:dyDescent="0.2">
      <c r="A37" s="86">
        <f t="shared" si="3"/>
        <v>9000000</v>
      </c>
      <c r="B37" s="79">
        <f t="shared" si="0"/>
        <v>385253.54124828521</v>
      </c>
      <c r="C37" s="79">
        <f t="shared" si="1"/>
        <v>385253.54124828521</v>
      </c>
      <c r="D37" s="98">
        <f t="shared" si="4"/>
        <v>1.5084365235136614E-3</v>
      </c>
      <c r="E37" s="116">
        <f t="shared" si="2"/>
        <v>87044185.109637558</v>
      </c>
    </row>
    <row r="38" spans="1:5" x14ac:dyDescent="0.2">
      <c r="A38" s="86">
        <f t="shared" si="3"/>
        <v>9600000</v>
      </c>
      <c r="B38" s="79">
        <f t="shared" si="0"/>
        <v>397731.96469672117</v>
      </c>
      <c r="C38" s="79">
        <f t="shared" si="1"/>
        <v>397731.96469672117</v>
      </c>
      <c r="D38" s="98">
        <f t="shared" si="4"/>
        <v>1.2998357758787461E-3</v>
      </c>
      <c r="E38" s="116">
        <f t="shared" si="2"/>
        <v>89863560.103577182</v>
      </c>
    </row>
    <row r="39" spans="1:5" x14ac:dyDescent="0.2">
      <c r="A39" s="86">
        <f t="shared" si="3"/>
        <v>10200000</v>
      </c>
      <c r="B39" s="79">
        <f t="shared" si="0"/>
        <v>409198.79869342316</v>
      </c>
      <c r="C39" s="79">
        <f t="shared" si="1"/>
        <v>409198.79869342316</v>
      </c>
      <c r="D39" s="98">
        <f t="shared" si="4"/>
        <v>1.1241994114413712E-3</v>
      </c>
      <c r="E39" s="116">
        <f t="shared" si="2"/>
        <v>92454376.576792032</v>
      </c>
    </row>
    <row r="40" spans="1:5" x14ac:dyDescent="0.2">
      <c r="A40" s="86">
        <f t="shared" si="3"/>
        <v>10800000</v>
      </c>
      <c r="B40" s="79">
        <f t="shared" si="0"/>
        <v>419733.67860109825</v>
      </c>
      <c r="C40" s="79">
        <f t="shared" si="1"/>
        <v>419733.67860109825</v>
      </c>
      <c r="D40" s="98">
        <f t="shared" si="4"/>
        <v>9.7545184330324886E-4</v>
      </c>
      <c r="E40" s="116">
        <f t="shared" si="2"/>
        <v>94834627.343132138</v>
      </c>
    </row>
    <row r="41" spans="1:5" x14ac:dyDescent="0.2">
      <c r="A41" s="86">
        <f>A40+(($C$18-$B$18)/$D$18)</f>
        <v>11400000</v>
      </c>
      <c r="B41" s="79">
        <f t="shared" si="0"/>
        <v>429410.3468878204</v>
      </c>
      <c r="C41" s="79">
        <f t="shared" si="1"/>
        <v>429410.3468878204</v>
      </c>
      <c r="D41" s="98">
        <f t="shared" si="4"/>
        <v>8.4883055146685554E-4</v>
      </c>
      <c r="E41" s="116">
        <f t="shared" si="2"/>
        <v>97020973.775834143</v>
      </c>
    </row>
    <row r="42" spans="1:5" x14ac:dyDescent="0.2">
      <c r="A42" s="86">
        <f t="shared" si="3"/>
        <v>12000000</v>
      </c>
      <c r="B42" s="79">
        <f t="shared" si="0"/>
        <v>438297.02876725886</v>
      </c>
      <c r="C42" s="79">
        <f t="shared" si="1"/>
        <v>438297.02876725886</v>
      </c>
      <c r="D42" s="98">
        <f t="shared" si="4"/>
        <v>7.405568232865383E-4</v>
      </c>
      <c r="E42" s="116">
        <f t="shared" si="2"/>
        <v>99028830.679674461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CA6B9-7026-435B-B2FA-0DCA6CC8B63E}">
  <sheetPr codeName="Sheet15">
    <tabColor theme="3" tint="0.79998168889431442"/>
  </sheetPr>
  <dimension ref="A1:R47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286</v>
      </c>
      <c r="C2" s="9" t="s">
        <v>4</v>
      </c>
      <c r="D2" s="8" t="s">
        <v>6</v>
      </c>
      <c r="E2" s="9" t="s">
        <v>116</v>
      </c>
      <c r="F2" s="10" t="s">
        <v>176</v>
      </c>
      <c r="H2" s="339" t="s">
        <v>102</v>
      </c>
      <c r="I2" s="340"/>
      <c r="J2" s="340"/>
      <c r="K2" s="340"/>
      <c r="L2" s="341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89" t="s">
        <v>106</v>
      </c>
      <c r="C4" s="589"/>
      <c r="D4" s="589"/>
      <c r="E4" s="589"/>
      <c r="F4" s="590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[2]VAC_Optim_Scenario!$G$14</f>
        <v>0.5</v>
      </c>
      <c r="C6" s="94">
        <f>[2]VAC_Optim_Scenario!$H$14</f>
        <v>1.5</v>
      </c>
    </row>
    <row r="7" spans="1:18" ht="27.75" customHeight="1" x14ac:dyDescent="0.2">
      <c r="A7" s="587" t="s">
        <v>8</v>
      </c>
      <c r="B7" s="592" t="s">
        <v>9</v>
      </c>
      <c r="C7" s="593"/>
      <c r="D7" s="594" t="s">
        <v>12</v>
      </c>
      <c r="E7" s="595"/>
      <c r="F7" s="596"/>
      <c r="G7" s="592" t="s">
        <v>124</v>
      </c>
      <c r="H7" s="592"/>
      <c r="I7" s="597"/>
      <c r="J7" s="98" t="s">
        <v>125</v>
      </c>
    </row>
    <row r="8" spans="1:18" ht="28.35" customHeight="1" x14ac:dyDescent="0.2">
      <c r="A8" s="591"/>
      <c r="B8" s="338" t="s">
        <v>10</v>
      </c>
      <c r="C8" s="17" t="s">
        <v>11</v>
      </c>
      <c r="D8" s="19" t="s">
        <v>20</v>
      </c>
      <c r="E8" s="338" t="s">
        <v>21</v>
      </c>
      <c r="F8" s="81" t="s">
        <v>117</v>
      </c>
      <c r="G8" s="342" t="s">
        <v>22</v>
      </c>
      <c r="H8" s="338" t="s">
        <v>23</v>
      </c>
      <c r="I8" s="88" t="s">
        <v>123</v>
      </c>
    </row>
    <row r="9" spans="1:18" ht="14.45" customHeight="1" thickBot="1" x14ac:dyDescent="0.25">
      <c r="A9" s="588"/>
      <c r="B9" s="95">
        <f>VAC_Optim_Scenario!G30</f>
        <v>5251864.3599999994</v>
      </c>
      <c r="C9" s="95">
        <f>VAC_Optim_Scenario!H30</f>
        <v>31511186.159999996</v>
      </c>
      <c r="D9" s="68">
        <f>VAC_Optim_Scenario!I30</f>
        <v>31511186.159999996</v>
      </c>
      <c r="E9" s="84">
        <f>((($R$12/(1+EXP($P$12+$Q$12*D9)))-1) - ($F$12-$C$12))*$I$12</f>
        <v>575403.61708545592</v>
      </c>
      <c r="F9" s="89">
        <f>E9*$G$12</f>
        <v>575403.61708545592</v>
      </c>
      <c r="G9" s="95">
        <f>VAC_Optim_Scenario!E30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98" t="s">
        <v>180</v>
      </c>
    </row>
    <row r="10" spans="1:18" ht="13.5" thickBot="1" x14ac:dyDescent="0.25"/>
    <row r="11" spans="1:18" ht="51.6" customHeight="1" x14ac:dyDescent="0.2">
      <c r="A11" s="587" t="s">
        <v>15</v>
      </c>
      <c r="B11" s="344" t="s">
        <v>16</v>
      </c>
      <c r="C11" s="344" t="s">
        <v>17</v>
      </c>
      <c r="D11" s="344" t="s">
        <v>18</v>
      </c>
      <c r="E11" s="344" t="s">
        <v>19</v>
      </c>
      <c r="F11" s="345" t="s">
        <v>109</v>
      </c>
      <c r="G11" s="343" t="s">
        <v>181</v>
      </c>
      <c r="H11" s="344" t="s">
        <v>119</v>
      </c>
      <c r="I11" s="92" t="s">
        <v>122</v>
      </c>
      <c r="K11" s="579" t="s">
        <v>25</v>
      </c>
      <c r="L11" s="344" t="s">
        <v>110</v>
      </c>
      <c r="M11" s="344" t="s">
        <v>111</v>
      </c>
      <c r="N11" s="344" t="s">
        <v>112</v>
      </c>
      <c r="O11" s="344" t="s">
        <v>113</v>
      </c>
      <c r="P11" s="344" t="s">
        <v>26</v>
      </c>
      <c r="Q11" s="344" t="s">
        <v>27</v>
      </c>
      <c r="R11" s="345" t="s">
        <v>28</v>
      </c>
    </row>
    <row r="12" spans="1:18" ht="15" customHeight="1" thickBot="1" x14ac:dyDescent="0.25">
      <c r="A12" s="588"/>
      <c r="B12" s="357">
        <f>'[5]HCP MCM SCurve'!$B$12</f>
        <v>10503728.719999999</v>
      </c>
      <c r="C12" s="357">
        <f>'[5]HCP MCM SCurve'!$C$12</f>
        <v>288339.09761974245</v>
      </c>
      <c r="D12" s="357">
        <f>'[5]HCP MCM SCurve'!$D$12</f>
        <v>0</v>
      </c>
      <c r="E12" s="357">
        <f>'[5]HCP MCM SCurve'!$E$12</f>
        <v>720847.7440493562</v>
      </c>
      <c r="F12" s="357">
        <f>'[5]HCP MCM SCurve'!$F$12</f>
        <v>4647854</v>
      </c>
      <c r="G12" s="358">
        <f>VAC_Optim_Scenario!$D$46</f>
        <v>1</v>
      </c>
      <c r="H12" s="71">
        <f>C12*G12</f>
        <v>288339.09761974245</v>
      </c>
      <c r="I12" s="359">
        <f>VAC_Optim_Scenario!D30</f>
        <v>1</v>
      </c>
      <c r="K12" s="580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24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581" t="s">
        <v>187</v>
      </c>
      <c r="B13" s="582"/>
      <c r="C13" s="582"/>
      <c r="D13" s="582"/>
      <c r="E13" s="582"/>
      <c r="F13" s="583"/>
      <c r="G13" s="338" t="s">
        <v>150</v>
      </c>
      <c r="H13" s="338" t="s">
        <v>151</v>
      </c>
      <c r="K13" s="581" t="s">
        <v>115</v>
      </c>
      <c r="L13" s="582"/>
      <c r="M13" s="582"/>
      <c r="N13" s="582"/>
      <c r="O13" s="582"/>
      <c r="P13" s="582"/>
      <c r="Q13" s="582"/>
      <c r="R13" s="583"/>
    </row>
    <row r="14" spans="1:18" ht="33.6" customHeight="1" thickBot="1" x14ac:dyDescent="0.25">
      <c r="A14" s="584"/>
      <c r="B14" s="585"/>
      <c r="C14" s="585"/>
      <c r="D14" s="585"/>
      <c r="E14" s="585"/>
      <c r="F14" s="586"/>
      <c r="G14" s="95">
        <f>VAC_Optim_Scenario!$I$46</f>
        <v>225.94</v>
      </c>
      <c r="H14" s="95">
        <f>VAC_Optim_Scenario!$F$46</f>
        <v>225.94</v>
      </c>
      <c r="K14" s="584"/>
      <c r="L14" s="585"/>
      <c r="M14" s="585"/>
      <c r="N14" s="585"/>
      <c r="O14" s="585"/>
      <c r="P14" s="585"/>
      <c r="Q14" s="585"/>
      <c r="R14" s="586"/>
    </row>
    <row r="16" spans="1:18" ht="13.5" thickBot="1" x14ac:dyDescent="0.25"/>
    <row r="17" spans="1:8" ht="42.6" customHeight="1" x14ac:dyDescent="0.2">
      <c r="A17" s="579" t="s">
        <v>34</v>
      </c>
      <c r="B17" s="344" t="s">
        <v>32</v>
      </c>
      <c r="C17" s="344" t="s">
        <v>31</v>
      </c>
      <c r="D17" s="345" t="s">
        <v>33</v>
      </c>
      <c r="F17" s="96"/>
      <c r="G17" s="96"/>
      <c r="H17" s="360"/>
    </row>
    <row r="18" spans="1:8" ht="23.45" customHeight="1" thickBot="1" x14ac:dyDescent="0.25">
      <c r="A18" s="580"/>
      <c r="B18" s="75">
        <v>0</v>
      </c>
      <c r="C18" s="76">
        <v>12500000</v>
      </c>
      <c r="D18" s="26">
        <v>20</v>
      </c>
    </row>
    <row r="20" spans="1:8" x14ac:dyDescent="0.2">
      <c r="A20" s="560" t="s">
        <v>37</v>
      </c>
      <c r="B20" s="560"/>
      <c r="C20" s="560"/>
    </row>
    <row r="21" spans="1:8" ht="25.5" x14ac:dyDescent="0.2">
      <c r="A21" s="338" t="s">
        <v>35</v>
      </c>
      <c r="B21" s="338" t="s">
        <v>177</v>
      </c>
      <c r="C21" s="338" t="s">
        <v>184</v>
      </c>
      <c r="D21" s="98" t="s">
        <v>188</v>
      </c>
      <c r="E21" s="338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pageSetUpPr autoPageBreaks="0"/>
  </sheetPr>
  <dimension ref="A1:I41"/>
  <sheetViews>
    <sheetView topLeftCell="A4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164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98"/>
      <c r="C4" s="599"/>
      <c r="D4" s="599"/>
      <c r="E4" s="599"/>
      <c r="F4" s="60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87" t="s">
        <v>8</v>
      </c>
      <c r="B7" s="592" t="s">
        <v>9</v>
      </c>
      <c r="C7" s="592"/>
      <c r="D7" s="592" t="s">
        <v>12</v>
      </c>
      <c r="E7" s="592"/>
      <c r="F7" s="592"/>
      <c r="G7" s="592" t="s">
        <v>124</v>
      </c>
      <c r="H7" s="592"/>
      <c r="I7" s="597"/>
    </row>
    <row r="8" spans="1:9" x14ac:dyDescent="0.25">
      <c r="A8" s="591"/>
      <c r="B8" s="262" t="s">
        <v>10</v>
      </c>
      <c r="C8" s="262" t="s">
        <v>11</v>
      </c>
      <c r="D8" s="262" t="s">
        <v>20</v>
      </c>
      <c r="E8" s="262" t="s">
        <v>21</v>
      </c>
      <c r="F8" s="262" t="s">
        <v>117</v>
      </c>
      <c r="G8" s="262" t="s">
        <v>22</v>
      </c>
      <c r="H8" s="262" t="s">
        <v>23</v>
      </c>
      <c r="I8" s="4" t="s">
        <v>123</v>
      </c>
    </row>
    <row r="9" spans="1:9" ht="15.75" thickBot="1" x14ac:dyDescent="0.3">
      <c r="A9" s="588"/>
      <c r="B9" s="157">
        <f>VAC_Optim_Scenario!G$21</f>
        <v>936500</v>
      </c>
      <c r="C9" s="157">
        <f>VAC_Optim_Scenario!H$21</f>
        <v>5619000</v>
      </c>
      <c r="D9" s="158">
        <f>VAC_Optim_Scenario!I$21</f>
        <v>5619000</v>
      </c>
      <c r="E9" s="84">
        <f>((GSOC!D9/$B$12)^$D$12)*$C$12*$F$12</f>
        <v>137726.0251586157</v>
      </c>
      <c r="F9" s="84">
        <f>E9*F11</f>
        <v>137726.0251586157</v>
      </c>
      <c r="G9" s="76">
        <f>VAC_Optim_Scenario!E21</f>
        <v>1873000</v>
      </c>
      <c r="H9" s="159">
        <f>((GSOC!G9/$B$12)^$D$12)*$C$12*$F$12</f>
        <v>71243.17418511775</v>
      </c>
      <c r="I9" s="160">
        <f>H9*F11</f>
        <v>71243.17418511775</v>
      </c>
    </row>
    <row r="10" spans="1:9" ht="15.75" thickBot="1" x14ac:dyDescent="0.3"/>
    <row r="11" spans="1:9" ht="48.95" customHeight="1" x14ac:dyDescent="0.25">
      <c r="A11" s="560" t="s">
        <v>15</v>
      </c>
      <c r="B11" s="263" t="s">
        <v>16</v>
      </c>
      <c r="C11" s="263" t="s">
        <v>17</v>
      </c>
      <c r="D11" s="263" t="s">
        <v>170</v>
      </c>
      <c r="E11" s="262" t="s">
        <v>126</v>
      </c>
      <c r="F11" s="161">
        <v>1</v>
      </c>
    </row>
    <row r="12" spans="1:9" ht="40.5" customHeight="1" thickBot="1" x14ac:dyDescent="0.3">
      <c r="A12" s="560"/>
      <c r="B12" s="162">
        <f>'[6]HCC Social - Power'!$B$12</f>
        <v>1873000</v>
      </c>
      <c r="C12" s="162">
        <f>'[6]HCC Social - Power'!$C$12</f>
        <v>71243.17418511775</v>
      </c>
      <c r="D12" s="317">
        <f>'[6]HCC Social - Power'!$D$12</f>
        <v>0.6</v>
      </c>
      <c r="E12" s="262" t="s">
        <v>122</v>
      </c>
      <c r="F12" s="163">
        <f>VAC_Optim_Scenario!D21</f>
        <v>1</v>
      </c>
      <c r="G12" s="267">
        <f>B12*2</f>
        <v>3746000</v>
      </c>
    </row>
    <row r="13" spans="1:9" ht="18.75" customHeight="1" x14ac:dyDescent="0.25">
      <c r="A13" s="581" t="s">
        <v>171</v>
      </c>
      <c r="B13" s="582"/>
      <c r="C13" s="582"/>
      <c r="D13" s="582"/>
      <c r="E13" s="262" t="s">
        <v>172</v>
      </c>
      <c r="F13" s="262" t="s">
        <v>173</v>
      </c>
    </row>
    <row r="14" spans="1:9" ht="15.75" thickBot="1" x14ac:dyDescent="0.3">
      <c r="A14" s="584"/>
      <c r="B14" s="585"/>
      <c r="C14" s="585"/>
      <c r="D14" s="585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79" t="s">
        <v>34</v>
      </c>
      <c r="B16" s="263" t="s">
        <v>32</v>
      </c>
      <c r="C16" s="263" t="s">
        <v>31</v>
      </c>
      <c r="D16" s="264" t="s">
        <v>33</v>
      </c>
    </row>
    <row r="17" spans="1:4" ht="15.75" thickBot="1" x14ac:dyDescent="0.3">
      <c r="A17" s="580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0" t="s">
        <v>37</v>
      </c>
      <c r="B19" s="560"/>
      <c r="C19" s="560"/>
      <c r="D19" s="98"/>
    </row>
    <row r="20" spans="1:4" ht="25.5" x14ac:dyDescent="0.25">
      <c r="A20" s="262" t="s">
        <v>35</v>
      </c>
      <c r="B20" s="262" t="s">
        <v>177</v>
      </c>
      <c r="C20" s="262" t="s">
        <v>174</v>
      </c>
    </row>
    <row r="21" spans="1:4" x14ac:dyDescent="0.25">
      <c r="A21" s="164">
        <f>B17</f>
        <v>0</v>
      </c>
      <c r="B21" s="159">
        <f>((GSOC!A21/$B$12)^$D$12)*$C$12*$F$12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>((GSOC!A22/$B$12)^$D$12)*$C$12*$F$12</f>
        <v>21280.635822412063</v>
      </c>
      <c r="C22" s="165">
        <f t="shared" ref="C22:C41" si="0">B22*$F$14</f>
        <v>4808146.8577157818</v>
      </c>
    </row>
    <row r="23" spans="1:4" x14ac:dyDescent="0.25">
      <c r="A23" s="164">
        <f t="shared" ref="A23:A41" si="1">A22+(($C$17-$B$17)/$D$17)</f>
        <v>500000</v>
      </c>
      <c r="B23" s="159">
        <f>((GSOC!A23/$B$12)^$D$12)*$C$12*$F$12</f>
        <v>32255.412261904592</v>
      </c>
      <c r="C23" s="165">
        <f t="shared" si="0"/>
        <v>7287787.8464547237</v>
      </c>
    </row>
    <row r="24" spans="1:4" x14ac:dyDescent="0.25">
      <c r="A24" s="164">
        <f t="shared" si="1"/>
        <v>750000</v>
      </c>
      <c r="B24" s="159">
        <f>((GSOC!A24/$B$12)^$D$12)*$C$12*$F$12</f>
        <v>41139.343076618679</v>
      </c>
      <c r="C24" s="165">
        <f t="shared" si="0"/>
        <v>9295023.1747312248</v>
      </c>
    </row>
    <row r="25" spans="1:4" x14ac:dyDescent="0.25">
      <c r="A25" s="164">
        <f t="shared" si="1"/>
        <v>1000000</v>
      </c>
      <c r="B25" s="159">
        <f>((GSOC!A25/$B$12)^$D$12)*$C$12*$F$12</f>
        <v>48890.062724991418</v>
      </c>
      <c r="C25" s="165">
        <f t="shared" si="0"/>
        <v>11046220.77208456</v>
      </c>
    </row>
    <row r="26" spans="1:4" x14ac:dyDescent="0.25">
      <c r="A26" s="164">
        <f t="shared" si="1"/>
        <v>1250000</v>
      </c>
      <c r="B26" s="159">
        <f>((GSOC!A26/$B$12)^$D$12)*$C$12*$F$12</f>
        <v>55894.181682956114</v>
      </c>
      <c r="C26" s="165">
        <f t="shared" si="0"/>
        <v>12628731.409447104</v>
      </c>
    </row>
    <row r="27" spans="1:4" x14ac:dyDescent="0.25">
      <c r="A27" s="164">
        <f t="shared" si="1"/>
        <v>1500000</v>
      </c>
      <c r="B27" s="159">
        <f>((GSOC!A27/$B$12)^$D$12)*$C$12*$F$12</f>
        <v>62355.583836585771</v>
      </c>
      <c r="C27" s="165">
        <f t="shared" si="0"/>
        <v>14088620.61203819</v>
      </c>
    </row>
    <row r="28" spans="1:4" x14ac:dyDescent="0.25">
      <c r="A28" s="164">
        <f t="shared" si="1"/>
        <v>1750000</v>
      </c>
      <c r="B28" s="159">
        <f>((GSOC!A28/$B$12)^$D$12)*$C$12*$F$12</f>
        <v>68398.003276133066</v>
      </c>
      <c r="C28" s="165">
        <f t="shared" si="0"/>
        <v>15453844.860209504</v>
      </c>
    </row>
    <row r="29" spans="1:4" x14ac:dyDescent="0.25">
      <c r="A29" s="164">
        <f t="shared" si="1"/>
        <v>2000000</v>
      </c>
      <c r="B29" s="159">
        <f>((GSOC!A29/$B$12)^$D$12)*$C$12*$F$12</f>
        <v>74103.478010002</v>
      </c>
      <c r="C29" s="165">
        <f t="shared" si="0"/>
        <v>16742939.821579851</v>
      </c>
    </row>
    <row r="30" spans="1:4" x14ac:dyDescent="0.25">
      <c r="A30" s="164">
        <f t="shared" si="1"/>
        <v>2250000</v>
      </c>
      <c r="B30" s="159">
        <f>((GSOC!A30/$B$12)^$D$12)*$C$12*$F$12</f>
        <v>79529.839376007047</v>
      </c>
      <c r="C30" s="165">
        <f t="shared" si="0"/>
        <v>17968971.90861503</v>
      </c>
    </row>
    <row r="31" spans="1:4" x14ac:dyDescent="0.25">
      <c r="A31" s="164">
        <f t="shared" si="1"/>
        <v>2500000</v>
      </c>
      <c r="B31" s="159">
        <f>((GSOC!A31/$B$12)^$D$12)*$C$12*$F$12</f>
        <v>84719.737148398606</v>
      </c>
      <c r="C31" s="165">
        <f t="shared" si="0"/>
        <v>19141577.411309183</v>
      </c>
    </row>
    <row r="32" spans="1:4" x14ac:dyDescent="0.25">
      <c r="A32" s="164">
        <f t="shared" si="1"/>
        <v>2750000</v>
      </c>
      <c r="B32" s="159">
        <f>((GSOC!A32/$B$12)^$D$12)*$C$12*$F$12</f>
        <v>89705.735378365556</v>
      </c>
      <c r="C32" s="165">
        <f t="shared" si="0"/>
        <v>20268113.851387914</v>
      </c>
    </row>
    <row r="33" spans="1:3" x14ac:dyDescent="0.25">
      <c r="A33" s="164">
        <f t="shared" si="1"/>
        <v>3000000</v>
      </c>
      <c r="B33" s="159">
        <f>((GSOC!A33/$B$12)^$D$12)*$C$12*$F$12</f>
        <v>94513.391435541067</v>
      </c>
      <c r="C33" s="165">
        <f t="shared" si="0"/>
        <v>21354355.660946149</v>
      </c>
    </row>
    <row r="34" spans="1:3" x14ac:dyDescent="0.25">
      <c r="A34" s="164">
        <f t="shared" si="1"/>
        <v>3250000</v>
      </c>
      <c r="B34" s="159">
        <f>((GSOC!A34/$B$12)^$D$12)*$C$12*$F$12</f>
        <v>99163.217815008757</v>
      </c>
      <c r="C34" s="165">
        <f t="shared" si="0"/>
        <v>22404937.433123078</v>
      </c>
    </row>
    <row r="35" spans="1:3" x14ac:dyDescent="0.25">
      <c r="A35" s="164">
        <f t="shared" si="1"/>
        <v>3500000</v>
      </c>
      <c r="B35" s="159">
        <f>((GSOC!A35/$B$12)^$D$12)*$C$12*$F$12</f>
        <v>103671.98668186736</v>
      </c>
      <c r="C35" s="165">
        <f t="shared" si="0"/>
        <v>23423648.670901112</v>
      </c>
    </row>
    <row r="36" spans="1:3" x14ac:dyDescent="0.25">
      <c r="A36" s="164">
        <f t="shared" si="1"/>
        <v>3750000</v>
      </c>
      <c r="B36" s="159">
        <f>((GSOC!A36/$B$12)^$D$12)*$C$12*$F$12</f>
        <v>108053.62844564456</v>
      </c>
      <c r="C36" s="165">
        <f t="shared" si="0"/>
        <v>24413636.81100893</v>
      </c>
    </row>
    <row r="37" spans="1:3" x14ac:dyDescent="0.25">
      <c r="A37" s="164">
        <f t="shared" si="1"/>
        <v>4000000</v>
      </c>
      <c r="B37" s="159">
        <f>((GSOC!A37/$B$12)^$D$12)*$C$12*$F$12</f>
        <v>112319.869255799</v>
      </c>
      <c r="C37" s="165">
        <f t="shared" si="0"/>
        <v>25377551.259655226</v>
      </c>
    </row>
    <row r="38" spans="1:3" x14ac:dyDescent="0.25">
      <c r="A38" s="164">
        <f t="shared" si="1"/>
        <v>4250000</v>
      </c>
      <c r="B38" s="159">
        <f>((GSOC!A38/$B$12)^$D$12)*$C$12*$F$12</f>
        <v>116480.69479189794</v>
      </c>
      <c r="C38" s="165">
        <f t="shared" si="0"/>
        <v>26317648.181281421</v>
      </c>
    </row>
    <row r="39" spans="1:3" x14ac:dyDescent="0.25">
      <c r="A39" s="164">
        <f t="shared" si="1"/>
        <v>4500000</v>
      </c>
      <c r="B39" s="159">
        <f>((GSOC!A39/$B$12)^$D$12)*$C$12*$F$12</f>
        <v>120544.69507412486</v>
      </c>
      <c r="C39" s="165">
        <f t="shared" si="0"/>
        <v>27235868.405047771</v>
      </c>
    </row>
    <row r="40" spans="1:3" x14ac:dyDescent="0.25">
      <c r="A40" s="164">
        <f t="shared" si="1"/>
        <v>4750000</v>
      </c>
      <c r="B40" s="159">
        <f>((GSOC!A40/$B$12)^$D$12)*$C$12*$F$12</f>
        <v>124519.32570439449</v>
      </c>
      <c r="C40" s="165">
        <f t="shared" si="0"/>
        <v>28133896.449650891</v>
      </c>
    </row>
    <row r="41" spans="1:3" x14ac:dyDescent="0.25">
      <c r="A41" s="164">
        <f t="shared" si="1"/>
        <v>5000000</v>
      </c>
      <c r="B41" s="159">
        <f>((GSOC!A41/$B$12)^$D$12)*$C$12*$F$12</f>
        <v>128411.10910623417</v>
      </c>
      <c r="C41" s="165">
        <f t="shared" si="0"/>
        <v>29013205.991462547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F8B0-53E6-4450-8FC7-E429D44C4A69}">
  <sheetPr codeName="Sheet16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289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290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98"/>
      <c r="C4" s="599"/>
      <c r="D4" s="599"/>
      <c r="E4" s="599"/>
      <c r="F4" s="60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87" t="s">
        <v>8</v>
      </c>
      <c r="B7" s="592" t="s">
        <v>9</v>
      </c>
      <c r="C7" s="592"/>
      <c r="D7" s="592" t="s">
        <v>12</v>
      </c>
      <c r="E7" s="592"/>
      <c r="F7" s="592"/>
      <c r="G7" s="592" t="s">
        <v>124</v>
      </c>
      <c r="H7" s="592"/>
      <c r="I7" s="597"/>
    </row>
    <row r="8" spans="1:9" x14ac:dyDescent="0.25">
      <c r="A8" s="591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88"/>
      <c r="B9" s="157">
        <f>VAC_Optim_Scenario!G31</f>
        <v>875500</v>
      </c>
      <c r="C9" s="157">
        <f>VAC_Optim_Scenario!H31</f>
        <v>5253000</v>
      </c>
      <c r="D9" s="158">
        <f>VAC_Optim_Scenario!I31</f>
        <v>5253000</v>
      </c>
      <c r="E9" s="84">
        <f>((GSOCIAL_adt!D9/$B$12)^$D$12)*$C$12*$F$12</f>
        <v>46049.176488532612</v>
      </c>
      <c r="F9" s="84">
        <f>E9*F11</f>
        <v>46049.176488532612</v>
      </c>
      <c r="G9" s="76">
        <f>VAC_Optim_Scenario!E31</f>
        <v>1751000</v>
      </c>
      <c r="H9" s="159">
        <f>((GSOCIAL_adt!G9/$B$12)^$D$12)*$C$12*$F$12</f>
        <v>23820.403572058858</v>
      </c>
      <c r="I9" s="160">
        <f>H9*F11</f>
        <v>23820.403572058858</v>
      </c>
    </row>
    <row r="10" spans="1:9" ht="15.75" thickBot="1" x14ac:dyDescent="0.3"/>
    <row r="11" spans="1:9" ht="48.95" customHeight="1" x14ac:dyDescent="0.25">
      <c r="A11" s="560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60"/>
      <c r="B12" s="162">
        <f>'[7]HCC Social - Power'!$B$12</f>
        <v>1751000</v>
      </c>
      <c r="C12" s="162">
        <f>'[7]HCC Social - Power'!$C$12</f>
        <v>23820.403572058858</v>
      </c>
      <c r="D12" s="333">
        <f>'[7]HCC Social - Power'!$D$12</f>
        <v>0.6</v>
      </c>
      <c r="E12" s="338" t="s">
        <v>122</v>
      </c>
      <c r="F12" s="163">
        <f>VAC_Optim_Scenario!D31</f>
        <v>1</v>
      </c>
      <c r="G12" s="267">
        <f>B12*2</f>
        <v>3502000</v>
      </c>
    </row>
    <row r="13" spans="1:9" ht="18.75" customHeight="1" x14ac:dyDescent="0.25">
      <c r="A13" s="581" t="s">
        <v>171</v>
      </c>
      <c r="B13" s="582"/>
      <c r="C13" s="582"/>
      <c r="D13" s="582"/>
      <c r="E13" s="338" t="s">
        <v>172</v>
      </c>
      <c r="F13" s="338" t="s">
        <v>173</v>
      </c>
    </row>
    <row r="14" spans="1:9" ht="15.75" thickBot="1" x14ac:dyDescent="0.3">
      <c r="A14" s="584"/>
      <c r="B14" s="585"/>
      <c r="C14" s="585"/>
      <c r="D14" s="585"/>
      <c r="E14" s="95">
        <f>VAC_Optim_Scenario!$I$46</f>
        <v>225.94</v>
      </c>
      <c r="F14" s="95">
        <f>VAC_Optim_Scenario!$F$46</f>
        <v>225.94</v>
      </c>
    </row>
    <row r="15" spans="1:9" ht="15.75" thickBot="1" x14ac:dyDescent="0.3"/>
    <row r="16" spans="1:9" x14ac:dyDescent="0.25">
      <c r="A16" s="579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80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0" t="s">
        <v>37</v>
      </c>
      <c r="B19" s="560"/>
      <c r="C19" s="560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7408.6901640745618</v>
      </c>
      <c r="C22" s="165">
        <f t="shared" ref="C22:C41" si="1">B22*$F$14</f>
        <v>1673919.4556710066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11229.474417830452</v>
      </c>
      <c r="C23" s="165">
        <f t="shared" si="1"/>
        <v>2537187.4499646123</v>
      </c>
    </row>
    <row r="24" spans="1:4" x14ac:dyDescent="0.25">
      <c r="A24" s="164">
        <f t="shared" si="2"/>
        <v>750000</v>
      </c>
      <c r="B24" s="159">
        <f t="shared" si="0"/>
        <v>14322.346801651498</v>
      </c>
      <c r="C24" s="165">
        <f t="shared" si="1"/>
        <v>3235991.0363651393</v>
      </c>
    </row>
    <row r="25" spans="1:4" x14ac:dyDescent="0.25">
      <c r="A25" s="164">
        <f t="shared" si="2"/>
        <v>1000000</v>
      </c>
      <c r="B25" s="159">
        <f t="shared" si="0"/>
        <v>17020.700408310324</v>
      </c>
      <c r="C25" s="165">
        <f t="shared" si="1"/>
        <v>3845657.0502536343</v>
      </c>
    </row>
    <row r="26" spans="1:4" x14ac:dyDescent="0.25">
      <c r="A26" s="164">
        <f t="shared" si="2"/>
        <v>1250000</v>
      </c>
      <c r="B26" s="159">
        <f t="shared" si="0"/>
        <v>19459.130710154546</v>
      </c>
      <c r="C26" s="165">
        <f t="shared" si="1"/>
        <v>4396595.9926523184</v>
      </c>
    </row>
    <row r="27" spans="1:4" x14ac:dyDescent="0.25">
      <c r="A27" s="164">
        <f t="shared" si="2"/>
        <v>1500000</v>
      </c>
      <c r="B27" s="159">
        <f t="shared" si="0"/>
        <v>21708.618318570392</v>
      </c>
      <c r="C27" s="165">
        <f t="shared" si="1"/>
        <v>4904845.2228977941</v>
      </c>
    </row>
    <row r="28" spans="1:4" x14ac:dyDescent="0.25">
      <c r="A28" s="164">
        <f t="shared" si="2"/>
        <v>1750000</v>
      </c>
      <c r="B28" s="159">
        <f t="shared" si="0"/>
        <v>23812.240308184086</v>
      </c>
      <c r="C28" s="165">
        <f t="shared" si="1"/>
        <v>5380137.5752311125</v>
      </c>
    </row>
    <row r="29" spans="1:4" x14ac:dyDescent="0.25">
      <c r="A29" s="164">
        <f t="shared" si="2"/>
        <v>2000000</v>
      </c>
      <c r="B29" s="159">
        <f t="shared" si="0"/>
        <v>25798.557582486257</v>
      </c>
      <c r="C29" s="165">
        <f t="shared" si="1"/>
        <v>5828926.1001869449</v>
      </c>
    </row>
    <row r="30" spans="1:4" x14ac:dyDescent="0.25">
      <c r="A30" s="164">
        <f t="shared" si="2"/>
        <v>2250000</v>
      </c>
      <c r="B30" s="159">
        <f t="shared" si="0"/>
        <v>27687.703678238533</v>
      </c>
      <c r="C30" s="165">
        <f t="shared" si="1"/>
        <v>6255759.7690612143</v>
      </c>
    </row>
    <row r="31" spans="1:4" x14ac:dyDescent="0.25">
      <c r="A31" s="164">
        <f t="shared" si="2"/>
        <v>2500000</v>
      </c>
      <c r="B31" s="159">
        <f t="shared" si="0"/>
        <v>29494.526787272491</v>
      </c>
      <c r="C31" s="165">
        <f t="shared" si="1"/>
        <v>6663993.3823163463</v>
      </c>
    </row>
    <row r="32" spans="1:4" x14ac:dyDescent="0.25">
      <c r="A32" s="164">
        <f t="shared" si="2"/>
        <v>2750000</v>
      </c>
      <c r="B32" s="159">
        <f t="shared" si="0"/>
        <v>31230.363834281474</v>
      </c>
      <c r="C32" s="165">
        <f t="shared" si="1"/>
        <v>7056188.4047175562</v>
      </c>
    </row>
    <row r="33" spans="1:3" x14ac:dyDescent="0.25">
      <c r="A33" s="164">
        <f t="shared" si="2"/>
        <v>3000000</v>
      </c>
      <c r="B33" s="159">
        <f t="shared" si="0"/>
        <v>32904.112421508238</v>
      </c>
      <c r="C33" s="165">
        <f t="shared" si="1"/>
        <v>7434355.160515571</v>
      </c>
    </row>
    <row r="34" spans="1:3" x14ac:dyDescent="0.25">
      <c r="A34" s="164">
        <f t="shared" si="2"/>
        <v>3250000</v>
      </c>
      <c r="B34" s="159">
        <f t="shared" si="0"/>
        <v>34522.913816809414</v>
      </c>
      <c r="C34" s="165">
        <f t="shared" si="1"/>
        <v>7800107.1477699187</v>
      </c>
    </row>
    <row r="35" spans="1:3" x14ac:dyDescent="0.25">
      <c r="A35" s="164">
        <f t="shared" si="2"/>
        <v>3500000</v>
      </c>
      <c r="B35" s="159">
        <f t="shared" si="0"/>
        <v>36092.607120841283</v>
      </c>
      <c r="C35" s="165">
        <f t="shared" si="1"/>
        <v>8154763.6528828796</v>
      </c>
    </row>
    <row r="36" spans="1:3" x14ac:dyDescent="0.25">
      <c r="A36" s="164">
        <f t="shared" si="2"/>
        <v>3750000</v>
      </c>
      <c r="B36" s="159">
        <f t="shared" si="0"/>
        <v>37618.042098851023</v>
      </c>
      <c r="C36" s="165">
        <f t="shared" si="1"/>
        <v>8499420.4318144005</v>
      </c>
    </row>
    <row r="37" spans="1:3" x14ac:dyDescent="0.25">
      <c r="A37" s="164">
        <f t="shared" si="2"/>
        <v>4000000</v>
      </c>
      <c r="B37" s="159">
        <f t="shared" si="0"/>
        <v>39103.301119846867</v>
      </c>
      <c r="C37" s="165">
        <f t="shared" si="1"/>
        <v>8834999.8550182004</v>
      </c>
    </row>
    <row r="38" spans="1:3" x14ac:dyDescent="0.25">
      <c r="A38" s="164">
        <f t="shared" si="2"/>
        <v>4250000</v>
      </c>
      <c r="B38" s="159">
        <f t="shared" si="0"/>
        <v>40551.860621591703</v>
      </c>
      <c r="C38" s="165">
        <f t="shared" si="1"/>
        <v>9162287.38884243</v>
      </c>
    </row>
    <row r="39" spans="1:3" x14ac:dyDescent="0.25">
      <c r="A39" s="164">
        <f t="shared" si="2"/>
        <v>4500000</v>
      </c>
      <c r="B39" s="159">
        <f t="shared" si="0"/>
        <v>41966.711153737037</v>
      </c>
      <c r="C39" s="165">
        <f t="shared" si="1"/>
        <v>9481958.7180753462</v>
      </c>
    </row>
    <row r="40" spans="1:3" x14ac:dyDescent="0.25">
      <c r="A40" s="164">
        <f t="shared" si="2"/>
        <v>4750000</v>
      </c>
      <c r="B40" s="159">
        <f t="shared" si="0"/>
        <v>43350.448326913778</v>
      </c>
      <c r="C40" s="165">
        <f t="shared" si="1"/>
        <v>9794600.294982899</v>
      </c>
    </row>
    <row r="41" spans="1:3" x14ac:dyDescent="0.25">
      <c r="A41" s="164">
        <f t="shared" si="2"/>
        <v>5000000</v>
      </c>
      <c r="B41" s="159">
        <f t="shared" si="0"/>
        <v>44705.342872853616</v>
      </c>
      <c r="C41" s="165">
        <f t="shared" si="1"/>
        <v>10100725.168692546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158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34" t="s">
        <v>102</v>
      </c>
      <c r="I2" s="135"/>
      <c r="J2" s="135"/>
      <c r="K2" s="135"/>
      <c r="L2" s="136"/>
    </row>
    <row r="3" spans="1:18" ht="13.5" thickBot="1" x14ac:dyDescent="0.25">
      <c r="A3" s="11" t="s">
        <v>3</v>
      </c>
      <c r="B3" s="12" t="s">
        <v>247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589" t="s">
        <v>106</v>
      </c>
      <c r="C4" s="589"/>
      <c r="D4" s="589"/>
      <c r="E4" s="589"/>
      <c r="F4" s="590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0.5</v>
      </c>
      <c r="C6" s="94">
        <f>VAC_Optim_Scenario!$H$16</f>
        <v>3</v>
      </c>
    </row>
    <row r="7" spans="1:18" ht="27.75" customHeight="1" x14ac:dyDescent="0.2">
      <c r="A7" s="587" t="s">
        <v>8</v>
      </c>
      <c r="B7" s="592" t="s">
        <v>9</v>
      </c>
      <c r="C7" s="593"/>
      <c r="D7" s="594" t="s">
        <v>12</v>
      </c>
      <c r="E7" s="595"/>
      <c r="F7" s="596"/>
      <c r="G7" s="592" t="s">
        <v>124</v>
      </c>
      <c r="H7" s="592"/>
      <c r="I7" s="597"/>
      <c r="J7" s="98" t="s">
        <v>125</v>
      </c>
    </row>
    <row r="8" spans="1:18" ht="28.15" customHeight="1" x14ac:dyDescent="0.2">
      <c r="A8" s="591"/>
      <c r="B8" s="133" t="s">
        <v>10</v>
      </c>
      <c r="C8" s="17" t="s">
        <v>11</v>
      </c>
      <c r="D8" s="19" t="s">
        <v>20</v>
      </c>
      <c r="E8" s="133" t="s">
        <v>21</v>
      </c>
      <c r="F8" s="81" t="s">
        <v>117</v>
      </c>
      <c r="G8" s="132" t="s">
        <v>22</v>
      </c>
      <c r="H8" s="133" t="s">
        <v>23</v>
      </c>
      <c r="I8" s="88" t="s">
        <v>123</v>
      </c>
    </row>
    <row r="9" spans="1:18" ht="14.65" customHeight="1" thickBot="1" x14ac:dyDescent="0.25">
      <c r="A9" s="588"/>
      <c r="B9" s="95">
        <f>VAC_Optim_Scenario!G22</f>
        <v>86538.47</v>
      </c>
      <c r="C9" s="95">
        <f>VAC_Optim_Scenario!H22</f>
        <v>519230.82</v>
      </c>
      <c r="D9" s="68">
        <f>VAC_Optim_Scenario!I22</f>
        <v>431635.30632567109</v>
      </c>
      <c r="E9" s="84">
        <f>((($R$12/(1+EXP($P$12+$Q$12*D9)))-1) - ($F$12-$C$12))*$I$12</f>
        <v>12451.437464257702</v>
      </c>
      <c r="F9" s="89">
        <f>E9*$G$12</f>
        <v>12451.437464257702</v>
      </c>
      <c r="G9" s="95">
        <f>VAC_Optim_Scenario!E22</f>
        <v>173076.94</v>
      </c>
      <c r="H9" s="85">
        <f>((($R$12/(1+EXP($P$12+$Q$12*G9)))-1) - ($F$12-$C$12))*$I$12</f>
        <v>7568.2941111773252</v>
      </c>
      <c r="I9" s="90">
        <f>H9*$G$12</f>
        <v>7568.2941111773252</v>
      </c>
      <c r="J9" s="87">
        <f>G9/I9</f>
        <v>22.868685790684225</v>
      </c>
      <c r="K9" s="98" t="s">
        <v>198</v>
      </c>
    </row>
    <row r="10" spans="1:18" ht="13.5" thickBot="1" x14ac:dyDescent="0.25"/>
    <row r="11" spans="1:18" ht="51.6" customHeight="1" x14ac:dyDescent="0.2">
      <c r="A11" s="587" t="s">
        <v>15</v>
      </c>
      <c r="B11" s="138" t="s">
        <v>16</v>
      </c>
      <c r="C11" s="138" t="s">
        <v>17</v>
      </c>
      <c r="D11" s="138" t="s">
        <v>18</v>
      </c>
      <c r="E11" s="138" t="s">
        <v>19</v>
      </c>
      <c r="F11" s="139" t="s">
        <v>109</v>
      </c>
      <c r="G11" s="137" t="s">
        <v>118</v>
      </c>
      <c r="H11" s="138" t="s">
        <v>119</v>
      </c>
      <c r="I11" s="92" t="s">
        <v>122</v>
      </c>
      <c r="K11" s="579" t="s">
        <v>25</v>
      </c>
      <c r="L11" s="138" t="s">
        <v>110</v>
      </c>
      <c r="M11" s="138" t="s">
        <v>111</v>
      </c>
      <c r="N11" s="138" t="s">
        <v>112</v>
      </c>
      <c r="O11" s="138" t="s">
        <v>113</v>
      </c>
      <c r="P11" s="138" t="s">
        <v>26</v>
      </c>
      <c r="Q11" s="138" t="s">
        <v>27</v>
      </c>
      <c r="R11" s="139" t="s">
        <v>28</v>
      </c>
    </row>
    <row r="12" spans="1:18" ht="15" customHeight="1" thickBot="1" x14ac:dyDescent="0.25">
      <c r="A12" s="588"/>
      <c r="B12" s="95">
        <f>'[8]HCC Online Video Curve'!$B$12</f>
        <v>173076.94</v>
      </c>
      <c r="C12" s="95">
        <f>'[8]HCC Online Video Curve'!$C$12</f>
        <v>7568.2941111774026</v>
      </c>
      <c r="D12" s="95">
        <f>'[8]HCC Online Video Curve'!$D$12</f>
        <v>0</v>
      </c>
      <c r="E12" s="95">
        <f>'[8]HCC Online Video Curve'!$E$12</f>
        <v>15136.588222354803</v>
      </c>
      <c r="F12" s="95">
        <f>'[8]HCC Online Video Curve'!$F$12</f>
        <v>8649234</v>
      </c>
      <c r="G12" s="91">
        <f>VAC_Optim_Scenario!$D$46</f>
        <v>1</v>
      </c>
      <c r="H12" s="71">
        <f>C12*G12</f>
        <v>7568.2941111774026</v>
      </c>
      <c r="I12" s="115">
        <f>VAC_Optim_Scenario!D22</f>
        <v>1</v>
      </c>
      <c r="K12" s="580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581" t="s">
        <v>114</v>
      </c>
      <c r="B13" s="582"/>
      <c r="C13" s="582"/>
      <c r="D13" s="582"/>
      <c r="E13" s="582"/>
      <c r="F13" s="583"/>
      <c r="G13" s="133" t="s">
        <v>150</v>
      </c>
      <c r="H13" s="133" t="s">
        <v>151</v>
      </c>
      <c r="K13" s="581" t="s">
        <v>115</v>
      </c>
      <c r="L13" s="582"/>
      <c r="M13" s="582"/>
      <c r="N13" s="582"/>
      <c r="O13" s="582"/>
      <c r="P13" s="582"/>
      <c r="Q13" s="582"/>
      <c r="R13" s="583"/>
    </row>
    <row r="14" spans="1:18" ht="33.6" customHeight="1" thickBot="1" x14ac:dyDescent="0.25">
      <c r="A14" s="584"/>
      <c r="B14" s="585"/>
      <c r="C14" s="585"/>
      <c r="D14" s="585"/>
      <c r="E14" s="585"/>
      <c r="F14" s="586"/>
      <c r="G14" s="95">
        <f>VAC_Optim_Scenario!$I$46</f>
        <v>225.94</v>
      </c>
      <c r="H14" s="95">
        <f>VAC_Optim_Scenario!$F$46</f>
        <v>225.94</v>
      </c>
      <c r="K14" s="584"/>
      <c r="L14" s="585"/>
      <c r="M14" s="585"/>
      <c r="N14" s="585"/>
      <c r="O14" s="585"/>
      <c r="P14" s="585"/>
      <c r="Q14" s="585"/>
      <c r="R14" s="586"/>
    </row>
    <row r="16" spans="1:18" ht="13.5" thickBot="1" x14ac:dyDescent="0.25"/>
    <row r="17" spans="1:8" ht="42.6" customHeight="1" x14ac:dyDescent="0.2">
      <c r="A17" s="579" t="s">
        <v>34</v>
      </c>
      <c r="B17" s="138" t="s">
        <v>32</v>
      </c>
      <c r="C17" s="138" t="s">
        <v>31</v>
      </c>
      <c r="D17" s="139" t="s">
        <v>33</v>
      </c>
      <c r="F17" s="82"/>
      <c r="G17" s="82"/>
      <c r="H17" s="83"/>
    </row>
    <row r="18" spans="1:8" ht="23.65" customHeight="1" thickBot="1" x14ac:dyDescent="0.25">
      <c r="A18" s="580"/>
      <c r="B18" s="75">
        <v>0</v>
      </c>
      <c r="C18" s="76">
        <v>2000000</v>
      </c>
      <c r="D18" s="26">
        <v>20</v>
      </c>
    </row>
    <row r="20" spans="1:8" x14ac:dyDescent="0.2">
      <c r="A20" s="560" t="s">
        <v>37</v>
      </c>
      <c r="B20" s="560"/>
      <c r="C20" s="560"/>
    </row>
    <row r="21" spans="1:8" ht="25.5" x14ac:dyDescent="0.2">
      <c r="A21" s="133" t="s">
        <v>35</v>
      </c>
      <c r="B21" s="133" t="s">
        <v>120</v>
      </c>
      <c r="C21" s="133" t="s">
        <v>199</v>
      </c>
      <c r="D21" s="98" t="s">
        <v>121</v>
      </c>
      <c r="E21" s="133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AC0E-8F57-47D9-9213-F9A4A490F248}">
  <sheetPr codeName="Sheet17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291</v>
      </c>
    </row>
    <row r="2" spans="1:18" x14ac:dyDescent="0.2">
      <c r="A2" s="7" t="s">
        <v>2</v>
      </c>
      <c r="B2" s="8" t="s">
        <v>286</v>
      </c>
      <c r="C2" s="9" t="s">
        <v>4</v>
      </c>
      <c r="D2" s="8" t="s">
        <v>6</v>
      </c>
      <c r="E2" s="9" t="s">
        <v>116</v>
      </c>
      <c r="F2" s="10" t="s">
        <v>176</v>
      </c>
      <c r="H2" s="339" t="s">
        <v>102</v>
      </c>
      <c r="I2" s="340"/>
      <c r="J2" s="340"/>
      <c r="K2" s="340"/>
      <c r="L2" s="341"/>
    </row>
    <row r="3" spans="1:18" ht="13.5" thickBot="1" x14ac:dyDescent="0.25">
      <c r="A3" s="11" t="s">
        <v>3</v>
      </c>
      <c r="B3" s="12" t="s">
        <v>247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89" t="s">
        <v>106</v>
      </c>
      <c r="C4" s="589"/>
      <c r="D4" s="589"/>
      <c r="E4" s="589"/>
      <c r="F4" s="590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[2]VAC_Optim_Scenario!$G$14</f>
        <v>0.5</v>
      </c>
      <c r="C6" s="94">
        <f>[2]VAC_Optim_Scenario!$H$14</f>
        <v>1.5</v>
      </c>
    </row>
    <row r="7" spans="1:18" ht="27.75" customHeight="1" x14ac:dyDescent="0.2">
      <c r="A7" s="587" t="s">
        <v>8</v>
      </c>
      <c r="B7" s="592" t="s">
        <v>9</v>
      </c>
      <c r="C7" s="593"/>
      <c r="D7" s="594" t="s">
        <v>12</v>
      </c>
      <c r="E7" s="595"/>
      <c r="F7" s="596"/>
      <c r="G7" s="592" t="s">
        <v>124</v>
      </c>
      <c r="H7" s="592"/>
      <c r="I7" s="597"/>
      <c r="J7" s="98" t="s">
        <v>125</v>
      </c>
    </row>
    <row r="8" spans="1:18" ht="28.35" customHeight="1" x14ac:dyDescent="0.2">
      <c r="A8" s="591"/>
      <c r="B8" s="338" t="s">
        <v>10</v>
      </c>
      <c r="C8" s="17" t="s">
        <v>11</v>
      </c>
      <c r="D8" s="19" t="s">
        <v>20</v>
      </c>
      <c r="E8" s="338" t="s">
        <v>21</v>
      </c>
      <c r="F8" s="81" t="s">
        <v>117</v>
      </c>
      <c r="G8" s="342" t="s">
        <v>22</v>
      </c>
      <c r="H8" s="338" t="s">
        <v>23</v>
      </c>
      <c r="I8" s="88" t="s">
        <v>123</v>
      </c>
    </row>
    <row r="9" spans="1:18" ht="14.45" customHeight="1" thickBot="1" x14ac:dyDescent="0.25">
      <c r="A9" s="588"/>
      <c r="B9" s="95">
        <f>VAC_Optim_Scenario!G32</f>
        <v>555889.52</v>
      </c>
      <c r="C9" s="95">
        <f>VAC_Optim_Scenario!H32</f>
        <v>3335337.12</v>
      </c>
      <c r="D9" s="68">
        <f>VAC_Optim_Scenario!I32</f>
        <v>2933724.0189072718</v>
      </c>
      <c r="E9" s="84">
        <f>((($R$12/(1+EXP($P$12+$Q$12*D9)))-1) - ($F$12-$C$12))*$I$12</f>
        <v>36372.308085368946</v>
      </c>
      <c r="F9" s="89">
        <f>E9*$G$12</f>
        <v>36372.308085368946</v>
      </c>
      <c r="G9" s="95">
        <f>VAC_Optim_Scenario!E32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98" t="s">
        <v>180</v>
      </c>
    </row>
    <row r="10" spans="1:18" ht="13.5" thickBot="1" x14ac:dyDescent="0.25"/>
    <row r="11" spans="1:18" ht="51.6" customHeight="1" x14ac:dyDescent="0.2">
      <c r="A11" s="587" t="s">
        <v>15</v>
      </c>
      <c r="B11" s="344" t="s">
        <v>16</v>
      </c>
      <c r="C11" s="344" t="s">
        <v>17</v>
      </c>
      <c r="D11" s="344" t="s">
        <v>18</v>
      </c>
      <c r="E11" s="344" t="s">
        <v>19</v>
      </c>
      <c r="F11" s="345" t="s">
        <v>109</v>
      </c>
      <c r="G11" s="343" t="s">
        <v>181</v>
      </c>
      <c r="H11" s="344" t="s">
        <v>119</v>
      </c>
      <c r="I11" s="92" t="s">
        <v>122</v>
      </c>
      <c r="K11" s="579" t="s">
        <v>25</v>
      </c>
      <c r="L11" s="344" t="s">
        <v>110</v>
      </c>
      <c r="M11" s="344" t="s">
        <v>111</v>
      </c>
      <c r="N11" s="344" t="s">
        <v>112</v>
      </c>
      <c r="O11" s="344" t="s">
        <v>113</v>
      </c>
      <c r="P11" s="344" t="s">
        <v>26</v>
      </c>
      <c r="Q11" s="344" t="s">
        <v>27</v>
      </c>
      <c r="R11" s="345" t="s">
        <v>28</v>
      </c>
    </row>
    <row r="12" spans="1:18" ht="15" customHeight="1" thickBot="1" x14ac:dyDescent="0.25">
      <c r="A12" s="588"/>
      <c r="B12" s="357">
        <f>'[9]HCC Online Video Curve'!$B$12</f>
        <v>1111779.04</v>
      </c>
      <c r="C12" s="357">
        <f>'[9]HCC Online Video Curve'!$C$12</f>
        <v>21646.235649615326</v>
      </c>
      <c r="D12" s="357">
        <f>'[9]HCC Online Video Curve'!$D$12</f>
        <v>0</v>
      </c>
      <c r="E12" s="357">
        <f>'[9]HCC Online Video Curve'!$E$12</f>
        <v>43292.471299230652</v>
      </c>
      <c r="F12" s="357">
        <f>'[9]HCC Online Video Curve'!$F$12</f>
        <v>4647854</v>
      </c>
      <c r="G12" s="358">
        <f>VAC_Optim_Scenario!$D$46</f>
        <v>1</v>
      </c>
      <c r="H12" s="71">
        <f>C12*G12</f>
        <v>21646.235649615326</v>
      </c>
      <c r="I12" s="359">
        <f>VAC_Optim_Scenario!D32</f>
        <v>1</v>
      </c>
      <c r="K12" s="580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24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581" t="s">
        <v>182</v>
      </c>
      <c r="B13" s="582"/>
      <c r="C13" s="582"/>
      <c r="D13" s="582"/>
      <c r="E13" s="582"/>
      <c r="F13" s="583"/>
      <c r="G13" s="338" t="s">
        <v>150</v>
      </c>
      <c r="H13" s="338" t="s">
        <v>151</v>
      </c>
      <c r="K13" s="581" t="s">
        <v>115</v>
      </c>
      <c r="L13" s="582"/>
      <c r="M13" s="582"/>
      <c r="N13" s="582"/>
      <c r="O13" s="582"/>
      <c r="P13" s="582"/>
      <c r="Q13" s="582"/>
      <c r="R13" s="583"/>
    </row>
    <row r="14" spans="1:18" ht="33.6" customHeight="1" thickBot="1" x14ac:dyDescent="0.25">
      <c r="A14" s="584"/>
      <c r="B14" s="585"/>
      <c r="C14" s="585"/>
      <c r="D14" s="585"/>
      <c r="E14" s="585"/>
      <c r="F14" s="586"/>
      <c r="G14" s="95">
        <f>VAC_Optim_Scenario!$I$46</f>
        <v>225.94</v>
      </c>
      <c r="H14" s="95">
        <f>VAC_Optim_Scenario!$F$46</f>
        <v>225.94</v>
      </c>
      <c r="K14" s="584"/>
      <c r="L14" s="585"/>
      <c r="M14" s="585"/>
      <c r="N14" s="585"/>
      <c r="O14" s="585"/>
      <c r="P14" s="585"/>
      <c r="Q14" s="585"/>
      <c r="R14" s="586"/>
    </row>
    <row r="16" spans="1:18" ht="13.5" thickBot="1" x14ac:dyDescent="0.25"/>
    <row r="17" spans="1:8" ht="42.6" customHeight="1" x14ac:dyDescent="0.2">
      <c r="A17" s="579" t="s">
        <v>34</v>
      </c>
      <c r="B17" s="344" t="s">
        <v>32</v>
      </c>
      <c r="C17" s="344" t="s">
        <v>31</v>
      </c>
      <c r="D17" s="345" t="s">
        <v>33</v>
      </c>
      <c r="F17" s="96"/>
      <c r="G17" s="96"/>
      <c r="H17" s="360"/>
    </row>
    <row r="18" spans="1:8" ht="23.45" customHeight="1" thickBot="1" x14ac:dyDescent="0.25">
      <c r="A18" s="580"/>
      <c r="B18" s="75">
        <v>0</v>
      </c>
      <c r="C18" s="76">
        <v>4000000</v>
      </c>
      <c r="D18" s="26">
        <v>20</v>
      </c>
    </row>
    <row r="20" spans="1:8" x14ac:dyDescent="0.2">
      <c r="A20" s="560" t="s">
        <v>37</v>
      </c>
      <c r="B20" s="560"/>
      <c r="C20" s="560"/>
    </row>
    <row r="21" spans="1:8" ht="25.5" x14ac:dyDescent="0.2">
      <c r="A21" s="338" t="s">
        <v>35</v>
      </c>
      <c r="B21" s="338" t="s">
        <v>183</v>
      </c>
      <c r="C21" s="338" t="s">
        <v>184</v>
      </c>
      <c r="D21" s="98" t="s">
        <v>185</v>
      </c>
      <c r="E21" s="338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pageSetUpPr autoPageBreaks="0"/>
  </sheetPr>
  <dimension ref="A1:I41"/>
  <sheetViews>
    <sheetView topLeftCell="A10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268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98"/>
      <c r="C4" s="599"/>
      <c r="D4" s="599"/>
      <c r="E4" s="599"/>
      <c r="F4" s="60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87" t="s">
        <v>8</v>
      </c>
      <c r="B7" s="592" t="s">
        <v>9</v>
      </c>
      <c r="C7" s="592"/>
      <c r="D7" s="592" t="s">
        <v>12</v>
      </c>
      <c r="E7" s="592"/>
      <c r="F7" s="592"/>
      <c r="G7" s="592" t="s">
        <v>124</v>
      </c>
      <c r="H7" s="592"/>
      <c r="I7" s="597"/>
    </row>
    <row r="8" spans="1:9" x14ac:dyDescent="0.25">
      <c r="A8" s="591"/>
      <c r="B8" s="270" t="s">
        <v>10</v>
      </c>
      <c r="C8" s="270" t="s">
        <v>11</v>
      </c>
      <c r="D8" s="270" t="s">
        <v>20</v>
      </c>
      <c r="E8" s="270" t="s">
        <v>21</v>
      </c>
      <c r="F8" s="270" t="s">
        <v>117</v>
      </c>
      <c r="G8" s="270" t="s">
        <v>22</v>
      </c>
      <c r="H8" s="270" t="s">
        <v>23</v>
      </c>
      <c r="I8" s="4" t="s">
        <v>123</v>
      </c>
    </row>
    <row r="9" spans="1:9" ht="15.75" thickBot="1" x14ac:dyDescent="0.3">
      <c r="A9" s="588"/>
      <c r="B9" s="157">
        <f>VAC_Optim_Scenario!G23</f>
        <v>3090062.5</v>
      </c>
      <c r="C9" s="157">
        <f>VAC_Optim_Scenario!H23</f>
        <v>18540375</v>
      </c>
      <c r="D9" s="158">
        <f>VAC_Optim_Scenario!I23</f>
        <v>18540375</v>
      </c>
      <c r="E9" s="84">
        <f>((GSTRV!D9/$B$12)^$D$12)*$C$12*$F$12</f>
        <v>312122.41636928852</v>
      </c>
      <c r="F9" s="84">
        <f>E9*F11</f>
        <v>312122.41636928852</v>
      </c>
      <c r="G9" s="76">
        <f>VAC_Optim_Scenario!E23</f>
        <v>6180125</v>
      </c>
      <c r="H9" s="159">
        <f>((GSTRV!G9/$B$12)^$D$12)*$C$12*$F$12</f>
        <v>144657.20917756393</v>
      </c>
      <c r="I9" s="160">
        <f>H9*F11</f>
        <v>144657.20917756393</v>
      </c>
    </row>
    <row r="10" spans="1:9" ht="15.75" thickBot="1" x14ac:dyDescent="0.3"/>
    <row r="11" spans="1:9" ht="48.95" customHeight="1" x14ac:dyDescent="0.25">
      <c r="A11" s="560" t="s">
        <v>15</v>
      </c>
      <c r="B11" s="271" t="s">
        <v>16</v>
      </c>
      <c r="C11" s="271" t="s">
        <v>17</v>
      </c>
      <c r="D11" s="271" t="s">
        <v>170</v>
      </c>
      <c r="E11" s="270" t="s">
        <v>126</v>
      </c>
      <c r="F11" s="161">
        <v>1</v>
      </c>
    </row>
    <row r="12" spans="1:9" ht="40.5" customHeight="1" thickBot="1" x14ac:dyDescent="0.3">
      <c r="A12" s="560"/>
      <c r="B12" s="162">
        <f>'[10]Streaming Video - Power'!$B$12</f>
        <v>5935125</v>
      </c>
      <c r="C12" s="162">
        <f>'[10]Streaming Video - Power'!$C$12</f>
        <v>140618.64530883348</v>
      </c>
      <c r="D12" s="317">
        <f>'[10]Streaming Video - Power'!$D$12</f>
        <v>0.7</v>
      </c>
      <c r="E12" s="270" t="s">
        <v>122</v>
      </c>
      <c r="F12" s="163">
        <f>VAC_Optim_Scenario!D23</f>
        <v>1</v>
      </c>
      <c r="H12" s="267"/>
    </row>
    <row r="13" spans="1:9" ht="18.75" customHeight="1" x14ac:dyDescent="0.25">
      <c r="A13" s="581" t="s">
        <v>171</v>
      </c>
      <c r="B13" s="582"/>
      <c r="C13" s="582"/>
      <c r="D13" s="582"/>
      <c r="E13" s="270" t="s">
        <v>172</v>
      </c>
      <c r="F13" s="270" t="s">
        <v>173</v>
      </c>
    </row>
    <row r="14" spans="1:9" ht="15.75" thickBot="1" x14ac:dyDescent="0.3">
      <c r="A14" s="584"/>
      <c r="B14" s="585"/>
      <c r="C14" s="585"/>
      <c r="D14" s="585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79" t="s">
        <v>34</v>
      </c>
      <c r="B16" s="271" t="s">
        <v>32</v>
      </c>
      <c r="C16" s="271" t="s">
        <v>31</v>
      </c>
      <c r="D16" s="272" t="s">
        <v>33</v>
      </c>
    </row>
    <row r="17" spans="1:4" ht="15.75" thickBot="1" x14ac:dyDescent="0.3">
      <c r="A17" s="580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0" t="s">
        <v>37</v>
      </c>
      <c r="B19" s="560"/>
      <c r="C19" s="560"/>
      <c r="D19" s="98"/>
    </row>
    <row r="20" spans="1:4" ht="25.5" x14ac:dyDescent="0.25">
      <c r="A20" s="270" t="s">
        <v>35</v>
      </c>
      <c r="B20" s="270" t="s">
        <v>177</v>
      </c>
      <c r="C20" s="270" t="s">
        <v>174</v>
      </c>
    </row>
    <row r="21" spans="1:4" x14ac:dyDescent="0.25">
      <c r="A21" s="164">
        <f>B17</f>
        <v>0</v>
      </c>
      <c r="B21" s="159">
        <f>((GSTRV!A21/$B$12)^$D$12)*$C$12*$F$12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500000</v>
      </c>
      <c r="B22" s="159">
        <f>((GSTRV!A22/$B$12)^$D$12)*$C$12*$F$12</f>
        <v>24884.046469428908</v>
      </c>
      <c r="C22" s="165">
        <f t="shared" ref="C22:C41" si="0">B22*$F$14</f>
        <v>5622301.4593027672</v>
      </c>
    </row>
    <row r="23" spans="1:4" x14ac:dyDescent="0.25">
      <c r="A23" s="164">
        <f t="shared" ref="A23:A41" si="1">A22+(($C$17-$B$17)/$D$17)</f>
        <v>1000000</v>
      </c>
      <c r="B23" s="159">
        <f>((GSTRV!A23/$B$12)^$D$12)*$C$12*$F$12</f>
        <v>40424.252751667111</v>
      </c>
      <c r="C23" s="165">
        <f t="shared" si="0"/>
        <v>9133455.6667116676</v>
      </c>
    </row>
    <row r="24" spans="1:4" x14ac:dyDescent="0.25">
      <c r="A24" s="164">
        <f t="shared" si="1"/>
        <v>1500000</v>
      </c>
      <c r="B24" s="159">
        <f>((GSTRV!A24/$B$12)^$D$12)*$C$12*$F$12</f>
        <v>53691.542628546988</v>
      </c>
      <c r="C24" s="165">
        <f t="shared" si="0"/>
        <v>12131067.141493905</v>
      </c>
    </row>
    <row r="25" spans="1:4" x14ac:dyDescent="0.25">
      <c r="A25" s="164">
        <f t="shared" si="1"/>
        <v>2000000</v>
      </c>
      <c r="B25" s="159">
        <f>((GSTRV!A25/$B$12)^$D$12)*$C$12*$F$12</f>
        <v>65669.392336903504</v>
      </c>
      <c r="C25" s="165">
        <f t="shared" si="0"/>
        <v>14837342.504599977</v>
      </c>
    </row>
    <row r="26" spans="1:4" x14ac:dyDescent="0.25">
      <c r="A26" s="164">
        <f t="shared" si="1"/>
        <v>2500000</v>
      </c>
      <c r="B26" s="159">
        <f>((GSTRV!A26/$B$12)^$D$12)*$C$12*$F$12</f>
        <v>76771.496565679685</v>
      </c>
      <c r="C26" s="165">
        <f t="shared" si="0"/>
        <v>17345751.93404967</v>
      </c>
    </row>
    <row r="27" spans="1:4" x14ac:dyDescent="0.25">
      <c r="A27" s="164">
        <f t="shared" si="1"/>
        <v>3000000</v>
      </c>
      <c r="B27" s="159">
        <f>((GSTRV!A27/$B$12)^$D$12)*$C$12*$F$12</f>
        <v>87222.168328200525</v>
      </c>
      <c r="C27" s="165">
        <f t="shared" si="0"/>
        <v>19706976.712073628</v>
      </c>
    </row>
    <row r="28" spans="1:4" x14ac:dyDescent="0.25">
      <c r="A28" s="164">
        <f t="shared" si="1"/>
        <v>3500000</v>
      </c>
      <c r="B28" s="159">
        <f>((GSTRV!A28/$B$12)^$D$12)*$C$12*$F$12</f>
        <v>97160.475531144242</v>
      </c>
      <c r="C28" s="165">
        <f t="shared" si="0"/>
        <v>21952437.841506731</v>
      </c>
    </row>
    <row r="29" spans="1:4" x14ac:dyDescent="0.25">
      <c r="A29" s="164">
        <f t="shared" si="1"/>
        <v>4000000</v>
      </c>
      <c r="B29" s="159">
        <f>((GSTRV!A29/$B$12)^$D$12)*$C$12*$F$12</f>
        <v>106680.24258581536</v>
      </c>
      <c r="C29" s="165">
        <f t="shared" si="0"/>
        <v>24103334.009839121</v>
      </c>
    </row>
    <row r="30" spans="1:4" x14ac:dyDescent="0.25">
      <c r="A30" s="164">
        <f t="shared" si="1"/>
        <v>4500000</v>
      </c>
      <c r="B30" s="159">
        <f>((GSTRV!A30/$B$12)^$D$12)*$C$12*$F$12</f>
        <v>115848.59212406214</v>
      </c>
      <c r="C30" s="165">
        <f t="shared" si="0"/>
        <v>26174830.904510599</v>
      </c>
    </row>
    <row r="31" spans="1:4" x14ac:dyDescent="0.25">
      <c r="A31" s="164">
        <f t="shared" si="1"/>
        <v>5000000</v>
      </c>
      <c r="B31" s="159">
        <f>((GSTRV!A31/$B$12)^$D$12)*$C$12*$F$12</f>
        <v>124715.66411465566</v>
      </c>
      <c r="C31" s="165">
        <f t="shared" si="0"/>
        <v>28178257.150065299</v>
      </c>
    </row>
    <row r="32" spans="1:4" x14ac:dyDescent="0.25">
      <c r="A32" s="164">
        <f t="shared" si="1"/>
        <v>5500000</v>
      </c>
      <c r="B32" s="159">
        <f>((GSTRV!A32/$B$12)^$D$12)*$C$12*$F$12</f>
        <v>133320.17753068838</v>
      </c>
      <c r="C32" s="165">
        <f t="shared" si="0"/>
        <v>30122360.911283731</v>
      </c>
    </row>
    <row r="33" spans="1:3" x14ac:dyDescent="0.25">
      <c r="A33" s="164">
        <f t="shared" si="1"/>
        <v>6000000</v>
      </c>
      <c r="B33" s="159">
        <f>((GSTRV!A33/$B$12)^$D$12)*$C$12*$F$12</f>
        <v>141692.83047993566</v>
      </c>
      <c r="C33" s="165">
        <f t="shared" si="0"/>
        <v>32014078.11863666</v>
      </c>
    </row>
    <row r="34" spans="1:3" x14ac:dyDescent="0.25">
      <c r="A34" s="164">
        <f t="shared" si="1"/>
        <v>6500000</v>
      </c>
      <c r="B34" s="159">
        <f>((GSTRV!A34/$B$12)^$D$12)*$C$12*$F$12</f>
        <v>149858.48932590534</v>
      </c>
      <c r="C34" s="165">
        <f t="shared" si="0"/>
        <v>33859027.078295052</v>
      </c>
    </row>
    <row r="35" spans="1:3" x14ac:dyDescent="0.25">
      <c r="A35" s="164">
        <f t="shared" si="1"/>
        <v>7000000</v>
      </c>
      <c r="B35" s="159">
        <f>((GSTRV!A35/$B$12)^$D$12)*$C$12*$F$12</f>
        <v>157837.6581625666</v>
      </c>
      <c r="C35" s="165">
        <f t="shared" si="0"/>
        <v>35661840.485250294</v>
      </c>
    </row>
    <row r="36" spans="1:3" x14ac:dyDescent="0.25">
      <c r="A36" s="164">
        <f t="shared" si="1"/>
        <v>7500000</v>
      </c>
      <c r="B36" s="159">
        <f>((GSTRV!A36/$B$12)^$D$12)*$C$12*$F$12</f>
        <v>165647.49971744206</v>
      </c>
      <c r="C36" s="165">
        <f t="shared" si="0"/>
        <v>37426396.086158857</v>
      </c>
    </row>
    <row r="37" spans="1:3" x14ac:dyDescent="0.25">
      <c r="A37" s="164">
        <f t="shared" si="1"/>
        <v>8000000</v>
      </c>
      <c r="B37" s="159">
        <f>((GSTRV!A37/$B$12)^$D$12)*$C$12*$F$12</f>
        <v>173302.56536838613</v>
      </c>
      <c r="C37" s="165">
        <f t="shared" si="0"/>
        <v>39155981.619333163</v>
      </c>
    </row>
    <row r="38" spans="1:3" x14ac:dyDescent="0.25">
      <c r="A38" s="164">
        <f t="shared" si="1"/>
        <v>8500000</v>
      </c>
      <c r="B38" s="159">
        <f>((GSTRV!A38/$B$12)^$D$12)*$C$12*$F$12</f>
        <v>180815.33013485884</v>
      </c>
      <c r="C38" s="165">
        <f t="shared" si="0"/>
        <v>40853415.690670006</v>
      </c>
    </row>
    <row r="39" spans="1:3" x14ac:dyDescent="0.25">
      <c r="A39" s="164">
        <f t="shared" si="1"/>
        <v>9000000</v>
      </c>
      <c r="B39" s="159">
        <f>((GSTRV!A39/$B$12)^$D$12)*$C$12*$F$12</f>
        <v>188196.59313453117</v>
      </c>
      <c r="C39" s="165">
        <f t="shared" si="0"/>
        <v>42521138.252815969</v>
      </c>
    </row>
    <row r="40" spans="1:3" x14ac:dyDescent="0.25">
      <c r="A40" s="164">
        <f t="shared" si="1"/>
        <v>9500000</v>
      </c>
      <c r="B40" s="159">
        <f>((GSTRV!A40/$B$12)^$D$12)*$C$12*$F$12</f>
        <v>195455.78291760079</v>
      </c>
      <c r="C40" s="165">
        <f t="shared" si="0"/>
        <v>44161279.592402726</v>
      </c>
    </row>
    <row r="41" spans="1:3" x14ac:dyDescent="0.25">
      <c r="A41" s="164">
        <f t="shared" si="1"/>
        <v>10000000</v>
      </c>
      <c r="B41" s="159">
        <f>((GSTRV!A41/$B$12)^$D$12)*$C$12*$F$12</f>
        <v>202601.19408057688</v>
      </c>
      <c r="C41" s="165">
        <f t="shared" si="0"/>
        <v>45775713.790565543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C4C20-FBC0-4B33-A3B9-74FC11CC9C81}">
  <sheetPr codeName="Sheet18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292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290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98"/>
      <c r="C4" s="599"/>
      <c r="D4" s="599"/>
      <c r="E4" s="599"/>
      <c r="F4" s="60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87" t="s">
        <v>8</v>
      </c>
      <c r="B7" s="592" t="s">
        <v>9</v>
      </c>
      <c r="C7" s="592"/>
      <c r="D7" s="592" t="s">
        <v>12</v>
      </c>
      <c r="E7" s="592"/>
      <c r="F7" s="592"/>
      <c r="G7" s="592" t="s">
        <v>124</v>
      </c>
      <c r="H7" s="592"/>
      <c r="I7" s="597"/>
    </row>
    <row r="8" spans="1:9" x14ac:dyDescent="0.25">
      <c r="A8" s="591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88"/>
      <c r="B9" s="157">
        <f>VAC_Optim_Scenario!G33</f>
        <v>6709288</v>
      </c>
      <c r="C9" s="157">
        <f>VAC_Optim_Scenario!H33</f>
        <v>40255728</v>
      </c>
      <c r="D9" s="158">
        <f>VAC_Optim_Scenario!I33</f>
        <v>25298391.099956226</v>
      </c>
      <c r="E9" s="84">
        <f>((GSTRTV_adt!D9/$B$12)^$D$12)*$C$12*$F$12</f>
        <v>157132.82980778223</v>
      </c>
      <c r="F9" s="84">
        <f>E9*F11</f>
        <v>157132.82980778223</v>
      </c>
      <c r="G9" s="76">
        <f>VAC_Optim_Scenario!E33</f>
        <v>13418576</v>
      </c>
      <c r="H9" s="159">
        <f>((GSTRTV_adt!G9/$B$12)^$D$12)*$C$12*$F$12</f>
        <v>100808.3256282994</v>
      </c>
      <c r="I9" s="160">
        <f>H9*F11</f>
        <v>100808.3256282994</v>
      </c>
    </row>
    <row r="10" spans="1:9" ht="15.75" thickBot="1" x14ac:dyDescent="0.3"/>
    <row r="11" spans="1:9" ht="48.95" customHeight="1" x14ac:dyDescent="0.25">
      <c r="A11" s="560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60"/>
      <c r="B12" s="162">
        <f>'[11]Streaming Video - Power'!$B$12</f>
        <v>13418576</v>
      </c>
      <c r="C12" s="162">
        <f>'[11]Streaming Video - Power'!$C$12</f>
        <v>100808.3256282994</v>
      </c>
      <c r="D12" s="333">
        <f>'[11]Streaming Video - Power'!$D$12</f>
        <v>0.7</v>
      </c>
      <c r="E12" s="338" t="s">
        <v>122</v>
      </c>
      <c r="F12" s="163">
        <f>VAC_Optim_Scenario!D33</f>
        <v>1</v>
      </c>
      <c r="G12" s="267">
        <f>B12*2</f>
        <v>26837152</v>
      </c>
    </row>
    <row r="13" spans="1:9" ht="18.75" customHeight="1" x14ac:dyDescent="0.25">
      <c r="A13" s="581" t="s">
        <v>171</v>
      </c>
      <c r="B13" s="582"/>
      <c r="C13" s="582"/>
      <c r="D13" s="582"/>
      <c r="E13" s="338" t="s">
        <v>172</v>
      </c>
      <c r="F13" s="338" t="s">
        <v>173</v>
      </c>
    </row>
    <row r="14" spans="1:9" ht="15.75" thickBot="1" x14ac:dyDescent="0.3">
      <c r="A14" s="584"/>
      <c r="B14" s="585"/>
      <c r="C14" s="585"/>
      <c r="D14" s="585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79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80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0" t="s">
        <v>37</v>
      </c>
      <c r="B19" s="560"/>
      <c r="C19" s="560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750000</v>
      </c>
      <c r="B22" s="159">
        <f t="shared" ref="B22:B41" si="0">((A22/$B$12)^$D$12)*$C$12</f>
        <v>13385.813954759049</v>
      </c>
      <c r="C22" s="165">
        <f t="shared" ref="C22:C41" si="1">B22*$F$14</f>
        <v>3024390.8049382595</v>
      </c>
    </row>
    <row r="23" spans="1:4" x14ac:dyDescent="0.25">
      <c r="A23" s="164">
        <f t="shared" ref="A23:A41" si="2">A22+(($C$17-$B$17)/$D$17)</f>
        <v>1500000</v>
      </c>
      <c r="B23" s="159">
        <f t="shared" si="0"/>
        <v>21745.318923863546</v>
      </c>
      <c r="C23" s="165">
        <f t="shared" si="1"/>
        <v>4913137.3576577296</v>
      </c>
    </row>
    <row r="24" spans="1:4" x14ac:dyDescent="0.25">
      <c r="A24" s="164">
        <f t="shared" si="2"/>
        <v>2250000</v>
      </c>
      <c r="B24" s="159">
        <f t="shared" si="0"/>
        <v>28882.159557638814</v>
      </c>
      <c r="C24" s="165">
        <f t="shared" si="1"/>
        <v>6525635.1304529132</v>
      </c>
    </row>
    <row r="25" spans="1:4" x14ac:dyDescent="0.25">
      <c r="A25" s="164">
        <f t="shared" si="2"/>
        <v>3000000</v>
      </c>
      <c r="B25" s="159">
        <f t="shared" si="0"/>
        <v>35325.374810877525</v>
      </c>
      <c r="C25" s="165">
        <f t="shared" si="1"/>
        <v>7981415.1847696677</v>
      </c>
    </row>
    <row r="26" spans="1:4" x14ac:dyDescent="0.25">
      <c r="A26" s="164">
        <f t="shared" si="2"/>
        <v>3750000</v>
      </c>
      <c r="B26" s="159">
        <f t="shared" si="0"/>
        <v>41297.502450781918</v>
      </c>
      <c r="C26" s="165">
        <f t="shared" si="1"/>
        <v>9330757.7037296668</v>
      </c>
    </row>
    <row r="27" spans="1:4" x14ac:dyDescent="0.25">
      <c r="A27" s="164">
        <f t="shared" si="2"/>
        <v>4500000</v>
      </c>
      <c r="B27" s="159">
        <f t="shared" si="0"/>
        <v>46919.206625270555</v>
      </c>
      <c r="C27" s="165">
        <f t="shared" si="1"/>
        <v>10600925.544913629</v>
      </c>
    </row>
    <row r="28" spans="1:4" x14ac:dyDescent="0.25">
      <c r="A28" s="164">
        <f t="shared" si="2"/>
        <v>5250000</v>
      </c>
      <c r="B28" s="159">
        <f t="shared" si="0"/>
        <v>52265.295791567616</v>
      </c>
      <c r="C28" s="165">
        <f t="shared" si="1"/>
        <v>11808820.931146787</v>
      </c>
    </row>
    <row r="29" spans="1:4" x14ac:dyDescent="0.25">
      <c r="A29" s="164">
        <f t="shared" si="2"/>
        <v>6000000</v>
      </c>
      <c r="B29" s="159">
        <f t="shared" si="0"/>
        <v>57386.24068463494</v>
      </c>
      <c r="C29" s="165">
        <f t="shared" si="1"/>
        <v>12965847.220286418</v>
      </c>
    </row>
    <row r="30" spans="1:4" x14ac:dyDescent="0.25">
      <c r="A30" s="164">
        <f t="shared" si="2"/>
        <v>6750000</v>
      </c>
      <c r="B30" s="159">
        <f t="shared" si="0"/>
        <v>62318.148416841854</v>
      </c>
      <c r="C30" s="165">
        <f t="shared" si="1"/>
        <v>14080162.453301249</v>
      </c>
    </row>
    <row r="31" spans="1:4" x14ac:dyDescent="0.25">
      <c r="A31" s="164">
        <f t="shared" si="2"/>
        <v>7500000</v>
      </c>
      <c r="B31" s="159">
        <f t="shared" si="0"/>
        <v>67087.990658350245</v>
      </c>
      <c r="C31" s="165">
        <f t="shared" si="1"/>
        <v>15157860.609347655</v>
      </c>
    </row>
    <row r="32" spans="1:4" x14ac:dyDescent="0.25">
      <c r="A32" s="164">
        <f t="shared" si="2"/>
        <v>8250000</v>
      </c>
      <c r="B32" s="159">
        <f t="shared" si="0"/>
        <v>71716.595411188333</v>
      </c>
      <c r="C32" s="165">
        <f t="shared" si="1"/>
        <v>16203647.567203892</v>
      </c>
    </row>
    <row r="33" spans="1:3" x14ac:dyDescent="0.25">
      <c r="A33" s="164">
        <f t="shared" si="2"/>
        <v>9000000</v>
      </c>
      <c r="B33" s="159">
        <f t="shared" si="0"/>
        <v>76220.476033018742</v>
      </c>
      <c r="C33" s="165">
        <f t="shared" si="1"/>
        <v>17221254.354900256</v>
      </c>
    </row>
    <row r="34" spans="1:3" x14ac:dyDescent="0.25">
      <c r="A34" s="164">
        <f t="shared" si="2"/>
        <v>9750000</v>
      </c>
      <c r="B34" s="159">
        <f t="shared" si="0"/>
        <v>80613.00882564421</v>
      </c>
      <c r="C34" s="165">
        <f t="shared" si="1"/>
        <v>18213703.214066051</v>
      </c>
    </row>
    <row r="35" spans="1:3" x14ac:dyDescent="0.25">
      <c r="A35" s="164">
        <f t="shared" si="2"/>
        <v>10500000</v>
      </c>
      <c r="B35" s="159">
        <f t="shared" si="0"/>
        <v>84905.223505936534</v>
      </c>
      <c r="C35" s="165">
        <f t="shared" si="1"/>
        <v>19183486.198931299</v>
      </c>
    </row>
    <row r="36" spans="1:3" x14ac:dyDescent="0.25">
      <c r="A36" s="164">
        <f t="shared" si="2"/>
        <v>11250000</v>
      </c>
      <c r="B36" s="159">
        <f t="shared" si="0"/>
        <v>89106.352377727613</v>
      </c>
      <c r="C36" s="165">
        <f t="shared" si="1"/>
        <v>20132689.256223775</v>
      </c>
    </row>
    <row r="37" spans="1:3" x14ac:dyDescent="0.25">
      <c r="A37" s="164">
        <f t="shared" si="2"/>
        <v>12000000</v>
      </c>
      <c r="B37" s="159">
        <f t="shared" si="0"/>
        <v>93224.223027940854</v>
      </c>
      <c r="C37" s="165">
        <f t="shared" si="1"/>
        <v>21063080.950932957</v>
      </c>
    </row>
    <row r="38" spans="1:3" x14ac:dyDescent="0.25">
      <c r="A38" s="164">
        <f t="shared" si="2"/>
        <v>12750000</v>
      </c>
      <c r="B38" s="159">
        <f t="shared" si="0"/>
        <v>97265.546113132033</v>
      </c>
      <c r="C38" s="165">
        <f t="shared" si="1"/>
        <v>21976177.488801051</v>
      </c>
    </row>
    <row r="39" spans="1:3" x14ac:dyDescent="0.25">
      <c r="A39" s="164">
        <f t="shared" si="2"/>
        <v>13500000</v>
      </c>
      <c r="B39" s="159">
        <f t="shared" si="0"/>
        <v>101236.13077612668</v>
      </c>
      <c r="C39" s="165">
        <f t="shared" si="1"/>
        <v>22873291.387558062</v>
      </c>
    </row>
    <row r="40" spans="1:3" x14ac:dyDescent="0.25">
      <c r="A40" s="164">
        <f t="shared" si="2"/>
        <v>14250000</v>
      </c>
      <c r="B40" s="159">
        <f t="shared" si="0"/>
        <v>105141.04889375818</v>
      </c>
      <c r="C40" s="165">
        <f t="shared" si="1"/>
        <v>23755568.587055724</v>
      </c>
    </row>
    <row r="41" spans="1:3" x14ac:dyDescent="0.25">
      <c r="A41" s="164">
        <f t="shared" si="2"/>
        <v>15000000</v>
      </c>
      <c r="B41" s="159">
        <f t="shared" si="0"/>
        <v>108984.76235793946</v>
      </c>
      <c r="C41" s="165">
        <f t="shared" si="1"/>
        <v>24624017.20715284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dimension ref="A1:R44"/>
  <sheetViews>
    <sheetView topLeftCell="A7" workbookViewId="0">
      <selection activeCell="A23" sqref="A23:A4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266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319" t="s">
        <v>102</v>
      </c>
      <c r="I2" s="320"/>
      <c r="J2" s="320"/>
      <c r="K2" s="320"/>
      <c r="L2" s="321"/>
    </row>
    <row r="3" spans="1:18" ht="13.5" thickBot="1" x14ac:dyDescent="0.25">
      <c r="A3" s="11" t="s">
        <v>3</v>
      </c>
      <c r="B3" s="12" t="s">
        <v>167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589" t="s">
        <v>106</v>
      </c>
      <c r="C4" s="589"/>
      <c r="D4" s="589"/>
      <c r="E4" s="589"/>
      <c r="F4" s="590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0.5</v>
      </c>
      <c r="C6" s="94">
        <f>VAC_Optim_Scenario!$H$16</f>
        <v>3</v>
      </c>
    </row>
    <row r="7" spans="1:18" ht="27.75" customHeight="1" x14ac:dyDescent="0.2">
      <c r="A7" s="587" t="s">
        <v>8</v>
      </c>
      <c r="B7" s="592" t="s">
        <v>9</v>
      </c>
      <c r="C7" s="593"/>
      <c r="D7" s="594" t="s">
        <v>12</v>
      </c>
      <c r="E7" s="595"/>
      <c r="F7" s="596"/>
      <c r="G7" s="592" t="s">
        <v>124</v>
      </c>
      <c r="H7" s="592"/>
      <c r="I7" s="597"/>
      <c r="J7" s="98" t="s">
        <v>125</v>
      </c>
    </row>
    <row r="8" spans="1:18" ht="28.15" customHeight="1" x14ac:dyDescent="0.2">
      <c r="A8" s="591"/>
      <c r="B8" s="323" t="s">
        <v>10</v>
      </c>
      <c r="C8" s="17" t="s">
        <v>11</v>
      </c>
      <c r="D8" s="19" t="s">
        <v>20</v>
      </c>
      <c r="E8" s="323" t="s">
        <v>21</v>
      </c>
      <c r="F8" s="81" t="s">
        <v>117</v>
      </c>
      <c r="G8" s="322" t="s">
        <v>22</v>
      </c>
      <c r="H8" s="323" t="s">
        <v>23</v>
      </c>
      <c r="I8" s="88" t="s">
        <v>123</v>
      </c>
    </row>
    <row r="9" spans="1:18" ht="14.65" customHeight="1" thickBot="1" x14ac:dyDescent="0.25">
      <c r="A9" s="588"/>
      <c r="B9" s="95">
        <f>VAC_Optim_Scenario!G24</f>
        <v>824178.68500000006</v>
      </c>
      <c r="C9" s="95">
        <f>VAC_Optim_Scenario!H24</f>
        <v>4945072.1100000003</v>
      </c>
      <c r="D9" s="68">
        <f>VAC_Optim_Scenario!I24</f>
        <v>4945072.1100000003</v>
      </c>
      <c r="E9" s="84">
        <f>((($R$12/(1+EXP($P$12+$Q$12*D9)))-1) - ($F$12-$C$12))*$I$12</f>
        <v>204774.86350569315</v>
      </c>
      <c r="F9" s="89">
        <f>E9*$G$12</f>
        <v>204774.86350569315</v>
      </c>
      <c r="G9" s="95">
        <f>VAC_Optim_Scenario!E24</f>
        <v>1648357.37</v>
      </c>
      <c r="H9" s="85">
        <f>((($R$12/(1+EXP($P$12+$Q$12*G9)))-1) - ($F$12-$C$12))*$I$12</f>
        <v>104116.36986385845</v>
      </c>
      <c r="I9" s="90">
        <f>H9*$G$12</f>
        <v>104116.36986385845</v>
      </c>
      <c r="J9" s="87">
        <f>G9/I9</f>
        <v>15.831875161949808</v>
      </c>
      <c r="K9" s="98" t="s">
        <v>198</v>
      </c>
    </row>
    <row r="10" spans="1:18" ht="13.5" thickBot="1" x14ac:dyDescent="0.25"/>
    <row r="11" spans="1:18" ht="51.6" customHeight="1" x14ac:dyDescent="0.2">
      <c r="A11" s="587" t="s">
        <v>15</v>
      </c>
      <c r="B11" s="325" t="s">
        <v>16</v>
      </c>
      <c r="C11" s="325" t="s">
        <v>17</v>
      </c>
      <c r="D11" s="325" t="s">
        <v>18</v>
      </c>
      <c r="E11" s="325" t="s">
        <v>19</v>
      </c>
      <c r="F11" s="326" t="s">
        <v>109</v>
      </c>
      <c r="G11" s="324" t="s">
        <v>118</v>
      </c>
      <c r="H11" s="325" t="s">
        <v>119</v>
      </c>
      <c r="I11" s="92" t="s">
        <v>122</v>
      </c>
      <c r="K11" s="579" t="s">
        <v>25</v>
      </c>
      <c r="L11" s="325" t="s">
        <v>110</v>
      </c>
      <c r="M11" s="325" t="s">
        <v>111</v>
      </c>
      <c r="N11" s="325" t="s">
        <v>112</v>
      </c>
      <c r="O11" s="325" t="s">
        <v>113</v>
      </c>
      <c r="P11" s="325" t="s">
        <v>26</v>
      </c>
      <c r="Q11" s="325" t="s">
        <v>27</v>
      </c>
      <c r="R11" s="326" t="s">
        <v>28</v>
      </c>
    </row>
    <row r="12" spans="1:18" ht="15" customHeight="1" thickBot="1" x14ac:dyDescent="0.25">
      <c r="A12" s="588"/>
      <c r="B12" s="95">
        <f>'[12]HCC Display'!$B$12</f>
        <v>1648357.37</v>
      </c>
      <c r="C12" s="95">
        <f>'[12]HCC Display'!$C$12</f>
        <v>104116.3698638577</v>
      </c>
      <c r="D12" s="95">
        <f>'[12]HCC Display'!$D$12</f>
        <v>0</v>
      </c>
      <c r="E12" s="95">
        <f>'[12]HCC Display'!$E$12</f>
        <v>260290.92465964428</v>
      </c>
      <c r="F12" s="95">
        <f>'[12]HCC Display'!$F$12</f>
        <v>8649234</v>
      </c>
      <c r="G12" s="91">
        <f>VAC_Optim_Scenario!$D$46</f>
        <v>1</v>
      </c>
      <c r="H12" s="71">
        <f>C12*G12</f>
        <v>104116.3698638577</v>
      </c>
      <c r="I12" s="115">
        <f>VAC_Optim_Scenario!D22</f>
        <v>1</v>
      </c>
      <c r="K12" s="580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581" t="s">
        <v>114</v>
      </c>
      <c r="B13" s="582"/>
      <c r="C13" s="582"/>
      <c r="D13" s="582"/>
      <c r="E13" s="582"/>
      <c r="F13" s="583"/>
      <c r="G13" s="323" t="s">
        <v>150</v>
      </c>
      <c r="H13" s="323" t="s">
        <v>151</v>
      </c>
      <c r="K13" s="581" t="s">
        <v>115</v>
      </c>
      <c r="L13" s="582"/>
      <c r="M13" s="582"/>
      <c r="N13" s="582"/>
      <c r="O13" s="582"/>
      <c r="P13" s="582"/>
      <c r="Q13" s="582"/>
      <c r="R13" s="583"/>
    </row>
    <row r="14" spans="1:18" ht="33.6" customHeight="1" thickBot="1" x14ac:dyDescent="0.25">
      <c r="A14" s="584"/>
      <c r="B14" s="585"/>
      <c r="C14" s="585"/>
      <c r="D14" s="585"/>
      <c r="E14" s="585"/>
      <c r="F14" s="586"/>
      <c r="G14" s="95">
        <f>VAC_Optim_Scenario!$I$46</f>
        <v>225.94</v>
      </c>
      <c r="H14" s="95">
        <f>VAC_Optim_Scenario!$F$46</f>
        <v>225.94</v>
      </c>
      <c r="K14" s="584"/>
      <c r="L14" s="585"/>
      <c r="M14" s="585"/>
      <c r="N14" s="585"/>
      <c r="O14" s="585"/>
      <c r="P14" s="585"/>
      <c r="Q14" s="585"/>
      <c r="R14" s="586"/>
    </row>
    <row r="16" spans="1:18" ht="13.5" thickBot="1" x14ac:dyDescent="0.25"/>
    <row r="17" spans="1:8" ht="42.6" customHeight="1" x14ac:dyDescent="0.2">
      <c r="A17" s="579" t="s">
        <v>34</v>
      </c>
      <c r="B17" s="325" t="s">
        <v>32</v>
      </c>
      <c r="C17" s="325" t="s">
        <v>31</v>
      </c>
      <c r="D17" s="326" t="s">
        <v>33</v>
      </c>
      <c r="F17" s="82"/>
      <c r="G17" s="82"/>
      <c r="H17" s="83"/>
    </row>
    <row r="18" spans="1:8" ht="23.65" customHeight="1" thickBot="1" x14ac:dyDescent="0.25">
      <c r="A18" s="580"/>
      <c r="B18" s="75">
        <v>0</v>
      </c>
      <c r="C18" s="76">
        <v>4000000</v>
      </c>
      <c r="D18" s="26">
        <v>20</v>
      </c>
    </row>
    <row r="20" spans="1:8" x14ac:dyDescent="0.2">
      <c r="A20" s="560" t="s">
        <v>37</v>
      </c>
      <c r="B20" s="560"/>
      <c r="C20" s="560"/>
    </row>
    <row r="21" spans="1:8" ht="25.5" x14ac:dyDescent="0.2">
      <c r="A21" s="323" t="s">
        <v>35</v>
      </c>
      <c r="B21" s="323" t="s">
        <v>120</v>
      </c>
      <c r="C21" s="323" t="s">
        <v>199</v>
      </c>
      <c r="D21" s="98" t="s">
        <v>121</v>
      </c>
      <c r="E21" s="323" t="s">
        <v>152</v>
      </c>
    </row>
    <row r="22" spans="1:8" x14ac:dyDescent="0.2">
      <c r="A22" s="86">
        <v>0</v>
      </c>
      <c r="B22" s="79">
        <f t="shared" ref="B22:B44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15557.504463624209</v>
      </c>
      <c r="C23" s="79">
        <f t="shared" ref="C23:C42" si="1">B23*$G$12</f>
        <v>15557.504463624209</v>
      </c>
      <c r="D23" s="98">
        <f>(B23-B22)/A23</f>
        <v>7.7787522318121041E-2</v>
      </c>
      <c r="E23" s="116">
        <f t="shared" ref="E23:E42" si="2">B23*$H$14</f>
        <v>3515062.5585112539</v>
      </c>
    </row>
    <row r="24" spans="1:8" x14ac:dyDescent="0.2">
      <c r="A24" s="86">
        <f t="shared" ref="A24:A44" si="3">A23+(($C$18-$B$18)/$D$18)</f>
        <v>400000</v>
      </c>
      <c r="B24" s="79">
        <f t="shared" si="0"/>
        <v>30210.178954537958</v>
      </c>
      <c r="C24" s="79">
        <f t="shared" si="1"/>
        <v>30210.178954537958</v>
      </c>
      <c r="D24" s="98">
        <f t="shared" ref="D24:D42" si="4">(B24-B23)/A24</f>
        <v>3.6631686227284369E-2</v>
      </c>
      <c r="E24" s="116">
        <f t="shared" si="2"/>
        <v>6825687.8329883059</v>
      </c>
    </row>
    <row r="25" spans="1:8" x14ac:dyDescent="0.2">
      <c r="A25" s="86">
        <f t="shared" si="3"/>
        <v>600000</v>
      </c>
      <c r="B25" s="79">
        <f t="shared" si="0"/>
        <v>44007.733169870451</v>
      </c>
      <c r="C25" s="79">
        <f t="shared" si="1"/>
        <v>44007.733169870451</v>
      </c>
      <c r="D25" s="98">
        <f t="shared" si="4"/>
        <v>2.299592369222082E-2</v>
      </c>
      <c r="E25" s="116">
        <f t="shared" si="2"/>
        <v>9943107.2324005291</v>
      </c>
    </row>
    <row r="26" spans="1:8" x14ac:dyDescent="0.2">
      <c r="A26" s="86">
        <f t="shared" si="3"/>
        <v>800000</v>
      </c>
      <c r="B26" s="79">
        <f t="shared" si="0"/>
        <v>56997.486703637987</v>
      </c>
      <c r="C26" s="79">
        <f t="shared" si="1"/>
        <v>56997.486703637987</v>
      </c>
      <c r="D26" s="98">
        <f t="shared" si="4"/>
        <v>1.6237191917209421E-2</v>
      </c>
      <c r="E26" s="116">
        <f t="shared" si="2"/>
        <v>12878012.145819968</v>
      </c>
    </row>
    <row r="27" spans="1:8" x14ac:dyDescent="0.2">
      <c r="A27" s="86">
        <f t="shared" si="3"/>
        <v>1000000</v>
      </c>
      <c r="B27" s="79">
        <f t="shared" si="0"/>
        <v>69224.443148005754</v>
      </c>
      <c r="C27" s="79">
        <f t="shared" si="1"/>
        <v>69224.443148005754</v>
      </c>
      <c r="D27" s="98">
        <f t="shared" si="4"/>
        <v>1.2226956444367767E-2</v>
      </c>
      <c r="E27" s="116">
        <f t="shared" si="2"/>
        <v>15640570.684860419</v>
      </c>
    </row>
    <row r="28" spans="1:8" x14ac:dyDescent="0.2">
      <c r="A28" s="86">
        <f t="shared" si="3"/>
        <v>1200000</v>
      </c>
      <c r="B28" s="79">
        <f t="shared" si="0"/>
        <v>80731.367248687893</v>
      </c>
      <c r="C28" s="79">
        <f t="shared" si="1"/>
        <v>80731.367248687893</v>
      </c>
      <c r="D28" s="98">
        <f t="shared" si="4"/>
        <v>9.5891034172351161E-3</v>
      </c>
      <c r="E28" s="116">
        <f t="shared" si="2"/>
        <v>18240445.116168544</v>
      </c>
    </row>
    <row r="29" spans="1:8" x14ac:dyDescent="0.2">
      <c r="A29" s="86">
        <f t="shared" si="3"/>
        <v>1400000</v>
      </c>
      <c r="B29" s="79">
        <f t="shared" si="0"/>
        <v>91558.864192372188</v>
      </c>
      <c r="C29" s="79">
        <f t="shared" si="1"/>
        <v>91558.864192372188</v>
      </c>
      <c r="D29" s="98">
        <f t="shared" si="4"/>
        <v>7.7339263883459252E-3</v>
      </c>
      <c r="E29" s="116">
        <f t="shared" si="2"/>
        <v>20686809.775624573</v>
      </c>
    </row>
    <row r="30" spans="1:8" x14ac:dyDescent="0.2">
      <c r="A30" s="86">
        <f t="shared" si="3"/>
        <v>1600000</v>
      </c>
      <c r="B30" s="79">
        <f t="shared" si="0"/>
        <v>101745.4602210708</v>
      </c>
      <c r="C30" s="79">
        <f t="shared" si="1"/>
        <v>101745.4602210708</v>
      </c>
      <c r="D30" s="98">
        <f t="shared" si="4"/>
        <v>6.3666225179366299E-3</v>
      </c>
      <c r="E30" s="116">
        <f t="shared" si="2"/>
        <v>22988369.282348737</v>
      </c>
    </row>
    <row r="31" spans="1:8" x14ac:dyDescent="0.2">
      <c r="A31" s="86">
        <f t="shared" si="3"/>
        <v>1800000</v>
      </c>
      <c r="B31" s="79">
        <f t="shared" si="0"/>
        <v>111327.68387522176</v>
      </c>
      <c r="C31" s="79">
        <f t="shared" si="1"/>
        <v>111327.68387522176</v>
      </c>
      <c r="D31" s="98">
        <f t="shared" si="4"/>
        <v>5.3234575856394234E-3</v>
      </c>
      <c r="E31" s="116">
        <f t="shared" si="2"/>
        <v>25153376.894767605</v>
      </c>
    </row>
    <row r="32" spans="1:8" x14ac:dyDescent="0.2">
      <c r="A32" s="86">
        <f t="shared" si="3"/>
        <v>2000000</v>
      </c>
      <c r="B32" s="79">
        <f t="shared" si="0"/>
        <v>120340.14726417325</v>
      </c>
      <c r="C32" s="79">
        <f t="shared" si="1"/>
        <v>120340.14726417325</v>
      </c>
      <c r="D32" s="98">
        <f t="shared" si="4"/>
        <v>4.506231694475748E-3</v>
      </c>
      <c r="E32" s="116">
        <f t="shared" si="2"/>
        <v>27189652.872867305</v>
      </c>
    </row>
    <row r="33" spans="1:5" x14ac:dyDescent="0.2">
      <c r="A33" s="86">
        <f t="shared" si="3"/>
        <v>2200000</v>
      </c>
      <c r="B33" s="79">
        <f t="shared" si="0"/>
        <v>128815.62685035542</v>
      </c>
      <c r="C33" s="79">
        <f t="shared" si="1"/>
        <v>128815.62685035542</v>
      </c>
      <c r="D33" s="98">
        <f t="shared" si="4"/>
        <v>3.8524907209918917E-3</v>
      </c>
      <c r="E33" s="116">
        <f t="shared" si="2"/>
        <v>29104602.730569303</v>
      </c>
    </row>
    <row r="34" spans="1:5" x14ac:dyDescent="0.2">
      <c r="A34" s="86">
        <f t="shared" si="3"/>
        <v>2400000</v>
      </c>
      <c r="B34" s="79">
        <f t="shared" si="0"/>
        <v>136785.1433120314</v>
      </c>
      <c r="C34" s="79">
        <f t="shared" si="1"/>
        <v>136785.1433120314</v>
      </c>
      <c r="D34" s="98">
        <f t="shared" si="4"/>
        <v>3.320631859031661E-3</v>
      </c>
      <c r="E34" s="116">
        <f t="shared" si="2"/>
        <v>30905235.279920373</v>
      </c>
    </row>
    <row r="35" spans="1:5" x14ac:dyDescent="0.2">
      <c r="A35" s="86">
        <f t="shared" si="3"/>
        <v>2600000</v>
      </c>
      <c r="B35" s="79">
        <f t="shared" si="0"/>
        <v>144278.04012008384</v>
      </c>
      <c r="C35" s="79">
        <f t="shared" si="1"/>
        <v>144278.04012008384</v>
      </c>
      <c r="D35" s="98">
        <f t="shared" si="4"/>
        <v>2.881883387712475E-3</v>
      </c>
      <c r="E35" s="116">
        <f t="shared" si="2"/>
        <v>32598180.384731743</v>
      </c>
    </row>
    <row r="36" spans="1:5" x14ac:dyDescent="0.2">
      <c r="A36" s="86">
        <f t="shared" si="3"/>
        <v>2800000</v>
      </c>
      <c r="B36" s="79">
        <f t="shared" si="0"/>
        <v>151322.0605268646</v>
      </c>
      <c r="C36" s="79">
        <f t="shared" si="1"/>
        <v>151322.0605268646</v>
      </c>
      <c r="D36" s="98">
        <f t="shared" si="4"/>
        <v>2.5157215738502731E-3</v>
      </c>
      <c r="E36" s="116">
        <f t="shared" si="2"/>
        <v>34189706.35543979</v>
      </c>
    </row>
    <row r="37" spans="1:5" x14ac:dyDescent="0.2">
      <c r="A37" s="86">
        <f t="shared" si="3"/>
        <v>3000000</v>
      </c>
      <c r="B37" s="79">
        <f t="shared" si="0"/>
        <v>157943.42272098549</v>
      </c>
      <c r="C37" s="79">
        <f t="shared" si="1"/>
        <v>157943.42272098549</v>
      </c>
      <c r="D37" s="98">
        <f t="shared" si="4"/>
        <v>2.2071207313736278E-3</v>
      </c>
      <c r="E37" s="116">
        <f t="shared" si="2"/>
        <v>35685736.929579459</v>
      </c>
    </row>
    <row r="38" spans="1:5" x14ac:dyDescent="0.2">
      <c r="A38" s="86">
        <f t="shared" si="3"/>
        <v>3200000</v>
      </c>
      <c r="B38" s="79">
        <f t="shared" si="0"/>
        <v>164166.89295089245</v>
      </c>
      <c r="C38" s="79">
        <f t="shared" si="1"/>
        <v>164166.89295089245</v>
      </c>
      <c r="D38" s="98">
        <f t="shared" si="4"/>
        <v>1.9448344468459254E-3</v>
      </c>
      <c r="E38" s="116">
        <f t="shared" si="2"/>
        <v>37091867.793324642</v>
      </c>
    </row>
    <row r="39" spans="1:5" x14ac:dyDescent="0.2">
      <c r="A39" s="86">
        <f t="shared" si="3"/>
        <v>3400000</v>
      </c>
      <c r="B39" s="79">
        <f t="shared" si="0"/>
        <v>170015.85646333545</v>
      </c>
      <c r="C39" s="79">
        <f t="shared" si="1"/>
        <v>170015.85646333545</v>
      </c>
      <c r="D39" s="98">
        <f t="shared" si="4"/>
        <v>1.7202833860126489E-3</v>
      </c>
      <c r="E39" s="116">
        <f t="shared" si="2"/>
        <v>38413382.609326012</v>
      </c>
    </row>
    <row r="40" spans="1:5" x14ac:dyDescent="0.2">
      <c r="A40" s="86">
        <f t="shared" si="3"/>
        <v>3600000</v>
      </c>
      <c r="B40" s="79">
        <f t="shared" si="0"/>
        <v>175512.38614063896</v>
      </c>
      <c r="C40" s="79">
        <f t="shared" si="1"/>
        <v>175512.38614063896</v>
      </c>
      <c r="D40" s="98">
        <f t="shared" si="4"/>
        <v>1.5268137992509743E-3</v>
      </c>
      <c r="E40" s="116">
        <f t="shared" si="2"/>
        <v>39655268.524615966</v>
      </c>
    </row>
    <row r="41" spans="1:5" x14ac:dyDescent="0.2">
      <c r="A41" s="86">
        <f t="shared" si="3"/>
        <v>3800000</v>
      </c>
      <c r="B41" s="79">
        <f t="shared" si="0"/>
        <v>180677.30875347368</v>
      </c>
      <c r="C41" s="79">
        <f t="shared" si="1"/>
        <v>180677.30875347368</v>
      </c>
      <c r="D41" s="98">
        <f t="shared" si="4"/>
        <v>1.3591901612722951E-3</v>
      </c>
      <c r="E41" s="116">
        <f t="shared" si="2"/>
        <v>40822231.139759846</v>
      </c>
    </row>
    <row r="42" spans="1:5" x14ac:dyDescent="0.2">
      <c r="A42" s="86">
        <f t="shared" si="3"/>
        <v>4000000</v>
      </c>
      <c r="B42" s="79">
        <f t="shared" si="0"/>
        <v>185530.26877435111</v>
      </c>
      <c r="C42" s="79">
        <f t="shared" si="1"/>
        <v>185530.26877435111</v>
      </c>
      <c r="D42" s="98">
        <f t="shared" si="4"/>
        <v>1.2132400052193553E-3</v>
      </c>
      <c r="E42" s="116">
        <f t="shared" si="2"/>
        <v>41918708.926876888</v>
      </c>
    </row>
    <row r="43" spans="1:5" x14ac:dyDescent="0.2">
      <c r="A43" s="86">
        <f t="shared" si="3"/>
        <v>4200000</v>
      </c>
      <c r="B43" s="79">
        <f t="shared" si="0"/>
        <v>190089.78972152248</v>
      </c>
    </row>
    <row r="44" spans="1:5" x14ac:dyDescent="0.2">
      <c r="A44" s="86">
        <f t="shared" si="3"/>
        <v>4400000</v>
      </c>
      <c r="B44" s="79">
        <f t="shared" si="0"/>
        <v>194373.33302392811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A5645-F7B0-434B-A606-23154799B373}">
  <sheetPr codeName="Sheet19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98"/>
      <c r="C4" s="599"/>
      <c r="D4" s="599"/>
      <c r="E4" s="599"/>
      <c r="F4" s="60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87" t="s">
        <v>8</v>
      </c>
      <c r="B7" s="592" t="s">
        <v>9</v>
      </c>
      <c r="C7" s="592"/>
      <c r="D7" s="592" t="s">
        <v>12</v>
      </c>
      <c r="E7" s="592"/>
      <c r="F7" s="592"/>
      <c r="G7" s="592" t="s">
        <v>124</v>
      </c>
      <c r="H7" s="592"/>
      <c r="I7" s="597"/>
    </row>
    <row r="8" spans="1:9" x14ac:dyDescent="0.25">
      <c r="A8" s="591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88"/>
      <c r="B9" s="157">
        <f>VAC_Optim_Scenario!G34</f>
        <v>1429713.41</v>
      </c>
      <c r="C9" s="157">
        <f>VAC_Optim_Scenario!H34</f>
        <v>8578280.459999999</v>
      </c>
      <c r="D9" s="158">
        <f>VAC_Optim_Scenario!I34</f>
        <v>8578280.459999999</v>
      </c>
      <c r="E9" s="84">
        <f>((GDISP_adt!D9/$B$12)^$D$12)*$C$12*$F$12</f>
        <v>147047.5162327154</v>
      </c>
      <c r="F9" s="84">
        <f>E9*F11</f>
        <v>147047.5162327154</v>
      </c>
      <c r="G9" s="76">
        <f>VAC_Optim_Scenario!E34</f>
        <v>2859426.82</v>
      </c>
      <c r="H9" s="159">
        <f>((GDISP_adt!G9/$B$12)^$D$12)*$C$12*$F$12</f>
        <v>76065.012406995462</v>
      </c>
      <c r="I9" s="160">
        <f>H9*F11</f>
        <v>76065.012406995462</v>
      </c>
    </row>
    <row r="10" spans="1:9" ht="15.75" thickBot="1" x14ac:dyDescent="0.3"/>
    <row r="11" spans="1:9" ht="48.95" customHeight="1" x14ac:dyDescent="0.25">
      <c r="A11" s="560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60"/>
      <c r="B12" s="162">
        <f>'[13]HCC Display - Power'!$B$12</f>
        <v>2859426.82</v>
      </c>
      <c r="C12" s="162">
        <f>'[13]HCC Display - Power'!$C$12</f>
        <v>76065.012406995462</v>
      </c>
      <c r="D12" s="333">
        <f>'[13]HCC Display - Power'!$D$12</f>
        <v>0.6</v>
      </c>
      <c r="E12" s="338" t="s">
        <v>122</v>
      </c>
      <c r="F12" s="163">
        <f>VAC_Optim_Scenario!D34</f>
        <v>1</v>
      </c>
      <c r="G12" s="267">
        <f>B12*2</f>
        <v>5718853.6399999997</v>
      </c>
    </row>
    <row r="13" spans="1:9" ht="18.75" customHeight="1" x14ac:dyDescent="0.25">
      <c r="A13" s="581" t="s">
        <v>171</v>
      </c>
      <c r="B13" s="582"/>
      <c r="C13" s="582"/>
      <c r="D13" s="582"/>
      <c r="E13" s="338" t="s">
        <v>172</v>
      </c>
      <c r="F13" s="338" t="s">
        <v>173</v>
      </c>
    </row>
    <row r="14" spans="1:9" ht="15.75" thickBot="1" x14ac:dyDescent="0.3">
      <c r="A14" s="584"/>
      <c r="B14" s="585"/>
      <c r="C14" s="585"/>
      <c r="D14" s="585"/>
      <c r="E14" s="95">
        <f>VAC_Optim_Scenario!$I$46</f>
        <v>225.94</v>
      </c>
      <c r="F14" s="95">
        <f>VAC_Optim_Scenario!$F$46</f>
        <v>225.94</v>
      </c>
    </row>
    <row r="15" spans="1:9" ht="15.75" thickBot="1" x14ac:dyDescent="0.3"/>
    <row r="16" spans="1:9" x14ac:dyDescent="0.25">
      <c r="A16" s="579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80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0" t="s">
        <v>37</v>
      </c>
      <c r="B19" s="560"/>
      <c r="C19" s="560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17627.127824775001</v>
      </c>
      <c r="C22" s="165">
        <f t="shared" ref="C22:C41" si="1">B22*$F$14</f>
        <v>3982673.260729664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26717.729664007864</v>
      </c>
      <c r="C23" s="165">
        <f t="shared" si="1"/>
        <v>6036603.8402859364</v>
      </c>
    </row>
    <row r="24" spans="1:4" x14ac:dyDescent="0.25">
      <c r="A24" s="164">
        <f t="shared" si="2"/>
        <v>750000</v>
      </c>
      <c r="B24" s="159">
        <f t="shared" si="0"/>
        <v>34076.447014572113</v>
      </c>
      <c r="C24" s="165">
        <f t="shared" si="1"/>
        <v>7699232.4384724228</v>
      </c>
    </row>
    <row r="25" spans="1:4" x14ac:dyDescent="0.25">
      <c r="A25" s="164">
        <f t="shared" si="2"/>
        <v>1000000</v>
      </c>
      <c r="B25" s="159">
        <f t="shared" si="0"/>
        <v>40496.50547128301</v>
      </c>
      <c r="C25" s="165">
        <f t="shared" si="1"/>
        <v>9149780.4461816829</v>
      </c>
    </row>
    <row r="26" spans="1:4" x14ac:dyDescent="0.25">
      <c r="A26" s="164">
        <f t="shared" si="2"/>
        <v>1250000</v>
      </c>
      <c r="B26" s="159">
        <f t="shared" si="0"/>
        <v>46298.141343550837</v>
      </c>
      <c r="C26" s="165">
        <f t="shared" si="1"/>
        <v>10460602.055161877</v>
      </c>
    </row>
    <row r="27" spans="1:4" x14ac:dyDescent="0.25">
      <c r="A27" s="164">
        <f t="shared" si="2"/>
        <v>1500000</v>
      </c>
      <c r="B27" s="159">
        <f t="shared" si="0"/>
        <v>51650.235267800737</v>
      </c>
      <c r="C27" s="165">
        <f t="shared" si="1"/>
        <v>11669854.156406898</v>
      </c>
    </row>
    <row r="28" spans="1:4" x14ac:dyDescent="0.25">
      <c r="A28" s="164">
        <f t="shared" si="2"/>
        <v>1750000</v>
      </c>
      <c r="B28" s="159">
        <f t="shared" si="0"/>
        <v>56655.278384023426</v>
      </c>
      <c r="C28" s="165">
        <f t="shared" si="1"/>
        <v>12800693.598086253</v>
      </c>
    </row>
    <row r="29" spans="1:4" x14ac:dyDescent="0.25">
      <c r="A29" s="164">
        <f t="shared" si="2"/>
        <v>2000000</v>
      </c>
      <c r="B29" s="159">
        <f t="shared" si="0"/>
        <v>61381.22422860263</v>
      </c>
      <c r="C29" s="165">
        <f t="shared" si="1"/>
        <v>13868473.802210478</v>
      </c>
    </row>
    <row r="30" spans="1:4" x14ac:dyDescent="0.25">
      <c r="A30" s="164">
        <f t="shared" si="2"/>
        <v>2250000</v>
      </c>
      <c r="B30" s="159">
        <f t="shared" si="0"/>
        <v>65875.975523639368</v>
      </c>
      <c r="C30" s="165">
        <f t="shared" si="1"/>
        <v>14884017.90981108</v>
      </c>
    </row>
    <row r="31" spans="1:4" x14ac:dyDescent="0.25">
      <c r="A31" s="164">
        <f t="shared" si="2"/>
        <v>2500000</v>
      </c>
      <c r="B31" s="159">
        <f t="shared" si="0"/>
        <v>70174.859833059978</v>
      </c>
      <c r="C31" s="165">
        <f t="shared" si="1"/>
        <v>15855307.830681572</v>
      </c>
    </row>
    <row r="32" spans="1:4" x14ac:dyDescent="0.25">
      <c r="A32" s="164">
        <f t="shared" si="2"/>
        <v>2750000</v>
      </c>
      <c r="B32" s="159">
        <f t="shared" si="0"/>
        <v>74304.850537621896</v>
      </c>
      <c r="C32" s="165">
        <f t="shared" si="1"/>
        <v>16788437.930470292</v>
      </c>
    </row>
    <row r="33" spans="1:3" x14ac:dyDescent="0.25">
      <c r="A33" s="164">
        <f t="shared" si="2"/>
        <v>3000000</v>
      </c>
      <c r="B33" s="159">
        <f t="shared" si="0"/>
        <v>78287.117259565202</v>
      </c>
      <c r="C33" s="165">
        <f t="shared" si="1"/>
        <v>17688191.27362616</v>
      </c>
    </row>
    <row r="34" spans="1:3" x14ac:dyDescent="0.25">
      <c r="A34" s="164">
        <f t="shared" si="2"/>
        <v>3250000</v>
      </c>
      <c r="B34" s="159">
        <f t="shared" si="0"/>
        <v>82138.650862126422</v>
      </c>
      <c r="C34" s="165">
        <f t="shared" si="1"/>
        <v>18558406.775788844</v>
      </c>
    </row>
    <row r="35" spans="1:3" x14ac:dyDescent="0.25">
      <c r="A35" s="164">
        <f t="shared" si="2"/>
        <v>3500000</v>
      </c>
      <c r="B35" s="159">
        <f t="shared" si="0"/>
        <v>85873.344026922772</v>
      </c>
      <c r="C35" s="165">
        <f t="shared" si="1"/>
        <v>19402223.349442933</v>
      </c>
    </row>
    <row r="36" spans="1:3" x14ac:dyDescent="0.25">
      <c r="A36" s="164">
        <f t="shared" si="2"/>
        <v>3750000</v>
      </c>
      <c r="B36" s="159">
        <f t="shared" si="0"/>
        <v>89502.735559065375</v>
      </c>
      <c r="C36" s="165">
        <f t="shared" si="1"/>
        <v>20222248.072215229</v>
      </c>
    </row>
    <row r="37" spans="1:3" x14ac:dyDescent="0.25">
      <c r="A37" s="164">
        <f t="shared" si="2"/>
        <v>4000000</v>
      </c>
      <c r="B37" s="159">
        <f t="shared" si="0"/>
        <v>93036.538435982438</v>
      </c>
      <c r="C37" s="165">
        <f t="shared" si="1"/>
        <v>21020675.494225871</v>
      </c>
    </row>
    <row r="38" spans="1:3" x14ac:dyDescent="0.25">
      <c r="A38" s="164">
        <f t="shared" si="2"/>
        <v>4250000</v>
      </c>
      <c r="B38" s="159">
        <f t="shared" si="0"/>
        <v>96483.023973043382</v>
      </c>
      <c r="C38" s="165">
        <f t="shared" si="1"/>
        <v>21799374.436469421</v>
      </c>
    </row>
    <row r="39" spans="1:3" x14ac:dyDescent="0.25">
      <c r="A39" s="164">
        <f t="shared" si="2"/>
        <v>4500000</v>
      </c>
      <c r="B39" s="159">
        <f t="shared" si="0"/>
        <v>99849.307436213683</v>
      </c>
      <c r="C39" s="165">
        <f t="shared" si="1"/>
        <v>22559952.522138119</v>
      </c>
    </row>
    <row r="40" spans="1:3" x14ac:dyDescent="0.25">
      <c r="A40" s="164">
        <f t="shared" si="2"/>
        <v>4750000</v>
      </c>
      <c r="B40" s="159">
        <f t="shared" si="0"/>
        <v>103141.56443270072</v>
      </c>
      <c r="C40" s="165">
        <f t="shared" si="1"/>
        <v>23303805.067924399</v>
      </c>
    </row>
    <row r="41" spans="1:3" x14ac:dyDescent="0.25">
      <c r="A41" s="164">
        <f t="shared" si="2"/>
        <v>5000000</v>
      </c>
      <c r="B41" s="159">
        <f t="shared" si="0"/>
        <v>106365.19760151411</v>
      </c>
      <c r="C41" s="165">
        <f t="shared" si="1"/>
        <v>24032152.746086098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pageSetUpPr autoPageBreaks="0"/>
  </sheetPr>
  <dimension ref="A1:I41"/>
  <sheetViews>
    <sheetView workbookViewId="0">
      <selection activeCell="G4" sqref="G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304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267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98"/>
      <c r="C4" s="599"/>
      <c r="D4" s="599"/>
      <c r="E4" s="599"/>
      <c r="F4" s="60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0.7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87" t="s">
        <v>8</v>
      </c>
      <c r="B7" s="592" t="s">
        <v>9</v>
      </c>
      <c r="C7" s="592"/>
      <c r="D7" s="592" t="s">
        <v>12</v>
      </c>
      <c r="E7" s="592"/>
      <c r="F7" s="592"/>
      <c r="G7" s="592" t="s">
        <v>124</v>
      </c>
      <c r="H7" s="592"/>
      <c r="I7" s="597"/>
    </row>
    <row r="8" spans="1:9" x14ac:dyDescent="0.25">
      <c r="A8" s="591"/>
      <c r="B8" s="147" t="s">
        <v>10</v>
      </c>
      <c r="C8" s="147" t="s">
        <v>11</v>
      </c>
      <c r="D8" s="147" t="s">
        <v>20</v>
      </c>
      <c r="E8" s="147" t="s">
        <v>21</v>
      </c>
      <c r="F8" s="147" t="s">
        <v>117</v>
      </c>
      <c r="G8" s="147" t="s">
        <v>22</v>
      </c>
      <c r="H8" s="147" t="s">
        <v>23</v>
      </c>
      <c r="I8" s="4" t="s">
        <v>123</v>
      </c>
    </row>
    <row r="9" spans="1:9" ht="15.75" thickBot="1" x14ac:dyDescent="0.3">
      <c r="A9" s="588"/>
      <c r="B9" s="157">
        <f>VAC_Optim_Scenario!G25</f>
        <v>172353.5</v>
      </c>
      <c r="C9" s="157">
        <f>VAC_Optim_Scenario!H25</f>
        <v>1034121</v>
      </c>
      <c r="D9" s="158">
        <f>VAC_Optim_Scenario!I25</f>
        <v>1034121</v>
      </c>
      <c r="E9" s="84">
        <f>((GSEARCH!D9/$B$12)^$D$12)*$C$12*$F$12</f>
        <v>281994.61894550535</v>
      </c>
      <c r="F9" s="84">
        <f>E9*F11</f>
        <v>281994.61894550535</v>
      </c>
      <c r="G9" s="76">
        <f>VAC_Optim_Scenario!E25</f>
        <v>344707</v>
      </c>
      <c r="H9" s="159">
        <f>((GSEARCH!G9/$B$12)^$D$12)*$C$12*$F$12</f>
        <v>130694.08808973072</v>
      </c>
      <c r="I9" s="160">
        <f>H9*F11</f>
        <v>130694.08808973072</v>
      </c>
    </row>
    <row r="10" spans="1:9" ht="15.75" thickBot="1" x14ac:dyDescent="0.3"/>
    <row r="11" spans="1:9" ht="48.95" customHeight="1" x14ac:dyDescent="0.25">
      <c r="A11" s="560" t="s">
        <v>15</v>
      </c>
      <c r="B11" s="148" t="s">
        <v>16</v>
      </c>
      <c r="C11" s="148" t="s">
        <v>17</v>
      </c>
      <c r="D11" s="148" t="s">
        <v>170</v>
      </c>
      <c r="E11" s="147" t="s">
        <v>126</v>
      </c>
      <c r="F11" s="161">
        <v>1</v>
      </c>
    </row>
    <row r="12" spans="1:9" ht="40.5" customHeight="1" thickBot="1" x14ac:dyDescent="0.3">
      <c r="A12" s="560"/>
      <c r="B12" s="162">
        <f>'[14]HCC Paid Search - Power'!$B$12</f>
        <v>344707</v>
      </c>
      <c r="C12" s="162">
        <f>'[14]HCC Paid Search - Power'!$C$12</f>
        <v>130694.08808973072</v>
      </c>
      <c r="D12" s="317">
        <f>'[14]HCC Paid Search - Power'!$D$12</f>
        <v>0.7</v>
      </c>
      <c r="E12" s="147" t="s">
        <v>122</v>
      </c>
      <c r="F12" s="163">
        <f>VAC_Optim_Scenario!D25</f>
        <v>1</v>
      </c>
    </row>
    <row r="13" spans="1:9" ht="18.75" customHeight="1" x14ac:dyDescent="0.25">
      <c r="A13" s="581" t="s">
        <v>171</v>
      </c>
      <c r="B13" s="582"/>
      <c r="C13" s="582"/>
      <c r="D13" s="582"/>
      <c r="E13" s="147" t="s">
        <v>172</v>
      </c>
      <c r="F13" s="147" t="s">
        <v>173</v>
      </c>
    </row>
    <row r="14" spans="1:9" ht="15.75" thickBot="1" x14ac:dyDescent="0.3">
      <c r="A14" s="584"/>
      <c r="B14" s="585"/>
      <c r="C14" s="585"/>
      <c r="D14" s="585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79" t="s">
        <v>34</v>
      </c>
      <c r="B16" s="148" t="s">
        <v>32</v>
      </c>
      <c r="C16" s="148" t="s">
        <v>31</v>
      </c>
      <c r="D16" s="149" t="s">
        <v>33</v>
      </c>
    </row>
    <row r="17" spans="1:4" ht="15.75" thickBot="1" x14ac:dyDescent="0.3">
      <c r="A17" s="580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0" t="s">
        <v>37</v>
      </c>
      <c r="B19" s="560"/>
      <c r="C19" s="560"/>
      <c r="D19" s="98"/>
    </row>
    <row r="20" spans="1:4" ht="25.5" x14ac:dyDescent="0.25">
      <c r="A20" s="147" t="s">
        <v>35</v>
      </c>
      <c r="B20" s="147" t="s">
        <v>177</v>
      </c>
      <c r="C20" s="147" t="s">
        <v>174</v>
      </c>
    </row>
    <row r="21" spans="1:4" x14ac:dyDescent="0.25">
      <c r="A21" s="164">
        <f>B17</f>
        <v>0</v>
      </c>
      <c r="B21" s="159">
        <f>((GSEARCH!A21/$B$12)^$D$12)*$C$12*$F$12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150000</v>
      </c>
      <c r="B22" s="159">
        <f>((GSEARCH!A22/$B$12)^$D$12)*$C$12*$F$12</f>
        <v>72996.956333749695</v>
      </c>
      <c r="C22" s="165">
        <f t="shared" ref="C22:C41" si="0">B22*$F$14</f>
        <v>16492932.314047405</v>
      </c>
    </row>
    <row r="23" spans="1:4" x14ac:dyDescent="0.25">
      <c r="A23" s="164">
        <f t="shared" ref="A23:A41" si="1">A22+(($C$17-$B$17)/$D$17)</f>
        <v>300000</v>
      </c>
      <c r="B23" s="159">
        <f>((GSEARCH!A23/$B$12)^$D$12)*$C$12*$F$12</f>
        <v>118583.90541759932</v>
      </c>
      <c r="C23" s="165">
        <f t="shared" si="0"/>
        <v>26792847.590052392</v>
      </c>
    </row>
    <row r="24" spans="1:4" x14ac:dyDescent="0.25">
      <c r="A24" s="164">
        <f t="shared" si="1"/>
        <v>450000</v>
      </c>
      <c r="B24" s="159">
        <f>((GSEARCH!A24/$B$12)^$D$12)*$C$12*$F$12</f>
        <v>157503.29021297849</v>
      </c>
      <c r="C24" s="165">
        <f t="shared" si="0"/>
        <v>35586293.39072036</v>
      </c>
    </row>
    <row r="25" spans="1:4" x14ac:dyDescent="0.25">
      <c r="A25" s="164">
        <f t="shared" si="1"/>
        <v>600000</v>
      </c>
      <c r="B25" s="159">
        <f>((GSEARCH!A25/$B$12)^$D$12)*$C$12*$F$12</f>
        <v>192640.12268945246</v>
      </c>
      <c r="C25" s="165">
        <f t="shared" si="0"/>
        <v>43525109.320454888</v>
      </c>
    </row>
    <row r="26" spans="1:4" x14ac:dyDescent="0.25">
      <c r="A26" s="164">
        <f t="shared" si="1"/>
        <v>750000</v>
      </c>
      <c r="B26" s="159">
        <f>((GSEARCH!A26/$B$12)^$D$12)*$C$12*$F$12</f>
        <v>225207.96966708719</v>
      </c>
      <c r="C26" s="165">
        <f t="shared" si="0"/>
        <v>50883488.666581683</v>
      </c>
    </row>
    <row r="27" spans="1:4" x14ac:dyDescent="0.25">
      <c r="A27" s="164">
        <f t="shared" si="1"/>
        <v>900000</v>
      </c>
      <c r="B27" s="159">
        <f>((GSEARCH!A27/$B$12)^$D$12)*$C$12*$F$12</f>
        <v>255864.84981896676</v>
      </c>
      <c r="C27" s="165">
        <f t="shared" si="0"/>
        <v>57810104.168097347</v>
      </c>
    </row>
    <row r="28" spans="1:4" x14ac:dyDescent="0.25">
      <c r="A28" s="164">
        <f t="shared" si="1"/>
        <v>1050000</v>
      </c>
      <c r="B28" s="159">
        <f>((GSEARCH!A28/$B$12)^$D$12)*$C$12*$F$12</f>
        <v>285018.71664749639</v>
      </c>
      <c r="C28" s="165">
        <f t="shared" si="0"/>
        <v>64397128.83933533</v>
      </c>
    </row>
    <row r="29" spans="1:4" x14ac:dyDescent="0.25">
      <c r="A29" s="164">
        <f t="shared" si="1"/>
        <v>1200000</v>
      </c>
      <c r="B29" s="159">
        <f>((GSEARCH!A29/$B$12)^$D$12)*$C$12*$F$12</f>
        <v>312944.80257773394</v>
      </c>
      <c r="C29" s="165">
        <f t="shared" si="0"/>
        <v>70706748.6944132</v>
      </c>
    </row>
    <row r="30" spans="1:4" x14ac:dyDescent="0.25">
      <c r="A30" s="164">
        <f t="shared" si="1"/>
        <v>1350000</v>
      </c>
      <c r="B30" s="159">
        <f>((GSEARCH!A30/$B$12)^$D$12)*$C$12*$F$12</f>
        <v>339840.0107874666</v>
      </c>
      <c r="C30" s="165">
        <f t="shared" si="0"/>
        <v>76783452.037320197</v>
      </c>
    </row>
    <row r="31" spans="1:4" x14ac:dyDescent="0.25">
      <c r="A31" s="164">
        <f t="shared" si="1"/>
        <v>1500000</v>
      </c>
      <c r="B31" s="159">
        <f>((GSEARCH!A31/$B$12)^$D$12)*$C$12*$F$12</f>
        <v>365851.4260812279</v>
      </c>
      <c r="C31" s="165">
        <f t="shared" si="0"/>
        <v>82660471.208792627</v>
      </c>
    </row>
    <row r="32" spans="1:4" x14ac:dyDescent="0.25">
      <c r="A32" s="164">
        <f t="shared" si="1"/>
        <v>1650000</v>
      </c>
      <c r="B32" s="159">
        <f>((GSEARCH!A32/$B$12)^$D$12)*$C$12*$F$12</f>
        <v>391092.62995355454</v>
      </c>
      <c r="C32" s="165">
        <f t="shared" si="0"/>
        <v>88363468.811706111</v>
      </c>
    </row>
    <row r="33" spans="1:3" x14ac:dyDescent="0.25">
      <c r="A33" s="164">
        <f t="shared" si="1"/>
        <v>1800000</v>
      </c>
      <c r="B33" s="159">
        <f>((GSEARCH!A33/$B$12)^$D$12)*$C$12*$F$12</f>
        <v>415653.6748175681</v>
      </c>
      <c r="C33" s="165">
        <f t="shared" si="0"/>
        <v>93912791.288281336</v>
      </c>
    </row>
    <row r="34" spans="1:3" x14ac:dyDescent="0.25">
      <c r="A34" s="164">
        <f t="shared" si="1"/>
        <v>1950000</v>
      </c>
      <c r="B34" s="159">
        <f>((GSEARCH!A34/$B$12)^$D$12)*$C$12*$F$12</f>
        <v>439607.50575691467</v>
      </c>
      <c r="C34" s="165">
        <f t="shared" si="0"/>
        <v>99324919.850717306</v>
      </c>
    </row>
    <row r="35" spans="1:3" x14ac:dyDescent="0.25">
      <c r="A35" s="164">
        <f t="shared" si="1"/>
        <v>2100000</v>
      </c>
      <c r="B35" s="159">
        <f>((GSEARCH!A35/$B$12)^$D$12)*$C$12*$F$12</f>
        <v>463014.27120661555</v>
      </c>
      <c r="C35" s="165">
        <f t="shared" si="0"/>
        <v>104613444.43642272</v>
      </c>
    </row>
    <row r="36" spans="1:3" x14ac:dyDescent="0.25">
      <c r="A36" s="164">
        <f t="shared" si="1"/>
        <v>2250000</v>
      </c>
      <c r="B36" s="159">
        <f>((GSEARCH!A36/$B$12)^$D$12)*$C$12*$F$12</f>
        <v>485924.31775612396</v>
      </c>
      <c r="C36" s="165">
        <f t="shared" si="0"/>
        <v>109789740.35381864</v>
      </c>
    </row>
    <row r="37" spans="1:3" x14ac:dyDescent="0.25">
      <c r="A37" s="164">
        <f t="shared" si="1"/>
        <v>2400000</v>
      </c>
      <c r="B37" s="159">
        <f>((GSEARCH!A37/$B$12)^$D$12)*$C$12*$F$12</f>
        <v>508380.33164198685</v>
      </c>
      <c r="C37" s="165">
        <f t="shared" si="0"/>
        <v>114863452.13119051</v>
      </c>
    </row>
    <row r="38" spans="1:3" x14ac:dyDescent="0.25">
      <c r="A38" s="164">
        <f t="shared" si="1"/>
        <v>2550000</v>
      </c>
      <c r="B38" s="159">
        <f>((GSEARCH!A38/$B$12)^$D$12)*$C$12*$F$12</f>
        <v>530418.90813627536</v>
      </c>
      <c r="C38" s="165">
        <f t="shared" si="0"/>
        <v>119842848.10431005</v>
      </c>
    </row>
    <row r="39" spans="1:3" x14ac:dyDescent="0.25">
      <c r="A39" s="164">
        <f t="shared" si="1"/>
        <v>2700000</v>
      </c>
      <c r="B39" s="159">
        <f>((GSEARCH!A39/$B$12)^$D$12)*$C$12*$F$12</f>
        <v>552071.72627969738</v>
      </c>
      <c r="C39" s="165">
        <f t="shared" si="0"/>
        <v>124735085.83563483</v>
      </c>
    </row>
    <row r="40" spans="1:3" x14ac:dyDescent="0.25">
      <c r="A40" s="164">
        <f t="shared" si="1"/>
        <v>2850000</v>
      </c>
      <c r="B40" s="159">
        <f>((GSEARCH!A40/$B$12)^$D$12)*$C$12*$F$12</f>
        <v>573366.44457497681</v>
      </c>
      <c r="C40" s="165">
        <f t="shared" si="0"/>
        <v>129546414.48727025</v>
      </c>
    </row>
    <row r="41" spans="1:3" x14ac:dyDescent="0.25">
      <c r="A41" s="164">
        <f t="shared" si="1"/>
        <v>3000000</v>
      </c>
      <c r="B41" s="159">
        <f>((GSEARCH!A41/$B$12)^$D$12)*$C$12*$F$12</f>
        <v>594327.39508964703</v>
      </c>
      <c r="C41" s="165">
        <f t="shared" si="0"/>
        <v>134282331.64655486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A2EF1-40E7-413E-B8EF-40E14461DED8}">
  <sheetPr codeName="Sheet20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296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296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297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98"/>
      <c r="C4" s="599"/>
      <c r="D4" s="599"/>
      <c r="E4" s="599"/>
      <c r="F4" s="60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87" t="s">
        <v>8</v>
      </c>
      <c r="B7" s="592" t="s">
        <v>9</v>
      </c>
      <c r="C7" s="592"/>
      <c r="D7" s="592" t="s">
        <v>12</v>
      </c>
      <c r="E7" s="592"/>
      <c r="F7" s="592"/>
      <c r="G7" s="592" t="s">
        <v>124</v>
      </c>
      <c r="H7" s="592"/>
      <c r="I7" s="597"/>
    </row>
    <row r="8" spans="1:9" x14ac:dyDescent="0.25">
      <c r="A8" s="591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88"/>
      <c r="B9" s="157">
        <f>VAC_Optim_Scenario!G35</f>
        <v>25000</v>
      </c>
      <c r="C9" s="157">
        <f>VAC_Optim_Scenario!H35</f>
        <v>150000</v>
      </c>
      <c r="D9" s="158">
        <f>VAC_Optim_Scenario!I35</f>
        <v>150000</v>
      </c>
      <c r="E9" s="84">
        <f>((GPDSRCH_adt!D9/$B$12)^$D$12)*$C$12*$F$12</f>
        <v>65025.232320085495</v>
      </c>
      <c r="F9" s="84">
        <f>E9*F11</f>
        <v>65025.232320085495</v>
      </c>
      <c r="G9" s="76">
        <f>VAC_Optim_Scenario!E35</f>
        <v>50000</v>
      </c>
      <c r="H9" s="159">
        <f>((GPDSRCH_adt!G9/$B$12)^$D$12)*$C$12*$F$12</f>
        <v>30136.792938374307</v>
      </c>
      <c r="I9" s="160">
        <f>H9*F11</f>
        <v>30136.792938374307</v>
      </c>
    </row>
    <row r="10" spans="1:9" ht="15.75" thickBot="1" x14ac:dyDescent="0.3"/>
    <row r="11" spans="1:9" ht="48.95" customHeight="1" x14ac:dyDescent="0.25">
      <c r="A11" s="560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60"/>
      <c r="B12" s="162">
        <f>'[15]HCC Paid Search - Power'!$B$12</f>
        <v>50000</v>
      </c>
      <c r="C12" s="162">
        <f>'[15]HCC Paid Search - Power'!$C$12</f>
        <v>30136.792938374307</v>
      </c>
      <c r="D12" s="333">
        <f>'[15]HCC Paid Search - Power'!$D$12</f>
        <v>0.7</v>
      </c>
      <c r="E12" s="338" t="s">
        <v>122</v>
      </c>
      <c r="F12" s="163">
        <f>VAC_Optim_Scenario!D35</f>
        <v>1</v>
      </c>
      <c r="G12" s="267">
        <f>B12*2</f>
        <v>100000</v>
      </c>
    </row>
    <row r="13" spans="1:9" ht="18.75" customHeight="1" x14ac:dyDescent="0.25">
      <c r="A13" s="581" t="s">
        <v>171</v>
      </c>
      <c r="B13" s="582"/>
      <c r="C13" s="582"/>
      <c r="D13" s="582"/>
      <c r="E13" s="338" t="s">
        <v>172</v>
      </c>
      <c r="F13" s="338" t="s">
        <v>173</v>
      </c>
    </row>
    <row r="14" spans="1:9" ht="15.75" thickBot="1" x14ac:dyDescent="0.3">
      <c r="A14" s="584"/>
      <c r="B14" s="585"/>
      <c r="C14" s="585"/>
      <c r="D14" s="585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79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80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0" t="s">
        <v>37</v>
      </c>
      <c r="B19" s="560"/>
      <c r="C19" s="560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92977.108783791031</v>
      </c>
      <c r="C22" s="165">
        <f t="shared" ref="C22:C41" si="1">B22*$F$14</f>
        <v>21007247.958609745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151041.75883181734</v>
      </c>
      <c r="C23" s="165">
        <f t="shared" si="1"/>
        <v>34126374.990460806</v>
      </c>
    </row>
    <row r="24" spans="1:4" x14ac:dyDescent="0.25">
      <c r="A24" s="164">
        <f t="shared" si="2"/>
        <v>750000</v>
      </c>
      <c r="B24" s="159">
        <f t="shared" si="0"/>
        <v>200613.85136364179</v>
      </c>
      <c r="C24" s="165">
        <f t="shared" si="1"/>
        <v>45326693.577101223</v>
      </c>
    </row>
    <row r="25" spans="1:4" x14ac:dyDescent="0.25">
      <c r="A25" s="164">
        <f t="shared" si="2"/>
        <v>1000000</v>
      </c>
      <c r="B25" s="159">
        <f t="shared" si="0"/>
        <v>245368.06112200834</v>
      </c>
      <c r="C25" s="165">
        <f t="shared" si="1"/>
        <v>55438459.729906566</v>
      </c>
    </row>
    <row r="26" spans="1:4" x14ac:dyDescent="0.25">
      <c r="A26" s="164">
        <f t="shared" si="2"/>
        <v>1250000</v>
      </c>
      <c r="B26" s="159">
        <f t="shared" si="0"/>
        <v>286850.12288700556</v>
      </c>
      <c r="C26" s="165">
        <f t="shared" si="1"/>
        <v>64810916.765090033</v>
      </c>
    </row>
    <row r="27" spans="1:4" x14ac:dyDescent="0.25">
      <c r="A27" s="164">
        <f t="shared" si="2"/>
        <v>1500000</v>
      </c>
      <c r="B27" s="159">
        <f t="shared" si="0"/>
        <v>325898.16302474338</v>
      </c>
      <c r="C27" s="165">
        <f t="shared" si="1"/>
        <v>73633430.953810513</v>
      </c>
    </row>
    <row r="28" spans="1:4" x14ac:dyDescent="0.25">
      <c r="A28" s="164">
        <f t="shared" si="2"/>
        <v>1750000</v>
      </c>
      <c r="B28" s="159">
        <f t="shared" si="0"/>
        <v>363031.79685998178</v>
      </c>
      <c r="C28" s="165">
        <f t="shared" si="1"/>
        <v>82023404.182544276</v>
      </c>
    </row>
    <row r="29" spans="1:4" x14ac:dyDescent="0.25">
      <c r="A29" s="164">
        <f t="shared" si="2"/>
        <v>2000000</v>
      </c>
      <c r="B29" s="159">
        <f t="shared" si="0"/>
        <v>398601.59127126914</v>
      </c>
      <c r="C29" s="165">
        <f t="shared" si="1"/>
        <v>90060043.531830549</v>
      </c>
    </row>
    <row r="30" spans="1:4" x14ac:dyDescent="0.25">
      <c r="A30" s="164">
        <f t="shared" si="2"/>
        <v>2250000</v>
      </c>
      <c r="B30" s="159">
        <f t="shared" si="0"/>
        <v>432858.34422471898</v>
      </c>
      <c r="C30" s="165">
        <f t="shared" si="1"/>
        <v>97800014.294133008</v>
      </c>
    </row>
    <row r="31" spans="1:4" x14ac:dyDescent="0.25">
      <c r="A31" s="164">
        <f t="shared" si="2"/>
        <v>2500000</v>
      </c>
      <c r="B31" s="159">
        <f t="shared" si="0"/>
        <v>465989.39942010184</v>
      </c>
      <c r="C31" s="165">
        <f t="shared" si="1"/>
        <v>105285644.90497781</v>
      </c>
    </row>
    <row r="32" spans="1:4" x14ac:dyDescent="0.25">
      <c r="A32" s="164">
        <f t="shared" si="2"/>
        <v>2750000</v>
      </c>
      <c r="B32" s="159">
        <f t="shared" si="0"/>
        <v>498139.42698482808</v>
      </c>
      <c r="C32" s="165">
        <f t="shared" si="1"/>
        <v>112549622.13295205</v>
      </c>
    </row>
    <row r="33" spans="1:3" x14ac:dyDescent="0.25">
      <c r="A33" s="164">
        <f t="shared" si="2"/>
        <v>3000000</v>
      </c>
      <c r="B33" s="159">
        <f t="shared" si="0"/>
        <v>529423.1277698857</v>
      </c>
      <c r="C33" s="165">
        <f t="shared" si="1"/>
        <v>119617861.48832798</v>
      </c>
    </row>
    <row r="34" spans="1:3" x14ac:dyDescent="0.25">
      <c r="A34" s="164">
        <f t="shared" si="2"/>
        <v>3250000</v>
      </c>
      <c r="B34" s="159">
        <f t="shared" si="0"/>
        <v>559933.41281318781</v>
      </c>
      <c r="C34" s="165">
        <f t="shared" si="1"/>
        <v>126511355.29101165</v>
      </c>
    </row>
    <row r="35" spans="1:3" x14ac:dyDescent="0.25">
      <c r="A35" s="164">
        <f t="shared" si="2"/>
        <v>3500000</v>
      </c>
      <c r="B35" s="159">
        <f t="shared" si="0"/>
        <v>589746.89390606096</v>
      </c>
      <c r="C35" s="165">
        <f t="shared" si="1"/>
        <v>133247413.20913541</v>
      </c>
    </row>
    <row r="36" spans="1:3" x14ac:dyDescent="0.25">
      <c r="A36" s="164">
        <f t="shared" si="2"/>
        <v>3750000</v>
      </c>
      <c r="B36" s="159">
        <f t="shared" si="0"/>
        <v>618927.69811022875</v>
      </c>
      <c r="C36" s="165">
        <f t="shared" si="1"/>
        <v>139840524.11102509</v>
      </c>
    </row>
    <row r="37" spans="1:3" x14ac:dyDescent="0.25">
      <c r="A37" s="164">
        <f t="shared" si="2"/>
        <v>4000000</v>
      </c>
      <c r="B37" s="159">
        <f t="shared" si="0"/>
        <v>647530.19540299417</v>
      </c>
      <c r="C37" s="165">
        <f t="shared" si="1"/>
        <v>146302972.34935251</v>
      </c>
    </row>
    <row r="38" spans="1:3" x14ac:dyDescent="0.25">
      <c r="A38" s="164">
        <f t="shared" si="2"/>
        <v>4250000</v>
      </c>
      <c r="B38" s="159">
        <f t="shared" si="0"/>
        <v>675600.99762631929</v>
      </c>
      <c r="C38" s="165">
        <f t="shared" si="1"/>
        <v>152645289.40369058</v>
      </c>
    </row>
    <row r="39" spans="1:3" x14ac:dyDescent="0.25">
      <c r="A39" s="164">
        <f t="shared" si="2"/>
        <v>4500000</v>
      </c>
      <c r="B39" s="159">
        <f t="shared" si="0"/>
        <v>703180.45475864061</v>
      </c>
      <c r="C39" s="165">
        <f t="shared" si="1"/>
        <v>158876591.94816726</v>
      </c>
    </row>
    <row r="40" spans="1:3" x14ac:dyDescent="0.25">
      <c r="A40" s="164">
        <f t="shared" si="2"/>
        <v>4750000</v>
      </c>
      <c r="B40" s="159">
        <f t="shared" si="0"/>
        <v>730303.79577039415</v>
      </c>
      <c r="C40" s="165">
        <f t="shared" si="1"/>
        <v>165004839.61636284</v>
      </c>
    </row>
    <row r="41" spans="1:3" x14ac:dyDescent="0.25">
      <c r="A41" s="164">
        <f t="shared" si="2"/>
        <v>5000000</v>
      </c>
      <c r="B41" s="159">
        <f t="shared" si="0"/>
        <v>757002.0127111614</v>
      </c>
      <c r="C41" s="165">
        <f t="shared" si="1"/>
        <v>171037034.7519598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192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98"/>
      <c r="C4" s="599"/>
      <c r="D4" s="599"/>
      <c r="E4" s="599"/>
      <c r="F4" s="60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87" t="s">
        <v>8</v>
      </c>
      <c r="B7" s="592" t="s">
        <v>9</v>
      </c>
      <c r="C7" s="592"/>
      <c r="D7" s="592" t="s">
        <v>12</v>
      </c>
      <c r="E7" s="592"/>
      <c r="F7" s="592"/>
      <c r="G7" s="592" t="s">
        <v>124</v>
      </c>
      <c r="H7" s="592"/>
      <c r="I7" s="597"/>
    </row>
    <row r="8" spans="1:9" x14ac:dyDescent="0.25">
      <c r="A8" s="591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588"/>
      <c r="B9" s="157">
        <f>VAC_Optim_Scenario!G26</f>
        <v>718524.20499999996</v>
      </c>
      <c r="C9" s="157">
        <f>VAC_Optim_Scenario!H26</f>
        <v>4311145.2299999995</v>
      </c>
      <c r="D9" s="158">
        <f>VAC_Optim_Scenario!I26</f>
        <v>4311145.2299999995</v>
      </c>
      <c r="E9" s="159">
        <f>((GRADIO!D9/$B$12)^$D$12)*$C$12*$F$12</f>
        <v>136422.9024253586</v>
      </c>
      <c r="F9" s="84">
        <f>E9*F11</f>
        <v>136422.9024253586</v>
      </c>
      <c r="G9" s="76">
        <f>VAC_Optim_Scenario!E26</f>
        <v>1437048.41</v>
      </c>
      <c r="H9" s="159">
        <f>((GRADIO!G9/$B$12)^$D$12)*$C$12*$F$12</f>
        <v>70569.092436493243</v>
      </c>
      <c r="I9" s="160">
        <f>H9*F11</f>
        <v>70569.092436493243</v>
      </c>
    </row>
    <row r="10" spans="1:9" ht="15.75" thickBot="1" x14ac:dyDescent="0.3"/>
    <row r="11" spans="1:9" ht="48.95" customHeight="1" x14ac:dyDescent="0.25">
      <c r="A11" s="560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560"/>
      <c r="B12" s="162">
        <f>'[16]Radio - Power'!$B$12</f>
        <v>1437048.41</v>
      </c>
      <c r="C12" s="162">
        <f>'[16]Radio - Power'!$C$12</f>
        <v>70569.092436493243</v>
      </c>
      <c r="D12" s="317">
        <f>'[16]Radio - Power'!$D$12</f>
        <v>0.6</v>
      </c>
      <c r="E12" s="144" t="s">
        <v>122</v>
      </c>
      <c r="F12" s="163">
        <f>VAC_Optim_Scenario!D26</f>
        <v>1</v>
      </c>
    </row>
    <row r="13" spans="1:9" ht="18.75" customHeight="1" x14ac:dyDescent="0.25">
      <c r="A13" s="581" t="s">
        <v>171</v>
      </c>
      <c r="B13" s="582"/>
      <c r="C13" s="582"/>
      <c r="D13" s="582"/>
      <c r="E13" s="144" t="s">
        <v>172</v>
      </c>
      <c r="F13" s="144" t="s">
        <v>173</v>
      </c>
    </row>
    <row r="14" spans="1:9" ht="15.75" thickBot="1" x14ac:dyDescent="0.3">
      <c r="A14" s="584"/>
      <c r="B14" s="585"/>
      <c r="C14" s="585"/>
      <c r="D14" s="585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79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580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0" t="s">
        <v>37</v>
      </c>
      <c r="B19" s="560"/>
      <c r="C19" s="560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((GRADIO!A21/$B$12)^$D$12)*$C$12*$F$12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200000</v>
      </c>
      <c r="B22" s="159">
        <f>((GRADIO!A22/$B$12)^$D$12)*$C$12*$F$12</f>
        <v>21614.723805655918</v>
      </c>
      <c r="C22" s="165">
        <f t="shared" ref="C22:C41" si="0">B22*$F$14</f>
        <v>4883630.6966498978</v>
      </c>
    </row>
    <row r="23" spans="1:4" x14ac:dyDescent="0.25">
      <c r="A23" s="164">
        <f t="shared" ref="A23:A41" si="1">A22+(($C$17-$B$17)/$D$17)</f>
        <v>400000</v>
      </c>
      <c r="B23" s="159">
        <f>((GRADIO!A23/$B$12)^$D$12)*$C$12*$F$12</f>
        <v>32761.79495277935</v>
      </c>
      <c r="C23" s="165">
        <f t="shared" si="0"/>
        <v>7402199.9516309658</v>
      </c>
    </row>
    <row r="24" spans="1:4" x14ac:dyDescent="0.25">
      <c r="A24" s="164">
        <f t="shared" si="1"/>
        <v>600000</v>
      </c>
      <c r="B24" s="159">
        <f>((GRADIO!A24/$B$12)^$D$12)*$C$12*$F$12</f>
        <v>41785.195967253159</v>
      </c>
      <c r="C24" s="165">
        <f t="shared" si="0"/>
        <v>9440947.1768411789</v>
      </c>
    </row>
    <row r="25" spans="1:4" x14ac:dyDescent="0.25">
      <c r="A25" s="164">
        <f t="shared" si="1"/>
        <v>800000</v>
      </c>
      <c r="B25" s="159">
        <f>((GRADIO!A25/$B$12)^$D$12)*$C$12*$F$12</f>
        <v>49657.595358544408</v>
      </c>
      <c r="C25" s="165">
        <f t="shared" si="0"/>
        <v>11219637.095309524</v>
      </c>
    </row>
    <row r="26" spans="1:4" x14ac:dyDescent="0.25">
      <c r="A26" s="164">
        <f t="shared" si="1"/>
        <v>1000000</v>
      </c>
      <c r="B26" s="159">
        <f>((GRADIO!A26/$B$12)^$D$12)*$C$12*$F$12</f>
        <v>56771.673060063273</v>
      </c>
      <c r="C26" s="165">
        <f t="shared" si="0"/>
        <v>12826991.811190696</v>
      </c>
    </row>
    <row r="27" spans="1:4" x14ac:dyDescent="0.25">
      <c r="A27" s="164">
        <f t="shared" si="1"/>
        <v>1200000</v>
      </c>
      <c r="B27" s="159">
        <f>((GRADIO!A27/$B$12)^$D$12)*$C$12*$F$12</f>
        <v>63334.513762449089</v>
      </c>
      <c r="C27" s="165">
        <f t="shared" si="0"/>
        <v>14309800.039487747</v>
      </c>
    </row>
    <row r="28" spans="1:4" x14ac:dyDescent="0.25">
      <c r="A28" s="164">
        <f t="shared" si="1"/>
        <v>1400000</v>
      </c>
      <c r="B28" s="159">
        <f>((GRADIO!A28/$B$12)^$D$12)*$C$12*$F$12</f>
        <v>69471.794076517137</v>
      </c>
      <c r="C28" s="165">
        <f t="shared" si="0"/>
        <v>15696457.153648281</v>
      </c>
    </row>
    <row r="29" spans="1:4" x14ac:dyDescent="0.25">
      <c r="A29" s="164">
        <f t="shared" si="1"/>
        <v>1600000</v>
      </c>
      <c r="B29" s="159">
        <f>((GRADIO!A29/$B$12)^$D$12)*$C$12*$F$12</f>
        <v>75266.839938015604</v>
      </c>
      <c r="C29" s="165">
        <f t="shared" si="0"/>
        <v>17005789.815595247</v>
      </c>
    </row>
    <row r="30" spans="1:4" x14ac:dyDescent="0.25">
      <c r="A30" s="164">
        <f t="shared" si="1"/>
        <v>1800000</v>
      </c>
      <c r="B30" s="159">
        <f>((GRADIO!A30/$B$12)^$D$12)*$C$12*$F$12</f>
        <v>80778.390587848902</v>
      </c>
      <c r="C30" s="165">
        <f t="shared" si="0"/>
        <v>18251069.569418579</v>
      </c>
    </row>
    <row r="31" spans="1:4" x14ac:dyDescent="0.25">
      <c r="A31" s="164">
        <f t="shared" si="1"/>
        <v>2000000</v>
      </c>
      <c r="B31" s="159">
        <f>((GRADIO!A31/$B$12)^$D$12)*$C$12*$F$12</f>
        <v>86049.765365649961</v>
      </c>
      <c r="C31" s="165">
        <f t="shared" si="0"/>
        <v>19442083.986714952</v>
      </c>
    </row>
    <row r="32" spans="1:4" x14ac:dyDescent="0.25">
      <c r="A32" s="164">
        <f t="shared" si="1"/>
        <v>2200000</v>
      </c>
      <c r="B32" s="159">
        <f>((GRADIO!A32/$B$12)^$D$12)*$C$12*$F$12</f>
        <v>91114.039550668633</v>
      </c>
      <c r="C32" s="165">
        <f t="shared" si="0"/>
        <v>20586306.096078072</v>
      </c>
    </row>
    <row r="33" spans="1:3" x14ac:dyDescent="0.25">
      <c r="A33" s="164">
        <f t="shared" si="1"/>
        <v>2400000</v>
      </c>
      <c r="B33" s="159">
        <f>((GRADIO!A33/$B$12)^$D$12)*$C$12*$F$12</f>
        <v>95997.171741624887</v>
      </c>
      <c r="C33" s="165">
        <f t="shared" si="0"/>
        <v>21689600.983302727</v>
      </c>
    </row>
    <row r="34" spans="1:3" x14ac:dyDescent="0.25">
      <c r="A34" s="164">
        <f t="shared" si="1"/>
        <v>2600000</v>
      </c>
      <c r="B34" s="159">
        <f>((GRADIO!A34/$B$12)^$D$12)*$C$12*$F$12</f>
        <v>100719.99646242571</v>
      </c>
      <c r="C34" s="165">
        <f t="shared" si="0"/>
        <v>22756676.000720464</v>
      </c>
    </row>
    <row r="35" spans="1:3" x14ac:dyDescent="0.25">
      <c r="A35" s="164">
        <f t="shared" si="1"/>
        <v>2800000</v>
      </c>
      <c r="B35" s="159">
        <f>((GRADIO!A35/$B$12)^$D$12)*$C$12*$F$12</f>
        <v>105299.54918697597</v>
      </c>
      <c r="C35" s="165">
        <f t="shared" si="0"/>
        <v>23791380.14330535</v>
      </c>
    </row>
    <row r="36" spans="1:3" x14ac:dyDescent="0.25">
      <c r="A36" s="164">
        <f t="shared" si="1"/>
        <v>3000000</v>
      </c>
      <c r="B36" s="159">
        <f>((GRADIO!A36/$B$12)^$D$12)*$C$12*$F$12</f>
        <v>109749.97902045058</v>
      </c>
      <c r="C36" s="165">
        <f t="shared" si="0"/>
        <v>24796910.259880606</v>
      </c>
    </row>
    <row r="37" spans="1:3" x14ac:dyDescent="0.25">
      <c r="A37" s="164">
        <f t="shared" si="1"/>
        <v>3200000</v>
      </c>
      <c r="B37" s="159">
        <f>((GRADIO!A37/$B$12)^$D$12)*$C$12*$F$12</f>
        <v>114083.19620293671</v>
      </c>
      <c r="C37" s="165">
        <f t="shared" si="0"/>
        <v>25775957.350091521</v>
      </c>
    </row>
    <row r="38" spans="1:3" x14ac:dyDescent="0.25">
      <c r="A38" s="164">
        <f t="shared" si="1"/>
        <v>3400000</v>
      </c>
      <c r="B38" s="159">
        <f>((GRADIO!A38/$B$12)^$D$12)*$C$12*$F$12</f>
        <v>118309.34318072496</v>
      </c>
      <c r="C38" s="165">
        <f t="shared" si="0"/>
        <v>26730812.998252995</v>
      </c>
    </row>
    <row r="39" spans="1:3" x14ac:dyDescent="0.25">
      <c r="A39" s="164">
        <f t="shared" si="1"/>
        <v>3600000</v>
      </c>
      <c r="B39" s="159">
        <f>((GRADIO!A39/$B$12)^$D$12)*$C$12*$F$12</f>
        <v>122437.14483005021</v>
      </c>
      <c r="C39" s="165">
        <f t="shared" si="0"/>
        <v>27663448.502901543</v>
      </c>
    </row>
    <row r="40" spans="1:3" x14ac:dyDescent="0.25">
      <c r="A40" s="164">
        <f t="shared" si="1"/>
        <v>3800000</v>
      </c>
      <c r="B40" s="159">
        <f>((GRADIO!A40/$B$12)^$D$12)*$C$12*$F$12</f>
        <v>126474.1737994713</v>
      </c>
      <c r="C40" s="165">
        <f t="shared" si="0"/>
        <v>28575574.828252546</v>
      </c>
    </row>
    <row r="41" spans="1:3" x14ac:dyDescent="0.25">
      <c r="A41" s="164">
        <f t="shared" si="1"/>
        <v>4000000</v>
      </c>
      <c r="B41" s="159">
        <f>((GRADIO!A41/$B$12)^$D$12)*$C$12*$F$12</f>
        <v>130427.05490904833</v>
      </c>
      <c r="C41" s="165">
        <f t="shared" si="0"/>
        <v>29468688.786150377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E6C3-0BE1-40F9-AE2E-3008B9161E99}">
  <sheetPr codeName="Sheet13">
    <tabColor theme="0" tint="-4.9989318521683403E-2"/>
  </sheetPr>
  <dimension ref="A1:I41"/>
  <sheetViews>
    <sheetView topLeftCell="A11" zoomScaleNormal="100" workbookViewId="0">
      <selection activeCell="E18" sqref="E18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283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98"/>
      <c r="C4" s="599"/>
      <c r="D4" s="599"/>
      <c r="E4" s="599"/>
      <c r="F4" s="60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1.3</v>
      </c>
      <c r="D6" s="98"/>
      <c r="E6" s="98"/>
      <c r="F6" s="98"/>
      <c r="G6" s="98"/>
      <c r="H6" s="98"/>
      <c r="I6" s="98"/>
    </row>
    <row r="7" spans="1:9" x14ac:dyDescent="0.25">
      <c r="A7" s="587" t="s">
        <v>8</v>
      </c>
      <c r="B7" s="592" t="s">
        <v>9</v>
      </c>
      <c r="C7" s="592"/>
      <c r="D7" s="592" t="s">
        <v>12</v>
      </c>
      <c r="E7" s="592"/>
      <c r="F7" s="592"/>
      <c r="G7" s="592" t="s">
        <v>124</v>
      </c>
      <c r="H7" s="592"/>
      <c r="I7" s="597"/>
    </row>
    <row r="8" spans="1:9" x14ac:dyDescent="0.25">
      <c r="A8" s="591"/>
      <c r="B8" s="329" t="s">
        <v>10</v>
      </c>
      <c r="C8" s="329" t="s">
        <v>11</v>
      </c>
      <c r="D8" s="329" t="s">
        <v>20</v>
      </c>
      <c r="E8" s="329" t="s">
        <v>21</v>
      </c>
      <c r="F8" s="329" t="s">
        <v>117</v>
      </c>
      <c r="G8" s="329" t="s">
        <v>22</v>
      </c>
      <c r="H8" s="329" t="s">
        <v>23</v>
      </c>
      <c r="I8" s="4" t="s">
        <v>123</v>
      </c>
    </row>
    <row r="9" spans="1:9" ht="15.75" thickBot="1" x14ac:dyDescent="0.3">
      <c r="A9" s="588"/>
      <c r="B9" s="157">
        <f>VAC_Optim_Scenario!G37</f>
        <v>461987.5</v>
      </c>
      <c r="C9" s="157">
        <f>VAC_Optim_Scenario!H37</f>
        <v>2771925</v>
      </c>
      <c r="D9" s="158">
        <f>VAC_Optim_Scenario!I37</f>
        <v>461987.5</v>
      </c>
      <c r="E9" s="84">
        <f>((GAUDIO!D9/$B$12)^$D$12)*$C$12*$F$12</f>
        <v>20145.054869698579</v>
      </c>
      <c r="F9" s="84">
        <f>E9*F11</f>
        <v>20145.054869698579</v>
      </c>
      <c r="G9" s="76">
        <f>VAC_Optim_Scenario!E37</f>
        <v>923975</v>
      </c>
      <c r="H9" s="159">
        <f>((GAUDIO!G9/$B$12)^$D$12)*$C$12*$F$12</f>
        <v>26581.559263521289</v>
      </c>
      <c r="I9" s="160">
        <f>H9*F11</f>
        <v>26581.559263521289</v>
      </c>
    </row>
    <row r="10" spans="1:9" ht="15.75" thickBot="1" x14ac:dyDescent="0.3"/>
    <row r="11" spans="1:9" ht="48.95" customHeight="1" x14ac:dyDescent="0.25">
      <c r="A11" s="560" t="s">
        <v>15</v>
      </c>
      <c r="B11" s="330" t="s">
        <v>16</v>
      </c>
      <c r="C11" s="330" t="s">
        <v>17</v>
      </c>
      <c r="D11" s="330" t="s">
        <v>170</v>
      </c>
      <c r="E11" s="329" t="s">
        <v>126</v>
      </c>
      <c r="F11" s="161">
        <v>1</v>
      </c>
    </row>
    <row r="12" spans="1:9" ht="40.5" customHeight="1" thickBot="1" x14ac:dyDescent="0.3">
      <c r="A12" s="560"/>
      <c r="B12" s="162">
        <f>'[17]Radio - Power'!$B$12</f>
        <v>923975</v>
      </c>
      <c r="C12" s="162">
        <f>'[17]Radio - Power'!$C$12</f>
        <v>26581.559263521289</v>
      </c>
      <c r="D12" s="333">
        <f>'[17]Radio - Power'!$D$12</f>
        <v>0.4</v>
      </c>
      <c r="E12" s="329" t="s">
        <v>122</v>
      </c>
      <c r="F12" s="163">
        <f>[18]VAC_Optim_Scenario!D24</f>
        <v>1</v>
      </c>
      <c r="G12" s="267">
        <f>B12*2</f>
        <v>1847950</v>
      </c>
    </row>
    <row r="13" spans="1:9" ht="18.75" customHeight="1" x14ac:dyDescent="0.25">
      <c r="A13" s="581" t="s">
        <v>171</v>
      </c>
      <c r="B13" s="582"/>
      <c r="C13" s="582"/>
      <c r="D13" s="582"/>
      <c r="E13" s="329" t="s">
        <v>172</v>
      </c>
      <c r="F13" s="329" t="s">
        <v>173</v>
      </c>
    </row>
    <row r="14" spans="1:9" ht="15.75" thickBot="1" x14ac:dyDescent="0.3">
      <c r="A14" s="584"/>
      <c r="B14" s="585"/>
      <c r="C14" s="585"/>
      <c r="D14" s="585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79" t="s">
        <v>34</v>
      </c>
      <c r="B16" s="330" t="s">
        <v>32</v>
      </c>
      <c r="C16" s="330" t="s">
        <v>31</v>
      </c>
      <c r="D16" s="331" t="s">
        <v>33</v>
      </c>
    </row>
    <row r="17" spans="1:4" ht="15.75" thickBot="1" x14ac:dyDescent="0.3">
      <c r="A17" s="580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0" t="s">
        <v>37</v>
      </c>
      <c r="B19" s="560"/>
      <c r="C19" s="560"/>
      <c r="D19" s="98"/>
    </row>
    <row r="20" spans="1:4" ht="25.5" x14ac:dyDescent="0.25">
      <c r="A20" s="329" t="s">
        <v>35</v>
      </c>
      <c r="B20" s="329" t="s">
        <v>177</v>
      </c>
      <c r="C20" s="329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15757.683313448728</v>
      </c>
      <c r="C22" s="165">
        <f t="shared" ref="C22:C41" si="1">B22*$F$14</f>
        <v>3560290.9678406054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20792.387787549629</v>
      </c>
      <c r="C23" s="165">
        <f t="shared" si="1"/>
        <v>4697832.0967189632</v>
      </c>
    </row>
    <row r="24" spans="1:4" x14ac:dyDescent="0.25">
      <c r="A24" s="164">
        <f t="shared" si="2"/>
        <v>750000</v>
      </c>
      <c r="B24" s="159">
        <f t="shared" si="0"/>
        <v>24453.49110513533</v>
      </c>
      <c r="C24" s="165">
        <f t="shared" si="1"/>
        <v>5525021.7802942768</v>
      </c>
    </row>
    <row r="25" spans="1:4" x14ac:dyDescent="0.25">
      <c r="A25" s="164">
        <f t="shared" si="2"/>
        <v>1000000</v>
      </c>
      <c r="B25" s="159">
        <f t="shared" si="0"/>
        <v>27435.720169529453</v>
      </c>
      <c r="C25" s="165">
        <f t="shared" si="1"/>
        <v>6198826.6151034851</v>
      </c>
    </row>
    <row r="26" spans="1:4" x14ac:dyDescent="0.25">
      <c r="A26" s="164">
        <f t="shared" si="2"/>
        <v>1250000</v>
      </c>
      <c r="B26" s="159">
        <f t="shared" si="0"/>
        <v>29997.175904684151</v>
      </c>
      <c r="C26" s="165">
        <f t="shared" si="1"/>
        <v>6777561.923904337</v>
      </c>
    </row>
    <row r="27" spans="1:4" x14ac:dyDescent="0.25">
      <c r="A27" s="164">
        <f t="shared" si="2"/>
        <v>1500000</v>
      </c>
      <c r="B27" s="159">
        <f t="shared" si="0"/>
        <v>32266.574959240672</v>
      </c>
      <c r="C27" s="165">
        <f t="shared" si="1"/>
        <v>7290309.9462908376</v>
      </c>
    </row>
    <row r="28" spans="1:4" x14ac:dyDescent="0.25">
      <c r="A28" s="164">
        <f t="shared" si="2"/>
        <v>1750000</v>
      </c>
      <c r="B28" s="159">
        <f t="shared" si="0"/>
        <v>34318.759723325085</v>
      </c>
      <c r="C28" s="165">
        <f t="shared" si="1"/>
        <v>7753980.5718880696</v>
      </c>
    </row>
    <row r="29" spans="1:4" x14ac:dyDescent="0.25">
      <c r="A29" s="164">
        <f t="shared" si="2"/>
        <v>2000000</v>
      </c>
      <c r="B29" s="159">
        <f t="shared" si="0"/>
        <v>36201.649801445565</v>
      </c>
      <c r="C29" s="165">
        <f t="shared" si="1"/>
        <v>8179400.7561386107</v>
      </c>
    </row>
    <row r="30" spans="1:4" x14ac:dyDescent="0.25">
      <c r="A30" s="164">
        <f t="shared" si="2"/>
        <v>2250000</v>
      </c>
      <c r="B30" s="159">
        <f t="shared" si="0"/>
        <v>37948.041938282877</v>
      </c>
      <c r="C30" s="165">
        <f t="shared" si="1"/>
        <v>8573980.5955356322</v>
      </c>
    </row>
    <row r="31" spans="1:4" x14ac:dyDescent="0.25">
      <c r="A31" s="164">
        <f t="shared" si="2"/>
        <v>2500000</v>
      </c>
      <c r="B31" s="159">
        <f t="shared" si="0"/>
        <v>39581.510907076787</v>
      </c>
      <c r="C31" s="165">
        <f t="shared" si="1"/>
        <v>8943046.5743449293</v>
      </c>
    </row>
    <row r="32" spans="1:4" x14ac:dyDescent="0.25">
      <c r="A32" s="164">
        <f t="shared" si="2"/>
        <v>2750000</v>
      </c>
      <c r="B32" s="159">
        <f t="shared" si="0"/>
        <v>41119.653101601129</v>
      </c>
      <c r="C32" s="165">
        <f t="shared" si="1"/>
        <v>9290574.4217757583</v>
      </c>
    </row>
    <row r="33" spans="1:3" x14ac:dyDescent="0.25">
      <c r="A33" s="164">
        <f t="shared" si="2"/>
        <v>3000000</v>
      </c>
      <c r="B33" s="159">
        <f t="shared" si="0"/>
        <v>42576.000912264644</v>
      </c>
      <c r="C33" s="165">
        <f t="shared" si="1"/>
        <v>9619621.6461170744</v>
      </c>
    </row>
    <row r="34" spans="1:3" x14ac:dyDescent="0.25">
      <c r="A34" s="164">
        <f t="shared" si="2"/>
        <v>3250000</v>
      </c>
      <c r="B34" s="159">
        <f t="shared" si="0"/>
        <v>43961.217233910902</v>
      </c>
      <c r="C34" s="165">
        <f t="shared" si="1"/>
        <v>9932597.421829829</v>
      </c>
    </row>
    <row r="35" spans="1:3" x14ac:dyDescent="0.25">
      <c r="A35" s="164">
        <f t="shared" si="2"/>
        <v>3500000</v>
      </c>
      <c r="B35" s="159">
        <f t="shared" si="0"/>
        <v>45283.874942841634</v>
      </c>
      <c r="C35" s="165">
        <f t="shared" si="1"/>
        <v>10231438.704585638</v>
      </c>
    </row>
    <row r="36" spans="1:3" x14ac:dyDescent="0.25">
      <c r="A36" s="164">
        <f t="shared" si="2"/>
        <v>3750000</v>
      </c>
      <c r="B36" s="159">
        <f t="shared" si="0"/>
        <v>46550.984657644571</v>
      </c>
      <c r="C36" s="165">
        <f t="shared" si="1"/>
        <v>10517729.473548215</v>
      </c>
    </row>
    <row r="37" spans="1:3" x14ac:dyDescent="0.25">
      <c r="A37" s="164">
        <f t="shared" si="2"/>
        <v>4000000</v>
      </c>
      <c r="B37" s="159">
        <f t="shared" si="0"/>
        <v>47768.363296037402</v>
      </c>
      <c r="C37" s="165">
        <f t="shared" si="1"/>
        <v>10792784.003106691</v>
      </c>
    </row>
    <row r="38" spans="1:3" x14ac:dyDescent="0.25">
      <c r="A38" s="164">
        <f t="shared" si="2"/>
        <v>4250000</v>
      </c>
      <c r="B38" s="159">
        <f t="shared" si="0"/>
        <v>48940.898319309759</v>
      </c>
      <c r="C38" s="165">
        <f t="shared" si="1"/>
        <v>11057706.566264847</v>
      </c>
    </row>
    <row r="39" spans="1:3" x14ac:dyDescent="0.25">
      <c r="A39" s="164">
        <f t="shared" si="2"/>
        <v>4500000</v>
      </c>
      <c r="B39" s="159">
        <f t="shared" si="0"/>
        <v>50072.741535905814</v>
      </c>
      <c r="C39" s="165">
        <f t="shared" si="1"/>
        <v>11313435.22262256</v>
      </c>
    </row>
    <row r="40" spans="1:3" x14ac:dyDescent="0.25">
      <c r="A40" s="164">
        <f t="shared" si="2"/>
        <v>4750000</v>
      </c>
      <c r="B40" s="159">
        <f t="shared" si="0"/>
        <v>51167.454079337178</v>
      </c>
      <c r="C40" s="165">
        <f t="shared" si="1"/>
        <v>11560774.574685441</v>
      </c>
    </row>
    <row r="41" spans="1:3" x14ac:dyDescent="0.25">
      <c r="A41" s="164">
        <f t="shared" si="2"/>
        <v>5000000</v>
      </c>
      <c r="B41" s="159">
        <f t="shared" si="0"/>
        <v>52228.116762231417</v>
      </c>
      <c r="C41" s="165">
        <f t="shared" si="1"/>
        <v>11800420.701258566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98"/>
      <c r="C4" s="599"/>
      <c r="D4" s="599"/>
      <c r="E4" s="599"/>
      <c r="F4" s="60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87" t="s">
        <v>8</v>
      </c>
      <c r="B7" s="592" t="s">
        <v>9</v>
      </c>
      <c r="C7" s="592"/>
      <c r="D7" s="592" t="s">
        <v>12</v>
      </c>
      <c r="E7" s="592"/>
      <c r="F7" s="592"/>
      <c r="G7" s="592" t="s">
        <v>124</v>
      </c>
      <c r="H7" s="592"/>
      <c r="I7" s="597"/>
    </row>
    <row r="8" spans="1:9" x14ac:dyDescent="0.25">
      <c r="A8" s="591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588"/>
      <c r="B9" s="157">
        <f>VAC_Optim_Scenario!G27</f>
        <v>6751762.4950000001</v>
      </c>
      <c r="C9" s="157">
        <f>VAC_Optim_Scenario!H27</f>
        <v>40510574.969999999</v>
      </c>
      <c r="D9" s="158">
        <f>VAC_Optim_Scenario!I27</f>
        <v>26372275.820726354</v>
      </c>
      <c r="E9" s="84">
        <f>((GTV!D9/$B$12)^$D$12)*$C$12*$F$12</f>
        <v>405309.99641987938</v>
      </c>
      <c r="F9" s="84">
        <f>E9*F11</f>
        <v>405309.99641987938</v>
      </c>
      <c r="G9" s="76">
        <f>VAC_Optim_Scenario!E27</f>
        <v>13503524.99</v>
      </c>
      <c r="H9" s="159">
        <f>((GTV!G9/$B$12)^$D$12)*$C$12*$F$12</f>
        <v>253686.28893952153</v>
      </c>
      <c r="I9" s="160">
        <f>H9*F11</f>
        <v>253686.28893952153</v>
      </c>
    </row>
    <row r="10" spans="1:9" ht="15.75" thickBot="1" x14ac:dyDescent="0.3"/>
    <row r="11" spans="1:9" ht="48.95" customHeight="1" x14ac:dyDescent="0.25">
      <c r="A11" s="560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560"/>
      <c r="B12" s="162">
        <f>'[19]TV - Power'!$B$12</f>
        <v>13503524.99</v>
      </c>
      <c r="C12" s="162">
        <f>'[19]TV - Power'!$C$12</f>
        <v>253686.28893952153</v>
      </c>
      <c r="D12" s="317">
        <f>'[19]TV - Power'!$D$12</f>
        <v>0.7</v>
      </c>
      <c r="E12" s="144" t="s">
        <v>122</v>
      </c>
      <c r="F12" s="163">
        <f>VAC_Optim_Scenario!D27</f>
        <v>1</v>
      </c>
    </row>
    <row r="13" spans="1:9" ht="18.75" customHeight="1" x14ac:dyDescent="0.25">
      <c r="A13" s="581" t="s">
        <v>171</v>
      </c>
      <c r="B13" s="582"/>
      <c r="C13" s="582"/>
      <c r="D13" s="582"/>
      <c r="E13" s="144" t="s">
        <v>172</v>
      </c>
      <c r="F13" s="144" t="s">
        <v>173</v>
      </c>
    </row>
    <row r="14" spans="1:9" ht="15.75" thickBot="1" x14ac:dyDescent="0.3">
      <c r="A14" s="584"/>
      <c r="B14" s="585"/>
      <c r="C14" s="585"/>
      <c r="D14" s="585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79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580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0" t="s">
        <v>37</v>
      </c>
      <c r="B19" s="560"/>
      <c r="C19" s="560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((GTV!A21/$B$12)^$D$12)*$C$12*$F$12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1250000</v>
      </c>
      <c r="B22" s="159">
        <f>((GTV!A22/$B$12)^$D$12)*$C$12*$F$12</f>
        <v>47953.575867360239</v>
      </c>
      <c r="C22" s="165">
        <f t="shared" ref="C22:C41" si="0">B22*$F$14</f>
        <v>10834630.931471372</v>
      </c>
    </row>
    <row r="23" spans="1:4" x14ac:dyDescent="0.25">
      <c r="A23" s="164">
        <f t="shared" ref="A23:A41" si="1">A22+(($C$17-$B$17)/$D$17)</f>
        <v>2500000</v>
      </c>
      <c r="B23" s="159">
        <f>((GTV!A23/$B$12)^$D$12)*$C$12*$F$12</f>
        <v>77900.813824227807</v>
      </c>
      <c r="C23" s="165">
        <f t="shared" si="0"/>
        <v>17600909.875446029</v>
      </c>
    </row>
    <row r="24" spans="1:4" x14ac:dyDescent="0.25">
      <c r="A24" s="164">
        <f t="shared" si="1"/>
        <v>3750000</v>
      </c>
      <c r="B24" s="159">
        <f>((GTV!A24/$B$12)^$D$12)*$C$12*$F$12</f>
        <v>103467.95751393421</v>
      </c>
      <c r="C24" s="165">
        <f t="shared" si="0"/>
        <v>23377550.320698295</v>
      </c>
    </row>
    <row r="25" spans="1:4" x14ac:dyDescent="0.25">
      <c r="A25" s="164">
        <f t="shared" si="1"/>
        <v>5000000</v>
      </c>
      <c r="B25" s="159">
        <f>((GTV!A25/$B$12)^$D$12)*$C$12*$F$12</f>
        <v>126550.24541365997</v>
      </c>
      <c r="C25" s="165">
        <f t="shared" si="0"/>
        <v>28592762.448762335</v>
      </c>
    </row>
    <row r="26" spans="1:4" x14ac:dyDescent="0.25">
      <c r="A26" s="164">
        <f t="shared" si="1"/>
        <v>6250000</v>
      </c>
      <c r="B26" s="159">
        <f>((GTV!A26/$B$12)^$D$12)*$C$12*$F$12</f>
        <v>147944.9007433716</v>
      </c>
      <c r="C26" s="165">
        <f t="shared" si="0"/>
        <v>33426670.873957381</v>
      </c>
    </row>
    <row r="27" spans="1:4" x14ac:dyDescent="0.25">
      <c r="A27" s="164">
        <f t="shared" si="1"/>
        <v>7500000</v>
      </c>
      <c r="B27" s="159">
        <f>((GTV!A27/$B$12)^$D$12)*$C$12*$F$12</f>
        <v>168084.19287355643</v>
      </c>
      <c r="C27" s="165">
        <f t="shared" si="0"/>
        <v>37976942.537851341</v>
      </c>
    </row>
    <row r="28" spans="1:4" x14ac:dyDescent="0.25">
      <c r="A28" s="164">
        <f t="shared" si="1"/>
        <v>8750000</v>
      </c>
      <c r="B28" s="159">
        <f>((GTV!A28/$B$12)^$D$12)*$C$12*$F$12</f>
        <v>187236.11694004576</v>
      </c>
      <c r="C28" s="165">
        <f t="shared" si="0"/>
        <v>42304128.261433937</v>
      </c>
    </row>
    <row r="29" spans="1:4" x14ac:dyDescent="0.25">
      <c r="A29" s="164">
        <f t="shared" si="1"/>
        <v>10000000</v>
      </c>
      <c r="B29" s="159">
        <f>((GTV!A29/$B$12)^$D$12)*$C$12*$F$12</f>
        <v>205581.48019343003</v>
      </c>
      <c r="C29" s="165">
        <f t="shared" si="0"/>
        <v>46449079.63490358</v>
      </c>
    </row>
    <row r="30" spans="1:4" x14ac:dyDescent="0.25">
      <c r="A30" s="164">
        <f t="shared" si="1"/>
        <v>11250000</v>
      </c>
      <c r="B30" s="159">
        <f>((GTV!A30/$B$12)^$D$12)*$C$12*$F$12</f>
        <v>223249.63338953216</v>
      </c>
      <c r="C30" s="165">
        <f t="shared" si="0"/>
        <v>50441022.168030895</v>
      </c>
    </row>
    <row r="31" spans="1:4" x14ac:dyDescent="0.25">
      <c r="A31" s="164">
        <f t="shared" si="1"/>
        <v>12500000</v>
      </c>
      <c r="B31" s="159">
        <f>((GTV!A31/$B$12)^$D$12)*$C$12*$F$12</f>
        <v>240337.20031497802</v>
      </c>
      <c r="C31" s="165">
        <f t="shared" si="0"/>
        <v>54301787.03916613</v>
      </c>
    </row>
    <row r="32" spans="1:4" x14ac:dyDescent="0.25">
      <c r="A32" s="164">
        <f t="shared" si="1"/>
        <v>13750000</v>
      </c>
      <c r="B32" s="159">
        <f>((GTV!A32/$B$12)^$D$12)*$C$12*$F$12</f>
        <v>256918.795571375</v>
      </c>
      <c r="C32" s="165">
        <f t="shared" si="0"/>
        <v>58048232.671396464</v>
      </c>
    </row>
    <row r="33" spans="1:3" x14ac:dyDescent="0.25">
      <c r="A33" s="164">
        <f t="shared" si="1"/>
        <v>15000000</v>
      </c>
      <c r="B33" s="159">
        <f>((GTV!A33/$B$12)^$D$12)*$C$12*$F$12</f>
        <v>273053.57690229977</v>
      </c>
      <c r="C33" s="165">
        <f t="shared" si="0"/>
        <v>61693725.165305607</v>
      </c>
    </row>
    <row r="34" spans="1:3" x14ac:dyDescent="0.25">
      <c r="A34" s="164">
        <f t="shared" si="1"/>
        <v>16250000</v>
      </c>
      <c r="B34" s="159">
        <f>((GTV!A34/$B$12)^$D$12)*$C$12*$F$12</f>
        <v>288789.46380711853</v>
      </c>
      <c r="C34" s="165">
        <f t="shared" si="0"/>
        <v>65249091.452580363</v>
      </c>
    </row>
    <row r="35" spans="1:3" x14ac:dyDescent="0.25">
      <c r="A35" s="164">
        <f t="shared" si="1"/>
        <v>17500000</v>
      </c>
      <c r="B35" s="159">
        <f>((GTV!A35/$B$12)^$D$12)*$C$12*$F$12</f>
        <v>304165.969337977</v>
      </c>
      <c r="C35" s="165">
        <f t="shared" si="0"/>
        <v>68723259.112222522</v>
      </c>
    </row>
    <row r="36" spans="1:3" x14ac:dyDescent="0.25">
      <c r="A36" s="164">
        <f t="shared" si="1"/>
        <v>18750000</v>
      </c>
      <c r="B36" s="159">
        <f>((GTV!A36/$B$12)^$D$12)*$C$12*$F$12</f>
        <v>319216.16746286326</v>
      </c>
      <c r="C36" s="165">
        <f t="shared" si="0"/>
        <v>72123700.876559317</v>
      </c>
    </row>
    <row r="37" spans="1:3" x14ac:dyDescent="0.25">
      <c r="A37" s="164">
        <f t="shared" si="1"/>
        <v>20000000</v>
      </c>
      <c r="B37" s="159">
        <f>((GTV!A37/$B$12)^$D$12)*$C$12*$F$12</f>
        <v>333968.099867151</v>
      </c>
      <c r="C37" s="165">
        <f t="shared" si="0"/>
        <v>75456752.483984098</v>
      </c>
    </row>
    <row r="38" spans="1:3" x14ac:dyDescent="0.25">
      <c r="A38" s="164">
        <f t="shared" si="1"/>
        <v>21250000</v>
      </c>
      <c r="B38" s="159">
        <f>((GTV!A38/$B$12)^$D$12)*$C$12*$F$12</f>
        <v>348445.80692517635</v>
      </c>
      <c r="C38" s="165">
        <f t="shared" si="0"/>
        <v>78727845.616674349</v>
      </c>
    </row>
    <row r="39" spans="1:3" x14ac:dyDescent="0.25">
      <c r="A39" s="164">
        <f t="shared" si="1"/>
        <v>22500000</v>
      </c>
      <c r="B39" s="159">
        <f>((GTV!A39/$B$12)^$D$12)*$C$12*$F$12</f>
        <v>362670.09941259713</v>
      </c>
      <c r="C39" s="165">
        <f t="shared" si="0"/>
        <v>81941682.261282191</v>
      </c>
    </row>
    <row r="40" spans="1:3" x14ac:dyDescent="0.25">
      <c r="A40" s="164">
        <f t="shared" si="1"/>
        <v>23750000</v>
      </c>
      <c r="B40" s="159">
        <f>((GTV!A40/$B$12)^$D$12)*$C$12*$F$12</f>
        <v>376659.1469103847</v>
      </c>
      <c r="C40" s="165">
        <f t="shared" si="0"/>
        <v>85102367.652932316</v>
      </c>
    </row>
    <row r="41" spans="1:3" x14ac:dyDescent="0.25">
      <c r="A41" s="164">
        <f t="shared" si="1"/>
        <v>25000000</v>
      </c>
      <c r="B41" s="159">
        <f>((GTV!A41/$B$12)^$D$12)*$C$12*$F$12</f>
        <v>390428.93377877894</v>
      </c>
      <c r="C41" s="165">
        <f t="shared" si="0"/>
        <v>88213513.297977313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162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589" t="s">
        <v>106</v>
      </c>
      <c r="C4" s="589"/>
      <c r="D4" s="589"/>
      <c r="E4" s="589"/>
      <c r="F4" s="590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0.5</v>
      </c>
      <c r="C6" s="94">
        <f>VAC_Optim_Scenario!$H$16</f>
        <v>3</v>
      </c>
    </row>
    <row r="7" spans="1:18" ht="27.75" customHeight="1" x14ac:dyDescent="0.2">
      <c r="A7" s="587" t="s">
        <v>8</v>
      </c>
      <c r="B7" s="592" t="s">
        <v>9</v>
      </c>
      <c r="C7" s="593"/>
      <c r="D7" s="594" t="s">
        <v>12</v>
      </c>
      <c r="E7" s="595"/>
      <c r="F7" s="596"/>
      <c r="G7" s="592" t="s">
        <v>124</v>
      </c>
      <c r="H7" s="592"/>
      <c r="I7" s="597"/>
      <c r="J7" s="98" t="s">
        <v>125</v>
      </c>
    </row>
    <row r="8" spans="1:18" ht="28.15" customHeight="1" x14ac:dyDescent="0.2">
      <c r="A8" s="59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88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198</v>
      </c>
    </row>
    <row r="10" spans="1:18" ht="13.5" thickBot="1" x14ac:dyDescent="0.25"/>
    <row r="11" spans="1:18" ht="51.6" customHeight="1" x14ac:dyDescent="0.2">
      <c r="A11" s="587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57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88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VAC_Optim_Scenario!$D$46</f>
        <v>1</v>
      </c>
      <c r="H12" s="71">
        <f>C12*G12</f>
        <v>54924.559200000003</v>
      </c>
      <c r="I12" s="115" t="e">
        <f>VAC_Optim_Scenario!#REF!</f>
        <v>#REF!</v>
      </c>
      <c r="K12" s="580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581" t="s">
        <v>114</v>
      </c>
      <c r="B13" s="582"/>
      <c r="C13" s="582"/>
      <c r="D13" s="582"/>
      <c r="E13" s="582"/>
      <c r="F13" s="583"/>
      <c r="G13" s="119" t="s">
        <v>150</v>
      </c>
      <c r="H13" s="119" t="s">
        <v>151</v>
      </c>
      <c r="K13" s="581" t="s">
        <v>115</v>
      </c>
      <c r="L13" s="582"/>
      <c r="M13" s="582"/>
      <c r="N13" s="582"/>
      <c r="O13" s="582"/>
      <c r="P13" s="582"/>
      <c r="Q13" s="582"/>
      <c r="R13" s="583"/>
    </row>
    <row r="14" spans="1:18" ht="33.6" customHeight="1" thickBot="1" x14ac:dyDescent="0.25">
      <c r="A14" s="584"/>
      <c r="B14" s="585"/>
      <c r="C14" s="585"/>
      <c r="D14" s="585"/>
      <c r="E14" s="585"/>
      <c r="F14" s="586"/>
      <c r="G14" s="95">
        <f>VAC_Optim_Scenario!I46</f>
        <v>225.94</v>
      </c>
      <c r="H14" s="95">
        <f>VAC_Optim_Scenario!G46</f>
        <v>225.94</v>
      </c>
      <c r="K14" s="584"/>
      <c r="L14" s="585"/>
      <c r="M14" s="585"/>
      <c r="N14" s="585"/>
      <c r="O14" s="585"/>
      <c r="P14" s="585"/>
      <c r="Q14" s="585"/>
      <c r="R14" s="586"/>
    </row>
    <row r="16" spans="1:18" ht="13.5" thickBot="1" x14ac:dyDescent="0.25"/>
    <row r="17" spans="1:8" ht="42.6" customHeight="1" x14ac:dyDescent="0.2">
      <c r="A17" s="57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80"/>
      <c r="B18" s="75">
        <v>0</v>
      </c>
      <c r="C18" s="76">
        <v>4000000</v>
      </c>
      <c r="D18" s="26">
        <v>20</v>
      </c>
    </row>
    <row r="20" spans="1:8" x14ac:dyDescent="0.2">
      <c r="A20" s="560" t="s">
        <v>37</v>
      </c>
      <c r="B20" s="560"/>
      <c r="C20" s="560"/>
    </row>
    <row r="21" spans="1:8" ht="25.5" x14ac:dyDescent="0.2">
      <c r="A21" s="119" t="s">
        <v>35</v>
      </c>
      <c r="B21" s="119" t="s">
        <v>120</v>
      </c>
      <c r="C21" s="119" t="s">
        <v>199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6939-4481-4B34-A669-A679D8B180C4}">
  <sheetPr codeName="Sheet21">
    <tabColor theme="0" tint="-4.9989318521683403E-2"/>
  </sheetPr>
  <dimension ref="A1:I42"/>
  <sheetViews>
    <sheetView workbookViewId="0">
      <selection activeCell="E14" sqref="E14:F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298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98"/>
      <c r="C4" s="599"/>
      <c r="D4" s="599"/>
      <c r="E4" s="599"/>
      <c r="F4" s="60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87" t="s">
        <v>8</v>
      </c>
      <c r="B7" s="592" t="s">
        <v>9</v>
      </c>
      <c r="C7" s="592"/>
      <c r="D7" s="592" t="s">
        <v>12</v>
      </c>
      <c r="E7" s="592"/>
      <c r="F7" s="592"/>
      <c r="G7" s="592" t="s">
        <v>124</v>
      </c>
      <c r="H7" s="592"/>
      <c r="I7" s="597"/>
    </row>
    <row r="8" spans="1:9" x14ac:dyDescent="0.25">
      <c r="A8" s="591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88"/>
      <c r="B9" s="157">
        <f>VAC_Optim_Scenario!G36</f>
        <v>12905464.300000001</v>
      </c>
      <c r="C9" s="157">
        <f>VAC_Optim_Scenario!H36</f>
        <v>77432785.800000012</v>
      </c>
      <c r="D9" s="158">
        <f>VAC_Optim_Scenario!I36</f>
        <v>30473211.382820502</v>
      </c>
      <c r="E9" s="84">
        <f>((GLINEARTV_adt!D9/$B$12)^$D$12)*$C$12*$F$12</f>
        <v>189278.26466825145</v>
      </c>
      <c r="F9" s="84">
        <f>E9*F11</f>
        <v>189278.26466825145</v>
      </c>
      <c r="G9" s="76">
        <f>VAC_Optim_Scenario!E36</f>
        <v>25810928.600000001</v>
      </c>
      <c r="H9" s="159">
        <f>((GLINEARTV_adt!G9/$B$12)^$D$12)*$C$12*$F$12</f>
        <v>168508.00202805389</v>
      </c>
      <c r="I9" s="160">
        <f>H9*F11</f>
        <v>168508.00202805389</v>
      </c>
    </row>
    <row r="10" spans="1:9" ht="15.75" thickBot="1" x14ac:dyDescent="0.3"/>
    <row r="11" spans="1:9" ht="48.95" customHeight="1" x14ac:dyDescent="0.25">
      <c r="A11" s="560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60"/>
      <c r="B12" s="162">
        <f>'[20]TV - Power'!$B$12</f>
        <v>25810928.600000001</v>
      </c>
      <c r="C12" s="162">
        <f>'[20]TV - Power'!$C$12</f>
        <v>168508.00202805389</v>
      </c>
      <c r="D12" s="333">
        <f>'[20]TV - Power'!$D$12</f>
        <v>0.7</v>
      </c>
      <c r="E12" s="338" t="s">
        <v>122</v>
      </c>
      <c r="F12" s="163">
        <f>VAC_Optim_Scenario!D36</f>
        <v>1</v>
      </c>
      <c r="G12" s="267">
        <f>B12*2</f>
        <v>51621857.200000003</v>
      </c>
    </row>
    <row r="13" spans="1:9" ht="18.75" customHeight="1" x14ac:dyDescent="0.25">
      <c r="A13" s="581" t="s">
        <v>171</v>
      </c>
      <c r="B13" s="582"/>
      <c r="C13" s="582"/>
      <c r="D13" s="582"/>
      <c r="E13" s="338" t="s">
        <v>172</v>
      </c>
      <c r="F13" s="338" t="s">
        <v>173</v>
      </c>
    </row>
    <row r="14" spans="1:9" ht="15.75" thickBot="1" x14ac:dyDescent="0.3">
      <c r="A14" s="584"/>
      <c r="B14" s="585"/>
      <c r="C14" s="585"/>
      <c r="D14" s="585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79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80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0" t="s">
        <v>37</v>
      </c>
      <c r="B19" s="560"/>
      <c r="C19" s="560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1500000</v>
      </c>
      <c r="B22" s="159">
        <f t="shared" ref="B22:B42" si="0">((A22/$B$12)^$D$12)*$C$12</f>
        <v>22994.388781683774</v>
      </c>
      <c r="C22" s="165">
        <f t="shared" ref="C22:C41" si="1">B22*$F$14</f>
        <v>5195352.2013336318</v>
      </c>
    </row>
    <row r="23" spans="1:4" x14ac:dyDescent="0.25">
      <c r="A23" s="164">
        <f t="shared" ref="A23:A42" si="2">A22+(($C$17-$B$17)/$D$17)</f>
        <v>3000000</v>
      </c>
      <c r="B23" s="159">
        <f t="shared" si="0"/>
        <v>37354.494781339148</v>
      </c>
      <c r="C23" s="165">
        <f t="shared" si="1"/>
        <v>8439874.5508957673</v>
      </c>
    </row>
    <row r="24" spans="1:4" x14ac:dyDescent="0.25">
      <c r="A24" s="164">
        <f t="shared" si="2"/>
        <v>4500000</v>
      </c>
      <c r="B24" s="159">
        <f t="shared" si="0"/>
        <v>49614.286286031464</v>
      </c>
      <c r="C24" s="165">
        <f t="shared" si="1"/>
        <v>11209851.843465948</v>
      </c>
    </row>
    <row r="25" spans="1:4" x14ac:dyDescent="0.25">
      <c r="A25" s="164">
        <f t="shared" si="2"/>
        <v>6000000</v>
      </c>
      <c r="B25" s="159">
        <f t="shared" si="0"/>
        <v>60682.555801638446</v>
      </c>
      <c r="C25" s="165">
        <f t="shared" si="1"/>
        <v>13710616.65782219</v>
      </c>
    </row>
    <row r="26" spans="1:4" x14ac:dyDescent="0.25">
      <c r="A26" s="164">
        <f t="shared" si="2"/>
        <v>7500000</v>
      </c>
      <c r="B26" s="159">
        <f t="shared" si="0"/>
        <v>70941.582654239959</v>
      </c>
      <c r="C26" s="165">
        <f t="shared" si="1"/>
        <v>16028541.184898976</v>
      </c>
    </row>
    <row r="27" spans="1:4" x14ac:dyDescent="0.25">
      <c r="A27" s="164">
        <f t="shared" si="2"/>
        <v>9000000</v>
      </c>
      <c r="B27" s="159">
        <f t="shared" si="0"/>
        <v>80598.645858666729</v>
      </c>
      <c r="C27" s="165">
        <f t="shared" si="1"/>
        <v>18210458.045307159</v>
      </c>
    </row>
    <row r="28" spans="1:4" x14ac:dyDescent="0.25">
      <c r="A28" s="164">
        <f t="shared" si="2"/>
        <v>10500000</v>
      </c>
      <c r="B28" s="159">
        <f t="shared" si="0"/>
        <v>89782.252710432149</v>
      </c>
      <c r="C28" s="165">
        <f t="shared" si="1"/>
        <v>20285402.177395038</v>
      </c>
    </row>
    <row r="29" spans="1:4" x14ac:dyDescent="0.25">
      <c r="A29" s="164">
        <f t="shared" si="2"/>
        <v>12000000</v>
      </c>
      <c r="B29" s="159">
        <f t="shared" si="0"/>
        <v>98579.102733803622</v>
      </c>
      <c r="C29" s="165">
        <f t="shared" si="1"/>
        <v>22272962.47167559</v>
      </c>
    </row>
    <row r="30" spans="1:4" x14ac:dyDescent="0.25">
      <c r="A30" s="164">
        <f t="shared" si="2"/>
        <v>13500000</v>
      </c>
      <c r="B30" s="159">
        <f t="shared" si="0"/>
        <v>107051.22136723484</v>
      </c>
      <c r="C30" s="165">
        <f t="shared" si="1"/>
        <v>24187152.955713041</v>
      </c>
    </row>
    <row r="31" spans="1:4" x14ac:dyDescent="0.25">
      <c r="A31" s="164">
        <f t="shared" si="2"/>
        <v>15000000</v>
      </c>
      <c r="B31" s="159">
        <f t="shared" si="0"/>
        <v>115244.9410244207</v>
      </c>
      <c r="C31" s="165">
        <f t="shared" si="1"/>
        <v>26038441.975057613</v>
      </c>
    </row>
    <row r="32" spans="1:4" x14ac:dyDescent="0.25">
      <c r="A32" s="164">
        <f t="shared" si="2"/>
        <v>16500000</v>
      </c>
      <c r="B32" s="159">
        <f t="shared" si="0"/>
        <v>123196.0404168987</v>
      </c>
      <c r="C32" s="165">
        <f t="shared" si="1"/>
        <v>27834913.371794093</v>
      </c>
    </row>
    <row r="33" spans="1:3" x14ac:dyDescent="0.25">
      <c r="A33" s="164">
        <f t="shared" si="2"/>
        <v>18000000</v>
      </c>
      <c r="B33" s="159">
        <f t="shared" si="0"/>
        <v>130932.88648353927</v>
      </c>
      <c r="C33" s="165">
        <f t="shared" si="1"/>
        <v>29582976.372090865</v>
      </c>
    </row>
    <row r="34" spans="1:3" x14ac:dyDescent="0.25">
      <c r="A34" s="164">
        <f t="shared" si="2"/>
        <v>19500000</v>
      </c>
      <c r="B34" s="159">
        <f t="shared" si="0"/>
        <v>138478.45727298054</v>
      </c>
      <c r="C34" s="165">
        <f t="shared" si="1"/>
        <v>31287822.636257224</v>
      </c>
    </row>
    <row r="35" spans="1:3" x14ac:dyDescent="0.25">
      <c r="A35" s="164">
        <f t="shared" si="2"/>
        <v>21000000</v>
      </c>
      <c r="B35" s="159">
        <f t="shared" si="0"/>
        <v>145851.69982861925</v>
      </c>
      <c r="C35" s="165">
        <f t="shared" si="1"/>
        <v>32953733.059278235</v>
      </c>
    </row>
    <row r="36" spans="1:3" x14ac:dyDescent="0.25">
      <c r="A36" s="164">
        <f t="shared" si="2"/>
        <v>22500000</v>
      </c>
      <c r="B36" s="159">
        <f t="shared" si="0"/>
        <v>153068.47356583198</v>
      </c>
      <c r="C36" s="165">
        <f t="shared" si="1"/>
        <v>34584290.917464077</v>
      </c>
    </row>
    <row r="37" spans="1:3" x14ac:dyDescent="0.25">
      <c r="A37" s="164">
        <f t="shared" si="2"/>
        <v>24000000</v>
      </c>
      <c r="B37" s="159">
        <f t="shared" si="0"/>
        <v>160142.22485235901</v>
      </c>
      <c r="C37" s="165">
        <f t="shared" si="1"/>
        <v>36182534.283141993</v>
      </c>
    </row>
    <row r="38" spans="1:3" x14ac:dyDescent="0.25">
      <c r="A38" s="164">
        <f t="shared" si="2"/>
        <v>25500000</v>
      </c>
      <c r="B38" s="159">
        <f t="shared" si="0"/>
        <v>167084.48137313194</v>
      </c>
      <c r="C38" s="165">
        <f t="shared" si="1"/>
        <v>37751067.721445434</v>
      </c>
    </row>
    <row r="39" spans="1:3" x14ac:dyDescent="0.25">
      <c r="A39" s="164">
        <f t="shared" si="2"/>
        <v>27000000</v>
      </c>
      <c r="B39" s="159">
        <f t="shared" si="0"/>
        <v>173905.2221767967</v>
      </c>
      <c r="C39" s="165">
        <f t="shared" si="1"/>
        <v>39292145.898625448</v>
      </c>
    </row>
    <row r="40" spans="1:3" x14ac:dyDescent="0.25">
      <c r="A40" s="164">
        <f t="shared" si="2"/>
        <v>28500000</v>
      </c>
      <c r="B40" s="159">
        <f t="shared" si="0"/>
        <v>180613.15982339281</v>
      </c>
      <c r="C40" s="165">
        <f t="shared" si="1"/>
        <v>40807737.330497369</v>
      </c>
    </row>
    <row r="41" spans="1:3" x14ac:dyDescent="0.25">
      <c r="A41" s="164">
        <f t="shared" si="2"/>
        <v>30000000</v>
      </c>
      <c r="B41" s="159">
        <f t="shared" si="0"/>
        <v>187215.95903003748</v>
      </c>
      <c r="C41" s="165">
        <f t="shared" si="1"/>
        <v>42299573.783246666</v>
      </c>
    </row>
    <row r="42" spans="1:3" x14ac:dyDescent="0.25">
      <c r="A42" s="164">
        <f t="shared" si="2"/>
        <v>31500000</v>
      </c>
      <c r="B42" s="159">
        <f t="shared" si="0"/>
        <v>193720.40856021506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BE814-7810-447C-AB9A-0A5176BD85C2}">
  <sheetPr codeName="Sheet22">
    <tabColor theme="3" tint="0.79998168889431442"/>
  </sheetPr>
  <dimension ref="A1:R42"/>
  <sheetViews>
    <sheetView topLeftCell="A2" zoomScaleNormal="100" workbookViewId="0">
      <selection activeCell="G14" sqref="G14:H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306</v>
      </c>
    </row>
    <row r="2" spans="1:18" x14ac:dyDescent="0.2">
      <c r="A2" s="7" t="s">
        <v>2</v>
      </c>
      <c r="B2" s="8" t="s">
        <v>286</v>
      </c>
      <c r="C2" s="9" t="s">
        <v>4</v>
      </c>
      <c r="D2" s="8" t="s">
        <v>6</v>
      </c>
      <c r="E2" s="9" t="s">
        <v>116</v>
      </c>
      <c r="F2" s="10" t="s">
        <v>176</v>
      </c>
      <c r="H2" s="399" t="s">
        <v>102</v>
      </c>
      <c r="I2" s="400"/>
      <c r="J2" s="400"/>
      <c r="K2" s="400"/>
      <c r="L2" s="401"/>
    </row>
    <row r="3" spans="1:18" ht="13.5" thickBot="1" x14ac:dyDescent="0.25">
      <c r="A3" s="11" t="s">
        <v>3</v>
      </c>
      <c r="B3" s="12" t="s">
        <v>307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89" t="s">
        <v>106</v>
      </c>
      <c r="C4" s="589"/>
      <c r="D4" s="589"/>
      <c r="E4" s="589"/>
      <c r="F4" s="590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[21]VAC_Optim_Scenario!$G$14</f>
        <v>0.5</v>
      </c>
      <c r="C6" s="94">
        <f>[21]VAC_Optim_Scenario!$H$14</f>
        <v>2</v>
      </c>
    </row>
    <row r="7" spans="1:18" ht="27.75" customHeight="1" x14ac:dyDescent="0.2">
      <c r="A7" s="587" t="s">
        <v>8</v>
      </c>
      <c r="B7" s="592" t="s">
        <v>9</v>
      </c>
      <c r="C7" s="593"/>
      <c r="D7" s="594" t="s">
        <v>12</v>
      </c>
      <c r="E7" s="595"/>
      <c r="F7" s="596"/>
      <c r="G7" s="592" t="s">
        <v>124</v>
      </c>
      <c r="H7" s="592"/>
      <c r="I7" s="597"/>
      <c r="J7" s="98" t="s">
        <v>125</v>
      </c>
    </row>
    <row r="8" spans="1:18" ht="28.35" customHeight="1" x14ac:dyDescent="0.2">
      <c r="A8" s="591"/>
      <c r="B8" s="398" t="s">
        <v>10</v>
      </c>
      <c r="C8" s="17" t="s">
        <v>11</v>
      </c>
      <c r="D8" s="19" t="s">
        <v>20</v>
      </c>
      <c r="E8" s="398" t="s">
        <v>21</v>
      </c>
      <c r="F8" s="81" t="s">
        <v>117</v>
      </c>
      <c r="G8" s="402" t="s">
        <v>22</v>
      </c>
      <c r="H8" s="398" t="s">
        <v>23</v>
      </c>
      <c r="I8" s="88" t="s">
        <v>123</v>
      </c>
    </row>
    <row r="9" spans="1:18" ht="14.45" customHeight="1" thickBot="1" x14ac:dyDescent="0.25">
      <c r="A9" s="588"/>
      <c r="B9" s="95">
        <f>VAC_Optim_Scenario!G38</f>
        <v>1205984</v>
      </c>
      <c r="C9" s="95">
        <f>VAC_Optim_Scenario!H38</f>
        <v>7235904</v>
      </c>
      <c r="D9" s="95">
        <f>VAC_Optim_Scenario!I38</f>
        <v>1205984</v>
      </c>
      <c r="E9" s="84">
        <f>((($R$12/(1+EXP($P$12+$Q$12*D9)))-1) - ($F$12-$C$12))*$I$12</f>
        <v>10250.445204379968</v>
      </c>
      <c r="F9" s="89">
        <f>E9*$G$12</f>
        <v>10250.445204379968</v>
      </c>
      <c r="G9" s="95">
        <f>VAC_Optim_Scenario!E38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98" t="s">
        <v>180</v>
      </c>
    </row>
    <row r="10" spans="1:18" ht="13.5" thickBot="1" x14ac:dyDescent="0.25"/>
    <row r="11" spans="1:18" ht="51.6" customHeight="1" x14ac:dyDescent="0.2">
      <c r="A11" s="587" t="s">
        <v>15</v>
      </c>
      <c r="B11" s="404" t="s">
        <v>16</v>
      </c>
      <c r="C11" s="404" t="s">
        <v>17</v>
      </c>
      <c r="D11" s="404" t="s">
        <v>18</v>
      </c>
      <c r="E11" s="404" t="s">
        <v>19</v>
      </c>
      <c r="F11" s="405" t="s">
        <v>109</v>
      </c>
      <c r="G11" s="403" t="s">
        <v>181</v>
      </c>
      <c r="H11" s="404" t="s">
        <v>119</v>
      </c>
      <c r="I11" s="92" t="s">
        <v>122</v>
      </c>
      <c r="K11" s="579" t="s">
        <v>25</v>
      </c>
      <c r="L11" s="404" t="s">
        <v>110</v>
      </c>
      <c r="M11" s="404" t="s">
        <v>111</v>
      </c>
      <c r="N11" s="404" t="s">
        <v>112</v>
      </c>
      <c r="O11" s="404" t="s">
        <v>113</v>
      </c>
      <c r="P11" s="404" t="s">
        <v>26</v>
      </c>
      <c r="Q11" s="404" t="s">
        <v>27</v>
      </c>
      <c r="R11" s="405" t="s">
        <v>28</v>
      </c>
    </row>
    <row r="12" spans="1:18" ht="15" customHeight="1" thickBot="1" x14ac:dyDescent="0.25">
      <c r="A12" s="588"/>
      <c r="B12" s="357">
        <f>'[22]HCC PHARMACY SCurve'!$B$12</f>
        <v>2411882</v>
      </c>
      <c r="C12" s="153">
        <f>'[22]HCC PHARMACY SCurve'!$C$12</f>
        <v>18205.431530494821</v>
      </c>
      <c r="D12" s="153">
        <f>'[22]HCC PHARMACY SCurve'!$D$12</f>
        <v>0</v>
      </c>
      <c r="E12" s="153">
        <f>'[22]HCC PHARMACY SCurve'!$E$12</f>
        <v>45513.578826237055</v>
      </c>
      <c r="F12" s="153">
        <f>'[22]HCC PHARMACY SCurve'!$F$12</f>
        <v>4647854</v>
      </c>
      <c r="G12" s="358">
        <f>[21]VAC_Optim_Scenario!$D$33</f>
        <v>1</v>
      </c>
      <c r="H12" s="71">
        <f>C12*G12</f>
        <v>18205.431530494821</v>
      </c>
      <c r="I12" s="359">
        <f>[21]VAC_Optim_Scenario!D26</f>
        <v>1</v>
      </c>
      <c r="K12" s="580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24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581" t="s">
        <v>182</v>
      </c>
      <c r="B13" s="582"/>
      <c r="C13" s="582"/>
      <c r="D13" s="582"/>
      <c r="E13" s="582"/>
      <c r="F13" s="583"/>
      <c r="G13" s="398" t="s">
        <v>150</v>
      </c>
      <c r="H13" s="398" t="s">
        <v>151</v>
      </c>
      <c r="K13" s="581" t="s">
        <v>115</v>
      </c>
      <c r="L13" s="582"/>
      <c r="M13" s="582"/>
      <c r="N13" s="582"/>
      <c r="O13" s="582"/>
      <c r="P13" s="582"/>
      <c r="Q13" s="582"/>
      <c r="R13" s="583"/>
    </row>
    <row r="14" spans="1:18" ht="33.6" customHeight="1" thickBot="1" x14ac:dyDescent="0.25">
      <c r="A14" s="584"/>
      <c r="B14" s="585"/>
      <c r="C14" s="585"/>
      <c r="D14" s="585"/>
      <c r="E14" s="585"/>
      <c r="F14" s="586"/>
      <c r="G14" s="95">
        <f>VAC_Optim_Scenario!I46</f>
        <v>225.94</v>
      </c>
      <c r="H14" s="95">
        <f>VAC_Optim_Scenario!G46</f>
        <v>225.94</v>
      </c>
      <c r="K14" s="584"/>
      <c r="L14" s="585"/>
      <c r="M14" s="585"/>
      <c r="N14" s="585"/>
      <c r="O14" s="585"/>
      <c r="P14" s="585"/>
      <c r="Q14" s="585"/>
      <c r="R14" s="586"/>
    </row>
    <row r="16" spans="1:18" ht="13.5" thickBot="1" x14ac:dyDescent="0.25"/>
    <row r="17" spans="1:8" ht="42.6" customHeight="1" x14ac:dyDescent="0.2">
      <c r="A17" s="579" t="s">
        <v>34</v>
      </c>
      <c r="B17" s="404" t="s">
        <v>32</v>
      </c>
      <c r="C17" s="404" t="s">
        <v>31</v>
      </c>
      <c r="D17" s="405" t="s">
        <v>33</v>
      </c>
      <c r="F17" s="96"/>
      <c r="G17" s="96"/>
      <c r="H17" s="360"/>
    </row>
    <row r="18" spans="1:8" ht="23.45" customHeight="1" thickBot="1" x14ac:dyDescent="0.25">
      <c r="A18" s="580"/>
      <c r="B18" s="75">
        <v>0</v>
      </c>
      <c r="C18" s="76">
        <v>4000000</v>
      </c>
      <c r="D18" s="26">
        <v>20</v>
      </c>
    </row>
    <row r="20" spans="1:8" x14ac:dyDescent="0.2">
      <c r="A20" s="560" t="s">
        <v>37</v>
      </c>
      <c r="B20" s="560"/>
      <c r="C20" s="560"/>
    </row>
    <row r="21" spans="1:8" ht="25.5" x14ac:dyDescent="0.2">
      <c r="A21" s="398" t="s">
        <v>35</v>
      </c>
      <c r="B21" s="398" t="s">
        <v>183</v>
      </c>
      <c r="C21" s="398" t="s">
        <v>184</v>
      </c>
      <c r="D21" s="98" t="s">
        <v>185</v>
      </c>
      <c r="E21" s="398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65" t="s">
        <v>100</v>
      </c>
      <c r="G2" s="566"/>
      <c r="H2" s="566"/>
      <c r="I2" s="566"/>
      <c r="J2" s="566"/>
      <c r="K2" s="566"/>
      <c r="L2" s="567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568" t="s">
        <v>72</v>
      </c>
      <c r="G3" s="569"/>
      <c r="H3" s="569"/>
      <c r="I3" s="569"/>
      <c r="J3" s="569"/>
      <c r="K3" s="569"/>
      <c r="L3" s="570"/>
    </row>
    <row r="4" spans="1:12" ht="13.5" thickBot="1" x14ac:dyDescent="0.25">
      <c r="A4" s="29" t="s">
        <v>38</v>
      </c>
      <c r="B4" s="601" t="s">
        <v>39</v>
      </c>
      <c r="C4" s="601"/>
      <c r="D4" s="602"/>
    </row>
    <row r="6" spans="1:12" ht="13.5" thickBot="1" x14ac:dyDescent="0.25"/>
    <row r="7" spans="1:12" ht="27.75" customHeight="1" x14ac:dyDescent="0.2">
      <c r="A7" s="587" t="s">
        <v>8</v>
      </c>
      <c r="B7" s="592" t="s">
        <v>9</v>
      </c>
      <c r="C7" s="593"/>
      <c r="D7" s="594" t="s">
        <v>12</v>
      </c>
      <c r="E7" s="596"/>
      <c r="F7" s="595" t="s">
        <v>24</v>
      </c>
      <c r="G7" s="609"/>
    </row>
    <row r="8" spans="1:12" ht="25.5" x14ac:dyDescent="0.2">
      <c r="A8" s="59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88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587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587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588"/>
      <c r="B12" s="12">
        <v>20</v>
      </c>
      <c r="C12" s="12">
        <v>30</v>
      </c>
      <c r="D12" s="12">
        <v>0</v>
      </c>
      <c r="E12" s="14">
        <v>70</v>
      </c>
      <c r="G12" s="588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581" t="s">
        <v>30</v>
      </c>
      <c r="B13" s="582"/>
      <c r="C13" s="582"/>
      <c r="D13" s="582"/>
      <c r="E13" s="583"/>
      <c r="G13" s="603" t="s">
        <v>29</v>
      </c>
      <c r="H13" s="604"/>
      <c r="I13" s="604"/>
      <c r="J13" s="605"/>
    </row>
    <row r="14" spans="1:12" ht="33.6" customHeight="1" x14ac:dyDescent="0.2">
      <c r="A14" s="584"/>
      <c r="B14" s="585"/>
      <c r="C14" s="585"/>
      <c r="D14" s="585"/>
      <c r="E14" s="586"/>
      <c r="G14" s="606"/>
      <c r="H14" s="607"/>
      <c r="I14" s="607"/>
      <c r="J14" s="608"/>
    </row>
    <row r="16" spans="1:12" ht="13.5" thickBot="1" x14ac:dyDescent="0.25"/>
    <row r="17" spans="1:4" ht="16.899999999999999" customHeight="1" x14ac:dyDescent="0.2">
      <c r="A17" s="579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580"/>
      <c r="B18" s="12">
        <v>0</v>
      </c>
      <c r="C18" s="12">
        <v>100</v>
      </c>
      <c r="D18" s="26">
        <v>20</v>
      </c>
    </row>
    <row r="20" spans="1:4" x14ac:dyDescent="0.2">
      <c r="A20" s="560" t="s">
        <v>37</v>
      </c>
      <c r="B20" s="560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65" t="s">
        <v>100</v>
      </c>
      <c r="G2" s="566"/>
      <c r="H2" s="566"/>
      <c r="I2" s="566"/>
      <c r="J2" s="566"/>
      <c r="K2" s="566"/>
      <c r="L2" s="567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568" t="s">
        <v>72</v>
      </c>
      <c r="G3" s="569"/>
      <c r="H3" s="569"/>
      <c r="I3" s="569"/>
      <c r="J3" s="569"/>
      <c r="K3" s="569"/>
      <c r="L3" s="570"/>
    </row>
    <row r="4" spans="1:12" ht="31.9" customHeight="1" thickBot="1" x14ac:dyDescent="0.25">
      <c r="A4" s="29" t="s">
        <v>38</v>
      </c>
      <c r="B4" s="610" t="s">
        <v>41</v>
      </c>
      <c r="C4" s="611"/>
      <c r="D4" s="612"/>
    </row>
    <row r="6" spans="1:12" ht="13.5" thickBot="1" x14ac:dyDescent="0.25"/>
    <row r="7" spans="1:12" ht="27.75" customHeight="1" x14ac:dyDescent="0.2">
      <c r="A7" s="587" t="s">
        <v>8</v>
      </c>
      <c r="B7" s="592" t="s">
        <v>9</v>
      </c>
      <c r="C7" s="593"/>
      <c r="D7" s="594" t="s">
        <v>12</v>
      </c>
      <c r="E7" s="596"/>
      <c r="F7" s="595" t="s">
        <v>24</v>
      </c>
      <c r="G7" s="609"/>
      <c r="H7" s="1" t="s">
        <v>54</v>
      </c>
    </row>
    <row r="8" spans="1:12" ht="25.5" x14ac:dyDescent="0.2">
      <c r="A8" s="59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88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587" t="s">
        <v>42</v>
      </c>
      <c r="B11" s="549" t="s">
        <v>47</v>
      </c>
      <c r="C11" s="614" t="s">
        <v>46</v>
      </c>
      <c r="D11" s="595"/>
      <c r="E11" s="595"/>
      <c r="F11" s="3" t="s">
        <v>48</v>
      </c>
      <c r="G11" s="33"/>
      <c r="H11" s="32"/>
      <c r="I11" s="32"/>
      <c r="J11" s="32"/>
    </row>
    <row r="12" spans="1:12" x14ac:dyDescent="0.2">
      <c r="A12" s="615"/>
      <c r="B12" s="548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616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613" t="s">
        <v>52</v>
      </c>
      <c r="B14" s="613"/>
      <c r="C14" s="613"/>
      <c r="D14" s="613"/>
      <c r="E14" s="613"/>
      <c r="F14" s="613"/>
      <c r="G14" s="38"/>
      <c r="H14" s="39"/>
      <c r="I14" s="39"/>
      <c r="J14" s="39"/>
    </row>
    <row r="15" spans="1:12" ht="30.6" customHeight="1" x14ac:dyDescent="0.2">
      <c r="A15" s="613"/>
      <c r="B15" s="613"/>
      <c r="C15" s="613"/>
      <c r="D15" s="613"/>
      <c r="E15" s="613"/>
      <c r="F15" s="613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579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580"/>
      <c r="B19" s="12">
        <v>0</v>
      </c>
      <c r="C19" s="12">
        <v>20000000</v>
      </c>
      <c r="D19" s="26">
        <v>20</v>
      </c>
    </row>
    <row r="21" spans="1:4" x14ac:dyDescent="0.2">
      <c r="A21" s="560" t="s">
        <v>37</v>
      </c>
      <c r="B21" s="560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617" t="s">
        <v>106</v>
      </c>
      <c r="C4" s="617"/>
      <c r="D4" s="617"/>
      <c r="E4" s="617"/>
      <c r="F4" s="618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587" t="s">
        <v>8</v>
      </c>
      <c r="B7" s="592" t="s">
        <v>9</v>
      </c>
      <c r="C7" s="593"/>
      <c r="D7" s="594" t="s">
        <v>12</v>
      </c>
      <c r="E7" s="596"/>
      <c r="F7" s="595" t="s">
        <v>24</v>
      </c>
      <c r="G7" s="609"/>
    </row>
    <row r="8" spans="1:15" ht="25.5" x14ac:dyDescent="0.2">
      <c r="A8" s="591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588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587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579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588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580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581" t="s">
        <v>114</v>
      </c>
      <c r="B13" s="582"/>
      <c r="C13" s="582"/>
      <c r="D13" s="582"/>
      <c r="E13" s="582"/>
      <c r="F13" s="583"/>
      <c r="H13" s="581" t="s">
        <v>115</v>
      </c>
      <c r="I13" s="582"/>
      <c r="J13" s="582"/>
      <c r="K13" s="582"/>
      <c r="L13" s="582"/>
      <c r="M13" s="582"/>
      <c r="N13" s="582"/>
      <c r="O13" s="583"/>
    </row>
    <row r="14" spans="1:15" ht="33.6" customHeight="1" x14ac:dyDescent="0.2">
      <c r="A14" s="584"/>
      <c r="B14" s="585"/>
      <c r="C14" s="585"/>
      <c r="D14" s="585"/>
      <c r="E14" s="585"/>
      <c r="F14" s="586"/>
      <c r="H14" s="584"/>
      <c r="I14" s="585"/>
      <c r="J14" s="585"/>
      <c r="K14" s="585"/>
      <c r="L14" s="585"/>
      <c r="M14" s="585"/>
      <c r="N14" s="585"/>
      <c r="O14" s="586"/>
    </row>
    <row r="16" spans="1:15" ht="13.5" thickBot="1" x14ac:dyDescent="0.25"/>
    <row r="17" spans="1:4" ht="16.899999999999999" customHeight="1" x14ac:dyDescent="0.2">
      <c r="A17" s="579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580"/>
      <c r="B18" s="75">
        <v>0</v>
      </c>
      <c r="C18" s="76">
        <v>200000000</v>
      </c>
      <c r="D18" s="26">
        <v>20</v>
      </c>
    </row>
    <row r="20" spans="1:4" x14ac:dyDescent="0.2">
      <c r="A20" s="560" t="s">
        <v>37</v>
      </c>
      <c r="B20" s="560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565" t="s">
        <v>100</v>
      </c>
      <c r="G2" s="566"/>
      <c r="H2" s="566"/>
      <c r="I2" s="566"/>
      <c r="J2" s="566"/>
      <c r="K2" s="566"/>
      <c r="L2" s="567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568" t="s">
        <v>72</v>
      </c>
      <c r="G3" s="569"/>
      <c r="H3" s="569"/>
      <c r="I3" s="569"/>
      <c r="J3" s="569"/>
      <c r="K3" s="569"/>
      <c r="L3" s="570"/>
    </row>
    <row r="4" spans="1:14" ht="13.5" thickBot="1" x14ac:dyDescent="0.25">
      <c r="A4" s="29" t="s">
        <v>38</v>
      </c>
      <c r="B4" s="601" t="s">
        <v>57</v>
      </c>
      <c r="C4" s="601"/>
      <c r="D4" s="602"/>
    </row>
    <row r="6" spans="1:14" ht="13.5" thickBot="1" x14ac:dyDescent="0.25"/>
    <row r="7" spans="1:14" ht="27.75" customHeight="1" x14ac:dyDescent="0.2">
      <c r="A7" s="587" t="s">
        <v>8</v>
      </c>
      <c r="B7" s="592" t="s">
        <v>9</v>
      </c>
      <c r="C7" s="593"/>
      <c r="D7" s="594" t="s">
        <v>12</v>
      </c>
      <c r="E7" s="596"/>
      <c r="F7" s="595" t="s">
        <v>24</v>
      </c>
      <c r="G7" s="609"/>
      <c r="I7" s="621" t="s">
        <v>73</v>
      </c>
      <c r="J7" s="621"/>
      <c r="K7" s="621"/>
      <c r="L7" s="621"/>
      <c r="N7" s="47" t="s">
        <v>58</v>
      </c>
    </row>
    <row r="8" spans="1:14" ht="25.5" x14ac:dyDescent="0.2">
      <c r="A8" s="59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621"/>
      <c r="J8" s="621"/>
      <c r="K8" s="621"/>
      <c r="L8" s="621"/>
      <c r="N8" s="47" t="s">
        <v>59</v>
      </c>
    </row>
    <row r="9" spans="1:14" ht="13.5" thickBot="1" x14ac:dyDescent="0.25">
      <c r="A9" s="588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560" t="s">
        <v>60</v>
      </c>
      <c r="B11" s="3" t="s">
        <v>61</v>
      </c>
      <c r="C11" s="3" t="s">
        <v>62</v>
      </c>
      <c r="D11" s="32"/>
      <c r="E11" s="619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560"/>
      <c r="B12" s="41">
        <v>0</v>
      </c>
      <c r="C12" s="41">
        <v>0</v>
      </c>
      <c r="D12" s="32"/>
      <c r="E12" s="620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560"/>
      <c r="B13" s="41">
        <v>1</v>
      </c>
      <c r="C13" s="41">
        <v>0.75</v>
      </c>
      <c r="D13" s="32"/>
      <c r="E13" s="620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560"/>
      <c r="B14" s="41">
        <v>2</v>
      </c>
      <c r="C14" s="41">
        <v>0</v>
      </c>
      <c r="D14" s="32"/>
      <c r="E14" s="620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560"/>
      <c r="B15" s="41">
        <v>3</v>
      </c>
      <c r="C15" s="41">
        <v>-1</v>
      </c>
      <c r="D15" s="32"/>
      <c r="E15" s="620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560"/>
      <c r="B16" s="41">
        <v>4</v>
      </c>
      <c r="C16" s="41">
        <v>3</v>
      </c>
      <c r="D16" s="32"/>
      <c r="E16" s="620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560"/>
      <c r="B17" s="42">
        <v>5</v>
      </c>
      <c r="C17" s="42">
        <v>3</v>
      </c>
      <c r="D17" s="40"/>
      <c r="E17" s="620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622" t="s">
        <v>74</v>
      </c>
      <c r="B18" s="623"/>
      <c r="C18" s="624"/>
      <c r="D18" s="33"/>
      <c r="E18" s="613" t="s">
        <v>75</v>
      </c>
      <c r="F18" s="613"/>
      <c r="G18" s="613"/>
      <c r="H18" s="613"/>
      <c r="I18" s="613"/>
      <c r="J18" s="613"/>
      <c r="K18" s="613"/>
      <c r="L18" s="613"/>
      <c r="M18" s="613"/>
    </row>
    <row r="19" spans="1:13" ht="35.65" customHeight="1" x14ac:dyDescent="0.2">
      <c r="A19" s="584"/>
      <c r="B19" s="585"/>
      <c r="C19" s="586"/>
      <c r="D19" s="33"/>
      <c r="E19" s="613"/>
      <c r="F19" s="613"/>
      <c r="G19" s="613"/>
      <c r="H19" s="613"/>
      <c r="I19" s="613"/>
      <c r="J19" s="613"/>
      <c r="K19" s="613"/>
      <c r="L19" s="613"/>
      <c r="M19" s="613"/>
    </row>
    <row r="21" spans="1:13" ht="13.5" thickBot="1" x14ac:dyDescent="0.25"/>
    <row r="22" spans="1:13" ht="16.899999999999999" customHeight="1" x14ac:dyDescent="0.2">
      <c r="A22" s="579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580"/>
      <c r="B23" s="12">
        <v>0</v>
      </c>
      <c r="C23" s="12">
        <v>5</v>
      </c>
      <c r="D23" s="26">
        <v>20</v>
      </c>
    </row>
    <row r="25" spans="1:13" x14ac:dyDescent="0.2">
      <c r="A25" s="560" t="s">
        <v>37</v>
      </c>
      <c r="B25" s="560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YOY Curve comparison</vt:lpstr>
      <vt:lpstr>Scenario summary</vt:lpstr>
      <vt:lpstr>Chart - Combined</vt:lpstr>
      <vt:lpstr>Scenario deep dive</vt:lpstr>
      <vt:lpstr>Scenario deep dive_2023</vt:lpstr>
      <vt:lpstr>Senstivity</vt:lpstr>
      <vt:lpstr>Sensitivity - Template</vt:lpstr>
      <vt:lpstr>Contribution, promo eff, ROI</vt:lpstr>
      <vt:lpstr>Scenario summary_23_dz</vt:lpstr>
      <vt:lpstr>Scenario deep dive_23_dz</vt:lpstr>
      <vt:lpstr>VAC_Optim_Scenario</vt:lpstr>
      <vt:lpstr>GINOFF</vt:lpstr>
      <vt:lpstr>GINOFF_adt</vt:lpstr>
      <vt:lpstr>GMCM</vt:lpstr>
      <vt:lpstr>GMCM_adt</vt:lpstr>
      <vt:lpstr>GSOC</vt:lpstr>
      <vt:lpstr>GSOCIAL_adt</vt:lpstr>
      <vt:lpstr>GOLV</vt:lpstr>
      <vt:lpstr>GOLV_adt</vt:lpstr>
      <vt:lpstr>GSTRV</vt:lpstr>
      <vt:lpstr>GSTRTV_adt</vt:lpstr>
      <vt:lpstr>GDISP</vt:lpstr>
      <vt:lpstr>GDISP_adt</vt:lpstr>
      <vt:lpstr>GSEARCH</vt:lpstr>
      <vt:lpstr>GPDSRCH_adt</vt:lpstr>
      <vt:lpstr>GRADIO</vt:lpstr>
      <vt:lpstr>GAUDIO</vt:lpstr>
      <vt:lpstr>GTV</vt:lpstr>
      <vt:lpstr>GPRNT</vt:lpstr>
      <vt:lpstr>GLINEARTV_adt</vt:lpstr>
      <vt:lpstr>GPHRMCY_adt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A, Sarath</cp:lastModifiedBy>
  <cp:lastPrinted>2013-05-08T17:24:00Z</cp:lastPrinted>
  <dcterms:created xsi:type="dcterms:W3CDTF">2013-03-17T16:17:06Z</dcterms:created>
  <dcterms:modified xsi:type="dcterms:W3CDTF">2023-08-29T16:51:58Z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