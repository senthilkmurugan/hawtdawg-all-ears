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Total\"/>
    </mc:Choice>
  </mc:AlternateContent>
  <xr:revisionPtr revIDLastSave="0" documentId="13_ncr:1_{8B141ADB-4621-4B7E-85C4-4303C9A6AEC0}" xr6:coauthVersionLast="47" xr6:coauthVersionMax="47" xr10:uidLastSave="{00000000-0000-0000-0000-000000000000}"/>
  <bookViews>
    <workbookView xWindow="-120" yWindow="-120" windowWidth="20730" windowHeight="11160" tabRatio="709" firstSheet="7" activeTab="7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3_dz" sheetId="91" r:id="rId10"/>
    <sheet name="VAC_Optim_Scenario" sheetId="23" r:id="rId11"/>
    <sheet name="GINOFF" sheetId="51" r:id="rId12"/>
    <sheet name="GINOFF_adt" sheetId="93" r:id="rId13"/>
    <sheet name="GMCM" sheetId="50" r:id="rId14"/>
    <sheet name="GMCM_adt" sheetId="94" r:id="rId15"/>
    <sheet name="GSOC" sheetId="82" r:id="rId16"/>
    <sheet name="GSOCIAL_adt" sheetId="95" r:id="rId17"/>
    <sheet name="GOLV" sheetId="59" r:id="rId18"/>
    <sheet name="GOLV_adt" sheetId="96" r:id="rId19"/>
    <sheet name="GSTRV" sheetId="84" r:id="rId20"/>
    <sheet name="GSTRTV_adt" sheetId="97" r:id="rId21"/>
    <sheet name="GDISP" sheetId="88" r:id="rId22"/>
    <sheet name="GDISP_adt" sheetId="98" r:id="rId23"/>
    <sheet name="GSEARCH" sheetId="77" r:id="rId24"/>
    <sheet name="GPDSRCH_adt" sheetId="99" r:id="rId25"/>
    <sheet name="GRADIO" sheetId="75" r:id="rId26"/>
    <sheet name="GAUDIO" sheetId="90" r:id="rId27"/>
    <sheet name="GTV" sheetId="74" r:id="rId28"/>
    <sheet name="GPRNT" sheetId="48" state="hidden" r:id="rId29"/>
    <sheet name="GLINEARTV_adt" sheetId="100" r:id="rId30"/>
    <sheet name="GPHRMCY_adt" sheetId="101" r:id="rId31"/>
    <sheet name="Fn.Templates ==&gt;" sheetId="3" r:id="rId32"/>
    <sheet name="FT_SCurveEst" sheetId="2" r:id="rId33"/>
    <sheet name="FT_Equation" sheetId="4" r:id="rId34"/>
    <sheet name="FT_SCurve3Est" sheetId="13" r:id="rId35"/>
    <sheet name="FT_Interpolate" sheetId="5" r:id="rId36"/>
  </sheets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xlnm._FilterDatabase" localSheetId="7" hidden="1">'Contribution, promo eff, ROI'!$E$46:$F$56</definedName>
    <definedName name="solver_adj" localSheetId="10" hidden="1">VAC_Optim_Scenario!$I$17:$I$25,VAC_Optim_Scenario!$I$27:$I$36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3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VAC_Optim_Scenario!$I$38</definedName>
    <definedName name="solver_lhs1" localSheetId="10" hidden="1">VAC_Optim_Scenario!$B$12</definedName>
    <definedName name="solver_lhs10" localSheetId="10" hidden="1">VAC_Optim_Scenario!$I$37</definedName>
    <definedName name="solver_lhs11" localSheetId="10" hidden="1">VAC_Optim_Scenario!$I$37</definedName>
    <definedName name="solver_lhs2" localSheetId="10" hidden="1">VAC_Optim_Scenario!$I$17:$I$25</definedName>
    <definedName name="solver_lhs3" localSheetId="10" hidden="1">VAC_Optim_Scenario!$I$17:$I$25</definedName>
    <definedName name="solver_lhs4" localSheetId="10" hidden="1">VAC_Optim_Scenario!$I$27:$I$36</definedName>
    <definedName name="solver_lhs5" localSheetId="10" hidden="1">VAC_Optim_Scenario!$I$27:$I$36</definedName>
    <definedName name="solver_lhs6" localSheetId="10" hidden="1">VAC_Optim_Scenario!$I$27:$I$36</definedName>
    <definedName name="solver_lhs7" localSheetId="10" hidden="1">VAC_Optim_Scenario!$I$27:$I$36</definedName>
    <definedName name="solver_lhs8" localSheetId="10" hidden="1">VAC_Optim_Scenario!$I$37</definedName>
    <definedName name="solver_lhs9" localSheetId="10" hidden="1">VAC_Optim_Scenario!$I$37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30" hidden="1">1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30" hidden="1">0</definedName>
    <definedName name="solver_num" localSheetId="6" hidden="1">0</definedName>
    <definedName name="solver_num" localSheetId="5" hidden="1">0</definedName>
    <definedName name="solver_num" localSheetId="10" hidden="1">5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30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10" localSheetId="10" hidden="1">3</definedName>
    <definedName name="solver_rel11" localSheetId="10" hidden="1">3</definedName>
    <definedName name="solver_rel2" localSheetId="10" hidden="1">1</definedName>
    <definedName name="solver_rel3" localSheetId="10" hidden="1">3</definedName>
    <definedName name="solver_rel4" localSheetId="10" hidden="1">1</definedName>
    <definedName name="solver_rel5" localSheetId="10" hidden="1">3</definedName>
    <definedName name="solver_rel6" localSheetId="10" hidden="1">3</definedName>
    <definedName name="solver_rel7" localSheetId="10" hidden="1">3</definedName>
    <definedName name="solver_rel8" localSheetId="10" hidden="1">3</definedName>
    <definedName name="solver_rel9" localSheetId="10" hidden="1">3</definedName>
    <definedName name="solver_rhs0" localSheetId="10" hidden="1">VAC_Optim_Scenario!$C$12</definedName>
    <definedName name="solver_rhs1" localSheetId="10" hidden="1">VAC_Optim_Scenario!$I$38</definedName>
    <definedName name="solver_rhs10" localSheetId="10" hidden="1">VAC_Optim_Scenario!$G$37</definedName>
    <definedName name="solver_rhs11" localSheetId="10" hidden="1">VAC_Optim_Scenario!$G$37</definedName>
    <definedName name="solver_rhs2" localSheetId="10" hidden="1">VAC_Optim_Scenario!$H$17:$H$25</definedName>
    <definedName name="solver_rhs3" localSheetId="10" hidden="1">VAC_Optim_Scenario!$G$17:$G$25</definedName>
    <definedName name="solver_rhs4" localSheetId="10" hidden="1">VAC_Optim_Scenario!$H$27:$H$36</definedName>
    <definedName name="solver_rhs5" localSheetId="10" hidden="1">VAC_Optim_Scenario!$G$27:$G$36</definedName>
    <definedName name="solver_rhs6" localSheetId="10" hidden="1">VAC_Optim_Scenario!$G$27:$G$36</definedName>
    <definedName name="solver_rhs7" localSheetId="10" hidden="1">VAC_Optim_Scenario!$G$27:$G$36</definedName>
    <definedName name="solver_rhs8" localSheetId="10" hidden="1">VAC_Optim_Scenario!$G$37</definedName>
    <definedName name="solver_rhs9" localSheetId="10" hidden="1">VAC_Optim_Scenario!$G$37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30" hidden="1">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30" hidden="1">0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30" hidden="1">3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5" i="80" l="1"/>
  <c r="F50" i="80"/>
  <c r="F54" i="80"/>
  <c r="F51" i="80"/>
  <c r="F52" i="80"/>
  <c r="F49" i="80"/>
  <c r="F53" i="80"/>
  <c r="F56" i="80"/>
  <c r="F48" i="80"/>
  <c r="F47" i="80"/>
  <c r="F14" i="90"/>
  <c r="D14" i="80"/>
  <c r="D15" i="80"/>
  <c r="D16" i="80"/>
  <c r="D17" i="80"/>
  <c r="D18" i="80"/>
  <c r="D19" i="80"/>
  <c r="D20" i="80"/>
  <c r="D21" i="80"/>
  <c r="D22" i="80"/>
  <c r="D13" i="80"/>
  <c r="R17" i="80" a="1"/>
  <c r="Q13" i="80" a="1"/>
  <c r="R18" i="80" a="1"/>
  <c r="Q22" i="80" a="1"/>
  <c r="R16" i="80" a="1"/>
  <c r="Q16" i="80" a="1"/>
  <c r="R22" i="80" a="1"/>
  <c r="Q17" i="80" a="1"/>
  <c r="R20" i="80" a="1"/>
  <c r="R15" i="80" a="1"/>
  <c r="R13" i="80" a="1"/>
  <c r="R14" i="80" a="1"/>
  <c r="Q15" i="80" a="1"/>
  <c r="Q20" i="80" a="1"/>
  <c r="Q19" i="80" a="1"/>
  <c r="Q21" i="80" a="1"/>
  <c r="Q14" i="80" a="1"/>
  <c r="R19" i="80" a="1"/>
  <c r="R21" i="80" a="1"/>
  <c r="Q18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D23" i="80" s="1"/>
  <c r="R8" i="80" a="1"/>
  <c r="Q12" i="80" a="1"/>
  <c r="Q10" i="80" a="1"/>
  <c r="R4" i="80" a="1"/>
  <c r="R9" i="80" a="1"/>
  <c r="R12" i="80" a="1"/>
  <c r="Q4" i="80" a="1"/>
  <c r="R7" i="80" a="1"/>
  <c r="Q9" i="80" a="1"/>
  <c r="Q7" i="80" a="1"/>
  <c r="Q6" i="80" a="1"/>
  <c r="R10" i="80" a="1"/>
  <c r="Q8" i="80" a="1"/>
  <c r="R11" i="80" a="1"/>
  <c r="R6" i="80" a="1"/>
  <c r="Q11" i="80" a="1"/>
  <c r="Q4" i="80" l="1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L27" i="91"/>
  <c r="L54" i="91" s="1"/>
  <c r="J27" i="91"/>
  <c r="J54" i="91" s="1"/>
  <c r="L26" i="91"/>
  <c r="L53" i="91" s="1"/>
  <c r="J26" i="91"/>
  <c r="J53" i="91" s="1"/>
  <c r="H27" i="91"/>
  <c r="H54" i="91" s="1"/>
  <c r="H26" i="91"/>
  <c r="H53" i="91" s="1"/>
  <c r="F27" i="91"/>
  <c r="F54" i="91" s="1"/>
  <c r="F26" i="91"/>
  <c r="F53" i="91" s="1"/>
  <c r="G9" i="90" l="1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28" i="91"/>
  <c r="L30" i="91" s="1"/>
  <c r="J28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5" i="23"/>
  <c r="H66" i="23"/>
  <c r="D65" i="23"/>
  <c r="D66" i="23"/>
  <c r="C58" i="23"/>
  <c r="C59" i="23"/>
  <c r="C60" i="23"/>
  <c r="C61" i="23"/>
  <c r="C62" i="23"/>
  <c r="C63" i="23"/>
  <c r="C64" i="23"/>
  <c r="C65" i="23"/>
  <c r="C66" i="23"/>
  <c r="C57" i="23"/>
  <c r="B58" i="23"/>
  <c r="B59" i="23"/>
  <c r="B60" i="23"/>
  <c r="B61" i="23"/>
  <c r="B62" i="23"/>
  <c r="B63" i="23"/>
  <c r="B64" i="23"/>
  <c r="B65" i="23"/>
  <c r="B66" i="23"/>
  <c r="B67" i="23"/>
  <c r="B57" i="23"/>
  <c r="A56" i="23"/>
  <c r="G36" i="23"/>
  <c r="H36" i="23"/>
  <c r="C9" i="101" s="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L12" i="101" s="1"/>
  <c r="M12" i="101" s="1"/>
  <c r="E12" i="101"/>
  <c r="D12" i="101"/>
  <c r="C12" i="101"/>
  <c r="H12" i="101" s="1"/>
  <c r="B12" i="101"/>
  <c r="N12" i="101" s="1"/>
  <c r="C6" i="101"/>
  <c r="B6" i="101"/>
  <c r="K35" i="23"/>
  <c r="M35" i="23" s="1"/>
  <c r="K36" i="23"/>
  <c r="M36" i="23" s="1"/>
  <c r="G35" i="23"/>
  <c r="B9" i="90" s="1"/>
  <c r="H35" i="23"/>
  <c r="C9" i="90" s="1"/>
  <c r="I38" i="23"/>
  <c r="I37" i="23"/>
  <c r="H67" i="23" s="1"/>
  <c r="E38" i="23"/>
  <c r="E37" i="23"/>
  <c r="D67" i="23" s="1"/>
  <c r="K67" i="23" l="1"/>
  <c r="M67" i="23" s="1"/>
  <c r="K66" i="23"/>
  <c r="M66" i="23" s="1"/>
  <c r="K65" i="23"/>
  <c r="M65" i="23" s="1"/>
  <c r="R25" i="91"/>
  <c r="S25" i="91" s="1"/>
  <c r="R24" i="91"/>
  <c r="S24" i="91" s="1"/>
  <c r="P12" i="101"/>
  <c r="Q12" i="101" s="1"/>
  <c r="R12" i="101"/>
  <c r="O12" i="101"/>
  <c r="B41" i="101" l="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6" i="23" s="1"/>
  <c r="I66" i="23" s="1"/>
  <c r="B42" i="101"/>
  <c r="B38" i="101"/>
  <c r="B30" i="101"/>
  <c r="H9" i="101"/>
  <c r="I9" i="101" s="1"/>
  <c r="J9" i="101" l="1"/>
  <c r="F36" i="23"/>
  <c r="D42" i="101"/>
  <c r="C42" i="101"/>
  <c r="C36" i="101"/>
  <c r="D36" i="101"/>
  <c r="D31" i="101"/>
  <c r="C31" i="101"/>
  <c r="D33" i="101"/>
  <c r="C33" i="101"/>
  <c r="D34" i="101"/>
  <c r="C34" i="101"/>
  <c r="C24" i="101"/>
  <c r="D24" i="101"/>
  <c r="D30" i="101"/>
  <c r="C30" i="101"/>
  <c r="D35" i="101"/>
  <c r="C35" i="101"/>
  <c r="C28" i="101"/>
  <c r="D28" i="101"/>
  <c r="D26" i="101"/>
  <c r="C26" i="101"/>
  <c r="C37" i="101"/>
  <c r="D37" i="101"/>
  <c r="D27" i="101"/>
  <c r="C27" i="101"/>
  <c r="C29" i="101"/>
  <c r="D29" i="101"/>
  <c r="C40" i="101"/>
  <c r="D40" i="101"/>
  <c r="C22" i="101"/>
  <c r="D38" i="101"/>
  <c r="C38" i="101"/>
  <c r="D23" i="101"/>
  <c r="C23" i="101"/>
  <c r="D39" i="101"/>
  <c r="C39" i="101"/>
  <c r="C32" i="101"/>
  <c r="D32" i="101"/>
  <c r="C25" i="101"/>
  <c r="D25" i="101"/>
  <c r="C41" i="101"/>
  <c r="D41" i="101"/>
  <c r="L36" i="23" l="1"/>
  <c r="N36" i="23" s="1"/>
  <c r="F66" i="23"/>
  <c r="E22" i="80"/>
  <c r="I22" i="80" s="1"/>
  <c r="D12" i="100"/>
  <c r="C12" i="100"/>
  <c r="B12" i="100"/>
  <c r="H22" i="80" l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6" i="23" l="1"/>
  <c r="B12" i="23"/>
  <c r="E26" i="23"/>
  <c r="D56" i="23" s="1"/>
  <c r="H56" i="23" l="1"/>
  <c r="K56" i="23" s="1"/>
  <c r="M56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7" i="23"/>
  <c r="H58" i="23"/>
  <c r="H59" i="23"/>
  <c r="H60" i="23"/>
  <c r="H61" i="23"/>
  <c r="H62" i="23"/>
  <c r="H63" i="23"/>
  <c r="H64" i="23"/>
  <c r="D57" i="23"/>
  <c r="D58" i="23"/>
  <c r="D59" i="23"/>
  <c r="D60" i="23"/>
  <c r="D61" i="23"/>
  <c r="D62" i="23"/>
  <c r="D63" i="23"/>
  <c r="D64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H24" i="23"/>
  <c r="H25" i="23"/>
  <c r="H27" i="23"/>
  <c r="H28" i="23"/>
  <c r="Q28" i="23" s="1"/>
  <c r="H29" i="23"/>
  <c r="Q29" i="23" s="1"/>
  <c r="H30" i="23"/>
  <c r="C9" i="96" s="1"/>
  <c r="H31" i="23"/>
  <c r="C9" i="97" s="1"/>
  <c r="H32" i="23"/>
  <c r="Q32" i="23" s="1"/>
  <c r="H33" i="23"/>
  <c r="C9" i="99" s="1"/>
  <c r="H34" i="23"/>
  <c r="Q34" i="23" s="1"/>
  <c r="G25" i="23"/>
  <c r="G27" i="23"/>
  <c r="G28" i="23"/>
  <c r="P28" i="23" s="1"/>
  <c r="G29" i="23"/>
  <c r="B9" i="95" s="1"/>
  <c r="G30" i="23"/>
  <c r="P30" i="23" s="1"/>
  <c r="G31" i="23"/>
  <c r="P31" i="23" s="1"/>
  <c r="G32" i="23"/>
  <c r="P32" i="23" s="1"/>
  <c r="G33" i="23"/>
  <c r="B9" i="99" s="1"/>
  <c r="G34" i="23"/>
  <c r="P34" i="23" s="1"/>
  <c r="K25" i="23"/>
  <c r="M25" i="23" s="1"/>
  <c r="K27" i="23"/>
  <c r="K28" i="23"/>
  <c r="M28" i="23" s="1"/>
  <c r="K29" i="23"/>
  <c r="M29" i="23" s="1"/>
  <c r="K30" i="23"/>
  <c r="M30" i="23" s="1"/>
  <c r="K31" i="23"/>
  <c r="M31" i="23" s="1"/>
  <c r="K32" i="23"/>
  <c r="M32" i="23" s="1"/>
  <c r="K33" i="23"/>
  <c r="M33" i="23" s="1"/>
  <c r="K34" i="23"/>
  <c r="M34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C43" i="91" l="1"/>
  <c r="C27" i="91"/>
  <c r="C54" i="91" s="1"/>
  <c r="G37" i="23"/>
  <c r="H37" i="23"/>
  <c r="K37" i="23"/>
  <c r="M37" i="23" s="1"/>
  <c r="P27" i="23"/>
  <c r="C9" i="93"/>
  <c r="M27" i="23"/>
  <c r="K64" i="23"/>
  <c r="M64" i="23" s="1"/>
  <c r="K60" i="23"/>
  <c r="M60" i="23" s="1"/>
  <c r="K63" i="23"/>
  <c r="M63" i="23" s="1"/>
  <c r="K59" i="23"/>
  <c r="M59" i="23" s="1"/>
  <c r="K62" i="23"/>
  <c r="M62" i="23" s="1"/>
  <c r="K58" i="23"/>
  <c r="M58" i="23" s="1"/>
  <c r="K61" i="23"/>
  <c r="M61" i="23" s="1"/>
  <c r="K57" i="23"/>
  <c r="M57" i="23" s="1"/>
  <c r="L12" i="96"/>
  <c r="B9" i="93"/>
  <c r="L29" i="91"/>
  <c r="H29" i="91"/>
  <c r="P29" i="91"/>
  <c r="M12" i="96"/>
  <c r="R12" i="96" s="1"/>
  <c r="L12" i="93"/>
  <c r="M12" i="93" s="1"/>
  <c r="P12" i="93" s="1"/>
  <c r="L12" i="94"/>
  <c r="M12" i="94" s="1"/>
  <c r="P12" i="94" s="1"/>
  <c r="O12" i="93"/>
  <c r="O12" i="94"/>
  <c r="C9" i="94"/>
  <c r="R23" i="91"/>
  <c r="S23" i="91" s="1"/>
  <c r="R19" i="91"/>
  <c r="R22" i="91"/>
  <c r="S22" i="91" s="1"/>
  <c r="R18" i="91"/>
  <c r="S18" i="91" s="1"/>
  <c r="R21" i="91"/>
  <c r="S21" i="91" s="1"/>
  <c r="R17" i="91"/>
  <c r="S17" i="91" s="1"/>
  <c r="R20" i="91"/>
  <c r="S20" i="91" s="1"/>
  <c r="R16" i="91"/>
  <c r="S16" i="91" s="1"/>
  <c r="E9" i="95"/>
  <c r="F9" i="95" s="1"/>
  <c r="J29" i="23" s="1"/>
  <c r="I59" i="23" s="1"/>
  <c r="E9" i="99"/>
  <c r="F9" i="99" s="1"/>
  <c r="J33" i="23" s="1"/>
  <c r="I63" i="23" s="1"/>
  <c r="B21" i="100"/>
  <c r="C21" i="100" s="1"/>
  <c r="B9" i="94"/>
  <c r="C9" i="95"/>
  <c r="H9" i="95"/>
  <c r="I9" i="95" s="1"/>
  <c r="F29" i="23" s="1"/>
  <c r="H9" i="97"/>
  <c r="I9" i="97" s="1"/>
  <c r="F31" i="23" s="1"/>
  <c r="B9" i="98"/>
  <c r="B21" i="99"/>
  <c r="C21" i="99" s="1"/>
  <c r="H9" i="100"/>
  <c r="I9" i="100" s="1"/>
  <c r="F34" i="23" s="1"/>
  <c r="O34" i="23" s="1"/>
  <c r="Q33" i="23"/>
  <c r="Q31" i="23"/>
  <c r="Q27" i="23"/>
  <c r="B21" i="95"/>
  <c r="B9" i="97"/>
  <c r="E9" i="98"/>
  <c r="F9" i="98" s="1"/>
  <c r="J32" i="23" s="1"/>
  <c r="I62" i="23" s="1"/>
  <c r="C9" i="98"/>
  <c r="B9" i="100"/>
  <c r="P33" i="23"/>
  <c r="P29" i="23"/>
  <c r="B22" i="100"/>
  <c r="C22" i="100" s="1"/>
  <c r="H12" i="94"/>
  <c r="B9" i="96"/>
  <c r="H9" i="98"/>
  <c r="I9" i="98" s="1"/>
  <c r="F32" i="23" s="1"/>
  <c r="B21" i="98"/>
  <c r="E9" i="100"/>
  <c r="F9" i="100" s="1"/>
  <c r="J34" i="23" s="1"/>
  <c r="I64" i="23" s="1"/>
  <c r="C9" i="100"/>
  <c r="Q30" i="23"/>
  <c r="B21" i="97"/>
  <c r="C21" i="97" s="1"/>
  <c r="E9" i="97"/>
  <c r="F9" i="97" s="1"/>
  <c r="J31" i="23" s="1"/>
  <c r="I61" i="23" s="1"/>
  <c r="A23" i="100"/>
  <c r="G12" i="100"/>
  <c r="H9" i="99"/>
  <c r="I9" i="99" s="1"/>
  <c r="F33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P12" i="96"/>
  <c r="O12" i="96"/>
  <c r="B23" i="95"/>
  <c r="A24" i="95"/>
  <c r="B22" i="95"/>
  <c r="H12" i="93"/>
  <c r="J19" i="80"/>
  <c r="O27" i="91" l="1"/>
  <c r="O54" i="91" s="1"/>
  <c r="G27" i="91"/>
  <c r="G54" i="91" s="1"/>
  <c r="K27" i="91"/>
  <c r="K54" i="91" s="1"/>
  <c r="Q12" i="94"/>
  <c r="R12" i="94"/>
  <c r="R12" i="93"/>
  <c r="Q12" i="96"/>
  <c r="B41" i="96" s="1"/>
  <c r="Q12" i="93"/>
  <c r="F62" i="23"/>
  <c r="E18" i="80"/>
  <c r="I18" i="80" s="1"/>
  <c r="O31" i="23"/>
  <c r="F61" i="23"/>
  <c r="E17" i="80"/>
  <c r="I17" i="80" s="1"/>
  <c r="E19" i="80"/>
  <c r="I19" i="80" s="1"/>
  <c r="F63" i="23"/>
  <c r="E20" i="80"/>
  <c r="I20" i="80" s="1"/>
  <c r="F64" i="23"/>
  <c r="E15" i="80"/>
  <c r="I15" i="80" s="1"/>
  <c r="F59" i="23"/>
  <c r="S19" i="91"/>
  <c r="L29" i="23"/>
  <c r="N29" i="23" s="1"/>
  <c r="L34" i="23"/>
  <c r="N34" i="23" s="1"/>
  <c r="L31" i="23"/>
  <c r="N31" i="23" s="1"/>
  <c r="O29" i="23"/>
  <c r="L33" i="23"/>
  <c r="N33" i="23" s="1"/>
  <c r="O33" i="23"/>
  <c r="O32" i="23"/>
  <c r="L32" i="23"/>
  <c r="N32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47" i="94"/>
  <c r="B45" i="94"/>
  <c r="B43" i="94"/>
  <c r="B39" i="94"/>
  <c r="B35" i="94"/>
  <c r="B31" i="94"/>
  <c r="B27" i="94"/>
  <c r="B23" i="94"/>
  <c r="B22" i="94"/>
  <c r="H9" i="94"/>
  <c r="I9" i="94" s="1"/>
  <c r="E9" i="94"/>
  <c r="F9" i="94" s="1"/>
  <c r="J28" i="23" s="1"/>
  <c r="I58" i="23" s="1"/>
  <c r="B42" i="94"/>
  <c r="B38" i="94"/>
  <c r="B34" i="94"/>
  <c r="B30" i="94"/>
  <c r="B26" i="94"/>
  <c r="B36" i="94"/>
  <c r="B28" i="94"/>
  <c r="B24" i="94"/>
  <c r="B46" i="94"/>
  <c r="B44" i="94"/>
  <c r="B41" i="94"/>
  <c r="B37" i="94"/>
  <c r="B33" i="94"/>
  <c r="B29" i="94"/>
  <c r="B25" i="94"/>
  <c r="B40" i="94"/>
  <c r="B32" i="94"/>
  <c r="B37" i="93" l="1"/>
  <c r="B23" i="96"/>
  <c r="B39" i="96"/>
  <c r="H9" i="96"/>
  <c r="I9" i="96" s="1"/>
  <c r="B31" i="96"/>
  <c r="E9" i="96"/>
  <c r="F9" i="96" s="1"/>
  <c r="J30" i="23" s="1"/>
  <c r="I60" i="23" s="1"/>
  <c r="B36" i="96"/>
  <c r="C36" i="96" s="1"/>
  <c r="B42" i="96"/>
  <c r="B37" i="96"/>
  <c r="C37" i="96" s="1"/>
  <c r="B28" i="96"/>
  <c r="C28" i="96" s="1"/>
  <c r="B30" i="96"/>
  <c r="B29" i="96"/>
  <c r="B38" i="96"/>
  <c r="D38" i="96" s="1"/>
  <c r="B27" i="96"/>
  <c r="B26" i="96"/>
  <c r="B32" i="96"/>
  <c r="B34" i="96"/>
  <c r="B33" i="96"/>
  <c r="B22" i="96"/>
  <c r="C22" i="96" s="1"/>
  <c r="B35" i="96"/>
  <c r="B24" i="96"/>
  <c r="C24" i="96" s="1"/>
  <c r="B40" i="96"/>
  <c r="B25" i="96"/>
  <c r="B23" i="93"/>
  <c r="B24" i="93"/>
  <c r="B26" i="93"/>
  <c r="B41" i="93"/>
  <c r="B42" i="93"/>
  <c r="B31" i="93"/>
  <c r="B28" i="93"/>
  <c r="B34" i="93"/>
  <c r="C34" i="93" s="1"/>
  <c r="B30" i="93"/>
  <c r="H9" i="93"/>
  <c r="I9" i="93" s="1"/>
  <c r="B35" i="93"/>
  <c r="B32" i="93"/>
  <c r="C32" i="93" s="1"/>
  <c r="B25" i="93"/>
  <c r="B22" i="93"/>
  <c r="B39" i="93"/>
  <c r="B40" i="93"/>
  <c r="D40" i="93" s="1"/>
  <c r="B33" i="93"/>
  <c r="B29" i="93"/>
  <c r="B27" i="93"/>
  <c r="D27" i="93" s="1"/>
  <c r="E9" i="93"/>
  <c r="F9" i="93" s="1"/>
  <c r="J27" i="23" s="1"/>
  <c r="B36" i="93"/>
  <c r="C36" i="93" s="1"/>
  <c r="B38" i="93"/>
  <c r="H20" i="80"/>
  <c r="H15" i="80"/>
  <c r="H19" i="80"/>
  <c r="H18" i="80"/>
  <c r="H17" i="80"/>
  <c r="J9" i="96"/>
  <c r="F30" i="23"/>
  <c r="J9" i="94"/>
  <c r="F28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26" i="96"/>
  <c r="C32" i="96"/>
  <c r="C34" i="96"/>
  <c r="C39" i="96"/>
  <c r="D42" i="96"/>
  <c r="C42" i="96"/>
  <c r="C23" i="96"/>
  <c r="C29" i="96"/>
  <c r="D35" i="96"/>
  <c r="C35" i="96"/>
  <c r="D24" i="96"/>
  <c r="C41" i="96"/>
  <c r="B25" i="95"/>
  <c r="A26" i="95"/>
  <c r="D32" i="94"/>
  <c r="C32" i="94"/>
  <c r="C42" i="94"/>
  <c r="D42" i="94"/>
  <c r="D39" i="94"/>
  <c r="C39" i="94"/>
  <c r="D40" i="94"/>
  <c r="C40" i="94"/>
  <c r="D37" i="94"/>
  <c r="C37" i="94"/>
  <c r="D24" i="94"/>
  <c r="C24" i="94"/>
  <c r="C30" i="94"/>
  <c r="D30" i="94"/>
  <c r="D27" i="94"/>
  <c r="C27" i="94"/>
  <c r="D33" i="94"/>
  <c r="C33" i="94"/>
  <c r="C26" i="94"/>
  <c r="D26" i="94"/>
  <c r="D25" i="94"/>
  <c r="C25" i="94"/>
  <c r="D41" i="94"/>
  <c r="C41" i="94"/>
  <c r="D28" i="94"/>
  <c r="C28" i="94"/>
  <c r="C34" i="94"/>
  <c r="D34" i="94"/>
  <c r="C31" i="94"/>
  <c r="D31" i="94"/>
  <c r="D23" i="94"/>
  <c r="C23" i="94"/>
  <c r="D29" i="94"/>
  <c r="C29" i="94"/>
  <c r="D36" i="94"/>
  <c r="C36" i="94"/>
  <c r="C38" i="94"/>
  <c r="D38" i="94"/>
  <c r="C22" i="94"/>
  <c r="D35" i="94"/>
  <c r="C35" i="94"/>
  <c r="J9" i="93"/>
  <c r="F27" i="23"/>
  <c r="C35" i="93"/>
  <c r="C29" i="93"/>
  <c r="D39" i="93"/>
  <c r="C39" i="93"/>
  <c r="C33" i="93"/>
  <c r="C22" i="93"/>
  <c r="C28" i="93"/>
  <c r="D23" i="93"/>
  <c r="C23" i="93"/>
  <c r="C42" i="93"/>
  <c r="D38" i="93"/>
  <c r="C38" i="93"/>
  <c r="C37" i="93"/>
  <c r="C26" i="93"/>
  <c r="D30" i="93"/>
  <c r="C30" i="93"/>
  <c r="D31" i="93"/>
  <c r="C31" i="93"/>
  <c r="C24" i="93"/>
  <c r="D24" i="93"/>
  <c r="D25" i="93"/>
  <c r="C25" i="93"/>
  <c r="D42" i="93" l="1"/>
  <c r="D33" i="96"/>
  <c r="I57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58" i="23"/>
  <c r="E14" i="80"/>
  <c r="I14" i="80" s="1"/>
  <c r="F57" i="23"/>
  <c r="E13" i="80"/>
  <c r="I13" i="80" s="1"/>
  <c r="E16" i="80"/>
  <c r="I16" i="80" s="1"/>
  <c r="F60" i="23"/>
  <c r="L30" i="23"/>
  <c r="N30" i="23" s="1"/>
  <c r="O30" i="23"/>
  <c r="L27" i="23"/>
  <c r="O27" i="23"/>
  <c r="L28" i="23"/>
  <c r="N28" i="23" s="1"/>
  <c r="O28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7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J20" i="80"/>
  <c r="A41" i="100" l="1"/>
  <c r="B40" i="100"/>
  <c r="C40" i="100" s="1"/>
  <c r="B41" i="100" l="1"/>
  <c r="C41" i="100" s="1"/>
  <c r="A42" i="100"/>
  <c r="B42" i="100" s="1"/>
  <c r="D15" i="92" l="1"/>
  <c r="D14" i="92"/>
  <c r="L87" i="91"/>
  <c r="K87" i="91"/>
  <c r="J87" i="91"/>
  <c r="L86" i="91"/>
  <c r="K86" i="91"/>
  <c r="J86" i="91"/>
  <c r="L85" i="91"/>
  <c r="K85" i="91"/>
  <c r="J85" i="91"/>
  <c r="L84" i="91"/>
  <c r="K84" i="91"/>
  <c r="J84" i="91"/>
  <c r="L83" i="91"/>
  <c r="K83" i="91"/>
  <c r="J83" i="91"/>
  <c r="L82" i="91"/>
  <c r="K82" i="91"/>
  <c r="J82" i="91"/>
  <c r="L81" i="91"/>
  <c r="K81" i="91"/>
  <c r="J81" i="91"/>
  <c r="L80" i="91"/>
  <c r="K80" i="91"/>
  <c r="J80" i="91"/>
  <c r="L74" i="91"/>
  <c r="L88" i="91" s="1"/>
  <c r="J74" i="91"/>
  <c r="J88" i="91" s="1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57" i="91" s="1"/>
  <c r="J56" i="91" s="1"/>
  <c r="H87" i="91"/>
  <c r="G87" i="91"/>
  <c r="F87" i="91"/>
  <c r="D87" i="91"/>
  <c r="C87" i="91"/>
  <c r="H86" i="91"/>
  <c r="G86" i="91"/>
  <c r="F86" i="91"/>
  <c r="D86" i="91"/>
  <c r="C86" i="91"/>
  <c r="H85" i="91"/>
  <c r="G85" i="91"/>
  <c r="F85" i="91"/>
  <c r="D85" i="91"/>
  <c r="C85" i="91"/>
  <c r="H84" i="91"/>
  <c r="G84" i="91"/>
  <c r="F84" i="91"/>
  <c r="D84" i="91"/>
  <c r="C84" i="91"/>
  <c r="H83" i="91"/>
  <c r="G83" i="91"/>
  <c r="F83" i="91"/>
  <c r="D83" i="91"/>
  <c r="C83" i="91"/>
  <c r="H82" i="91"/>
  <c r="G82" i="91"/>
  <c r="F82" i="91"/>
  <c r="D82" i="91"/>
  <c r="C82" i="91"/>
  <c r="H81" i="91"/>
  <c r="G81" i="91"/>
  <c r="F81" i="91"/>
  <c r="D81" i="91"/>
  <c r="C81" i="91"/>
  <c r="H80" i="91"/>
  <c r="G80" i="91"/>
  <c r="F80" i="91"/>
  <c r="D80" i="91"/>
  <c r="C80" i="91"/>
  <c r="F78" i="91"/>
  <c r="F77" i="91"/>
  <c r="H74" i="91"/>
  <c r="H88" i="91" s="1"/>
  <c r="F74" i="91"/>
  <c r="F88" i="91" s="1"/>
  <c r="D74" i="91"/>
  <c r="C74" i="91"/>
  <c r="C88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53" i="91" s="1"/>
  <c r="C28" i="91"/>
  <c r="K28" i="91" s="1"/>
  <c r="H55" i="91"/>
  <c r="F57" i="91" s="1"/>
  <c r="F56" i="91" s="1"/>
  <c r="G8" i="92"/>
  <c r="P55" i="91"/>
  <c r="N57" i="91" s="1"/>
  <c r="N56" i="91" s="1"/>
  <c r="G6" i="92"/>
  <c r="F13" i="92" s="1"/>
  <c r="D75" i="91"/>
  <c r="D88" i="91"/>
  <c r="B3" i="91"/>
  <c r="C34" i="91"/>
  <c r="C38" i="91"/>
  <c r="C36" i="91"/>
  <c r="C40" i="91"/>
  <c r="C8" i="92"/>
  <c r="H19" i="23"/>
  <c r="H20" i="23"/>
  <c r="H21" i="23"/>
  <c r="H22" i="23"/>
  <c r="H23" i="23"/>
  <c r="H17" i="23"/>
  <c r="H18" i="23"/>
  <c r="G19" i="23"/>
  <c r="G20" i="23"/>
  <c r="G21" i="23"/>
  <c r="G22" i="23"/>
  <c r="G23" i="23"/>
  <c r="G24" i="23"/>
  <c r="G17" i="23"/>
  <c r="A21" i="90"/>
  <c r="F12" i="90"/>
  <c r="G12" i="90"/>
  <c r="H38" i="23" l="1"/>
  <c r="K26" i="91"/>
  <c r="K53" i="91" s="1"/>
  <c r="G26" i="91"/>
  <c r="G53" i="91" s="1"/>
  <c r="O26" i="91"/>
  <c r="O53" i="91" s="1"/>
  <c r="O28" i="91"/>
  <c r="O55" i="91" s="1"/>
  <c r="H26" i="23"/>
  <c r="F14" i="92"/>
  <c r="E6" i="92"/>
  <c r="C6" i="92" s="1"/>
  <c r="C15" i="92"/>
  <c r="K8" i="92"/>
  <c r="E7" i="92"/>
  <c r="C7" i="92" s="1"/>
  <c r="L8" i="92"/>
  <c r="E8" i="92"/>
  <c r="K55" i="91"/>
  <c r="L90" i="91"/>
  <c r="H90" i="91"/>
  <c r="H91" i="91" s="1"/>
  <c r="C55" i="91"/>
  <c r="G28" i="91"/>
  <c r="G55" i="91" s="1"/>
  <c r="G74" i="91"/>
  <c r="G88" i="91" s="1"/>
  <c r="B21" i="90"/>
  <c r="C21" i="90" s="1"/>
  <c r="H9" i="90"/>
  <c r="I9" i="90" s="1"/>
  <c r="F35" i="23" s="1"/>
  <c r="E9" i="90"/>
  <c r="F9" i="90" s="1"/>
  <c r="J35" i="23" s="1"/>
  <c r="I65" i="23" s="1"/>
  <c r="A22" i="90"/>
  <c r="F37" i="23" l="1"/>
  <c r="F67" i="23" s="1"/>
  <c r="F65" i="23"/>
  <c r="E21" i="80"/>
  <c r="I21" i="80" s="1"/>
  <c r="L35" i="23"/>
  <c r="J37" i="23"/>
  <c r="I67" i="23" s="1"/>
  <c r="K7" i="92"/>
  <c r="C14" i="92"/>
  <c r="E14" i="92" s="1"/>
  <c r="L7" i="92"/>
  <c r="C13" i="92"/>
  <c r="L6" i="92"/>
  <c r="K6" i="92"/>
  <c r="B22" i="90"/>
  <c r="C22" i="90" s="1"/>
  <c r="A23" i="90"/>
  <c r="H21" i="80" l="1"/>
  <c r="L37" i="23"/>
  <c r="N37" i="23" s="1"/>
  <c r="N35" i="23"/>
  <c r="E13" i="92"/>
  <c r="I13" i="92" s="1"/>
  <c r="A24" i="90"/>
  <c r="B23" i="90"/>
  <c r="C23" i="90" s="1"/>
  <c r="H13" i="92" l="1"/>
  <c r="I14" i="92"/>
  <c r="H14" i="92"/>
  <c r="B24" i="90"/>
  <c r="C24" i="90" s="1"/>
  <c r="A25" i="90"/>
  <c r="B25" i="90" l="1"/>
  <c r="C25" i="90" s="1"/>
  <c r="A26" i="90"/>
  <c r="J21" i="8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48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38" i="23" s="1"/>
  <c r="B9" i="88"/>
  <c r="G26" i="23" l="1"/>
  <c r="P26" i="23" s="1"/>
  <c r="E9" i="88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5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4" i="23" l="1"/>
  <c r="G14" i="101" s="1"/>
  <c r="G14" i="88" l="1"/>
  <c r="G14" i="93"/>
  <c r="E14" i="98"/>
  <c r="G14" i="94"/>
  <c r="G14" i="96"/>
  <c r="E14" i="95"/>
  <c r="F44" i="23"/>
  <c r="G44" i="23"/>
  <c r="E14" i="90" l="1"/>
  <c r="H14" i="101"/>
  <c r="J66" i="23"/>
  <c r="G66" i="23"/>
  <c r="J65" i="23"/>
  <c r="J67" i="23"/>
  <c r="G67" i="23"/>
  <c r="G65" i="23"/>
  <c r="J61" i="23"/>
  <c r="J62" i="23"/>
  <c r="J64" i="23"/>
  <c r="J63" i="23"/>
  <c r="J59" i="23"/>
  <c r="J60" i="23"/>
  <c r="J58" i="23"/>
  <c r="G64" i="23"/>
  <c r="F20" i="80" s="1"/>
  <c r="G59" i="23"/>
  <c r="F15" i="80" s="1"/>
  <c r="G62" i="23"/>
  <c r="F18" i="80" s="1"/>
  <c r="G63" i="23"/>
  <c r="F19" i="80" s="1"/>
  <c r="G61" i="23"/>
  <c r="F17" i="80" s="1"/>
  <c r="J57" i="23"/>
  <c r="G60" i="23"/>
  <c r="F16" i="80" s="1"/>
  <c r="G57" i="23"/>
  <c r="F13" i="80" s="1"/>
  <c r="G58" i="23"/>
  <c r="F14" i="80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F21" i="80" l="1"/>
  <c r="G21" i="80" s="1"/>
  <c r="D24" i="91"/>
  <c r="D51" i="91" s="1"/>
  <c r="F22" i="80"/>
  <c r="G22" i="80" s="1"/>
  <c r="D25" i="91"/>
  <c r="D52" i="91" s="1"/>
  <c r="T25" i="91"/>
  <c r="L66" i="23"/>
  <c r="N66" i="23" s="1"/>
  <c r="L67" i="23"/>
  <c r="N67" i="23" s="1"/>
  <c r="E42" i="101"/>
  <c r="E36" i="101"/>
  <c r="E31" i="101"/>
  <c r="E34" i="101"/>
  <c r="E24" i="101"/>
  <c r="E29" i="101"/>
  <c r="E38" i="101"/>
  <c r="E39" i="101"/>
  <c r="E25" i="101"/>
  <c r="E40" i="101"/>
  <c r="E23" i="101"/>
  <c r="E33" i="101"/>
  <c r="E28" i="101"/>
  <c r="E37" i="101"/>
  <c r="E30" i="101"/>
  <c r="E35" i="101"/>
  <c r="E26" i="101"/>
  <c r="E27" i="101"/>
  <c r="E32" i="101"/>
  <c r="E41" i="101"/>
  <c r="E22" i="101"/>
  <c r="T24" i="91"/>
  <c r="L65" i="23"/>
  <c r="N65" i="23" s="1"/>
  <c r="D17" i="91"/>
  <c r="D44" i="91" s="1"/>
  <c r="G14" i="80"/>
  <c r="G17" i="80"/>
  <c r="D20" i="91"/>
  <c r="D47" i="91" s="1"/>
  <c r="G20" i="80"/>
  <c r="D23" i="91"/>
  <c r="D50" i="91" s="1"/>
  <c r="T22" i="91"/>
  <c r="L63" i="23"/>
  <c r="N63" i="23" s="1"/>
  <c r="D16" i="91"/>
  <c r="G13" i="80"/>
  <c r="G19" i="80"/>
  <c r="D22" i="91"/>
  <c r="D49" i="91" s="1"/>
  <c r="T17" i="91"/>
  <c r="L58" i="23"/>
  <c r="N58" i="23" s="1"/>
  <c r="T23" i="91"/>
  <c r="L64" i="23"/>
  <c r="N64" i="23" s="1"/>
  <c r="D19" i="91"/>
  <c r="D46" i="91" s="1"/>
  <c r="G16" i="80"/>
  <c r="G18" i="80"/>
  <c r="D21" i="91"/>
  <c r="D48" i="91" s="1"/>
  <c r="T19" i="91"/>
  <c r="L60" i="23"/>
  <c r="N60" i="23" s="1"/>
  <c r="T21" i="91"/>
  <c r="L62" i="23"/>
  <c r="N62" i="23" s="1"/>
  <c r="T16" i="91"/>
  <c r="L57" i="23"/>
  <c r="N57" i="23" s="1"/>
  <c r="G15" i="80"/>
  <c r="D18" i="91"/>
  <c r="D45" i="91" s="1"/>
  <c r="T18" i="91"/>
  <c r="L59" i="23"/>
  <c r="N59" i="23" s="1"/>
  <c r="T20" i="91"/>
  <c r="L61" i="23"/>
  <c r="N61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19" i="23"/>
  <c r="J22" i="80"/>
  <c r="J13" i="80"/>
  <c r="J16" i="80"/>
  <c r="J15" i="80"/>
  <c r="J14" i="80"/>
  <c r="J18" i="80"/>
  <c r="D43" i="91" l="1"/>
  <c r="D27" i="91"/>
  <c r="D54" i="91" s="1"/>
  <c r="F12" i="84"/>
  <c r="D9" i="84"/>
  <c r="G9" i="84"/>
  <c r="K21" i="23"/>
  <c r="M21" i="23" s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51" i="23"/>
  <c r="J51" i="23" s="1"/>
  <c r="H51" i="23"/>
  <c r="F51" i="23"/>
  <c r="G51" i="23" s="1"/>
  <c r="D51" i="23"/>
  <c r="C51" i="23"/>
  <c r="B51" i="23"/>
  <c r="B52" i="23"/>
  <c r="B53" i="23"/>
  <c r="B54" i="23"/>
  <c r="B55" i="23"/>
  <c r="D11" i="91" l="1"/>
  <c r="D38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1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1" i="23"/>
  <c r="M51" i="23" s="1"/>
  <c r="L51" i="23"/>
  <c r="N51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49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I10" i="80" s="1"/>
  <c r="O23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E12" i="80" s="1"/>
  <c r="I12" i="80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L25" i="23" l="1"/>
  <c r="N25" i="23" s="1"/>
  <c r="H12" i="80"/>
  <c r="E11" i="80"/>
  <c r="I11" i="80" s="1"/>
  <c r="O24" i="23"/>
  <c r="O25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18" i="23" l="1"/>
  <c r="C9" i="77" l="1"/>
  <c r="Q23" i="23"/>
  <c r="C6" i="48"/>
  <c r="B6" i="48"/>
  <c r="C6" i="59"/>
  <c r="B6" i="59"/>
  <c r="C6" i="50"/>
  <c r="B6" i="50"/>
  <c r="C6" i="51"/>
  <c r="B6" i="51"/>
  <c r="D55" i="23" l="1"/>
  <c r="H55" i="23"/>
  <c r="C49" i="23"/>
  <c r="D49" i="23"/>
  <c r="H49" i="23"/>
  <c r="C50" i="23"/>
  <c r="D50" i="23"/>
  <c r="H50" i="23"/>
  <c r="C52" i="23"/>
  <c r="D52" i="23"/>
  <c r="H52" i="23"/>
  <c r="C53" i="23"/>
  <c r="D53" i="23"/>
  <c r="H53" i="23"/>
  <c r="C54" i="23"/>
  <c r="D54" i="23"/>
  <c r="H54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2" i="23"/>
  <c r="M52" i="23" s="1"/>
  <c r="K55" i="23"/>
  <c r="M55" i="23" s="1"/>
  <c r="K54" i="23"/>
  <c r="M54" i="23" s="1"/>
  <c r="K50" i="23"/>
  <c r="M50" i="23" s="1"/>
  <c r="K53" i="23"/>
  <c r="M53" i="23" s="1"/>
  <c r="K49" i="23"/>
  <c r="M49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C9" i="74"/>
  <c r="L12" i="59"/>
  <c r="M12" i="59" s="1"/>
  <c r="O12" i="59"/>
  <c r="R12" i="59" l="1"/>
  <c r="P12" i="59"/>
  <c r="Q12" i="59" s="1"/>
  <c r="I54" i="23"/>
  <c r="I53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2" i="23" l="1"/>
  <c r="J20" i="23"/>
  <c r="I50" i="23" s="1"/>
  <c r="J50" i="23" s="1"/>
  <c r="J9" i="59"/>
  <c r="F20" i="23"/>
  <c r="D42" i="59"/>
  <c r="L23" i="23"/>
  <c r="N23" i="23" s="1"/>
  <c r="F53" i="23"/>
  <c r="L24" i="23"/>
  <c r="N24" i="23" s="1"/>
  <c r="F54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50" i="23"/>
  <c r="F52" i="23"/>
  <c r="L22" i="23"/>
  <c r="N22" i="23" s="1"/>
  <c r="A55" i="23"/>
  <c r="A15" i="91" s="1"/>
  <c r="A42" i="91" s="1"/>
  <c r="A53" i="23"/>
  <c r="A13" i="91" s="1"/>
  <c r="A40" i="91" s="1"/>
  <c r="A54" i="23"/>
  <c r="A14" i="91" s="1"/>
  <c r="A41" i="91" s="1"/>
  <c r="A49" i="23"/>
  <c r="A9" i="91" s="1"/>
  <c r="A36" i="91" s="1"/>
  <c r="B49" i="23"/>
  <c r="A50" i="23"/>
  <c r="A10" i="91" s="1"/>
  <c r="A37" i="91" s="1"/>
  <c r="B50" i="23"/>
  <c r="A52" i="23"/>
  <c r="A12" i="91" s="1"/>
  <c r="A39" i="91" s="1"/>
  <c r="F32" i="80" l="1"/>
  <c r="I7" i="80"/>
  <c r="H7" i="80"/>
  <c r="F35" i="80"/>
  <c r="H48" i="23"/>
  <c r="H47" i="23"/>
  <c r="D48" i="23"/>
  <c r="B48" i="23"/>
  <c r="B47" i="23"/>
  <c r="A48" i="23"/>
  <c r="A8" i="91" s="1"/>
  <c r="A35" i="91" s="1"/>
  <c r="A47" i="23"/>
  <c r="A7" i="91" s="1"/>
  <c r="A34" i="91" s="1"/>
  <c r="H68" i="23" l="1"/>
  <c r="Z7" i="89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48" i="23"/>
  <c r="M48" i="23" s="1"/>
  <c r="R28" i="91" l="1"/>
  <c r="S28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3" i="23"/>
  <c r="J54" i="23"/>
  <c r="J52" i="23"/>
  <c r="G52" i="23"/>
  <c r="F9" i="80" s="1"/>
  <c r="G53" i="23"/>
  <c r="G50" i="23"/>
  <c r="F7" i="80" s="1"/>
  <c r="G54" i="23"/>
  <c r="H14" i="59"/>
  <c r="D14" i="91" l="1"/>
  <c r="F11" i="80"/>
  <c r="D13" i="91"/>
  <c r="D40" i="91" s="1"/>
  <c r="F10" i="80"/>
  <c r="P50" i="23"/>
  <c r="D10" i="91"/>
  <c r="D37" i="91" s="1"/>
  <c r="G9" i="80"/>
  <c r="D12" i="91"/>
  <c r="D39" i="91" s="1"/>
  <c r="D41" i="9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2" i="23"/>
  <c r="P54" i="23"/>
  <c r="P53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0" i="23"/>
  <c r="N50" i="23" s="1"/>
  <c r="L54" i="23"/>
  <c r="N54" i="23" s="1"/>
  <c r="L52" i="23"/>
  <c r="N52" i="23" s="1"/>
  <c r="L53" i="23"/>
  <c r="N53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5" i="23"/>
  <c r="F55" i="23"/>
  <c r="G55" i="23" s="1"/>
  <c r="F12" i="80" s="1"/>
  <c r="J7" i="80"/>
  <c r="D15" i="91" l="1"/>
  <c r="D42" i="91" s="1"/>
  <c r="G12" i="80"/>
  <c r="J55" i="23"/>
  <c r="AB15" i="89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I13" i="86" l="1"/>
  <c r="R13" i="86" s="1"/>
  <c r="E27" i="86"/>
  <c r="N27" i="86" s="1"/>
  <c r="I27" i="86"/>
  <c r="R27" i="86" s="1"/>
  <c r="E13" i="86"/>
  <c r="N13" i="86" s="1"/>
  <c r="L55" i="23"/>
  <c r="N55" i="23" s="1"/>
  <c r="G27" i="86"/>
  <c r="P27" i="86" s="1"/>
  <c r="P55" i="23"/>
  <c r="AB15" i="79"/>
  <c r="G13" i="86"/>
  <c r="P13" i="86" s="1"/>
  <c r="T15" i="91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49" i="23"/>
  <c r="F6" i="80" s="1"/>
  <c r="I4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31" i="80"/>
  <c r="D9" i="79"/>
  <c r="L19" i="23"/>
  <c r="N19" i="23" s="1"/>
  <c r="I49" i="23"/>
  <c r="J49" i="23" s="1"/>
  <c r="F47" i="23"/>
  <c r="J47" i="23"/>
  <c r="I4" i="80" l="1"/>
  <c r="A28" i="50"/>
  <c r="H4" i="80"/>
  <c r="G47" i="23"/>
  <c r="F28" i="80"/>
  <c r="C3" i="91"/>
  <c r="D36" i="91"/>
  <c r="AB9" i="89"/>
  <c r="T9" i="91"/>
  <c r="AB7" i="89"/>
  <c r="T7" i="91"/>
  <c r="N7" i="87"/>
  <c r="R21" i="87"/>
  <c r="R7" i="87"/>
  <c r="P21" i="87"/>
  <c r="P7" i="87"/>
  <c r="N21" i="87"/>
  <c r="N5" i="87"/>
  <c r="P5" i="87"/>
  <c r="R19" i="87"/>
  <c r="P19" i="87"/>
  <c r="N19" i="87"/>
  <c r="R5" i="87"/>
  <c r="P49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7" i="80"/>
  <c r="F29" i="80"/>
  <c r="D24" i="79"/>
  <c r="A24" i="79" s="1"/>
  <c r="C3" i="79"/>
  <c r="L49" i="23"/>
  <c r="N49" i="23" s="1"/>
  <c r="D7" i="91" l="1"/>
  <c r="F4" i="80"/>
  <c r="A29" i="50"/>
  <c r="P47" i="23"/>
  <c r="D34" i="91"/>
  <c r="X22" i="79"/>
  <c r="H22" i="79"/>
  <c r="C9" i="51"/>
  <c r="B9" i="51"/>
  <c r="A30" i="50" l="1"/>
  <c r="G4" i="80"/>
  <c r="B9" i="50"/>
  <c r="B9" i="48"/>
  <c r="C9" i="50"/>
  <c r="C9" i="48"/>
  <c r="A31" i="50" l="1"/>
  <c r="G14" i="51"/>
  <c r="D47" i="23"/>
  <c r="D68" i="23" s="1"/>
  <c r="C45" i="23"/>
  <c r="C46" i="23"/>
  <c r="C47" i="23"/>
  <c r="A32" i="50" l="1"/>
  <c r="G14" i="50"/>
  <c r="K47" i="23"/>
  <c r="M47" i="23" s="1"/>
  <c r="A33" i="50" l="1"/>
  <c r="K68" i="23"/>
  <c r="M68" i="23" s="1"/>
  <c r="A34" i="50" l="1"/>
  <c r="K18" i="23"/>
  <c r="K17" i="23"/>
  <c r="A35" i="50" l="1"/>
  <c r="K38" i="23"/>
  <c r="M38" i="23" s="1"/>
  <c r="K26" i="23"/>
  <c r="M26" i="23" s="1"/>
  <c r="M18" i="23"/>
  <c r="M17" i="23"/>
  <c r="A36" i="50" l="1"/>
  <c r="L47" i="23"/>
  <c r="N47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4" i="5"/>
  <c r="B47" i="5"/>
  <c r="B31" i="5"/>
  <c r="B28" i="5"/>
  <c r="B41" i="5"/>
  <c r="B36" i="5"/>
  <c r="B35" i="5"/>
  <c r="B30" i="5"/>
  <c r="B27" i="5"/>
  <c r="B46" i="5"/>
  <c r="B29" i="5"/>
  <c r="B38" i="5"/>
  <c r="B37" i="5"/>
  <c r="B33" i="5"/>
  <c r="B39" i="5"/>
  <c r="E9" i="5"/>
  <c r="B32" i="5"/>
  <c r="B40" i="5"/>
  <c r="B42" i="5"/>
  <c r="B45" i="5"/>
  <c r="B44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R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38" i="23" s="1"/>
  <c r="B39" i="50"/>
  <c r="B23" i="50"/>
  <c r="B30" i="50"/>
  <c r="B29" i="50"/>
  <c r="B32" i="50"/>
  <c r="B38" i="50"/>
  <c r="B35" i="50"/>
  <c r="B22" i="50"/>
  <c r="J26" i="23" l="1"/>
  <c r="I56" i="23" s="1"/>
  <c r="J56" i="23" s="1"/>
  <c r="E42" i="50"/>
  <c r="D42" i="50"/>
  <c r="C42" i="50"/>
  <c r="E22" i="50"/>
  <c r="C22" i="50"/>
  <c r="D29" i="50"/>
  <c r="E29" i="50"/>
  <c r="C29" i="50"/>
  <c r="I48" i="23"/>
  <c r="I68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F38" i="23" s="1"/>
  <c r="J9" i="50"/>
  <c r="J5" i="80"/>
  <c r="F26" i="23" l="1"/>
  <c r="F56" i="23" s="1"/>
  <c r="G56" i="23" s="1"/>
  <c r="L56" i="23" s="1"/>
  <c r="N56" i="23" s="1"/>
  <c r="O18" i="23"/>
  <c r="L18" i="23"/>
  <c r="L38" i="23" s="1"/>
  <c r="E5" i="80"/>
  <c r="E23" i="80" s="1"/>
  <c r="I23" i="80" s="1"/>
  <c r="F48" i="23"/>
  <c r="F68" i="23" s="1"/>
  <c r="J48" i="23"/>
  <c r="J68" i="23" s="1"/>
  <c r="I5" i="80" l="1"/>
  <c r="N38" i="23"/>
  <c r="L26" i="23"/>
  <c r="N26" i="23" s="1"/>
  <c r="B9" i="23"/>
  <c r="M13" i="23"/>
  <c r="N18" i="23"/>
  <c r="AB8" i="89"/>
  <c r="AB16" i="89" s="1"/>
  <c r="T8" i="91"/>
  <c r="T28" i="91" s="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48" i="23"/>
  <c r="F34" i="80"/>
  <c r="F5" i="80" l="1"/>
  <c r="F23" i="80" s="1"/>
  <c r="G68" i="23"/>
  <c r="D8" i="91"/>
  <c r="P48" i="23"/>
  <c r="X23" i="79"/>
  <c r="X16" i="79"/>
  <c r="L48" i="23"/>
  <c r="N48" i="23" s="1"/>
  <c r="D8" i="79"/>
  <c r="H16" i="79"/>
  <c r="L16" i="79"/>
  <c r="P16" i="79"/>
  <c r="T16" i="79"/>
  <c r="D28" i="91" l="1"/>
  <c r="D30" i="91" s="1"/>
  <c r="D26" i="91"/>
  <c r="D53" i="91" s="1"/>
  <c r="D29" i="91"/>
  <c r="G5" i="80"/>
  <c r="D35" i="91"/>
  <c r="D23" i="79"/>
  <c r="A23" i="79" s="1"/>
  <c r="D16" i="79"/>
  <c r="L68" i="23"/>
  <c r="N68" i="23" s="1"/>
  <c r="L13" i="23"/>
  <c r="L31" i="79"/>
  <c r="G9" i="78"/>
  <c r="K9" i="78" s="1"/>
  <c r="T31" i="79"/>
  <c r="G7" i="78"/>
  <c r="G6" i="78"/>
  <c r="X31" i="79"/>
  <c r="P31" i="79"/>
  <c r="G10" i="78"/>
  <c r="H31" i="79"/>
  <c r="G8" i="78"/>
  <c r="F8" i="92" l="1"/>
  <c r="D55" i="9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C57" i="91" l="1"/>
  <c r="C56" i="91" s="1"/>
  <c r="L57" i="91"/>
  <c r="L58" i="91" s="1"/>
  <c r="P57" i="91"/>
  <c r="P58" i="91" s="1"/>
  <c r="H57" i="91"/>
  <c r="H58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<sst xmlns="http://schemas.openxmlformats.org/spreadsheetml/2006/main" count="2028" uniqueCount="344">
  <si>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</si>
  <si>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</si>
  <si>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</si>
  <si>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</si>
  <si>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</si>
  <si>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</si>
  <si>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</si>
  <si>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</si>
  <si>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</si>
  <si>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</si>
  <si>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</si>
  <si>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</si>
  <si>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</si>
  <si>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</si>
  <si>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</si>
  <si>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</si>
  <si>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</si>
  <si>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</si>
  <si>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</si>
  <si>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</si>
  <si>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</si>
  <si>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</si>
  <si>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</si>
  <si>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</si>
  <si>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</si>
  <si>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</si>
  <si>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</si>
  <si>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</si>
  <si>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</si>
  <si>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</si>
  <si>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</si>
  <si>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</si>
  <si>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</si>
  <si>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</si>
  <si>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</si>
  <si>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</si>
  <si>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</si>
  <si>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</si>
  <si>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</si>
  <si>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</si>
  <si>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</si>
  <si>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</si>
  <si>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</si>
  <si>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</si>
  <si>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</si>
  <si>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</si>
  <si>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</si>
  <si>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</si>
  <si>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</si>
  <si>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</si>
  <si>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</si>
  <si>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</si>
  <si>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</si>
  <si>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</si>
  <si>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</si>
  <si>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</si>
  <si>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</si>
  <si>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</si>
  <si>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</si>
  <si>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</si>
  <si>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</si>
  <si>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</si>
  <si>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</si>
  <si>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</si>
  <si>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</si>
  <si>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</si>
  <si>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</si>
  <si>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</si>
  <si>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</si>
  <si>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</si>
  <si>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</si>
  <si>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</si>
  <si>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</si>
  <si>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</si>
  <si>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</si>
  <si>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</si>
  <si>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</si>
  <si>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</si>
  <si>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</si>
  <si>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</si>
  <si>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</si>
  <si>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</si>
  <si>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</si>
  <si>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</si>
  <si>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</si>
  <si>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</si>
  <si>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</si>
  <si>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</si>
  <si>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</si>
  <si>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</si>
  <si>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</si>
  <si>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</si>
  <si>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</si>
  <si>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</si>
  <si>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</si>
  <si>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</si>
  <si>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</si>
  <si>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</si>
  <si>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</si>
  <si>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</si>
  <si>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</si>
  <si>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</si>
  <si>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</si>
  <si>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</si>
  <si>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</si>
  <si>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</si>
  <si>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</si>
  <si>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</si>
  <si>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</si>
  <si>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</si>
  <si>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</si>
  <si>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</si>
  <si>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</si>
  <si>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</si>
  <si>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</si>
  <si>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</si>
  <si>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</si>
  <si>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</si>
  <si>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</si>
  <si>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</si>
  <si>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</si>
  <si>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</si>
  <si>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</si>
  <si>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</si>
  <si>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</si>
  <si>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</si>
  <si>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</si>
  <si>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</si>
  <si>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</si>
  <si>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</si>
  <si>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</si>
  <si>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</si>
  <si>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</si>
  <si>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</si>
  <si>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</si>
  <si>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</si>
  <si>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</si>
  <si>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</si>
  <si>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</si>
  <si>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</si>
  <si>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</si>
  <si>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</si>
  <si>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</si>
  <si>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</si>
  <si>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</si>
  <si>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</si>
  <si>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</si>
  <si>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</si>
  <si>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</si>
  <si>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</si>
  <si>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</si>
  <si>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</si>
  <si>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</si>
  <si>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</si>
  <si>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</si>
  <si>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</si>
  <si>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</si>
  <si>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</si>
  <si>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</si>
  <si>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</si>
  <si>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</si>
  <si>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</si>
  <si>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</si>
  <si>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</si>
  <si>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</si>
  <si>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</si>
  <si>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</si>
  <si>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</si>
  <si>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</si>
  <si>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</si>
  <si>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</si>
  <si>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</si>
  <si>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</si>
  <si>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</si>
  <si>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</si>
  <si>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</si>
  <si>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</si>
  <si>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</si>
  <si>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</si>
  <si>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</si>
  <si>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</si>
  <si>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</si>
  <si>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</si>
  <si>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</si>
  <si>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</si>
  <si>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</si>
  <si>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</si>
  <si>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</si>
  <si>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</si>
  <si>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</si>
  <si>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</si>
  <si>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</si>
  <si>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</si>
  <si>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</si>
  <si>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</si>
  <si>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</si>
  <si>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</si>
  <si>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</si>
  <si>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</si>
  <si>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</si>
  <si>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</si>
  <si>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</si>
  <si>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</si>
  <si>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</si>
  <si>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</si>
  <si>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</si>
  <si>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</si>
  <si>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</si>
  <si>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</si>
  <si>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</si>
  <si>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</si>
  <si>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</si>
  <si>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</si>
  <si>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</si>
  <si>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</si>
  <si>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</si>
  <si>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</si>
  <si>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</si>
  <si>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</si>
  <si>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</si>
  <si>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</si>
  <si>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</si>
  <si>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</si>
  <si>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</si>
  <si>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</si>
  <si>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</si>
  <si>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</si>
  <si>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</si>
  <si>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</si>
  <si>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</si>
  <si>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</si>
  <si>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</si>
  <si>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</si>
  <si>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</si>
  <si>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</si>
  <si>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</si>
  <si>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</si>
  <si>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</si>
  <si>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</si>
  <si>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</si>
  <si>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</si>
  <si>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</si>
  <si>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</si>
  <si>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</si>
  <si>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</si>
  <si>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</si>
  <si>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</si>
  <si>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</si>
  <si>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</si>
  <si>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</si>
  <si>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</si>
  <si>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</si>
  <si>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</si>
  <si>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</si>
  <si>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</si>
  <si>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</si>
  <si>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</si>
  <si>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</si>
  <si>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</si>
  <si>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</si>
  <si>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</si>
  <si>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</si>
  <si>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</si>
  <si>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</si>
  <si>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</si>
  <si>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</si>
  <si>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</si>
  <si>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</si>
  <si>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</si>
  <si>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</si>
  <si>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</si>
  <si>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</si>
  <si>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</si>
  <si>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</si>
  <si>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</si>
  <si>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</si>
  <si>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</si>
  <si>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</si>
  <si>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</si>
  <si>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</si>
  <si>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</si>
  <si>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</si>
  <si>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</si>
  <si>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</si>
  <si>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</si>
  <si>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</si>
  <si>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</si>
  <si>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</si>
  <si>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</si>
  <si>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</si>
  <si>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</si>
  <si>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</si>
  <si>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</si>
  <si>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</si>
  <si>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</si>
  <si>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</si>
  <si>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</si>
  <si>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</si>
  <si>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</si>
  <si>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</si>
  <si>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-50% / +100%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</si>
  <si>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</si>
  <si>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</si>
  <si>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</si>
  <si>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</si>
  <si>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Optimal channel spend allowed to vary between -50% / +100% of the 2023 channel spend</t>
  </si>
  <si>
    <t>2023 Current Baseline ($MM)</t>
  </si>
  <si>
    <t>Δ Pre-tax Revenue w.r.t 2023 Current baseline</t>
  </si>
  <si>
    <t>Current 2023 Baseline</t>
  </si>
  <si>
    <t>2023 adol Projected Promotion Efficiency</t>
  </si>
  <si>
    <t>Current Optimal ($92MM)</t>
  </si>
  <si>
    <t>50% increase optimal ($139M)</t>
  </si>
  <si>
    <t>100% increase optimal ($185M)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</si>
  <si>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</si>
  <si>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</si>
  <si>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</si>
  <si>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</si>
  <si>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</si>
  <si>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</si>
  <si>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</si>
  <si>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</si>
  <si>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</si>
  <si>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</si>
  <si>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</si>
  <si>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</si>
  <si>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</si>
  <si>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</si>
  <si>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</si>
  <si>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</si>
  <si>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+$243(58%)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</si>
  <si>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</si>
  <si>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</si>
  <si>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</si>
  <si>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</si>
  <si>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</si>
  <si>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</si>
  <si>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</si>
  <si>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</si>
  <si>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</si>
  <si>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</si>
  <si>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BASE Case: Vary promotion type spend by + or - 50% and global spend constant</t>
  </si>
  <si>
    <t>+$87(21%)</t>
  </si>
  <si>
    <t>+$196(47%)</t>
  </si>
  <si>
    <t>2023 adt Projected Promotion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</si>
</sst>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4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7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1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5" fontId="1" fillId="2" borderId="32" xfId="4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6" fontId="1" fillId="0" borderId="10" xfId="0" applyNumberFormat="1" applyFont="1" applyFill="1" applyBorder="1"/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tyles" Target="style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VAC_Optim_Scenario!$D$47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VAC_Optim_Scenario!$F$47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VAC_Optim_Scenario!$H$47</c:f>
              <c:numCache>
                <c:formatCode>_("$"* #,##0_);_("$"* \(#,##0\);_("$"* "-"??_);_(@_)</c:formatCode>
                <c:ptCount val="1"/>
                <c:pt idx="0">
                  <c:v>2140259.0675274357</c:v>
                </c:pt>
              </c:numCache>
            </c:numRef>
          </c:xVal>
          <c:yVal>
            <c:numRef>
              <c:f>VAC_Optim_Scenario!$I$47</c:f>
              <c:numCache>
                <c:formatCode>#,##0</c:formatCode>
                <c:ptCount val="1"/>
                <c:pt idx="0">
                  <c:v>38823.119600165635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VAC_Optim_Scenario!$D$48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VAC_Optim_Scenario!$F$48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VAC_Optim_Scenario!$H$48</c:f>
              <c:numCache>
                <c:formatCode>_("$"* #,##0_);_("$"* \(#,##0\);_("$"* "-"??_);_(@_)</c:formatCode>
                <c:ptCount val="1"/>
                <c:pt idx="0">
                  <c:v>10730745.780000001</c:v>
                </c:pt>
              </c:numCache>
            </c:numRef>
          </c:xVal>
          <c:yVal>
            <c:numRef>
              <c:f>VAC_Optim_Scenario!$I$48</c:f>
              <c:numCache>
                <c:formatCode>#,##0</c:formatCode>
                <c:ptCount val="1"/>
                <c:pt idx="0">
                  <c:v>418562.8649134906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21861203.521423146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355431.43573924497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VAC_Optim_Scenario!$D$53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VAC_Optim_Scenario!$F$53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VAC_Optim_Scenario!$H$53</c:f>
              <c:numCache>
                <c:formatCode>_("$"* #,##0_);_("$"* \(#,##0\);_("$"* "-"??_);_(@_)</c:formatCode>
                <c:ptCount val="1"/>
                <c:pt idx="0">
                  <c:v>689414</c:v>
                </c:pt>
              </c:numCache>
            </c:numRef>
          </c:xVal>
          <c:yVal>
            <c:numRef>
              <c:f>VAC_Optim_Scenario!$I$53</c:f>
              <c:numCache>
                <c:formatCode>#,##0</c:formatCode>
                <c:ptCount val="1"/>
                <c:pt idx="0">
                  <c:v>212313.17248095342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2874096.82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106962.74248959644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346153.88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11354.097502470016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3296714.7399999998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167040.66777744889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3746000.0000000005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107984.45936316892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12360250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234996.32960936302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2.1402590675274356</c:v>
                </c:pt>
                <c:pt idx="1">
                  <c:v>2.1402590675274356</c:v>
                </c:pt>
                <c:pt idx="2">
                  <c:v>2.1402590675274356</c:v>
                </c:pt>
                <c:pt idx="3">
                  <c:v>2.1402590675274356</c:v>
                </c:pt>
                <c:pt idx="4">
                  <c:v>2.1402590675274356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10.730745780000001</c:v>
                </c:pt>
                <c:pt idx="1">
                  <c:v>10.730745780000001</c:v>
                </c:pt>
                <c:pt idx="2">
                  <c:v>10.730745780000001</c:v>
                </c:pt>
                <c:pt idx="3">
                  <c:v>10.730745780000001</c:v>
                </c:pt>
                <c:pt idx="4">
                  <c:v>10.730745780000001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3.7460000000000004</c:v>
                </c:pt>
                <c:pt idx="1">
                  <c:v>3.7460000000000004</c:v>
                </c:pt>
                <c:pt idx="2">
                  <c:v>3.7460000000000004</c:v>
                </c:pt>
                <c:pt idx="3">
                  <c:v>3.7460000000000004</c:v>
                </c:pt>
                <c:pt idx="4">
                  <c:v>3.7460000000000004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0.34615388000000002</c:v>
                </c:pt>
                <c:pt idx="1">
                  <c:v>0.34615388000000002</c:v>
                </c:pt>
                <c:pt idx="2">
                  <c:v>0.34615388000000002</c:v>
                </c:pt>
                <c:pt idx="3">
                  <c:v>0.34615388000000002</c:v>
                </c:pt>
                <c:pt idx="4">
                  <c:v>0.34615388000000002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12.360250000000001</c:v>
                </c:pt>
                <c:pt idx="1">
                  <c:v>12.360250000000001</c:v>
                </c:pt>
                <c:pt idx="2">
                  <c:v>12.360250000000001</c:v>
                </c:pt>
                <c:pt idx="3">
                  <c:v>12.360250000000001</c:v>
                </c:pt>
                <c:pt idx="4">
                  <c:v>12.360250000000001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3.2967147399999996</c:v>
                </c:pt>
                <c:pt idx="1">
                  <c:v>3.2967147399999996</c:v>
                </c:pt>
                <c:pt idx="2">
                  <c:v>3.2967147399999996</c:v>
                </c:pt>
                <c:pt idx="3">
                  <c:v>3.2967147399999996</c:v>
                </c:pt>
                <c:pt idx="4">
                  <c:v>3.2967147399999996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0.68941399999999997</c:v>
                </c:pt>
                <c:pt idx="1">
                  <c:v>0.68941399999999997</c:v>
                </c:pt>
                <c:pt idx="2">
                  <c:v>0.68941399999999997</c:v>
                </c:pt>
                <c:pt idx="3">
                  <c:v>0.68941399999999997</c:v>
                </c:pt>
                <c:pt idx="4">
                  <c:v>0.68941399999999997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2.8740968199999997</c:v>
                </c:pt>
                <c:pt idx="1">
                  <c:v>2.8740968199999997</c:v>
                </c:pt>
                <c:pt idx="2">
                  <c:v>2.8740968199999997</c:v>
                </c:pt>
                <c:pt idx="3">
                  <c:v>2.8740968199999997</c:v>
                </c:pt>
                <c:pt idx="4">
                  <c:v>2.8740968199999997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53.229226721114685</c:v>
                </c:pt>
                <c:pt idx="1">
                  <c:v>51.50549446347668</c:v>
                </c:pt>
                <c:pt idx="2">
                  <c:v>42.722551023461378</c:v>
                </c:pt>
                <c:pt idx="3">
                  <c:v>26.290237926979646</c:v>
                </c:pt>
                <c:pt idx="4">
                  <c:v>22.868685790684225</c:v>
                </c:pt>
                <c:pt idx="5">
                  <c:v>20.363708252210174</c:v>
                </c:pt>
                <c:pt idx="6">
                  <c:v>18.98595943863651</c:v>
                </c:pt>
                <c:pt idx="7">
                  <c:v>15.831875161949808</c:v>
                </c:pt>
                <c:pt idx="8">
                  <c:v>2.6375102733287696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2023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154.00794550765286</c:v>
                </c:pt>
                <c:pt idx="1">
                  <c:v>153.17331099625105</c:v>
                </c:pt>
                <c:pt idx="2">
                  <c:v>133.10979937785092</c:v>
                </c:pt>
                <c:pt idx="3">
                  <c:v>132.48254956731077</c:v>
                </c:pt>
                <c:pt idx="4">
                  <c:v>73.508410329953804</c:v>
                </c:pt>
                <c:pt idx="5">
                  <c:v>51.361310945524473</c:v>
                </c:pt>
                <c:pt idx="6">
                  <c:v>37.591880018375271</c:v>
                </c:pt>
                <c:pt idx="7">
                  <c:v>36.428388680927966</c:v>
                </c:pt>
                <c:pt idx="8">
                  <c:v>34.76</c:v>
                </c:pt>
                <c:pt idx="9">
                  <c:v>1.6591015541117227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+100%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663290090.45151293</c:v>
                </c:pt>
                <c:pt idx="1">
                  <c:v>616336981.86591959</c:v>
                </c:pt>
                <c:pt idx="2">
                  <c:v>507314440.29510599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92256597.780000001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420404376.56343269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0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 refreshError="1"/>
      <sheetData sheetId="1" refreshError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 refreshError="1"/>
      <sheetData sheetId="1" refreshError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 refreshError="1"/>
      <sheetData sheetId="1" refreshError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 refreshError="1"/>
      <sheetData sheetId="1" refreshError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86" t="s">
        <v>202</v>
      </c>
      <c r="H4" s="486"/>
      <c r="I4" s="487" t="s">
        <v>203</v>
      </c>
      <c r="J4" s="487"/>
      <c r="K4" s="488" t="s">
        <v>204</v>
      </c>
      <c r="L4" s="488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254</v>
      </c>
      <c r="G5" s="276" t="s">
        <v>249</v>
      </c>
      <c r="H5" s="276"/>
      <c r="I5" s="276" t="s">
        <v>249</v>
      </c>
      <c r="J5" s="276"/>
      <c r="K5" s="276" t="s">
        <v>249</v>
      </c>
      <c r="L5" s="276"/>
      <c r="M5" s="277"/>
    </row>
    <row r="6" spans="2:13" x14ac:dyDescent="0.25">
      <c r="C6" s="169">
        <f>$C$8+E6</f>
        <v>38736606.719999999</v>
      </c>
      <c r="D6" s="170">
        <v>0.2</v>
      </c>
      <c r="E6" s="171">
        <f>D6*$C$8</f>
        <v>6456101.120000001</v>
      </c>
      <c r="F6" s="169"/>
      <c r="G6" s="169">
        <f>'Scenario deep dive'!X16</f>
        <v>213450965.49504656</v>
      </c>
      <c r="H6" s="169"/>
      <c r="I6" s="169">
        <f t="shared" ref="I6:J10" si="0">G6-$F$8</f>
        <v>-34904794.849378228</v>
      </c>
      <c r="J6" s="169">
        <f t="shared" si="0"/>
        <v>-248355760.34442478</v>
      </c>
      <c r="K6" s="172">
        <f t="shared" ref="K6:L10" si="1">G6/$C6</f>
        <v>5.5103165601967978</v>
      </c>
      <c r="L6" s="172">
        <f t="shared" si="1"/>
        <v>0</v>
      </c>
    </row>
    <row r="7" spans="2:13" x14ac:dyDescent="0.25">
      <c r="C7" s="169">
        <f>$C$8+E7</f>
        <v>35508556.160000004</v>
      </c>
      <c r="D7" s="170">
        <v>0.1</v>
      </c>
      <c r="E7" s="171">
        <f>D7*$C$8</f>
        <v>3228050.5600000005</v>
      </c>
      <c r="F7" s="169"/>
      <c r="G7" s="169">
        <f>'Scenario deep dive'!T16</f>
        <v>204849185.54615188</v>
      </c>
      <c r="H7" s="173"/>
      <c r="I7" s="169">
        <f t="shared" si="0"/>
        <v>-43506574.798272908</v>
      </c>
      <c r="J7" s="169">
        <f t="shared" si="0"/>
        <v>-248355760.34442478</v>
      </c>
      <c r="K7" s="172">
        <f t="shared" si="1"/>
        <v>5.7690091543883222</v>
      </c>
      <c r="L7" s="172">
        <f t="shared" si="1"/>
        <v>0</v>
      </c>
    </row>
    <row r="8" spans="2:13" x14ac:dyDescent="0.25">
      <c r="B8" s="174">
        <f>F8/C8</f>
        <v>7.6936762831999994</v>
      </c>
      <c r="C8" s="169">
        <f>'Scenario deep dive'!C16</f>
        <v>32280505.600000001</v>
      </c>
      <c r="D8" s="170">
        <v>0</v>
      </c>
      <c r="E8" s="171">
        <f>D8*$C$8</f>
        <v>0</v>
      </c>
      <c r="F8" s="169">
        <f>'Scenario deep dive'!D16</f>
        <v>248355760.34442478</v>
      </c>
      <c r="G8" s="169">
        <f>'Scenario deep dive'!H16</f>
        <v>195641074.52413151</v>
      </c>
      <c r="H8" s="169"/>
      <c r="I8" s="169">
        <f t="shared" si="0"/>
        <v>-52714685.820293278</v>
      </c>
      <c r="J8" s="169">
        <f t="shared" si="0"/>
        <v>-248355760.34442478</v>
      </c>
      <c r="K8" s="172">
        <f t="shared" si="1"/>
        <v>6.0606570711250418</v>
      </c>
      <c r="L8" s="172">
        <f t="shared" si="1"/>
        <v>0</v>
      </c>
    </row>
    <row r="9" spans="2:13" x14ac:dyDescent="0.25">
      <c r="C9" s="169">
        <f>$C$8+E9</f>
        <v>29052455.039999999</v>
      </c>
      <c r="D9" s="170">
        <v>-0.1</v>
      </c>
      <c r="E9" s="171">
        <f>D9*$C$8</f>
        <v>-3228050.5600000005</v>
      </c>
      <c r="F9" s="169"/>
      <c r="G9" s="169">
        <f>'Scenario deep dive'!L16</f>
        <v>185600061.71028784</v>
      </c>
      <c r="H9" s="169"/>
      <c r="I9" s="169">
        <f t="shared" si="0"/>
        <v>-62755698.634136945</v>
      </c>
      <c r="J9" s="169">
        <f t="shared" si="0"/>
        <v>-248355760.34442478</v>
      </c>
      <c r="K9" s="172">
        <f t="shared" si="1"/>
        <v>6.3884467407229435</v>
      </c>
      <c r="L9" s="172">
        <f t="shared" si="1"/>
        <v>0</v>
      </c>
    </row>
    <row r="10" spans="2:13" x14ac:dyDescent="0.25">
      <c r="C10" s="169">
        <f>$C$8+E10</f>
        <v>25824404.48</v>
      </c>
      <c r="D10" s="170">
        <v>-0.2</v>
      </c>
      <c r="E10" s="171">
        <f>D10*$C$8</f>
        <v>-6456101.120000001</v>
      </c>
      <c r="F10" s="169"/>
      <c r="G10" s="169">
        <f>'Scenario deep dive'!P16</f>
        <v>171847214.96344179</v>
      </c>
      <c r="H10" s="169"/>
      <c r="I10" s="169">
        <f t="shared" si="0"/>
        <v>-76508545.380982995</v>
      </c>
      <c r="J10" s="169">
        <f t="shared" si="0"/>
        <v>-248355760.34442478</v>
      </c>
      <c r="K10" s="172">
        <f t="shared" si="1"/>
        <v>6.6544502544688218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489" t="s">
        <v>208</v>
      </c>
      <c r="G13" s="489"/>
      <c r="H13" s="489" t="s">
        <v>209</v>
      </c>
      <c r="I13" s="489"/>
    </row>
    <row r="14" spans="2:13" x14ac:dyDescent="0.25">
      <c r="C14" s="166" t="s">
        <v>205</v>
      </c>
      <c r="D14" s="166" t="s">
        <v>206</v>
      </c>
      <c r="E14" s="97" t="s">
        <v>210</v>
      </c>
      <c r="F14" s="276" t="s">
        <v>249</v>
      </c>
      <c r="G14" s="168"/>
      <c r="H14" s="276" t="s">
        <v>249</v>
      </c>
      <c r="I14" s="168"/>
    </row>
    <row r="15" spans="2:13" x14ac:dyDescent="0.25">
      <c r="C15" s="176">
        <f t="shared" ref="C15:D19" si="2">C6</f>
        <v>38736606.719999999</v>
      </c>
      <c r="D15" s="177">
        <f t="shared" si="2"/>
        <v>0.2</v>
      </c>
      <c r="E15" s="176">
        <f>C15-C16</f>
        <v>3228050.5599999949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2.6646980240900233</v>
      </c>
      <c r="I15" s="172">
        <f t="shared" si="4"/>
        <v>0</v>
      </c>
    </row>
    <row r="16" spans="2:13" x14ac:dyDescent="0.25">
      <c r="C16" s="176">
        <f t="shared" si="2"/>
        <v>35508556.160000004</v>
      </c>
      <c r="D16" s="177">
        <f t="shared" si="2"/>
        <v>0.1</v>
      </c>
      <c r="E16" s="176">
        <f>C16-C17</f>
        <v>3228050.5600000024</v>
      </c>
      <c r="F16" s="178">
        <f>G7-G8</f>
        <v>9208111.0220203698</v>
      </c>
      <c r="G16" s="178">
        <f t="shared" si="3"/>
        <v>0</v>
      </c>
      <c r="H16" s="172">
        <f>F16/$E16</f>
        <v>2.8525299870211334</v>
      </c>
      <c r="I16" s="172">
        <f t="shared" si="4"/>
        <v>0</v>
      </c>
    </row>
    <row r="17" spans="3:9" x14ac:dyDescent="0.25">
      <c r="C17" s="176">
        <f t="shared" si="2"/>
        <v>32280505.600000001</v>
      </c>
      <c r="D17" s="177">
        <f t="shared" si="2"/>
        <v>0</v>
      </c>
      <c r="E17" s="176">
        <f>C17-C18</f>
        <v>3228050.5600000024</v>
      </c>
      <c r="F17" s="178">
        <f>G8-G9</f>
        <v>10041012.813843668</v>
      </c>
      <c r="G17" s="178">
        <f t="shared" si="3"/>
        <v>0</v>
      </c>
      <c r="H17" s="172">
        <f>F17/$E17</f>
        <v>3.1105500447439276</v>
      </c>
      <c r="I17" s="172">
        <f t="shared" si="4"/>
        <v>0</v>
      </c>
    </row>
    <row r="18" spans="3:9" x14ac:dyDescent="0.25">
      <c r="C18" s="176">
        <f t="shared" si="2"/>
        <v>29052455.039999999</v>
      </c>
      <c r="D18" s="177">
        <f t="shared" si="2"/>
        <v>-0.1</v>
      </c>
      <c r="E18" s="176">
        <f>C18-C19</f>
        <v>3228050.5599999987</v>
      </c>
      <c r="F18" s="178">
        <f t="shared" si="3"/>
        <v>13752846.74684605</v>
      </c>
      <c r="G18" s="178">
        <f t="shared" si="3"/>
        <v>0</v>
      </c>
      <c r="H18" s="172">
        <f t="shared" si="4"/>
        <v>4.260418630755912</v>
      </c>
      <c r="I18" s="172">
        <f t="shared" si="4"/>
        <v>0</v>
      </c>
    </row>
    <row r="19" spans="3:9" x14ac:dyDescent="0.25">
      <c r="C19" s="176">
        <f t="shared" si="2"/>
        <v>25824404.48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10219266.309999999</v>
      </c>
      <c r="C3" s="180">
        <f>SUM(D9:D13)</f>
        <v>103543587.85847765</v>
      </c>
    </row>
    <row r="4" spans="1:28" x14ac:dyDescent="0.25">
      <c r="F4" s="498" t="s">
        <v>251</v>
      </c>
      <c r="G4" s="498"/>
      <c r="H4" s="498"/>
      <c r="I4" s="498"/>
      <c r="J4" s="498"/>
      <c r="K4" s="498"/>
      <c r="L4" s="498"/>
      <c r="M4" s="498"/>
      <c r="N4" s="498"/>
      <c r="O4" s="498"/>
      <c r="P4" s="498"/>
    </row>
    <row r="5" spans="1:28" x14ac:dyDescent="0.25">
      <c r="F5" s="492" t="s">
        <v>256</v>
      </c>
      <c r="G5" s="493"/>
      <c r="H5" s="494"/>
      <c r="I5" s="181"/>
      <c r="J5" s="492" t="s">
        <v>257</v>
      </c>
      <c r="K5" s="493"/>
      <c r="L5" s="494"/>
      <c r="M5" s="181"/>
      <c r="N5" s="492" t="s">
        <v>258</v>
      </c>
      <c r="O5" s="493"/>
      <c r="P5" s="494"/>
      <c r="R5" s="492" t="s">
        <v>259</v>
      </c>
      <c r="S5" s="493"/>
      <c r="T5" s="494"/>
      <c r="V5" s="492" t="s">
        <v>260</v>
      </c>
      <c r="W5" s="493"/>
      <c r="X5" s="494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VAC_Optim_Scenario!B17</f>
        <v>HCC In Office</v>
      </c>
      <c r="C7" s="185">
        <f>VAC_Optim_Scenario!E17</f>
        <v>1755293</v>
      </c>
      <c r="D7" s="185">
        <f>VAC_Optim_Scenario!G47</f>
        <v>7699972.6835207557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VAC_Optim_Scenario!$H47</f>
        <v>2140259.0675274357</v>
      </c>
      <c r="AA7" s="177">
        <f>(Z7-$C7)/$C7</f>
        <v>0.21931726926925346</v>
      </c>
      <c r="AB7" s="185">
        <f>VAC_Optim_Scenario!$J47</f>
        <v>8771695.6424614228</v>
      </c>
    </row>
    <row r="8" spans="1:28" x14ac:dyDescent="0.25">
      <c r="A8" s="180"/>
      <c r="B8" s="184" t="str">
        <f>VAC_Optim_Scenario!B18</f>
        <v>HCP MCM</v>
      </c>
      <c r="C8" s="185">
        <f>VAC_Optim_Scenario!E18</f>
        <v>5365372.8900000006</v>
      </c>
      <c r="D8" s="185">
        <f>VAC_Optim_Scenario!G48</f>
        <v>63849938.934329621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VAC_Optim_Scenario!$H48</f>
        <v>10730745.780000001</v>
      </c>
      <c r="AA8" s="177">
        <f t="shared" ref="AA8:AA15" si="0">(Z8-$C8)/$C8</f>
        <v>1</v>
      </c>
      <c r="AB8" s="185">
        <f>VAC_Optim_Scenario!$J48</f>
        <v>94570093.698554069</v>
      </c>
    </row>
    <row r="9" spans="1:28" x14ac:dyDescent="0.25">
      <c r="A9" s="180"/>
      <c r="B9" s="184" t="str">
        <f>VAC_Optim_Scenario!B19</f>
        <v>HCC Social</v>
      </c>
      <c r="C9" s="185">
        <f>VAC_Optim_Scenario!E19</f>
        <v>1873000</v>
      </c>
      <c r="D9" s="185">
        <f>VAC_Optim_Scenario!G49</f>
        <v>16096682.775385505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VAC_Optim_Scenario!$H49</f>
        <v>3746000.0000000005</v>
      </c>
      <c r="AA9" s="177">
        <f t="shared" si="0"/>
        <v>1.0000000000000002</v>
      </c>
      <c r="AB9" s="185">
        <f>VAC_Optim_Scenario!$J49</f>
        <v>24398008.748514384</v>
      </c>
    </row>
    <row r="10" spans="1:28" x14ac:dyDescent="0.25">
      <c r="A10" s="180"/>
      <c r="B10" s="184" t="str">
        <f>VAC_Optim_Scenario!B20</f>
        <v>HCC Online Video</v>
      </c>
      <c r="C10" s="185">
        <f>VAC_Optim_Scenario!E20</f>
        <v>173076.94</v>
      </c>
      <c r="D10" s="185">
        <f>VAC_Optim_Scenario!G50</f>
        <v>1709980.3714794049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VAC_Optim_Scenario!$H50</f>
        <v>346153.88</v>
      </c>
      <c r="AA10" s="177">
        <f t="shared" si="0"/>
        <v>1</v>
      </c>
      <c r="AB10" s="185">
        <f>VAC_Optim_Scenario!$J50</f>
        <v>2565344.7897080756</v>
      </c>
    </row>
    <row r="11" spans="1:28" x14ac:dyDescent="0.25">
      <c r="A11" s="180"/>
      <c r="B11" s="184" t="str">
        <f>VAC_Optim_Scenario!B21</f>
        <v>HCC Streaming Video</v>
      </c>
      <c r="C11" s="185">
        <f>VAC_Optim_Scenario!E21</f>
        <v>6180125</v>
      </c>
      <c r="D11" s="185">
        <f>VAC_Optim_Scenario!G51</f>
        <v>32683849.841578793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VAC_Optim_Scenario!$H51</f>
        <v>12360250</v>
      </c>
      <c r="AA11" s="177">
        <f t="shared" si="0"/>
        <v>1</v>
      </c>
      <c r="AB11" s="185">
        <f>VAC_Optim_Scenario!$J51</f>
        <v>53095070.711939476</v>
      </c>
    </row>
    <row r="12" spans="1:28" x14ac:dyDescent="0.25">
      <c r="A12" s="180"/>
      <c r="B12" s="184" t="str">
        <f>VAC_Optim_Scenario!B22</f>
        <v>HCC Display</v>
      </c>
      <c r="C12" s="185">
        <f>VAC_Optim_Scenario!E22</f>
        <v>1648357.37</v>
      </c>
      <c r="D12" s="185">
        <f>VAC_Optim_Scenario!G52</f>
        <v>23524052.607040178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VAC_Optim_Scenario!$H52</f>
        <v>3296714.7399999998</v>
      </c>
      <c r="AA12" s="177">
        <f t="shared" si="0"/>
        <v>0.99999999999999967</v>
      </c>
      <c r="AB12" s="185">
        <f>VAC_Optim_Scenario!$J52</f>
        <v>37741168.477636799</v>
      </c>
    </row>
    <row r="13" spans="1:28" x14ac:dyDescent="0.25">
      <c r="A13" s="180"/>
      <c r="B13" s="184" t="str">
        <f>VAC_Optim_Scenario!B23</f>
        <v>HCC Paid Search</v>
      </c>
      <c r="C13" s="185">
        <f>VAC_Optim_Scenario!E23</f>
        <v>344707</v>
      </c>
      <c r="D13" s="185">
        <f>VAC_Optim_Scenario!G53</f>
        <v>29529022.26299376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VAC_Optim_Scenario!$H53</f>
        <v>689414</v>
      </c>
      <c r="AA13" s="177">
        <f t="shared" si="0"/>
        <v>1</v>
      </c>
      <c r="AB13" s="185">
        <f>VAC_Optim_Scenario!$J53</f>
        <v>47970038.190346614</v>
      </c>
    </row>
    <row r="14" spans="1:28" x14ac:dyDescent="0.25">
      <c r="A14" s="180"/>
      <c r="B14" s="184" t="str">
        <f>VAC_Optim_Scenario!B24</f>
        <v>HCC Audio</v>
      </c>
      <c r="C14" s="185">
        <f>VAC_Optim_Scenario!E24</f>
        <v>1437048.41</v>
      </c>
      <c r="D14" s="185">
        <f>VAC_Optim_Scenario!G54</f>
        <v>15944380.745101282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VAC_Optim_Scenario!$H54</f>
        <v>2874096.82</v>
      </c>
      <c r="AA14" s="177">
        <f t="shared" si="0"/>
        <v>1</v>
      </c>
      <c r="AB14" s="185">
        <f>VAC_Optim_Scenario!$J54</f>
        <v>24167162.038099419</v>
      </c>
    </row>
    <row r="15" spans="1:28" x14ac:dyDescent="0.25">
      <c r="A15" s="180"/>
      <c r="B15" s="184" t="str">
        <f>VAC_Optim_Scenario!B25</f>
        <v>HCC TV</v>
      </c>
      <c r="C15" s="185">
        <f>VAC_Optim_Scenario!E25</f>
        <v>13503524.99</v>
      </c>
      <c r="D15" s="185">
        <f>VAC_Optim_Scenario!G55</f>
        <v>57317880.122995496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VAC_Optim_Scenario!$H55</f>
        <v>21861203.521423146</v>
      </c>
      <c r="AA15" s="177">
        <f t="shared" si="0"/>
        <v>0.61892569070760428</v>
      </c>
      <c r="AB15" s="185">
        <f>VAC_Optim_Scenario!$J55</f>
        <v>80306178.590925008</v>
      </c>
    </row>
    <row r="16" spans="1:28" ht="34.35" customHeight="1" x14ac:dyDescent="0.25">
      <c r="B16" s="187" t="s">
        <v>219</v>
      </c>
      <c r="C16" s="188">
        <f>SUM(C7:C15)</f>
        <v>32280505.600000001</v>
      </c>
      <c r="D16" s="188">
        <f>SUM(D7:D15)</f>
        <v>248355760.34442478</v>
      </c>
      <c r="E16" s="179"/>
      <c r="F16" s="188">
        <f>SUM(F7:F15)</f>
        <v>38354764.850000001</v>
      </c>
      <c r="G16" s="189">
        <f>(F16-$C$16)/$C$16</f>
        <v>0.18817113106183814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6.9354017787162839E-2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-4.9463095258704279E-2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0.30698824331566277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0.42580535843308454</v>
      </c>
      <c r="X16" s="188">
        <f>SUM(X7:X15)</f>
        <v>213450965.49504656</v>
      </c>
      <c r="Z16" s="188">
        <f>SUM(Z7:Z15)</f>
        <v>58044837.808950581</v>
      </c>
      <c r="AA16" s="189">
        <f>(Z16-$C$16)/$C$16</f>
        <v>0.7981390542083262</v>
      </c>
      <c r="AB16" s="188">
        <f>SUM(AB7:AB15)</f>
        <v>373584760.88818526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98" t="str">
        <f>F4</f>
        <v>Optimal channel spend allowed to vary between +/- 30% of the 2021 channel spend</v>
      </c>
      <c r="G19" s="498"/>
      <c r="H19" s="498"/>
      <c r="I19" s="498"/>
      <c r="J19" s="498"/>
      <c r="K19" s="498"/>
      <c r="L19" s="498"/>
      <c r="M19" s="498"/>
      <c r="N19" s="498"/>
      <c r="O19" s="498"/>
      <c r="P19" s="498"/>
    </row>
    <row r="20" spans="1:24" ht="30.4" customHeight="1" x14ac:dyDescent="0.25">
      <c r="C20" s="490" t="s">
        <v>252</v>
      </c>
      <c r="D20" s="491"/>
      <c r="E20" s="190"/>
      <c r="F20" s="492" t="str">
        <f>F5</f>
        <v>Current Optimal ($38MM)</v>
      </c>
      <c r="G20" s="493"/>
      <c r="H20" s="494"/>
      <c r="I20" s="191"/>
      <c r="J20" s="492" t="str">
        <f>J5</f>
        <v>10% reduction optimal ($35M)</v>
      </c>
      <c r="K20" s="493"/>
      <c r="L20" s="494"/>
      <c r="M20" s="191"/>
      <c r="N20" s="492" t="str">
        <f>N5</f>
        <v>20% reduction optimal ($31M)</v>
      </c>
      <c r="O20" s="493"/>
      <c r="P20" s="494"/>
      <c r="R20" s="492" t="str">
        <f>R5</f>
        <v>10% increase optimal ($42M)</v>
      </c>
      <c r="S20" s="493"/>
      <c r="T20" s="494"/>
      <c r="V20" s="492" t="str">
        <f>V5</f>
        <v>20% increase optimal ($46M)</v>
      </c>
      <c r="W20" s="493"/>
      <c r="X20" s="494"/>
    </row>
    <row r="21" spans="1:24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4" x14ac:dyDescent="0.25">
      <c r="A22" s="172">
        <f>D22/C22</f>
        <v>4.3867164533332925</v>
      </c>
      <c r="B22" s="184" t="str">
        <f>B7</f>
        <v>HCC In Office</v>
      </c>
      <c r="C22" s="196">
        <f>C7/1000000</f>
        <v>1.755293</v>
      </c>
      <c r="D22" s="283">
        <f>D7/1000000</f>
        <v>7.6999726835207554</v>
      </c>
      <c r="E22" s="198"/>
      <c r="F22" s="199">
        <f>F7/1000000</f>
        <v>3.081</v>
      </c>
      <c r="G22" s="200">
        <f>G7</f>
        <v>0.3</v>
      </c>
      <c r="H22" s="278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8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8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8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11.900373048317544</v>
      </c>
      <c r="B23" s="184" t="str">
        <f t="shared" ref="B23:B30" si="2">B8</f>
        <v>HCP MCM</v>
      </c>
      <c r="C23" s="202">
        <f t="shared" ref="C23:D23" si="3">C8/1000000</f>
        <v>5.3653728900000006</v>
      </c>
      <c r="D23" s="284">
        <f t="shared" si="3"/>
        <v>63.849938934329622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9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9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9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9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8.5940644823200767</v>
      </c>
      <c r="B24" s="184" t="str">
        <f t="shared" si="2"/>
        <v>HCC Social</v>
      </c>
      <c r="C24" s="202">
        <f t="shared" ref="C24:D24" si="19">C9/1000000</f>
        <v>1.873</v>
      </c>
      <c r="D24" s="284">
        <f t="shared" si="19"/>
        <v>16.096682775385503</v>
      </c>
      <c r="E24" s="198"/>
      <c r="F24" s="204">
        <f t="shared" si="4"/>
        <v>2.9380000000000002</v>
      </c>
      <c r="G24" s="205">
        <f t="shared" si="5"/>
        <v>0.3</v>
      </c>
      <c r="H24" s="279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9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9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9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9.879885624736632</v>
      </c>
      <c r="B25" s="184" t="str">
        <f t="shared" si="2"/>
        <v>HCC Online Video</v>
      </c>
      <c r="C25" s="202">
        <f t="shared" ref="C25:D25" si="20">C10/1000000</f>
        <v>0.17307694000000001</v>
      </c>
      <c r="D25" s="284">
        <f t="shared" si="20"/>
        <v>1.7099803714794048</v>
      </c>
      <c r="E25" s="198"/>
      <c r="F25" s="204">
        <f t="shared" si="4"/>
        <v>0.69299999999999995</v>
      </c>
      <c r="G25" s="205">
        <f t="shared" si="5"/>
        <v>-0.3</v>
      </c>
      <c r="H25" s="279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9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9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9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5.288541872790403</v>
      </c>
      <c r="B26" s="184" t="str">
        <f t="shared" si="2"/>
        <v>HCC Streaming Video</v>
      </c>
      <c r="C26" s="202">
        <f t="shared" ref="C26:D26" si="21">C11/1000000</f>
        <v>6.1801250000000003</v>
      </c>
      <c r="D26" s="284">
        <f t="shared" si="21"/>
        <v>32.683849841578791</v>
      </c>
      <c r="E26" s="198"/>
      <c r="F26" s="204">
        <f t="shared" si="4"/>
        <v>3.9416439999999997</v>
      </c>
      <c r="G26" s="205">
        <f t="shared" si="5"/>
        <v>-0.3000000000000001</v>
      </c>
      <c r="H26" s="279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9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9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9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14.271209044334954</v>
      </c>
      <c r="B27" s="184" t="str">
        <f t="shared" si="2"/>
        <v>HCC Display</v>
      </c>
      <c r="C27" s="202">
        <f t="shared" ref="C27:D27" si="22">C12/1000000</f>
        <v>1.64835737</v>
      </c>
      <c r="D27" s="284">
        <f t="shared" si="22"/>
        <v>23.524052607040179</v>
      </c>
      <c r="E27" s="198"/>
      <c r="F27" s="204">
        <f t="shared" si="4"/>
        <v>1.9214</v>
      </c>
      <c r="G27" s="205">
        <f t="shared" si="5"/>
        <v>0.3</v>
      </c>
      <c r="H27" s="279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9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9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9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85.664121305902583</v>
      </c>
      <c r="B28" s="184" t="str">
        <f t="shared" si="2"/>
        <v>HCC Paid Search</v>
      </c>
      <c r="C28" s="202">
        <f t="shared" ref="C28:D28" si="23">C13/1000000</f>
        <v>0.34470699999999999</v>
      </c>
      <c r="D28" s="284">
        <f t="shared" si="23"/>
        <v>29.52902226299376</v>
      </c>
      <c r="E28" s="198"/>
      <c r="F28" s="204">
        <f t="shared" si="4"/>
        <v>1.232</v>
      </c>
      <c r="G28" s="205">
        <f t="shared" si="5"/>
        <v>-0.3</v>
      </c>
      <c r="H28" s="279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9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9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9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11.095228688295396</v>
      </c>
      <c r="B29" s="184" t="str">
        <f t="shared" si="2"/>
        <v>HCC Audio</v>
      </c>
      <c r="C29" s="202">
        <f t="shared" ref="C29:D29" si="24">C14/1000000</f>
        <v>1.4370484099999998</v>
      </c>
      <c r="D29" s="284">
        <f t="shared" si="24"/>
        <v>15.944380745101283</v>
      </c>
      <c r="E29" s="198"/>
      <c r="F29" s="204">
        <f t="shared" si="4"/>
        <v>1.5996708943365674</v>
      </c>
      <c r="G29" s="205">
        <f t="shared" si="5"/>
        <v>0.22552253957265472</v>
      </c>
      <c r="H29" s="279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9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9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9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4.2446605731053264</v>
      </c>
      <c r="B30" s="184" t="str">
        <f t="shared" si="2"/>
        <v>HCC TV</v>
      </c>
      <c r="C30" s="202">
        <f t="shared" ref="C30:D30" si="25">C15/1000000</f>
        <v>13.503524990000001</v>
      </c>
      <c r="D30" s="284">
        <f t="shared" si="25"/>
        <v>57.317880122995497</v>
      </c>
      <c r="E30" s="198"/>
      <c r="F30" s="204">
        <f t="shared" si="4"/>
        <v>15.034299955663437</v>
      </c>
      <c r="G30" s="205">
        <f t="shared" si="5"/>
        <v>-8.7339507991325518E-2</v>
      </c>
      <c r="H30" s="279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9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9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9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219</v>
      </c>
      <c r="C31" s="208">
        <f>C16/1000000</f>
        <v>32.280505600000005</v>
      </c>
      <c r="D31" s="285">
        <f>D16/1000000</f>
        <v>248.35576034442479</v>
      </c>
      <c r="E31" s="210"/>
      <c r="F31" s="211">
        <f>F16/1000000</f>
        <v>38.354764850000002</v>
      </c>
      <c r="G31" s="212">
        <f>G16</f>
        <v>0.18817113106183814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6.9354017787162839E-2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-4.9463095258704279E-2</v>
      </c>
      <c r="P31" s="216">
        <f>P16/1000000</f>
        <v>171.84721496344179</v>
      </c>
      <c r="R31" s="211">
        <f>R16/1000000</f>
        <v>42.190241307485415</v>
      </c>
      <c r="S31" s="212">
        <f>S16</f>
        <v>0.30698824331566277</v>
      </c>
      <c r="T31" s="216">
        <f>T16/1000000</f>
        <v>204.84918554615189</v>
      </c>
      <c r="V31" s="211">
        <f>V16/1000000</f>
        <v>46.025717857409191</v>
      </c>
      <c r="W31" s="212">
        <f>W16</f>
        <v>0.42580535843308454</v>
      </c>
      <c r="X31" s="213">
        <f>X16/1000000</f>
        <v>213.45096549504655</v>
      </c>
    </row>
    <row r="32" spans="1:24" ht="45" x14ac:dyDescent="0.25">
      <c r="B32" s="280" t="s">
        <v>253</v>
      </c>
      <c r="C32" s="208"/>
      <c r="D32" s="209"/>
      <c r="E32" s="210"/>
      <c r="F32" s="211"/>
      <c r="G32" s="212"/>
      <c r="H32" s="282" t="s">
        <v>261</v>
      </c>
      <c r="I32" s="210"/>
      <c r="J32" s="211"/>
      <c r="K32" s="212"/>
      <c r="L32" s="282" t="s">
        <v>262</v>
      </c>
      <c r="M32" s="210"/>
      <c r="N32" s="211"/>
      <c r="O32" s="212"/>
      <c r="P32" s="215" t="s">
        <v>263</v>
      </c>
      <c r="R32" s="211"/>
      <c r="S32" s="212"/>
      <c r="T32" s="282" t="s">
        <v>264</v>
      </c>
      <c r="V32" s="211"/>
      <c r="W32" s="212"/>
      <c r="X32" s="282" t="s">
        <v>265</v>
      </c>
    </row>
    <row r="33" spans="2:24" x14ac:dyDescent="0.25">
      <c r="H33" s="216">
        <f>(H31-$D$31)</f>
        <v>-52.714685820293283</v>
      </c>
      <c r="L33" s="216">
        <f>(L31-$D$31)</f>
        <v>-62.755698634136962</v>
      </c>
      <c r="P33" s="216">
        <f>(P31-$D$31)</f>
        <v>-76.508545380983008</v>
      </c>
      <c r="T33" s="216">
        <f>(T31-$D$31)</f>
        <v>-43.506574798272908</v>
      </c>
      <c r="X33" s="216">
        <f>(X31-$D$31)</f>
        <v>-34.904794849378249</v>
      </c>
    </row>
    <row r="34" spans="2:24" x14ac:dyDescent="0.25">
      <c r="H34" s="281">
        <f>H33/$D$31</f>
        <v>-0.21225473388331115</v>
      </c>
      <c r="L34" s="281">
        <f>L33/$D$31</f>
        <v>-0.25268469129568844</v>
      </c>
      <c r="P34" s="281">
        <f>P33/$D$31</f>
        <v>-0.30806028124686702</v>
      </c>
      <c r="T34" s="281">
        <f>T33/$D$31</f>
        <v>-0.17517844054809564</v>
      </c>
      <c r="X34" s="281">
        <f>X33/$D$31</f>
        <v>-0.14054352836822295</v>
      </c>
    </row>
    <row r="36" spans="2:24" x14ac:dyDescent="0.25">
      <c r="B36" s="499" t="s">
        <v>255</v>
      </c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99"/>
      <c r="O36" s="499"/>
      <c r="P36" s="499"/>
      <c r="Q36" s="499"/>
      <c r="R36" s="499"/>
      <c r="S36" s="499"/>
      <c r="T36" s="499"/>
    </row>
    <row r="37" spans="2:24" x14ac:dyDescent="0.25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</row>
    <row r="39" spans="2:24" x14ac:dyDescent="0.25">
      <c r="F39" s="492" t="s">
        <v>244</v>
      </c>
      <c r="G39" s="493"/>
      <c r="H39" s="494"/>
      <c r="I39" s="181"/>
      <c r="J39" s="492" t="s">
        <v>211</v>
      </c>
      <c r="K39" s="493"/>
      <c r="L39" s="494"/>
      <c r="M39" s="181"/>
      <c r="N39" s="492" t="s">
        <v>212</v>
      </c>
      <c r="O39" s="493"/>
      <c r="P39" s="494"/>
      <c r="R39" s="500"/>
      <c r="S39" s="501"/>
      <c r="T39" s="502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03" t="str">
        <f>B36</f>
        <v>Optimal Channel Spend  allowed to vary between  of the 2021 spend</v>
      </c>
      <c r="G53" s="503"/>
      <c r="H53" s="503"/>
      <c r="I53" s="503"/>
      <c r="J53" s="503"/>
      <c r="K53" s="503"/>
      <c r="L53" s="503"/>
      <c r="M53" s="503"/>
      <c r="N53" s="503"/>
      <c r="O53" s="503"/>
      <c r="P53" s="503"/>
    </row>
    <row r="54" spans="2:20" x14ac:dyDescent="0.25">
      <c r="C54" s="490" t="s">
        <v>245</v>
      </c>
      <c r="D54" s="491"/>
      <c r="E54" s="190"/>
      <c r="F54" s="492" t="str">
        <f>F39</f>
        <v>Current Optimal ($MM)</v>
      </c>
      <c r="G54" s="493"/>
      <c r="H54" s="494"/>
      <c r="I54" s="191"/>
      <c r="J54" s="492" t="str">
        <f>J39</f>
        <v>10% reduction optimal ($)</v>
      </c>
      <c r="K54" s="493"/>
      <c r="L54" s="494"/>
      <c r="M54" s="191"/>
      <c r="N54" s="492" t="str">
        <f>N39</f>
        <v>20% reduction optimal ()</v>
      </c>
      <c r="O54" s="493"/>
      <c r="P54" s="494"/>
      <c r="R54" s="495"/>
      <c r="S54" s="496"/>
      <c r="T54" s="497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218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219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K22:K30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O22:O30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S22:S30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G56:G63">
    <cfRule type="cellIs" dxfId="43" priority="9" operator="lessThan">
      <formula>0</formula>
    </cfRule>
    <cfRule type="cellIs" dxfId="42" priority="10" operator="greaterThan">
      <formula>0</formula>
    </cfRule>
  </conditionalFormatting>
  <conditionalFormatting sqref="K56:K63">
    <cfRule type="cellIs" dxfId="41" priority="7" operator="lessThan">
      <formula>0</formula>
    </cfRule>
    <cfRule type="cellIs" dxfId="40" priority="8" operator="greaterThan">
      <formula>0</formula>
    </cfRule>
  </conditionalFormatting>
  <conditionalFormatting sqref="O56:O63">
    <cfRule type="cellIs" dxfId="39" priority="5" operator="lessThan">
      <formula>0</formula>
    </cfRule>
    <cfRule type="cellIs" dxfId="38" priority="6" operator="greaterThan">
      <formula>0</formula>
    </cfRule>
  </conditionalFormatting>
  <conditionalFormatting sqref="S56:S6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W22:W30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498" t="s">
        <v>251</v>
      </c>
      <c r="G4" s="498"/>
      <c r="H4" s="498"/>
      <c r="I4" s="498"/>
      <c r="J4" s="498"/>
      <c r="K4" s="498"/>
      <c r="L4" s="498"/>
      <c r="M4" s="498"/>
      <c r="N4" s="498"/>
      <c r="O4" s="498"/>
      <c r="P4" s="498"/>
    </row>
    <row r="5" spans="1:28" x14ac:dyDescent="0.25">
      <c r="F5" s="492" t="s">
        <v>273</v>
      </c>
      <c r="G5" s="493"/>
      <c r="H5" s="494"/>
      <c r="I5" s="181"/>
      <c r="J5" s="492" t="s">
        <v>279</v>
      </c>
      <c r="K5" s="493"/>
      <c r="L5" s="494"/>
      <c r="M5" s="181"/>
      <c r="N5" s="492" t="s">
        <v>280</v>
      </c>
      <c r="O5" s="493"/>
      <c r="P5" s="494"/>
      <c r="R5" s="492" t="s">
        <v>281</v>
      </c>
      <c r="S5" s="493"/>
      <c r="T5" s="494"/>
      <c r="V5" s="492" t="s">
        <v>282</v>
      </c>
      <c r="W5" s="493"/>
      <c r="X5" s="494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VAC_Optim_Scenario!B17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VAC_Optim_Scenario!$H47</f>
        <v>2140259.0675274357</v>
      </c>
      <c r="AA7" s="177">
        <f>(Z7-$C7)/$C7</f>
        <v>0.25897592207496217</v>
      </c>
      <c r="AB7" s="185">
        <f>VAC_Optim_Scenario!$J47</f>
        <v>8771695.6424614228</v>
      </c>
    </row>
    <row r="8" spans="1:28" x14ac:dyDescent="0.25">
      <c r="A8" s="180"/>
      <c r="B8" s="184" t="str">
        <f>VAC_Optim_Scenario!B18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VAC_Optim_Scenario!$H48</f>
        <v>10730745.780000001</v>
      </c>
      <c r="AA8" s="177">
        <f t="shared" ref="AA8:AA15" si="0">(Z8-$C8)/$C8</f>
        <v>0.86820507740412423</v>
      </c>
      <c r="AB8" s="185">
        <f>VAC_Optim_Scenario!$J48</f>
        <v>94570093.698554069</v>
      </c>
    </row>
    <row r="9" spans="1:28" x14ac:dyDescent="0.25">
      <c r="A9" s="180"/>
      <c r="B9" s="184" t="str">
        <f>VAC_Optim_Scenario!B19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VAC_Optim_Scenario!$H49</f>
        <v>3746000.0000000005</v>
      </c>
      <c r="AA9" s="177">
        <f t="shared" si="0"/>
        <v>1.2035294117647062</v>
      </c>
      <c r="AB9" s="185">
        <f>VAC_Optim_Scenario!$J49</f>
        <v>24398008.748514384</v>
      </c>
    </row>
    <row r="10" spans="1:28" x14ac:dyDescent="0.25">
      <c r="A10" s="180"/>
      <c r="B10" s="184" t="str">
        <f>VAC_Optim_Scenario!B20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VAC_Optim_Scenario!$H50</f>
        <v>346153.88</v>
      </c>
      <c r="AA10" s="177">
        <f t="shared" si="0"/>
        <v>-0.30769224000000001</v>
      </c>
      <c r="AB10" s="185">
        <f>VAC_Optim_Scenario!$J50</f>
        <v>2565344.7897080756</v>
      </c>
    </row>
    <row r="11" spans="1:28" x14ac:dyDescent="0.25">
      <c r="A11" s="180"/>
      <c r="B11" s="184" t="str">
        <f>VAC_Optim_Scenario!B21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VAC_Optim_Scenario!$H51</f>
        <v>12360250</v>
      </c>
      <c r="AA11" s="177">
        <f t="shared" si="0"/>
        <v>1.0296323615378653</v>
      </c>
      <c r="AB11" s="185">
        <f>VAC_Optim_Scenario!$J51</f>
        <v>53095070.711939476</v>
      </c>
    </row>
    <row r="12" spans="1:28" x14ac:dyDescent="0.25">
      <c r="A12" s="180"/>
      <c r="B12" s="184" t="str">
        <f>VAC_Optim_Scenario!B22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VAC_Optim_Scenario!$H52</f>
        <v>3296714.7399999998</v>
      </c>
      <c r="AA12" s="177">
        <f t="shared" si="0"/>
        <v>1.507968635887823</v>
      </c>
      <c r="AB12" s="185">
        <f>VAC_Optim_Scenario!$J52</f>
        <v>37741168.477636799</v>
      </c>
    </row>
    <row r="13" spans="1:28" x14ac:dyDescent="0.25">
      <c r="A13" s="180"/>
      <c r="B13" s="184" t="str">
        <f>VAC_Optim_Scenario!B23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VAC_Optim_Scenario!$H53</f>
        <v>689414</v>
      </c>
      <c r="AA13" s="177">
        <f t="shared" si="0"/>
        <v>0.14902333333333334</v>
      </c>
      <c r="AB13" s="185">
        <f>VAC_Optim_Scenario!$J53</f>
        <v>47970038.190346614</v>
      </c>
    </row>
    <row r="14" spans="1:28" x14ac:dyDescent="0.25">
      <c r="A14" s="180"/>
      <c r="B14" s="184" t="str">
        <f>VAC_Optim_Scenario!B24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VAC_Optim_Scenario!$H54</f>
        <v>2874096.82</v>
      </c>
      <c r="AA14" s="177">
        <f t="shared" si="0"/>
        <v>0.91606454666666659</v>
      </c>
      <c r="AB14" s="185">
        <f>VAC_Optim_Scenario!$J54</f>
        <v>24167162.038099419</v>
      </c>
    </row>
    <row r="15" spans="1:28" x14ac:dyDescent="0.25">
      <c r="A15" s="180"/>
      <c r="B15" s="184" t="str">
        <f>VAC_Optim_Scenario!B25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VAC_Optim_Scenario!$H55</f>
        <v>21861203.521423146</v>
      </c>
      <c r="AA15" s="177">
        <f t="shared" si="0"/>
        <v>0.43487570751349647</v>
      </c>
      <c r="AB15" s="185">
        <f>VAC_Optim_Scenario!$J55</f>
        <v>80306178.590925008</v>
      </c>
    </row>
    <row r="16" spans="1:28" ht="34.35" customHeight="1" x14ac:dyDescent="0.25">
      <c r="B16" s="187" t="s">
        <v>219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58044837.808950581</v>
      </c>
      <c r="AA16" s="189">
        <f>(Z16-$C$16)/$C$16</f>
        <v>0.68814101685379281</v>
      </c>
      <c r="AB16" s="188">
        <f>SUM(AB7:AB15)</f>
        <v>373584760.88818526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498" t="str">
        <f>F4</f>
        <v>Optimal channel spend allowed to vary between +/- 30% of the 2021 channel spend</v>
      </c>
      <c r="G19" s="498"/>
      <c r="H19" s="498"/>
      <c r="I19" s="498"/>
      <c r="J19" s="498"/>
      <c r="K19" s="498"/>
      <c r="L19" s="498"/>
      <c r="M19" s="498"/>
      <c r="N19" s="498"/>
      <c r="O19" s="498"/>
      <c r="P19" s="498"/>
    </row>
    <row r="20" spans="1:28" ht="30.4" customHeight="1" x14ac:dyDescent="0.25">
      <c r="C20" s="490" t="s">
        <v>270</v>
      </c>
      <c r="D20" s="491"/>
      <c r="E20" s="190"/>
      <c r="F20" s="492" t="str">
        <f>F5</f>
        <v>Current Optimal ($34MM)</v>
      </c>
      <c r="G20" s="493"/>
      <c r="H20" s="494"/>
      <c r="I20" s="191"/>
      <c r="J20" s="492" t="str">
        <f>J5</f>
        <v>3% reduction optimal ($33M)</v>
      </c>
      <c r="K20" s="493"/>
      <c r="L20" s="494"/>
      <c r="M20" s="191"/>
      <c r="N20" s="492" t="str">
        <f>N5</f>
        <v>7% reduction optimal ($32M)</v>
      </c>
      <c r="O20" s="493"/>
      <c r="P20" s="494"/>
      <c r="R20" s="492" t="str">
        <f>R5</f>
        <v>5% increase optimal ($36M)</v>
      </c>
      <c r="S20" s="493"/>
      <c r="T20" s="494"/>
      <c r="V20" s="492" t="str">
        <f>V5</f>
        <v>10% increase optimal ($38M)</v>
      </c>
      <c r="W20" s="493"/>
      <c r="X20" s="494"/>
    </row>
    <row r="21" spans="1:28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3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8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8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8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8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4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9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9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9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9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4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9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9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9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9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4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9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9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9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9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4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9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9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9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9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4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9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9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9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9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4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9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9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9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9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4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9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9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9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9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4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9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9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9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9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219</v>
      </c>
      <c r="C31" s="208">
        <f>C16/1000000</f>
        <v>34.383879799999995</v>
      </c>
      <c r="D31" s="285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80" t="s">
        <v>269</v>
      </c>
      <c r="C32" s="208"/>
      <c r="D32" s="209"/>
      <c r="E32" s="210"/>
      <c r="F32" s="211"/>
      <c r="G32" s="212"/>
      <c r="H32" s="282" t="s">
        <v>274</v>
      </c>
      <c r="I32" s="210"/>
      <c r="J32" s="211"/>
      <c r="K32" s="212"/>
      <c r="L32" s="215" t="s">
        <v>275</v>
      </c>
      <c r="M32" s="210"/>
      <c r="N32" s="211"/>
      <c r="O32" s="212"/>
      <c r="P32" s="215" t="s">
        <v>276</v>
      </c>
      <c r="R32" s="211"/>
      <c r="S32" s="212"/>
      <c r="T32" s="282" t="s">
        <v>277</v>
      </c>
      <c r="V32" s="211"/>
      <c r="W32" s="212"/>
      <c r="X32" s="282" t="s">
        <v>278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1">
        <f>H33/$D$31</f>
        <v>1.010961034945008E-2</v>
      </c>
      <c r="L34" s="281">
        <f>L33/$D$31</f>
        <v>-2.5436436099334714E-2</v>
      </c>
      <c r="P34" s="281">
        <f>P33/$D$31</f>
        <v>-7.9803790183362186E-2</v>
      </c>
      <c r="T34" s="281">
        <f>T33/$D$31</f>
        <v>6.3913368952552674E-2</v>
      </c>
      <c r="X34" s="281">
        <f>X33/$D$31</f>
        <v>0.10291417534329195</v>
      </c>
    </row>
    <row r="36" spans="2:24" x14ac:dyDescent="0.25">
      <c r="B36" s="499" t="s">
        <v>255</v>
      </c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99"/>
      <c r="O36" s="499"/>
      <c r="P36" s="499"/>
      <c r="Q36" s="499"/>
      <c r="R36" s="499"/>
      <c r="S36" s="499"/>
      <c r="T36" s="499"/>
    </row>
    <row r="37" spans="2:24" x14ac:dyDescent="0.25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</row>
    <row r="39" spans="2:24" x14ac:dyDescent="0.25">
      <c r="F39" s="492" t="s">
        <v>244</v>
      </c>
      <c r="G39" s="493"/>
      <c r="H39" s="494"/>
      <c r="I39" s="181"/>
      <c r="J39" s="492" t="s">
        <v>211</v>
      </c>
      <c r="K39" s="493"/>
      <c r="L39" s="494"/>
      <c r="M39" s="181"/>
      <c r="N39" s="492" t="s">
        <v>212</v>
      </c>
      <c r="O39" s="493"/>
      <c r="P39" s="494"/>
      <c r="R39" s="500"/>
      <c r="S39" s="501"/>
      <c r="T39" s="502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03" t="str">
        <f>B36</f>
        <v>Optimal Channel Spend  allowed to vary between  of the 2021 spend</v>
      </c>
      <c r="G53" s="503"/>
      <c r="H53" s="503"/>
      <c r="I53" s="503"/>
      <c r="J53" s="503"/>
      <c r="K53" s="503"/>
      <c r="L53" s="503"/>
      <c r="M53" s="503"/>
      <c r="N53" s="503"/>
      <c r="O53" s="503"/>
      <c r="P53" s="503"/>
    </row>
    <row r="54" spans="2:20" x14ac:dyDescent="0.25">
      <c r="C54" s="490" t="s">
        <v>245</v>
      </c>
      <c r="D54" s="491"/>
      <c r="E54" s="190"/>
      <c r="F54" s="492" t="str">
        <f>F39</f>
        <v>Current Optimal ($MM)</v>
      </c>
      <c r="G54" s="493"/>
      <c r="H54" s="494"/>
      <c r="I54" s="191"/>
      <c r="J54" s="492" t="str">
        <f>J39</f>
        <v>10% reduction optimal ($)</v>
      </c>
      <c r="K54" s="493"/>
      <c r="L54" s="494"/>
      <c r="M54" s="191"/>
      <c r="N54" s="492" t="str">
        <f>N39</f>
        <v>20% reduction optimal ()</v>
      </c>
      <c r="O54" s="493"/>
      <c r="P54" s="494"/>
      <c r="R54" s="495"/>
      <c r="S54" s="496"/>
      <c r="T54" s="497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218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219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7"/>
      <c r="J67" s="327"/>
      <c r="K67" s="327"/>
      <c r="L67" s="177" t="e">
        <f>L66/$D$64</f>
        <v>#DIV/0!</v>
      </c>
      <c r="M67" s="327"/>
      <c r="N67" s="327"/>
      <c r="O67" s="327"/>
      <c r="P67" s="177" t="e">
        <f>P66/$D$64</f>
        <v>#DIV/0!</v>
      </c>
      <c r="Q67" s="327"/>
      <c r="R67" s="327"/>
      <c r="S67" s="327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33" priority="17" operator="lessThan">
      <formula>0</formula>
    </cfRule>
    <cfRule type="cellIs" dxfId="32" priority="18" operator="greaterThan">
      <formula>0</formula>
    </cfRule>
  </conditionalFormatting>
  <conditionalFormatting sqref="K22:K30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22:O30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S22:S30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6:G63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6:K63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6:O63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56:S6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W22:W30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08" t="s">
        <v>2</v>
      </c>
      <c r="C3" s="506" t="s">
        <v>3</v>
      </c>
      <c r="D3" s="504" t="s">
        <v>234</v>
      </c>
      <c r="E3" s="505"/>
      <c r="F3" s="504" t="s">
        <v>235</v>
      </c>
      <c r="G3" s="505"/>
      <c r="H3" s="504" t="s">
        <v>236</v>
      </c>
      <c r="I3" s="505"/>
      <c r="K3" s="508" t="s">
        <v>2</v>
      </c>
      <c r="L3" s="506" t="s">
        <v>3</v>
      </c>
      <c r="M3" s="504" t="s">
        <v>234</v>
      </c>
      <c r="N3" s="505"/>
      <c r="O3" s="504" t="s">
        <v>235</v>
      </c>
      <c r="P3" s="505"/>
      <c r="Q3" s="504" t="s">
        <v>236</v>
      </c>
      <c r="R3" s="505"/>
    </row>
    <row r="4" spans="2:20" ht="25.5" x14ac:dyDescent="0.25">
      <c r="B4" s="507"/>
      <c r="C4" s="507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07"/>
      <c r="L4" s="507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VAC_Optim_Scenario!B17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VAC_Optim_Scenario!B17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VAC_Optim_Scenario!B18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VAC_Optim_Scenario!B18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VAC_Optim_Scenario!B19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VAC_Optim_Scenario!B19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VAC_Optim_Scenario!B20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VAC_Optim_Scenario!B20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VAC_Optim_Scenario!B21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VAC_Optim_Scenario!B21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VAC_Optim_Scenario!B22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VAC_Optim_Scenario!B22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VAC_Optim_Scenario!B23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VAC_Optim_Scenario!B23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VAC_Optim_Scenario!B24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VAC_Optim_Scenario!B24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VAC_Optim_Scenario!B25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VAC_Optim_Scenario!B25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2"/>
    </row>
    <row r="15" spans="2:20" x14ac:dyDescent="0.25">
      <c r="C15" s="228" t="s">
        <v>240</v>
      </c>
    </row>
    <row r="16" spans="2:20" x14ac:dyDescent="0.25">
      <c r="F16" s="337"/>
      <c r="G16" s="337"/>
    </row>
    <row r="17" spans="2:19" ht="37.9" customHeight="1" x14ac:dyDescent="0.25">
      <c r="C17" s="506" t="s">
        <v>3</v>
      </c>
      <c r="D17" s="504" t="s">
        <v>234</v>
      </c>
      <c r="E17" s="505"/>
      <c r="F17" s="504" t="s">
        <v>241</v>
      </c>
      <c r="G17" s="505"/>
      <c r="H17" s="504" t="s">
        <v>242</v>
      </c>
      <c r="I17" s="505"/>
      <c r="L17" s="506" t="s">
        <v>3</v>
      </c>
      <c r="M17" s="504" t="s">
        <v>234</v>
      </c>
      <c r="N17" s="505"/>
      <c r="O17" s="504" t="s">
        <v>241</v>
      </c>
      <c r="P17" s="505"/>
      <c r="Q17" s="504" t="s">
        <v>242</v>
      </c>
      <c r="R17" s="505"/>
    </row>
    <row r="18" spans="2:19" ht="25.5" x14ac:dyDescent="0.25">
      <c r="C18" s="507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07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VAC_Optim_Scenario!B17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VAC_Optim_Scenario!B17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VAC_Optim_Scenario!B18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VAC_Optim_Scenario!B18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VAC_Optim_Scenario!B19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VAC_Optim_Scenario!B19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VAC_Optim_Scenario!B20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VAC_Optim_Scenario!B20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VAC_Optim_Scenario!B21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VAC_Optim_Scenario!B21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VAC_Optim_Scenario!B22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VAC_Optim_Scenario!B22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VAC_Optim_Scenario!B23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VAC_Optim_Scenario!B23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VAC_Optim_Scenario!B24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VAC_Optim_Scenario!B24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VAC_Optim_Scenario!B25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VAC_Optim_Scenario!B25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3" t="s">
        <v>3</v>
      </c>
      <c r="D30" s="31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VAC_Optim_Scenario!B17</f>
        <v>HCC In Office</v>
      </c>
      <c r="D31" s="315">
        <f>M19</f>
        <v>3.081</v>
      </c>
      <c r="E31" s="315">
        <f>O5</f>
        <v>1.659</v>
      </c>
      <c r="F31" s="315">
        <f>Q5</f>
        <v>3.081</v>
      </c>
      <c r="G31" s="315">
        <f>O19</f>
        <v>1.9760291300433497</v>
      </c>
      <c r="H31" s="315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4" t="str">
        <f>VAC_Optim_Scenario!B18</f>
        <v>HCP MCM</v>
      </c>
      <c r="D32" s="316">
        <f t="shared" ref="D32:D39" si="4">M20</f>
        <v>7.9137499886468206</v>
      </c>
      <c r="E32" s="316">
        <f t="shared" ref="E32:E39" si="5">O6</f>
        <v>7.9137499886468206</v>
      </c>
      <c r="F32" s="316">
        <f t="shared" ref="F32:F39" si="6">Q6</f>
        <v>7.9137499886468206</v>
      </c>
      <c r="G32" s="316">
        <f t="shared" ref="G32:G39" si="7">O20</f>
        <v>7.9137499886468206</v>
      </c>
      <c r="H32" s="316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4" t="str">
        <f>VAC_Optim_Scenario!B19</f>
        <v>HCC Social</v>
      </c>
      <c r="D33" s="316">
        <f t="shared" si="4"/>
        <v>2.9380000000000002</v>
      </c>
      <c r="E33" s="316">
        <f t="shared" si="5"/>
        <v>1.5820000000000001</v>
      </c>
      <c r="F33" s="316">
        <f t="shared" si="6"/>
        <v>2.9380000000000002</v>
      </c>
      <c r="G33" s="316">
        <f t="shared" si="7"/>
        <v>1.5820000000000001</v>
      </c>
      <c r="H33" s="316">
        <f t="shared" si="8"/>
        <v>2.9380000000000002</v>
      </c>
      <c r="J33" s="244" t="s">
        <v>243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4" t="str">
        <f>VAC_Optim_Scenario!B20</f>
        <v>HCC Online Video</v>
      </c>
      <c r="D34" s="316">
        <f t="shared" si="4"/>
        <v>0.69299999999999995</v>
      </c>
      <c r="E34" s="316">
        <f t="shared" si="5"/>
        <v>0.69299999999999995</v>
      </c>
      <c r="F34" s="316">
        <f t="shared" si="6"/>
        <v>1.2869999999999999</v>
      </c>
      <c r="G34" s="316">
        <f t="shared" si="7"/>
        <v>0.69299999999999995</v>
      </c>
      <c r="H34" s="316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4" t="str">
        <f>VAC_Optim_Scenario!B21</f>
        <v>HCC Streaming Video</v>
      </c>
      <c r="D35" s="316">
        <f t="shared" si="4"/>
        <v>3.9416439999999997</v>
      </c>
      <c r="E35" s="316">
        <f t="shared" si="5"/>
        <v>3.9416439999999997</v>
      </c>
      <c r="F35" s="316">
        <f t="shared" si="6"/>
        <v>7.3201960000000001</v>
      </c>
      <c r="G35" s="316">
        <f t="shared" si="7"/>
        <v>3.9416439999999997</v>
      </c>
      <c r="H35" s="316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4" t="str">
        <f>VAC_Optim_Scenario!B22</f>
        <v>HCC Display</v>
      </c>
      <c r="D36" s="316">
        <f t="shared" si="4"/>
        <v>1.9214</v>
      </c>
      <c r="E36" s="316">
        <f t="shared" si="5"/>
        <v>1.9214</v>
      </c>
      <c r="F36" s="316">
        <f t="shared" si="6"/>
        <v>1.9214</v>
      </c>
      <c r="G36" s="316">
        <f t="shared" si="7"/>
        <v>1.9214</v>
      </c>
      <c r="H36" s="316">
        <f t="shared" si="8"/>
        <v>1.9214</v>
      </c>
    </row>
    <row r="37" spans="2:22" x14ac:dyDescent="0.25">
      <c r="B37" s="54" t="s">
        <v>154</v>
      </c>
      <c r="C37" s="294" t="str">
        <f>VAC_Optim_Scenario!B23</f>
        <v>HCC Paid Search</v>
      </c>
      <c r="D37" s="316">
        <f t="shared" si="4"/>
        <v>1.232</v>
      </c>
      <c r="E37" s="316">
        <f t="shared" si="5"/>
        <v>1.232</v>
      </c>
      <c r="F37" s="316">
        <f t="shared" si="6"/>
        <v>1.232</v>
      </c>
      <c r="G37" s="316">
        <f t="shared" si="7"/>
        <v>1.232</v>
      </c>
      <c r="H37" s="316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VAC_Optim_Scenario!B24</f>
        <v>HCC Audio</v>
      </c>
      <c r="D38" s="316">
        <f t="shared" si="4"/>
        <v>1.5996707428443773</v>
      </c>
      <c r="E38" s="316">
        <f t="shared" si="5"/>
        <v>0.91370790000000002</v>
      </c>
      <c r="F38" s="316">
        <f t="shared" si="6"/>
        <v>1.6968861000000002</v>
      </c>
      <c r="G38" s="316">
        <f t="shared" si="7"/>
        <v>0.91370789999999991</v>
      </c>
      <c r="H38" s="316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VAC_Optim_Scenario!B25</f>
        <v>HCC TV</v>
      </c>
      <c r="D39" s="316">
        <f t="shared" si="4"/>
        <v>15.034300118508808</v>
      </c>
      <c r="E39" s="316">
        <f t="shared" si="5"/>
        <v>11.531133494999999</v>
      </c>
      <c r="F39" s="316">
        <f t="shared" si="6"/>
        <v>18.498262961353184</v>
      </c>
      <c r="G39" s="316">
        <f t="shared" si="7"/>
        <v>11.531133494999999</v>
      </c>
      <c r="H39" s="316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08" t="s">
        <v>2</v>
      </c>
      <c r="C3" s="506" t="s">
        <v>3</v>
      </c>
      <c r="D3" s="504" t="s">
        <v>234</v>
      </c>
      <c r="E3" s="505"/>
      <c r="F3" s="504" t="s">
        <v>235</v>
      </c>
      <c r="G3" s="505"/>
      <c r="H3" s="504" t="s">
        <v>236</v>
      </c>
      <c r="I3" s="505"/>
      <c r="K3" s="508" t="s">
        <v>2</v>
      </c>
      <c r="L3" s="506" t="s">
        <v>3</v>
      </c>
      <c r="M3" s="504" t="s">
        <v>234</v>
      </c>
      <c r="N3" s="505"/>
      <c r="O3" s="504" t="s">
        <v>235</v>
      </c>
      <c r="P3" s="505"/>
      <c r="Q3" s="504" t="s">
        <v>236</v>
      </c>
      <c r="R3" s="505"/>
    </row>
    <row r="4" spans="2:20" ht="25.5" x14ac:dyDescent="0.25">
      <c r="B4" s="507"/>
      <c r="C4" s="507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07"/>
      <c r="L4" s="507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VAC_Optim_Scenario!B17</f>
        <v>HCC In Office</v>
      </c>
      <c r="D5" s="232">
        <f>VAC_Optim_Scenario!$H47</f>
        <v>2140259.0675274357</v>
      </c>
      <c r="E5" s="233">
        <f>VAC_Optim_Scenario!$J47</f>
        <v>8771695.6424614228</v>
      </c>
      <c r="F5" s="232">
        <f>VAC_Optim_Scenario!$H47</f>
        <v>2140259.0675274357</v>
      </c>
      <c r="G5" s="233">
        <f>VAC_Optim_Scenario!$J47</f>
        <v>8771695.6424614228</v>
      </c>
      <c r="H5" s="232">
        <f>VAC_Optim_Scenario!$H47</f>
        <v>2140259.0675274357</v>
      </c>
      <c r="I5" s="233">
        <f>VAC_Optim_Scenario!$J47</f>
        <v>8771695.6424614228</v>
      </c>
      <c r="J5" s="234"/>
      <c r="K5" s="53" t="s">
        <v>154</v>
      </c>
      <c r="L5" s="53" t="str">
        <f>VAC_Optim_Scenario!B17</f>
        <v>HCC In Office</v>
      </c>
      <c r="M5" s="235">
        <f>D5/1000000</f>
        <v>2.1402590675274356</v>
      </c>
      <c r="N5" s="236">
        <f t="shared" ref="N5:R13" si="0">E5/1000000</f>
        <v>8.7716956424614221</v>
      </c>
      <c r="O5" s="235">
        <f t="shared" si="0"/>
        <v>2.1402590675274356</v>
      </c>
      <c r="P5" s="236">
        <f t="shared" si="0"/>
        <v>8.7716956424614221</v>
      </c>
      <c r="Q5" s="235">
        <f t="shared" si="0"/>
        <v>2.1402590675274356</v>
      </c>
      <c r="R5" s="236">
        <f t="shared" si="0"/>
        <v>8.7716956424614221</v>
      </c>
    </row>
    <row r="6" spans="2:20" x14ac:dyDescent="0.25">
      <c r="B6" s="54" t="s">
        <v>154</v>
      </c>
      <c r="C6" s="237" t="str">
        <f>VAC_Optim_Scenario!B18</f>
        <v>HCP MCM</v>
      </c>
      <c r="D6" s="238">
        <f>VAC_Optim_Scenario!$H48</f>
        <v>10730745.780000001</v>
      </c>
      <c r="E6" s="239">
        <f>VAC_Optim_Scenario!$J48</f>
        <v>94570093.698554069</v>
      </c>
      <c r="F6" s="238">
        <f>VAC_Optim_Scenario!$H48</f>
        <v>10730745.780000001</v>
      </c>
      <c r="G6" s="239">
        <f>VAC_Optim_Scenario!$J48</f>
        <v>94570093.698554069</v>
      </c>
      <c r="H6" s="238">
        <f>VAC_Optim_Scenario!$H48</f>
        <v>10730745.780000001</v>
      </c>
      <c r="I6" s="239">
        <f>VAC_Optim_Scenario!$J48</f>
        <v>94570093.698554069</v>
      </c>
      <c r="J6" s="234"/>
      <c r="K6" s="54" t="s">
        <v>154</v>
      </c>
      <c r="L6" s="54" t="str">
        <f>VAC_Optim_Scenario!B18</f>
        <v>HCP MCM</v>
      </c>
      <c r="M6" s="240">
        <f t="shared" ref="M6:M13" si="1">D6/1000000</f>
        <v>10.730745780000001</v>
      </c>
      <c r="N6" s="241">
        <f t="shared" si="0"/>
        <v>94.570093698554075</v>
      </c>
      <c r="O6" s="240">
        <f t="shared" si="0"/>
        <v>10.730745780000001</v>
      </c>
      <c r="P6" s="241">
        <f t="shared" si="0"/>
        <v>94.570093698554075</v>
      </c>
      <c r="Q6" s="240">
        <f t="shared" si="0"/>
        <v>10.730745780000001</v>
      </c>
      <c r="R6" s="241">
        <f t="shared" si="0"/>
        <v>94.570093698554075</v>
      </c>
    </row>
    <row r="7" spans="2:20" x14ac:dyDescent="0.25">
      <c r="B7" s="54" t="s">
        <v>154</v>
      </c>
      <c r="C7" s="237" t="str">
        <f>VAC_Optim_Scenario!B19</f>
        <v>HCC Social</v>
      </c>
      <c r="D7" s="238">
        <f>VAC_Optim_Scenario!$H49</f>
        <v>3746000.0000000005</v>
      </c>
      <c r="E7" s="239">
        <f>VAC_Optim_Scenario!$J49</f>
        <v>24398008.748514384</v>
      </c>
      <c r="F7" s="238">
        <f>VAC_Optim_Scenario!$H49</f>
        <v>3746000.0000000005</v>
      </c>
      <c r="G7" s="239">
        <f>VAC_Optim_Scenario!$J49</f>
        <v>24398008.748514384</v>
      </c>
      <c r="H7" s="238">
        <f>VAC_Optim_Scenario!$H49</f>
        <v>3746000.0000000005</v>
      </c>
      <c r="I7" s="239">
        <f>VAC_Optim_Scenario!$J49</f>
        <v>24398008.748514384</v>
      </c>
      <c r="J7" s="242"/>
      <c r="K7" s="54" t="s">
        <v>154</v>
      </c>
      <c r="L7" s="54" t="str">
        <f>VAC_Optim_Scenario!B19</f>
        <v>HCC Social</v>
      </c>
      <c r="M7" s="240">
        <f t="shared" si="1"/>
        <v>3.7460000000000004</v>
      </c>
      <c r="N7" s="241">
        <f t="shared" si="0"/>
        <v>24.398008748514386</v>
      </c>
      <c r="O7" s="240">
        <f t="shared" si="0"/>
        <v>3.7460000000000004</v>
      </c>
      <c r="P7" s="241">
        <f t="shared" si="0"/>
        <v>24.398008748514386</v>
      </c>
      <c r="Q7" s="240">
        <f t="shared" si="0"/>
        <v>3.7460000000000004</v>
      </c>
      <c r="R7" s="241">
        <f t="shared" si="0"/>
        <v>24.398008748514386</v>
      </c>
    </row>
    <row r="8" spans="2:20" x14ac:dyDescent="0.25">
      <c r="B8" s="54" t="s">
        <v>154</v>
      </c>
      <c r="C8" s="237" t="str">
        <f>VAC_Optim_Scenario!B20</f>
        <v>HCC Online Video</v>
      </c>
      <c r="D8" s="238">
        <f>VAC_Optim_Scenario!$H50</f>
        <v>346153.88</v>
      </c>
      <c r="E8" s="239">
        <f>VAC_Optim_Scenario!$J50</f>
        <v>2565344.7897080756</v>
      </c>
      <c r="F8" s="238">
        <f>VAC_Optim_Scenario!$H50</f>
        <v>346153.88</v>
      </c>
      <c r="G8" s="239">
        <f>VAC_Optim_Scenario!$J50</f>
        <v>2565344.7897080756</v>
      </c>
      <c r="H8" s="238">
        <f>VAC_Optim_Scenario!$H50</f>
        <v>346153.88</v>
      </c>
      <c r="I8" s="239">
        <f>VAC_Optim_Scenario!$J50</f>
        <v>2565344.7897080756</v>
      </c>
      <c r="J8" s="234"/>
      <c r="K8" s="54" t="s">
        <v>154</v>
      </c>
      <c r="L8" s="54" t="str">
        <f>VAC_Optim_Scenario!B20</f>
        <v>HCC Online Video</v>
      </c>
      <c r="M8" s="240">
        <f t="shared" si="1"/>
        <v>0.34615388000000002</v>
      </c>
      <c r="N8" s="241">
        <f t="shared" si="0"/>
        <v>2.5653447897080754</v>
      </c>
      <c r="O8" s="240">
        <f t="shared" si="0"/>
        <v>0.34615388000000002</v>
      </c>
      <c r="P8" s="241">
        <f t="shared" si="0"/>
        <v>2.5653447897080754</v>
      </c>
      <c r="Q8" s="240">
        <f t="shared" si="0"/>
        <v>0.34615388000000002</v>
      </c>
      <c r="R8" s="241">
        <f t="shared" si="0"/>
        <v>2.5653447897080754</v>
      </c>
    </row>
    <row r="9" spans="2:20" x14ac:dyDescent="0.25">
      <c r="B9" s="54" t="s">
        <v>154</v>
      </c>
      <c r="C9" s="237" t="str">
        <f>VAC_Optim_Scenario!B21</f>
        <v>HCC Streaming Video</v>
      </c>
      <c r="D9" s="238">
        <f>VAC_Optim_Scenario!$H51</f>
        <v>12360250</v>
      </c>
      <c r="E9" s="239">
        <f>VAC_Optim_Scenario!$J51</f>
        <v>53095070.711939476</v>
      </c>
      <c r="F9" s="238">
        <f>VAC_Optim_Scenario!$H51</f>
        <v>12360250</v>
      </c>
      <c r="G9" s="239">
        <f>VAC_Optim_Scenario!$J51</f>
        <v>53095070.711939476</v>
      </c>
      <c r="H9" s="238">
        <f>VAC_Optim_Scenario!$H51</f>
        <v>12360250</v>
      </c>
      <c r="I9" s="239">
        <f>VAC_Optim_Scenario!$J51</f>
        <v>53095070.711939476</v>
      </c>
      <c r="J9" s="242"/>
      <c r="K9" s="54" t="s">
        <v>154</v>
      </c>
      <c r="L9" s="54" t="str">
        <f>VAC_Optim_Scenario!B21</f>
        <v>HCC Streaming Video</v>
      </c>
      <c r="M9" s="240">
        <f t="shared" si="1"/>
        <v>12.360250000000001</v>
      </c>
      <c r="N9" s="241">
        <f t="shared" si="0"/>
        <v>53.095070711939478</v>
      </c>
      <c r="O9" s="240">
        <f t="shared" si="0"/>
        <v>12.360250000000001</v>
      </c>
      <c r="P9" s="241">
        <f t="shared" si="0"/>
        <v>53.095070711939478</v>
      </c>
      <c r="Q9" s="240">
        <f t="shared" si="0"/>
        <v>12.360250000000001</v>
      </c>
      <c r="R9" s="241">
        <f t="shared" si="0"/>
        <v>53.095070711939478</v>
      </c>
    </row>
    <row r="10" spans="2:20" x14ac:dyDescent="0.25">
      <c r="B10" s="54" t="s">
        <v>154</v>
      </c>
      <c r="C10" s="237" t="str">
        <f>VAC_Optim_Scenario!B22</f>
        <v>HCC Display</v>
      </c>
      <c r="D10" s="238">
        <f>VAC_Optim_Scenario!$H52</f>
        <v>3296714.7399999998</v>
      </c>
      <c r="E10" s="239">
        <f>VAC_Optim_Scenario!$J52</f>
        <v>37741168.477636799</v>
      </c>
      <c r="F10" s="238">
        <f>VAC_Optim_Scenario!$H52</f>
        <v>3296714.7399999998</v>
      </c>
      <c r="G10" s="239">
        <f>VAC_Optim_Scenario!$J52</f>
        <v>37741168.477636799</v>
      </c>
      <c r="H10" s="238">
        <f>VAC_Optim_Scenario!$H52</f>
        <v>3296714.7399999998</v>
      </c>
      <c r="I10" s="239">
        <f>VAC_Optim_Scenario!$J52</f>
        <v>37741168.477636799</v>
      </c>
      <c r="J10" s="242"/>
      <c r="K10" s="54" t="s">
        <v>154</v>
      </c>
      <c r="L10" s="54" t="str">
        <f>VAC_Optim_Scenario!B22</f>
        <v>HCC Display</v>
      </c>
      <c r="M10" s="240">
        <f t="shared" si="1"/>
        <v>3.2967147399999996</v>
      </c>
      <c r="N10" s="241">
        <f t="shared" si="0"/>
        <v>37.741168477636798</v>
      </c>
      <c r="O10" s="240">
        <f t="shared" si="0"/>
        <v>3.2967147399999996</v>
      </c>
      <c r="P10" s="241">
        <f t="shared" si="0"/>
        <v>37.741168477636798</v>
      </c>
      <c r="Q10" s="240">
        <f t="shared" si="0"/>
        <v>3.2967147399999996</v>
      </c>
      <c r="R10" s="241">
        <f t="shared" si="0"/>
        <v>37.741168477636798</v>
      </c>
    </row>
    <row r="11" spans="2:20" x14ac:dyDescent="0.25">
      <c r="B11" s="54" t="s">
        <v>154</v>
      </c>
      <c r="C11" s="237" t="str">
        <f>VAC_Optim_Scenario!B23</f>
        <v>HCC Paid Search</v>
      </c>
      <c r="D11" s="238">
        <f>VAC_Optim_Scenario!$H53</f>
        <v>689414</v>
      </c>
      <c r="E11" s="239">
        <f>VAC_Optim_Scenario!$J53</f>
        <v>47970038.190346614</v>
      </c>
      <c r="F11" s="238">
        <f>VAC_Optim_Scenario!$H53</f>
        <v>689414</v>
      </c>
      <c r="G11" s="239">
        <f>VAC_Optim_Scenario!$J53</f>
        <v>47970038.190346614</v>
      </c>
      <c r="H11" s="238">
        <f>VAC_Optim_Scenario!$H53</f>
        <v>689414</v>
      </c>
      <c r="I11" s="239">
        <f>VAC_Optim_Scenario!$J53</f>
        <v>47970038.190346614</v>
      </c>
      <c r="J11" s="234"/>
      <c r="K11" s="54" t="s">
        <v>154</v>
      </c>
      <c r="L11" s="54" t="str">
        <f>VAC_Optim_Scenario!B23</f>
        <v>HCC Paid Search</v>
      </c>
      <c r="M11" s="240">
        <f t="shared" si="1"/>
        <v>0.68941399999999997</v>
      </c>
      <c r="N11" s="241">
        <f t="shared" si="0"/>
        <v>47.970038190346614</v>
      </c>
      <c r="O11" s="240">
        <f t="shared" si="0"/>
        <v>0.68941399999999997</v>
      </c>
      <c r="P11" s="241">
        <f t="shared" si="0"/>
        <v>47.970038190346614</v>
      </c>
      <c r="Q11" s="240">
        <f t="shared" si="0"/>
        <v>0.68941399999999997</v>
      </c>
      <c r="R11" s="241">
        <f t="shared" si="0"/>
        <v>47.970038190346614</v>
      </c>
    </row>
    <row r="12" spans="2:20" x14ac:dyDescent="0.25">
      <c r="B12" s="54" t="s">
        <v>154</v>
      </c>
      <c r="C12" s="237" t="str">
        <f>VAC_Optim_Scenario!B24</f>
        <v>HCC Audio</v>
      </c>
      <c r="D12" s="238">
        <f>VAC_Optim_Scenario!$H54</f>
        <v>2874096.82</v>
      </c>
      <c r="E12" s="239">
        <f>VAC_Optim_Scenario!$J54</f>
        <v>24167162.038099419</v>
      </c>
      <c r="F12" s="238">
        <f>VAC_Optim_Scenario!$H54</f>
        <v>2874096.82</v>
      </c>
      <c r="G12" s="239">
        <f>VAC_Optim_Scenario!$J54</f>
        <v>24167162.038099419</v>
      </c>
      <c r="H12" s="238">
        <f>VAC_Optim_Scenario!$H54</f>
        <v>2874096.82</v>
      </c>
      <c r="I12" s="239">
        <f>VAC_Optim_Scenario!$J54</f>
        <v>24167162.038099419</v>
      </c>
      <c r="J12" s="234"/>
      <c r="K12" s="54" t="s">
        <v>154</v>
      </c>
      <c r="L12" s="54" t="str">
        <f>VAC_Optim_Scenario!B24</f>
        <v>HCC Audio</v>
      </c>
      <c r="M12" s="240">
        <f t="shared" si="1"/>
        <v>2.8740968199999997</v>
      </c>
      <c r="N12" s="241">
        <f t="shared" si="0"/>
        <v>24.16716203809942</v>
      </c>
      <c r="O12" s="240">
        <f t="shared" si="0"/>
        <v>2.8740968199999997</v>
      </c>
      <c r="P12" s="241">
        <f t="shared" si="0"/>
        <v>24.16716203809942</v>
      </c>
      <c r="Q12" s="240">
        <f t="shared" si="0"/>
        <v>2.8740968199999997</v>
      </c>
      <c r="R12" s="241">
        <f t="shared" si="0"/>
        <v>24.16716203809942</v>
      </c>
    </row>
    <row r="13" spans="2:20" x14ac:dyDescent="0.25">
      <c r="B13" s="251" t="s">
        <v>154</v>
      </c>
      <c r="C13" s="223" t="str">
        <f>VAC_Optim_Scenario!B25</f>
        <v>HCC TV</v>
      </c>
      <c r="D13" s="252">
        <f>VAC_Optim_Scenario!$H55</f>
        <v>21861203.521423146</v>
      </c>
      <c r="E13" s="252">
        <f>VAC_Optim_Scenario!$J55</f>
        <v>80306178.590925008</v>
      </c>
      <c r="F13" s="252">
        <f>VAC_Optim_Scenario!$H55</f>
        <v>21861203.521423146</v>
      </c>
      <c r="G13" s="252">
        <f>VAC_Optim_Scenario!$J55</f>
        <v>80306178.590925008</v>
      </c>
      <c r="H13" s="252">
        <f>VAC_Optim_Scenario!$H55</f>
        <v>21861203.521423146</v>
      </c>
      <c r="I13" s="252">
        <f>VAC_Optim_Scenario!$J55</f>
        <v>80306178.590925008</v>
      </c>
      <c r="J13" s="234"/>
      <c r="K13" s="251" t="s">
        <v>154</v>
      </c>
      <c r="L13" s="251" t="str">
        <f>VAC_Optim_Scenario!B25</f>
        <v>HCC TV</v>
      </c>
      <c r="M13" s="245">
        <f t="shared" si="1"/>
        <v>21.861203521423146</v>
      </c>
      <c r="N13" s="245">
        <f t="shared" si="0"/>
        <v>80.306178590925015</v>
      </c>
      <c r="O13" s="245">
        <f t="shared" si="0"/>
        <v>21.861203521423146</v>
      </c>
      <c r="P13" s="245">
        <f t="shared" si="0"/>
        <v>80.306178590925015</v>
      </c>
      <c r="Q13" s="245">
        <f t="shared" si="0"/>
        <v>21.861203521423146</v>
      </c>
      <c r="R13" s="245">
        <f t="shared" si="0"/>
        <v>80.306178590925015</v>
      </c>
    </row>
    <row r="14" spans="2:20" x14ac:dyDescent="0.25">
      <c r="T14" s="292"/>
    </row>
    <row r="15" spans="2:20" x14ac:dyDescent="0.25">
      <c r="C15" s="228" t="s">
        <v>240</v>
      </c>
    </row>
    <row r="17" spans="2:19" ht="37.9" customHeight="1" x14ac:dyDescent="0.25">
      <c r="C17" s="506" t="s">
        <v>3</v>
      </c>
      <c r="D17" s="504" t="s">
        <v>234</v>
      </c>
      <c r="E17" s="505"/>
      <c r="F17" s="504" t="s">
        <v>241</v>
      </c>
      <c r="G17" s="505"/>
      <c r="H17" s="504" t="s">
        <v>242</v>
      </c>
      <c r="I17" s="505"/>
      <c r="L17" s="506" t="s">
        <v>3</v>
      </c>
      <c r="M17" s="504" t="s">
        <v>234</v>
      </c>
      <c r="N17" s="505"/>
      <c r="O17" s="504" t="s">
        <v>241</v>
      </c>
      <c r="P17" s="505"/>
      <c r="Q17" s="504" t="s">
        <v>242</v>
      </c>
      <c r="R17" s="505"/>
    </row>
    <row r="18" spans="2:19" ht="25.5" x14ac:dyDescent="0.25">
      <c r="C18" s="507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07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VAC_Optim_Scenario!B17</f>
        <v>HCC In Office</v>
      </c>
      <c r="D19" s="232">
        <f>VAC_Optim_Scenario!$H47</f>
        <v>2140259.0675274357</v>
      </c>
      <c r="E19" s="233">
        <f>VAC_Optim_Scenario!$J47</f>
        <v>8771695.6424614228</v>
      </c>
      <c r="F19" s="232">
        <f>VAC_Optim_Scenario!$H47</f>
        <v>2140259.0675274357</v>
      </c>
      <c r="G19" s="233">
        <f>VAC_Optim_Scenario!$J47</f>
        <v>8771695.6424614228</v>
      </c>
      <c r="H19" s="232">
        <f>VAC_Optim_Scenario!$H47</f>
        <v>2140259.0675274357</v>
      </c>
      <c r="I19" s="233">
        <f>VAC_Optim_Scenario!$J47</f>
        <v>8771695.6424614228</v>
      </c>
      <c r="J19" s="234"/>
      <c r="K19" s="53" t="s">
        <v>154</v>
      </c>
      <c r="L19" s="231" t="str">
        <f>VAC_Optim_Scenario!B17</f>
        <v>HCC In Office</v>
      </c>
      <c r="M19" s="235">
        <f>D19/1000000</f>
        <v>2.1402590675274356</v>
      </c>
      <c r="N19" s="236">
        <f t="shared" ref="N19:R27" si="2">E19/1000000</f>
        <v>8.7716956424614221</v>
      </c>
      <c r="O19" s="235">
        <f t="shared" si="2"/>
        <v>2.1402590675274356</v>
      </c>
      <c r="P19" s="236">
        <f t="shared" si="2"/>
        <v>8.7716956424614221</v>
      </c>
      <c r="Q19" s="235">
        <f t="shared" si="2"/>
        <v>2.1402590675274356</v>
      </c>
      <c r="R19" s="236">
        <f t="shared" si="2"/>
        <v>8.7716956424614221</v>
      </c>
    </row>
    <row r="20" spans="2:19" x14ac:dyDescent="0.25">
      <c r="B20" s="54" t="s">
        <v>154</v>
      </c>
      <c r="C20" s="237" t="str">
        <f>VAC_Optim_Scenario!B18</f>
        <v>HCP MCM</v>
      </c>
      <c r="D20" s="238">
        <f>VAC_Optim_Scenario!$H48</f>
        <v>10730745.780000001</v>
      </c>
      <c r="E20" s="239">
        <f>VAC_Optim_Scenario!$J48</f>
        <v>94570093.698554069</v>
      </c>
      <c r="F20" s="238">
        <f>VAC_Optim_Scenario!$H48</f>
        <v>10730745.780000001</v>
      </c>
      <c r="G20" s="239">
        <f>VAC_Optim_Scenario!$J48</f>
        <v>94570093.698554069</v>
      </c>
      <c r="H20" s="238">
        <f>VAC_Optim_Scenario!$H48</f>
        <v>10730745.780000001</v>
      </c>
      <c r="I20" s="239">
        <f>VAC_Optim_Scenario!$J48</f>
        <v>94570093.698554069</v>
      </c>
      <c r="J20" s="234"/>
      <c r="K20" s="54" t="s">
        <v>154</v>
      </c>
      <c r="L20" s="237" t="str">
        <f>VAC_Optim_Scenario!B18</f>
        <v>HCP MCM</v>
      </c>
      <c r="M20" s="240">
        <f t="shared" ref="M20:M27" si="3">D20/1000000</f>
        <v>10.730745780000001</v>
      </c>
      <c r="N20" s="241">
        <f t="shared" si="2"/>
        <v>94.570093698554075</v>
      </c>
      <c r="O20" s="240">
        <f t="shared" si="2"/>
        <v>10.730745780000001</v>
      </c>
      <c r="P20" s="241">
        <f t="shared" si="2"/>
        <v>94.570093698554075</v>
      </c>
      <c r="Q20" s="240">
        <f t="shared" si="2"/>
        <v>10.730745780000001</v>
      </c>
      <c r="R20" s="241">
        <f t="shared" si="2"/>
        <v>94.570093698554075</v>
      </c>
    </row>
    <row r="21" spans="2:19" x14ac:dyDescent="0.25">
      <c r="B21" s="54" t="s">
        <v>154</v>
      </c>
      <c r="C21" s="237" t="str">
        <f>VAC_Optim_Scenario!B19</f>
        <v>HCC Social</v>
      </c>
      <c r="D21" s="238">
        <f>VAC_Optim_Scenario!$H49</f>
        <v>3746000.0000000005</v>
      </c>
      <c r="E21" s="239">
        <f>VAC_Optim_Scenario!$J49</f>
        <v>24398008.748514384</v>
      </c>
      <c r="F21" s="238">
        <f>VAC_Optim_Scenario!$H49</f>
        <v>3746000.0000000005</v>
      </c>
      <c r="G21" s="239">
        <f>VAC_Optim_Scenario!$J49</f>
        <v>24398008.748514384</v>
      </c>
      <c r="H21" s="238">
        <f>VAC_Optim_Scenario!$H49</f>
        <v>3746000.0000000005</v>
      </c>
      <c r="I21" s="239">
        <f>VAC_Optim_Scenario!$J49</f>
        <v>24398008.748514384</v>
      </c>
      <c r="J21" s="242"/>
      <c r="K21" s="54" t="s">
        <v>154</v>
      </c>
      <c r="L21" s="237" t="str">
        <f>VAC_Optim_Scenario!B19</f>
        <v>HCC Social</v>
      </c>
      <c r="M21" s="240">
        <f t="shared" si="3"/>
        <v>3.7460000000000004</v>
      </c>
      <c r="N21" s="241">
        <f t="shared" si="2"/>
        <v>24.398008748514386</v>
      </c>
      <c r="O21" s="240">
        <f t="shared" si="2"/>
        <v>3.7460000000000004</v>
      </c>
      <c r="P21" s="241">
        <f t="shared" si="2"/>
        <v>24.398008748514386</v>
      </c>
      <c r="Q21" s="240">
        <f t="shared" si="2"/>
        <v>3.7460000000000004</v>
      </c>
      <c r="R21" s="241">
        <f t="shared" si="2"/>
        <v>24.398008748514386</v>
      </c>
    </row>
    <row r="22" spans="2:19" x14ac:dyDescent="0.25">
      <c r="B22" s="54" t="s">
        <v>154</v>
      </c>
      <c r="C22" s="237" t="str">
        <f>VAC_Optim_Scenario!B20</f>
        <v>HCC Online Video</v>
      </c>
      <c r="D22" s="238">
        <f>VAC_Optim_Scenario!$H50</f>
        <v>346153.88</v>
      </c>
      <c r="E22" s="239">
        <f>VAC_Optim_Scenario!$J50</f>
        <v>2565344.7897080756</v>
      </c>
      <c r="F22" s="238">
        <f>VAC_Optim_Scenario!$H50</f>
        <v>346153.88</v>
      </c>
      <c r="G22" s="239">
        <f>VAC_Optim_Scenario!$J50</f>
        <v>2565344.7897080756</v>
      </c>
      <c r="H22" s="238">
        <f>VAC_Optim_Scenario!$H50</f>
        <v>346153.88</v>
      </c>
      <c r="I22" s="239">
        <f>VAC_Optim_Scenario!$J50</f>
        <v>2565344.7897080756</v>
      </c>
      <c r="J22" s="234"/>
      <c r="K22" s="54" t="s">
        <v>154</v>
      </c>
      <c r="L22" s="237" t="str">
        <f>VAC_Optim_Scenario!B20</f>
        <v>HCC Online Video</v>
      </c>
      <c r="M22" s="240">
        <f t="shared" si="3"/>
        <v>0.34615388000000002</v>
      </c>
      <c r="N22" s="241">
        <f t="shared" si="2"/>
        <v>2.5653447897080754</v>
      </c>
      <c r="O22" s="240">
        <f t="shared" si="2"/>
        <v>0.34615388000000002</v>
      </c>
      <c r="P22" s="241">
        <f t="shared" si="2"/>
        <v>2.5653447897080754</v>
      </c>
      <c r="Q22" s="240">
        <f t="shared" si="2"/>
        <v>0.34615388000000002</v>
      </c>
      <c r="R22" s="241">
        <f t="shared" si="2"/>
        <v>2.5653447897080754</v>
      </c>
    </row>
    <row r="23" spans="2:19" x14ac:dyDescent="0.25">
      <c r="B23" s="54" t="s">
        <v>154</v>
      </c>
      <c r="C23" s="237" t="str">
        <f>VAC_Optim_Scenario!B21</f>
        <v>HCC Streaming Video</v>
      </c>
      <c r="D23" s="238">
        <f>VAC_Optim_Scenario!$H51</f>
        <v>12360250</v>
      </c>
      <c r="E23" s="239">
        <f>VAC_Optim_Scenario!$J51</f>
        <v>53095070.711939476</v>
      </c>
      <c r="F23" s="238">
        <f>VAC_Optim_Scenario!$H51</f>
        <v>12360250</v>
      </c>
      <c r="G23" s="239">
        <f>VAC_Optim_Scenario!$J51</f>
        <v>53095070.711939476</v>
      </c>
      <c r="H23" s="238">
        <f>VAC_Optim_Scenario!$H51</f>
        <v>12360250</v>
      </c>
      <c r="I23" s="239">
        <f>VAC_Optim_Scenario!$J51</f>
        <v>53095070.711939476</v>
      </c>
      <c r="J23" s="242"/>
      <c r="K23" s="54" t="s">
        <v>154</v>
      </c>
      <c r="L23" s="237" t="str">
        <f>VAC_Optim_Scenario!B21</f>
        <v>HCC Streaming Video</v>
      </c>
      <c r="M23" s="240">
        <f t="shared" si="3"/>
        <v>12.360250000000001</v>
      </c>
      <c r="N23" s="241">
        <f t="shared" si="2"/>
        <v>53.095070711939478</v>
      </c>
      <c r="O23" s="240">
        <f t="shared" si="2"/>
        <v>12.360250000000001</v>
      </c>
      <c r="P23" s="241">
        <f t="shared" si="2"/>
        <v>53.095070711939478</v>
      </c>
      <c r="Q23" s="240">
        <f t="shared" si="2"/>
        <v>12.360250000000001</v>
      </c>
      <c r="R23" s="241">
        <f t="shared" si="2"/>
        <v>53.095070711939478</v>
      </c>
    </row>
    <row r="24" spans="2:19" x14ac:dyDescent="0.25">
      <c r="B24" s="54" t="s">
        <v>154</v>
      </c>
      <c r="C24" s="237" t="str">
        <f>VAC_Optim_Scenario!B22</f>
        <v>HCC Display</v>
      </c>
      <c r="D24" s="238">
        <f>VAC_Optim_Scenario!$H52</f>
        <v>3296714.7399999998</v>
      </c>
      <c r="E24" s="239">
        <f>VAC_Optim_Scenario!$J52</f>
        <v>37741168.477636799</v>
      </c>
      <c r="F24" s="238">
        <f>VAC_Optim_Scenario!$H52</f>
        <v>3296714.7399999998</v>
      </c>
      <c r="G24" s="239">
        <f>VAC_Optim_Scenario!$J52</f>
        <v>37741168.477636799</v>
      </c>
      <c r="H24" s="238">
        <f>VAC_Optim_Scenario!$H52</f>
        <v>3296714.7399999998</v>
      </c>
      <c r="I24" s="239">
        <f>VAC_Optim_Scenario!$J52</f>
        <v>37741168.477636799</v>
      </c>
      <c r="J24" s="242"/>
      <c r="K24" s="54" t="s">
        <v>154</v>
      </c>
      <c r="L24" s="237" t="str">
        <f>VAC_Optim_Scenario!B22</f>
        <v>HCC Display</v>
      </c>
      <c r="M24" s="240">
        <f t="shared" si="3"/>
        <v>3.2967147399999996</v>
      </c>
      <c r="N24" s="241">
        <f t="shared" si="2"/>
        <v>37.741168477636798</v>
      </c>
      <c r="O24" s="240">
        <f t="shared" si="2"/>
        <v>3.2967147399999996</v>
      </c>
      <c r="P24" s="241">
        <f t="shared" si="2"/>
        <v>37.741168477636798</v>
      </c>
      <c r="Q24" s="240">
        <f t="shared" si="2"/>
        <v>3.2967147399999996</v>
      </c>
      <c r="R24" s="241">
        <f t="shared" si="2"/>
        <v>37.741168477636798</v>
      </c>
    </row>
    <row r="25" spans="2:19" x14ac:dyDescent="0.25">
      <c r="B25" s="54" t="s">
        <v>154</v>
      </c>
      <c r="C25" s="237" t="str">
        <f>VAC_Optim_Scenario!B23</f>
        <v>HCC Paid Search</v>
      </c>
      <c r="D25" s="238">
        <f>VAC_Optim_Scenario!$H53</f>
        <v>689414</v>
      </c>
      <c r="E25" s="239">
        <f>VAC_Optim_Scenario!$J53</f>
        <v>47970038.190346614</v>
      </c>
      <c r="F25" s="238">
        <f>VAC_Optim_Scenario!$H53</f>
        <v>689414</v>
      </c>
      <c r="G25" s="239">
        <f>VAC_Optim_Scenario!$J53</f>
        <v>47970038.190346614</v>
      </c>
      <c r="H25" s="238">
        <f>VAC_Optim_Scenario!$H53</f>
        <v>689414</v>
      </c>
      <c r="I25" s="239">
        <f>VAC_Optim_Scenario!$J53</f>
        <v>47970038.190346614</v>
      </c>
      <c r="J25" s="242"/>
      <c r="K25" s="54" t="s">
        <v>154</v>
      </c>
      <c r="L25" s="237" t="str">
        <f>VAC_Optim_Scenario!B23</f>
        <v>HCC Paid Search</v>
      </c>
      <c r="M25" s="240">
        <f t="shared" si="3"/>
        <v>0.68941399999999997</v>
      </c>
      <c r="N25" s="241">
        <f t="shared" si="2"/>
        <v>47.970038190346614</v>
      </c>
      <c r="O25" s="240">
        <f t="shared" si="2"/>
        <v>0.68941399999999997</v>
      </c>
      <c r="P25" s="241">
        <f t="shared" si="2"/>
        <v>47.970038190346614</v>
      </c>
      <c r="Q25" s="240">
        <f t="shared" si="2"/>
        <v>0.68941399999999997</v>
      </c>
      <c r="R25" s="241">
        <f t="shared" si="2"/>
        <v>47.970038190346614</v>
      </c>
    </row>
    <row r="26" spans="2:19" x14ac:dyDescent="0.25">
      <c r="B26" s="54" t="s">
        <v>154</v>
      </c>
      <c r="C26" s="237" t="str">
        <f>VAC_Optim_Scenario!B24</f>
        <v>HCC Audio</v>
      </c>
      <c r="D26" s="238">
        <f>VAC_Optim_Scenario!$H54</f>
        <v>2874096.82</v>
      </c>
      <c r="E26" s="239">
        <f>VAC_Optim_Scenario!$J54</f>
        <v>24167162.038099419</v>
      </c>
      <c r="F26" s="238">
        <f>VAC_Optim_Scenario!$H54</f>
        <v>2874096.82</v>
      </c>
      <c r="G26" s="239">
        <f>VAC_Optim_Scenario!$J54</f>
        <v>24167162.038099419</v>
      </c>
      <c r="H26" s="238">
        <f>VAC_Optim_Scenario!$H54</f>
        <v>2874096.82</v>
      </c>
      <c r="I26" s="239">
        <f>VAC_Optim_Scenario!$J54</f>
        <v>24167162.038099419</v>
      </c>
      <c r="J26" s="242"/>
      <c r="K26" s="54" t="s">
        <v>154</v>
      </c>
      <c r="L26" s="237" t="str">
        <f>VAC_Optim_Scenario!B24</f>
        <v>HCC Audio</v>
      </c>
      <c r="M26" s="240">
        <f t="shared" si="3"/>
        <v>2.8740968199999997</v>
      </c>
      <c r="N26" s="241">
        <f t="shared" si="2"/>
        <v>24.16716203809942</v>
      </c>
      <c r="O26" s="240">
        <f t="shared" si="2"/>
        <v>2.8740968199999997</v>
      </c>
      <c r="P26" s="241">
        <f t="shared" si="2"/>
        <v>24.16716203809942</v>
      </c>
      <c r="Q26" s="240">
        <f t="shared" si="2"/>
        <v>2.8740968199999997</v>
      </c>
      <c r="R26" s="241">
        <f t="shared" si="2"/>
        <v>24.16716203809942</v>
      </c>
    </row>
    <row r="27" spans="2:19" x14ac:dyDescent="0.25">
      <c r="B27" s="251" t="s">
        <v>154</v>
      </c>
      <c r="C27" s="223" t="str">
        <f>VAC_Optim_Scenario!B25</f>
        <v>HCC TV</v>
      </c>
      <c r="D27" s="252">
        <f>VAC_Optim_Scenario!$H55</f>
        <v>21861203.521423146</v>
      </c>
      <c r="E27" s="252">
        <f>VAC_Optim_Scenario!$J55</f>
        <v>80306178.590925008</v>
      </c>
      <c r="F27" s="252">
        <f>VAC_Optim_Scenario!$H55</f>
        <v>21861203.521423146</v>
      </c>
      <c r="G27" s="252">
        <f>VAC_Optim_Scenario!$J55</f>
        <v>80306178.590925008</v>
      </c>
      <c r="H27" s="252">
        <f>VAC_Optim_Scenario!$H55</f>
        <v>21861203.521423146</v>
      </c>
      <c r="I27" s="252">
        <f>VAC_Optim_Scenario!$J55</f>
        <v>80306178.590925008</v>
      </c>
      <c r="J27" s="242"/>
      <c r="K27" s="251" t="s">
        <v>154</v>
      </c>
      <c r="L27" s="223" t="str">
        <f>VAC_Optim_Scenario!B25</f>
        <v>HCC TV</v>
      </c>
      <c r="M27" s="245">
        <f t="shared" si="3"/>
        <v>21.861203521423146</v>
      </c>
      <c r="N27" s="245">
        <f t="shared" si="2"/>
        <v>80.306178590925015</v>
      </c>
      <c r="O27" s="245">
        <f t="shared" si="2"/>
        <v>21.861203521423146</v>
      </c>
      <c r="P27" s="245">
        <f t="shared" si="2"/>
        <v>80.306178590925015</v>
      </c>
      <c r="Q27" s="245">
        <f t="shared" si="2"/>
        <v>21.861203521423146</v>
      </c>
      <c r="R27" s="245">
        <f t="shared" si="2"/>
        <v>80.306178590925015</v>
      </c>
    </row>
    <row r="30" spans="2:19" ht="34.35" customHeight="1" x14ac:dyDescent="0.25">
      <c r="C30" s="273" t="s">
        <v>3</v>
      </c>
      <c r="D30" s="27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VAC_Optim_Scenario!B17</f>
        <v>HCC In Office</v>
      </c>
      <c r="D31" s="235">
        <f>M19</f>
        <v>2.1402590675274356</v>
      </c>
      <c r="E31" s="235">
        <f>O5</f>
        <v>2.1402590675274356</v>
      </c>
      <c r="F31" s="235">
        <f>Q5</f>
        <v>2.1402590675274356</v>
      </c>
      <c r="G31" s="235">
        <f>O19</f>
        <v>2.1402590675274356</v>
      </c>
      <c r="H31" s="235">
        <f>Q19</f>
        <v>2.1402590675274356</v>
      </c>
      <c r="J31" s="244">
        <v>-0.5</v>
      </c>
      <c r="K31" s="245">
        <f>E$31</f>
        <v>2.1402590675274356</v>
      </c>
      <c r="L31" s="245">
        <f>E$32</f>
        <v>10.730745780000001</v>
      </c>
      <c r="M31" s="245">
        <f>E$33</f>
        <v>3.7460000000000004</v>
      </c>
      <c r="N31" s="245">
        <f>E$34</f>
        <v>0.34615388000000002</v>
      </c>
      <c r="O31" s="245">
        <f>E$35</f>
        <v>12.360250000000001</v>
      </c>
      <c r="P31" s="245">
        <f>E$36</f>
        <v>3.2967147399999996</v>
      </c>
      <c r="Q31" s="245">
        <f>E$37</f>
        <v>0.68941399999999997</v>
      </c>
      <c r="R31" s="245">
        <f>E$38</f>
        <v>2.8740968199999997</v>
      </c>
      <c r="S31" s="245">
        <f>E$39</f>
        <v>21.861203521423146</v>
      </c>
    </row>
    <row r="32" spans="2:19" x14ac:dyDescent="0.25">
      <c r="B32" s="54" t="s">
        <v>154</v>
      </c>
      <c r="C32" s="294" t="str">
        <f>VAC_Optim_Scenario!B18</f>
        <v>HCP MCM</v>
      </c>
      <c r="D32" s="240">
        <f t="shared" ref="D32:D39" si="4">M20</f>
        <v>10.730745780000001</v>
      </c>
      <c r="E32" s="240">
        <f t="shared" ref="E32:E39" si="5">O6</f>
        <v>10.730745780000001</v>
      </c>
      <c r="F32" s="240">
        <f t="shared" ref="F32:F39" si="6">Q6</f>
        <v>10.730745780000001</v>
      </c>
      <c r="G32" s="240">
        <f t="shared" ref="G32:G39" si="7">O20</f>
        <v>10.730745780000001</v>
      </c>
      <c r="H32" s="240">
        <f t="shared" ref="H32:H39" si="8">Q20</f>
        <v>10.730745780000001</v>
      </c>
      <c r="J32" s="244">
        <v>-0.4</v>
      </c>
      <c r="K32" s="245">
        <f>G$31</f>
        <v>2.1402590675274356</v>
      </c>
      <c r="L32" s="245">
        <f>G$32</f>
        <v>10.730745780000001</v>
      </c>
      <c r="M32" s="245">
        <f>G$33</f>
        <v>3.7460000000000004</v>
      </c>
      <c r="N32" s="245">
        <f>G$34</f>
        <v>0.34615388000000002</v>
      </c>
      <c r="O32" s="245">
        <f>G$35</f>
        <v>12.360250000000001</v>
      </c>
      <c r="P32" s="245">
        <f>G$36</f>
        <v>3.2967147399999996</v>
      </c>
      <c r="Q32" s="245">
        <f>G$37</f>
        <v>0.68941399999999997</v>
      </c>
      <c r="R32" s="245">
        <f>G$38</f>
        <v>2.8740968199999997</v>
      </c>
      <c r="S32" s="245">
        <f>G$39</f>
        <v>21.861203521423146</v>
      </c>
    </row>
    <row r="33" spans="2:22" x14ac:dyDescent="0.25">
      <c r="B33" s="54" t="s">
        <v>154</v>
      </c>
      <c r="C33" s="294" t="str">
        <f>VAC_Optim_Scenario!B19</f>
        <v>HCC Social</v>
      </c>
      <c r="D33" s="240">
        <f t="shared" si="4"/>
        <v>3.7460000000000004</v>
      </c>
      <c r="E33" s="240">
        <f t="shared" si="5"/>
        <v>3.7460000000000004</v>
      </c>
      <c r="F33" s="240">
        <f t="shared" si="6"/>
        <v>3.7460000000000004</v>
      </c>
      <c r="G33" s="240">
        <f t="shared" si="7"/>
        <v>3.7460000000000004</v>
      </c>
      <c r="H33" s="240">
        <f t="shared" si="8"/>
        <v>3.7460000000000004</v>
      </c>
      <c r="J33" s="244" t="s">
        <v>243</v>
      </c>
      <c r="K33" s="245">
        <f>D$31</f>
        <v>2.1402590675274356</v>
      </c>
      <c r="L33" s="245">
        <f>D$32</f>
        <v>10.730745780000001</v>
      </c>
      <c r="M33" s="245">
        <f>D$33</f>
        <v>3.7460000000000004</v>
      </c>
      <c r="N33" s="245">
        <f>D$34</f>
        <v>0.34615388000000002</v>
      </c>
      <c r="O33" s="245">
        <f>D$35</f>
        <v>12.360250000000001</v>
      </c>
      <c r="P33" s="245">
        <f>D$36</f>
        <v>3.2967147399999996</v>
      </c>
      <c r="Q33" s="245">
        <f>D$37</f>
        <v>0.68941399999999997</v>
      </c>
      <c r="R33" s="245">
        <f>D$38</f>
        <v>2.8740968199999997</v>
      </c>
      <c r="S33" s="245">
        <f>D$39</f>
        <v>21.861203521423146</v>
      </c>
    </row>
    <row r="34" spans="2:22" x14ac:dyDescent="0.25">
      <c r="B34" s="54" t="s">
        <v>154</v>
      </c>
      <c r="C34" s="294" t="str">
        <f>VAC_Optim_Scenario!B20</f>
        <v>HCC Online Video</v>
      </c>
      <c r="D34" s="240">
        <f t="shared" si="4"/>
        <v>0.34615388000000002</v>
      </c>
      <c r="E34" s="240">
        <f t="shared" si="5"/>
        <v>0.34615388000000002</v>
      </c>
      <c r="F34" s="240">
        <f t="shared" si="6"/>
        <v>0.34615388000000002</v>
      </c>
      <c r="G34" s="240">
        <f t="shared" si="7"/>
        <v>0.34615388000000002</v>
      </c>
      <c r="H34" s="240">
        <f t="shared" si="8"/>
        <v>0.34615388000000002</v>
      </c>
      <c r="J34" s="244">
        <v>0.4</v>
      </c>
      <c r="K34" s="245">
        <f>H$31</f>
        <v>2.1402590675274356</v>
      </c>
      <c r="L34" s="245">
        <f>H$32</f>
        <v>10.730745780000001</v>
      </c>
      <c r="M34" s="245">
        <f>H$33</f>
        <v>3.7460000000000004</v>
      </c>
      <c r="N34" s="245">
        <f>H$34</f>
        <v>0.34615388000000002</v>
      </c>
      <c r="O34" s="245">
        <f>H$35</f>
        <v>12.360250000000001</v>
      </c>
      <c r="P34" s="245">
        <f>H$36</f>
        <v>3.2967147399999996</v>
      </c>
      <c r="Q34" s="245">
        <f>H$37</f>
        <v>0.68941399999999997</v>
      </c>
      <c r="R34" s="245">
        <f>H$38</f>
        <v>2.8740968199999997</v>
      </c>
      <c r="S34" s="245">
        <f>H$39</f>
        <v>21.861203521423146</v>
      </c>
    </row>
    <row r="35" spans="2:22" x14ac:dyDescent="0.25">
      <c r="B35" s="54" t="s">
        <v>154</v>
      </c>
      <c r="C35" s="294" t="str">
        <f>VAC_Optim_Scenario!B21</f>
        <v>HCC Streaming Video</v>
      </c>
      <c r="D35" s="240">
        <f t="shared" si="4"/>
        <v>12.360250000000001</v>
      </c>
      <c r="E35" s="240">
        <f t="shared" si="5"/>
        <v>12.360250000000001</v>
      </c>
      <c r="F35" s="240">
        <f t="shared" si="6"/>
        <v>12.360250000000001</v>
      </c>
      <c r="G35" s="240">
        <f t="shared" si="7"/>
        <v>12.360250000000001</v>
      </c>
      <c r="H35" s="240">
        <f t="shared" si="8"/>
        <v>12.360250000000001</v>
      </c>
      <c r="J35" s="243">
        <v>2</v>
      </c>
      <c r="K35" s="245">
        <f>F$31</f>
        <v>2.1402590675274356</v>
      </c>
      <c r="L35" s="245">
        <f>F$32</f>
        <v>10.730745780000001</v>
      </c>
      <c r="M35" s="245">
        <f>F$33</f>
        <v>3.7460000000000004</v>
      </c>
      <c r="N35" s="245">
        <f>F$34</f>
        <v>0.34615388000000002</v>
      </c>
      <c r="O35" s="245">
        <f>F$35</f>
        <v>12.360250000000001</v>
      </c>
      <c r="P35" s="245">
        <f>F$36</f>
        <v>3.2967147399999996</v>
      </c>
      <c r="Q35" s="245">
        <f>F$37</f>
        <v>0.68941399999999997</v>
      </c>
      <c r="R35" s="245">
        <f>F$38</f>
        <v>2.8740968199999997</v>
      </c>
      <c r="S35" s="245">
        <f>F$39</f>
        <v>21.861203521423146</v>
      </c>
    </row>
    <row r="36" spans="2:22" x14ac:dyDescent="0.25">
      <c r="B36" s="54" t="s">
        <v>154</v>
      </c>
      <c r="C36" s="294" t="str">
        <f>VAC_Optim_Scenario!B22</f>
        <v>HCC Display</v>
      </c>
      <c r="D36" s="240">
        <f t="shared" si="4"/>
        <v>3.2967147399999996</v>
      </c>
      <c r="E36" s="240">
        <f t="shared" si="5"/>
        <v>3.2967147399999996</v>
      </c>
      <c r="F36" s="240">
        <f t="shared" si="6"/>
        <v>3.2967147399999996</v>
      </c>
      <c r="G36" s="240">
        <f t="shared" si="7"/>
        <v>3.2967147399999996</v>
      </c>
      <c r="H36" s="240">
        <f t="shared" si="8"/>
        <v>3.2967147399999996</v>
      </c>
    </row>
    <row r="37" spans="2:22" x14ac:dyDescent="0.25">
      <c r="B37" s="54" t="s">
        <v>154</v>
      </c>
      <c r="C37" s="294" t="str">
        <f>VAC_Optim_Scenario!B23</f>
        <v>HCC Paid Search</v>
      </c>
      <c r="D37" s="240">
        <f t="shared" si="4"/>
        <v>0.68941399999999997</v>
      </c>
      <c r="E37" s="240">
        <f t="shared" si="5"/>
        <v>0.68941399999999997</v>
      </c>
      <c r="F37" s="240">
        <f t="shared" si="6"/>
        <v>0.68941399999999997</v>
      </c>
      <c r="G37" s="240">
        <f t="shared" si="7"/>
        <v>0.68941399999999997</v>
      </c>
      <c r="H37" s="240">
        <f t="shared" si="8"/>
        <v>0.68941399999999997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VAC_Optim_Scenario!B24</f>
        <v>HCC Audio</v>
      </c>
      <c r="D38" s="240">
        <f t="shared" si="4"/>
        <v>2.8740968199999997</v>
      </c>
      <c r="E38" s="240">
        <f t="shared" si="5"/>
        <v>2.8740968199999997</v>
      </c>
      <c r="F38" s="240">
        <f t="shared" si="6"/>
        <v>2.8740968199999997</v>
      </c>
      <c r="G38" s="240">
        <f t="shared" si="7"/>
        <v>2.8740968199999997</v>
      </c>
      <c r="H38" s="240">
        <f t="shared" si="8"/>
        <v>2.8740968199999997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VAC_Optim_Scenario!B25</f>
        <v>HCC TV</v>
      </c>
      <c r="D39" s="240">
        <f t="shared" si="4"/>
        <v>21.861203521423146</v>
      </c>
      <c r="E39" s="240">
        <f t="shared" si="5"/>
        <v>21.861203521423146</v>
      </c>
      <c r="F39" s="240">
        <f t="shared" si="6"/>
        <v>21.861203521423146</v>
      </c>
      <c r="G39" s="240">
        <f t="shared" si="7"/>
        <v>21.861203521423146</v>
      </c>
      <c r="H39" s="240">
        <f t="shared" si="8"/>
        <v>21.861203521423146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tabSelected="1" topLeftCell="A43" zoomScale="75" zoomScaleNormal="75" workbookViewId="0">
      <selection activeCell="F60" sqref="F60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09">
        <v>2023</v>
      </c>
      <c r="E2" s="509"/>
      <c r="F2" s="509"/>
      <c r="G2" s="509"/>
      <c r="H2" s="509"/>
      <c r="I2" s="509"/>
      <c r="L2" s="97" t="s">
        <v>317</v>
      </c>
    </row>
    <row r="3" spans="1:18" ht="51" x14ac:dyDescent="0.25">
      <c r="B3" s="219" t="s">
        <v>2</v>
      </c>
      <c r="C3" s="220" t="s">
        <v>3</v>
      </c>
      <c r="D3" s="220" t="s">
        <v>313</v>
      </c>
      <c r="E3" s="220" t="s">
        <v>314</v>
      </c>
      <c r="F3" s="220" t="s">
        <v>315</v>
      </c>
      <c r="G3" s="220" t="s">
        <v>316</v>
      </c>
      <c r="H3" s="220" t="s">
        <v>224</v>
      </c>
      <c r="I3" s="220" t="s">
        <v>225</v>
      </c>
      <c r="J3" s="289" t="s">
        <v>209</v>
      </c>
      <c r="K3"/>
      <c r="L3" s="461">
        <v>8649234</v>
      </c>
      <c r="M3" s="221" t="s">
        <v>318</v>
      </c>
    </row>
    <row r="4" spans="1:18" ht="14.25" customHeight="1" x14ac:dyDescent="0.25">
      <c r="A4" s="97" t="s">
        <v>320</v>
      </c>
      <c r="B4" s="449" t="s">
        <v>175</v>
      </c>
      <c r="C4" s="450" t="str">
        <f>VAC_Optim_Scenario!B17</f>
        <v>HCC In Office</v>
      </c>
      <c r="D4" s="451">
        <f>VAC_Optim_Scenario!E17</f>
        <v>1755293</v>
      </c>
      <c r="E4" s="454">
        <f>VAC_Optim_Scenario!F17</f>
        <v>34079.723304951563</v>
      </c>
      <c r="F4" s="451">
        <f>VAC_Optim_Scenario!G47</f>
        <v>7699972.6835207557</v>
      </c>
      <c r="G4" s="456">
        <f>F4/D4</f>
        <v>4.3867164533332925</v>
      </c>
      <c r="H4" s="457">
        <f>E4/$L$3</f>
        <v>3.9402013293838006E-3</v>
      </c>
      <c r="I4" s="459">
        <f>D4/E4</f>
        <v>51.50549446347668</v>
      </c>
      <c r="J4" s="462">
        <f ca="1">(VLOOKUP($Q4,INDIRECT("'"&amp;A4&amp;"'!"&amp;"A20:E42"),5,0)-VLOOKUP($R4,INDIRECT("'"&amp;A4&amp;"'!"&amp;"A20:E42"),5,0))/(Q4-R4)</f>
        <v>3.0770541370015128</v>
      </c>
      <c r="K4"/>
      <c r="L4" s="461">
        <v>4647854</v>
      </c>
      <c r="M4" s="221" t="s">
        <v>319</v>
      </c>
      <c r="Q4" s="464" cm="1">
        <f t="array" aca="1" ref="Q4" ca="1">MAX(_xlfn._xlws.FILTER(INDIRECT("'"&amp;A4&amp;"'!"&amp;"A20:A42"),INDIRECT("'"&amp;A4&amp;"'!"&amp;"A20:A42")&lt;$D4))</f>
        <v>1600000</v>
      </c>
      <c r="R4" s="464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321</v>
      </c>
      <c r="B5" s="452" t="s">
        <v>175</v>
      </c>
      <c r="C5" s="472" t="str">
        <f>VAC_Optim_Scenario!B18</f>
        <v>HCP MCM</v>
      </c>
      <c r="D5" s="476">
        <f>VAC_Optim_Scenario!E18</f>
        <v>5365372.8900000006</v>
      </c>
      <c r="E5" s="473">
        <f>VAC_Optim_Scenario!F18</f>
        <v>282596.87941192184</v>
      </c>
      <c r="F5" s="476">
        <f>VAC_Optim_Scenario!G48</f>
        <v>63849938.934329621</v>
      </c>
      <c r="G5" s="477">
        <f>F5/D5</f>
        <v>11.900373048317544</v>
      </c>
      <c r="H5" s="458">
        <f t="shared" ref="H5:H12" si="0">E5/$L$3</f>
        <v>3.2673052828946683E-2</v>
      </c>
      <c r="I5" s="475">
        <f t="shared" ref="I5:I12" si="1">D5/E5</f>
        <v>18.98595943863651</v>
      </c>
      <c r="J5" s="463">
        <f t="shared" ref="J5:J9" ca="1" si="2">(VLOOKUP($Q5,INDIRECT("'"&amp;A5&amp;"'!"&amp;"A20:E42"),5,0)-VLOOKUP($R5,INDIRECT("'"&amp;A5&amp;"'!"&amp;"A20:E42"),5,0))/(Q5-R5)</f>
        <v>8.4227566464673362</v>
      </c>
      <c r="K5"/>
      <c r="Q5" s="464" cm="1">
        <f t="array" aca="1" ref="Q5" ca="1">MAX(_xlfn._xlws.FILTER(INDIRECT("'"&amp;A5&amp;"'!"&amp;"A20:A42"),INDIRECT("'"&amp;A5&amp;"'!"&amp;"A20:A42")&lt;$D5))</f>
        <v>4800000</v>
      </c>
      <c r="R5" s="464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322</v>
      </c>
      <c r="B6" s="452" t="s">
        <v>175</v>
      </c>
      <c r="C6" s="472" t="str">
        <f>VAC_Optim_Scenario!B19</f>
        <v>HCC Social</v>
      </c>
      <c r="D6" s="476">
        <f>VAC_Optim_Scenario!E19</f>
        <v>1873000</v>
      </c>
      <c r="E6" s="473">
        <f>VAC_Optim_Scenario!F19</f>
        <v>71243.17418511775</v>
      </c>
      <c r="F6" s="476">
        <f>VAC_Optim_Scenario!G49</f>
        <v>16096682.775385505</v>
      </c>
      <c r="G6" s="477">
        <f t="shared" ref="G6:G22" si="3">F6/D6</f>
        <v>8.5940644823200767</v>
      </c>
      <c r="H6" s="458">
        <f t="shared" si="0"/>
        <v>8.2369345291291411E-3</v>
      </c>
      <c r="I6" s="475">
        <f t="shared" si="1"/>
        <v>26.290237926979646</v>
      </c>
      <c r="J6" s="463">
        <f ca="1">(VLOOKUP($Q6,INDIRECT("'"&amp;A6&amp;"'!"&amp;"A20:E42"),3,0)-VLOOKUP($R6,INDIRECT("'"&amp;A6&amp;"'!"&amp;"A20:E42"),3,0))/(Q6-R6)</f>
        <v>5.1563798454813883</v>
      </c>
      <c r="K6"/>
      <c r="Q6" s="464" cm="1">
        <f t="array" aca="1" ref="Q6" ca="1">MAX(_xlfn._xlws.FILTER(INDIRECT("'"&amp;A6&amp;"'!"&amp;"A20:A42"),INDIRECT("'"&amp;A6&amp;"'!"&amp;"A20:A42")&lt;$D6))</f>
        <v>1750000</v>
      </c>
      <c r="R6" s="464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323</v>
      </c>
      <c r="B7" s="452" t="s">
        <v>175</v>
      </c>
      <c r="C7" s="472" t="str">
        <f>VAC_Optim_Scenario!B20</f>
        <v>HCC Online Video</v>
      </c>
      <c r="D7" s="476">
        <f>VAC_Optim_Scenario!E20</f>
        <v>173076.94</v>
      </c>
      <c r="E7" s="473">
        <f>VAC_Optim_Scenario!F20</f>
        <v>7568.2941111773252</v>
      </c>
      <c r="F7" s="476">
        <f>VAC_Optim_Scenario!G50</f>
        <v>1709980.3714794049</v>
      </c>
      <c r="G7" s="477">
        <f t="shared" si="3"/>
        <v>9.8798856247366338</v>
      </c>
      <c r="H7" s="458">
        <f t="shared" si="0"/>
        <v>8.7502478383372738E-4</v>
      </c>
      <c r="I7" s="475">
        <f t="shared" si="1"/>
        <v>22.868685790684225</v>
      </c>
      <c r="J7" s="463">
        <f t="shared" ca="1" si="2"/>
        <v>7.3949364813552894</v>
      </c>
      <c r="K7"/>
      <c r="Q7" s="464" cm="1">
        <f t="array" aca="1" ref="Q7" ca="1">MAX(_xlfn._xlws.FILTER(INDIRECT("'"&amp;A7&amp;"'!"&amp;"A20:A42"),INDIRECT("'"&amp;A7&amp;"'!"&amp;"A20:A42")&lt;$D7))</f>
        <v>103851.36184614981</v>
      </c>
      <c r="R7" s="464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324</v>
      </c>
      <c r="B8" s="452" t="s">
        <v>175</v>
      </c>
      <c r="C8" s="472" t="str">
        <f>VAC_Optim_Scenario!B21</f>
        <v>HCC Streaming Video</v>
      </c>
      <c r="D8" s="476">
        <f>VAC_Optim_Scenario!E21</f>
        <v>6180125</v>
      </c>
      <c r="E8" s="473">
        <f>VAC_Optim_Scenario!F21</f>
        <v>144657.20917756393</v>
      </c>
      <c r="F8" s="476">
        <f>VAC_Optim_Scenario!G51</f>
        <v>32683849.841578793</v>
      </c>
      <c r="G8" s="477">
        <f t="shared" si="3"/>
        <v>5.2885418727904039</v>
      </c>
      <c r="H8" s="458">
        <f t="shared" si="0"/>
        <v>1.6724857851870341E-2</v>
      </c>
      <c r="I8" s="475">
        <f t="shared" si="1"/>
        <v>42.722551023461378</v>
      </c>
      <c r="J8" s="463">
        <f ca="1">(VLOOKUP($Q8,INDIRECT("'"&amp;A8&amp;"'!"&amp;"A20:E42"),3,0)-VLOOKUP($R8,INDIRECT("'"&amp;A8&amp;"'!"&amp;"A20:E42"),3,0))/(Q8-R8)</f>
        <v>3.6898979193167833</v>
      </c>
      <c r="K8"/>
      <c r="Q8" s="464" cm="1">
        <f t="array" aca="1" ref="Q8" ca="1">MAX(_xlfn._xlws.FILTER(INDIRECT("'"&amp;A8&amp;"'!"&amp;"A20:A42"),INDIRECT("'"&amp;A8&amp;"'!"&amp;"A20:A42")&lt;$D8))</f>
        <v>6000000</v>
      </c>
      <c r="R8" s="464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325</v>
      </c>
      <c r="B9" s="452" t="s">
        <v>175</v>
      </c>
      <c r="C9" s="472" t="str">
        <f>VAC_Optim_Scenario!B22</f>
        <v>HCC Display</v>
      </c>
      <c r="D9" s="476">
        <f>VAC_Optim_Scenario!E22</f>
        <v>1648357.37</v>
      </c>
      <c r="E9" s="473">
        <f>VAC_Optim_Scenario!F22</f>
        <v>104116.36986385845</v>
      </c>
      <c r="F9" s="476">
        <f>VAC_Optim_Scenario!G52</f>
        <v>23524052.607040178</v>
      </c>
      <c r="G9" s="477">
        <f t="shared" si="3"/>
        <v>14.271209044334952</v>
      </c>
      <c r="H9" s="458">
        <f t="shared" si="0"/>
        <v>1.2037640542949635E-2</v>
      </c>
      <c r="I9" s="475">
        <f t="shared" si="1"/>
        <v>15.831875161949808</v>
      </c>
      <c r="J9" s="463">
        <f t="shared" ca="1" si="2"/>
        <v>10.825038062094338</v>
      </c>
      <c r="K9"/>
      <c r="Q9" s="464" cm="1">
        <f t="array" aca="1" ref="Q9" ca="1">MAX(_xlfn._xlws.FILTER(INDIRECT("'"&amp;A9&amp;"'!"&amp;"A20:A42"),INDIRECT("'"&amp;A9&amp;"'!"&amp;"A20:A42")&lt;$D9))</f>
        <v>1600000</v>
      </c>
      <c r="R9" s="464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326</v>
      </c>
      <c r="B10" s="452" t="s">
        <v>175</v>
      </c>
      <c r="C10" s="472" t="str">
        <f>VAC_Optim_Scenario!B23</f>
        <v>HCC Paid Search</v>
      </c>
      <c r="D10" s="476">
        <f>VAC_Optim_Scenario!E23</f>
        <v>344707</v>
      </c>
      <c r="E10" s="473">
        <f>VAC_Optim_Scenario!F23</f>
        <v>130694.08808973072</v>
      </c>
      <c r="F10" s="476">
        <f>VAC_Optim_Scenario!G53</f>
        <v>29529022.26299376</v>
      </c>
      <c r="G10" s="477">
        <f t="shared" si="3"/>
        <v>85.664121305902583</v>
      </c>
      <c r="H10" s="458">
        <f t="shared" si="0"/>
        <v>1.5110481239116749E-2</v>
      </c>
      <c r="I10" s="475">
        <f t="shared" si="1"/>
        <v>2.6375102733287696</v>
      </c>
      <c r="J10" s="463">
        <f ca="1">(VLOOKUP($Q10,INDIRECT("'"&amp;A10&amp;"'!"&amp;"A20:E42"),3,0)-VLOOKUP($R10,INDIRECT("'"&amp;A10&amp;"'!"&amp;"A20:E42"),3,0))/(Q10-R10)</f>
        <v>58.622972004453118</v>
      </c>
      <c r="K10"/>
      <c r="Q10" s="464" cm="1">
        <f t="array" aca="1" ref="Q10" ca="1">MAX(_xlfn._xlws.FILTER(INDIRECT("'"&amp;A10&amp;"'!"&amp;"A20:A42"),INDIRECT("'"&amp;A10&amp;"'!"&amp;"A20:A42")&lt;$D10))</f>
        <v>300000</v>
      </c>
      <c r="R10" s="464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327</v>
      </c>
      <c r="B11" s="452" t="s">
        <v>175</v>
      </c>
      <c r="C11" s="472" t="str">
        <f>VAC_Optim_Scenario!B24</f>
        <v>HCC Audio</v>
      </c>
      <c r="D11" s="476">
        <f>VAC_Optim_Scenario!E24</f>
        <v>1437048.41</v>
      </c>
      <c r="E11" s="473">
        <f>VAC_Optim_Scenario!F24</f>
        <v>70569.092436493243</v>
      </c>
      <c r="F11" s="476">
        <f>VAC_Optim_Scenario!G54</f>
        <v>15944380.745101282</v>
      </c>
      <c r="G11" s="477">
        <f t="shared" si="3"/>
        <v>11.095228688295395</v>
      </c>
      <c r="H11" s="458">
        <f t="shared" si="0"/>
        <v>8.1589991017115785E-3</v>
      </c>
      <c r="I11" s="475">
        <f t="shared" si="1"/>
        <v>20.363708252210174</v>
      </c>
      <c r="J11" s="463">
        <f ca="1">(VLOOKUP($Q11,INDIRECT("'"&amp;A11&amp;"'!"&amp;"A20:E42"),3,0)-VLOOKUP($R11,INDIRECT("'"&amp;A11&amp;"'!"&amp;"A20:E42"),3,0))/(Q11-R11)</f>
        <v>6.5466633097348268</v>
      </c>
      <c r="K11"/>
      <c r="Q11" s="464" cm="1">
        <f t="array" aca="1" ref="Q11" ca="1">MAX(_xlfn._xlws.FILTER(INDIRECT("'"&amp;A11&amp;"'!"&amp;"A20:A42"),INDIRECT("'"&amp;A11&amp;"'!"&amp;"A20:A42")&lt;$D11))</f>
        <v>1400000</v>
      </c>
      <c r="R11" s="464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328</v>
      </c>
      <c r="B12" s="478" t="s">
        <v>175</v>
      </c>
      <c r="C12" s="479" t="str">
        <f>VAC_Optim_Scenario!B25</f>
        <v>HCC TV</v>
      </c>
      <c r="D12" s="480">
        <f>VAC_Optim_Scenario!E25</f>
        <v>13503524.99</v>
      </c>
      <c r="E12" s="481">
        <f>VAC_Optim_Scenario!F25</f>
        <v>253686.28893952153</v>
      </c>
      <c r="F12" s="480">
        <f>VAC_Optim_Scenario!G55</f>
        <v>57317880.122995496</v>
      </c>
      <c r="G12" s="482">
        <f t="shared" si="3"/>
        <v>4.2446605731053264</v>
      </c>
      <c r="H12" s="483">
        <f t="shared" si="0"/>
        <v>2.9330492034268182E-2</v>
      </c>
      <c r="I12" s="484">
        <f t="shared" si="1"/>
        <v>53.229226721114685</v>
      </c>
      <c r="J12" s="485">
        <f ca="1">(VLOOKUP($Q12,INDIRECT("'"&amp;A12&amp;"'!"&amp;"A20:E42"),3,0)-VLOOKUP($R12,INDIRECT("'"&amp;A12&amp;"'!"&amp;"A20:E42"),3,0))/(Q12-R12)</f>
        <v>2.9971565057842673</v>
      </c>
      <c r="K12"/>
      <c r="Q12" s="464" cm="1">
        <f t="array" aca="1" ref="Q12" ca="1">MAX(_xlfn._xlws.FILTER(INDIRECT("'"&amp;A12&amp;"'!"&amp;"A20:A42"),INDIRECT("'"&amp;A12&amp;"'!"&amp;"A20:A42")&lt;$D12))</f>
        <v>12500000</v>
      </c>
      <c r="R12" s="464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A13" s="97" t="s">
        <v>331</v>
      </c>
      <c r="B13" s="452" t="s">
        <v>286</v>
      </c>
      <c r="C13" s="472" t="str">
        <f>VAC_Optim_Scenario!B27</f>
        <v>HCC InOffice</v>
      </c>
      <c r="D13" s="465">
        <f>VAC_Optim_Scenario!E27</f>
        <v>1134710</v>
      </c>
      <c r="E13" s="473">
        <f>VAC_Optim_Scenario!F27</f>
        <v>7367.8666140222922</v>
      </c>
      <c r="F13" s="465">
        <f>VAC_Optim_Scenario!G57</f>
        <v>1664695.7827721967</v>
      </c>
      <c r="G13" s="474">
        <f t="shared" si="3"/>
        <v>1.4670671649780092</v>
      </c>
      <c r="H13" s="458">
        <f>E13/$L$4</f>
        <v>1.5852190309812427E-3</v>
      </c>
      <c r="I13" s="475">
        <f>D13/E13</f>
        <v>154.00794550765286</v>
      </c>
      <c r="J13" s="463">
        <f ca="1">(VLOOKUP($Q13,INDIRECT("'"&amp;A13&amp;"'!"&amp;"A20:E42"),5,0)-VLOOKUP($R13,INDIRECT("'"&amp;A13&amp;"'!"&amp;"A20:E42"),5,0))/(Q13-R13)</f>
        <v>1.0281350987444842</v>
      </c>
      <c r="K13"/>
      <c r="Q13" s="464" cm="1">
        <f t="array" aca="1" ref="Q13" ca="1">MAX(_xlfn._xlws.FILTER(INDIRECT("'"&amp;A13&amp;"'!"&amp;"A20:A42"),INDIRECT("'"&amp;A13&amp;"'!"&amp;"A20:A42")&lt;$D13))</f>
        <v>1000000</v>
      </c>
      <c r="R13" s="464" cm="1">
        <f t="array" aca="1" ref="R13" ca="1">MIN(_xlfn._xlws.FILTER(INDIRECT("'"&amp;A13&amp;"'!"&amp;"A20:A42"),INDIRECT("'"&amp;A13&amp;"'!"&amp;"A20:A42")&gt;=$D13))</f>
        <v>1200000</v>
      </c>
    </row>
    <row r="14" spans="1:18" x14ac:dyDescent="0.25">
      <c r="A14" s="97" t="s">
        <v>332</v>
      </c>
      <c r="B14" s="452" t="s">
        <v>286</v>
      </c>
      <c r="C14" s="453" t="str">
        <f>VAC_Optim_Scenario!B28</f>
        <v>HCP MCM</v>
      </c>
      <c r="D14" s="465">
        <f>VAC_Optim_Scenario!E28</f>
        <v>10503728.719999999</v>
      </c>
      <c r="E14" s="455">
        <f>VAC_Optim_Scenario!F28</f>
        <v>288339.09761974216</v>
      </c>
      <c r="F14" s="465">
        <f>VAC_Optim_Scenario!G58</f>
        <v>65147335.716204539</v>
      </c>
      <c r="G14" s="470">
        <f t="shared" si="3"/>
        <v>6.2023056243025803</v>
      </c>
      <c r="H14" s="458">
        <f t="shared" ref="H14:H22" si="4">E14/$L$4</f>
        <v>6.2037038517075226E-2</v>
      </c>
      <c r="I14" s="460">
        <f t="shared" ref="I14:I22" si="5">D14/E14</f>
        <v>36.428388680927966</v>
      </c>
      <c r="J14" s="463">
        <f t="shared" ref="J14:J22" ca="1" si="6">(VLOOKUP($Q14,INDIRECT("'"&amp;A14&amp;"'!"&amp;"A20:E42"),5,0)-VLOOKUP($R14,INDIRECT("'"&amp;A14&amp;"'!"&amp;"A20:E42"),5,0))/(Q14-R14)</f>
        <v>4.9357259150992991</v>
      </c>
      <c r="K14"/>
      <c r="Q14" s="464" cm="1">
        <f t="array" aca="1" ref="Q14" ca="1">MAX(_xlfn._xlws.FILTER(INDIRECT("'"&amp;A14&amp;"'!"&amp;"A20:A42"),INDIRECT("'"&amp;A14&amp;"'!"&amp;"A20:A42")&lt;$D14))</f>
        <v>10000000</v>
      </c>
      <c r="R14" s="464" cm="1">
        <f t="array" aca="1" ref="R14" ca="1">MIN(_xlfn._xlws.FILTER(INDIRECT("'"&amp;A14&amp;"'!"&amp;"A20:A42"),INDIRECT("'"&amp;A14&amp;"'!"&amp;"A20:A42")&gt;=$D14))</f>
        <v>10625000</v>
      </c>
    </row>
    <row r="15" spans="1:18" x14ac:dyDescent="0.25">
      <c r="A15" s="97" t="s">
        <v>333</v>
      </c>
      <c r="B15" s="452" t="s">
        <v>286</v>
      </c>
      <c r="C15" s="453" t="str">
        <f>VAC_Optim_Scenario!B29</f>
        <v>HCC Social</v>
      </c>
      <c r="D15" s="465">
        <f>VAC_Optim_Scenario!E29</f>
        <v>1751000</v>
      </c>
      <c r="E15" s="455">
        <f>VAC_Optim_Scenario!F29</f>
        <v>23820.403572058858</v>
      </c>
      <c r="F15" s="465">
        <f>VAC_Optim_Scenario!G59</f>
        <v>5381981.983070978</v>
      </c>
      <c r="G15" s="470">
        <f t="shared" si="3"/>
        <v>3.0736618978132371</v>
      </c>
      <c r="H15" s="458">
        <f t="shared" si="4"/>
        <v>5.1250326649801949E-3</v>
      </c>
      <c r="I15" s="460">
        <f t="shared" si="5"/>
        <v>73.508410329953804</v>
      </c>
      <c r="J15" s="463">
        <f ca="1">(VLOOKUP($Q15,INDIRECT("'"&amp;A15&amp;"'!"&amp;"A20:E42"),3,0)-VLOOKUP($R15,INDIRECT("'"&amp;A15&amp;"'!"&amp;"A20:E42"),3,0))/(Q15-R15)</f>
        <v>1.7951540998233295</v>
      </c>
      <c r="K15"/>
      <c r="Q15" s="464" cm="1">
        <f t="array" aca="1" ref="Q15" ca="1">MAX(_xlfn._xlws.FILTER(INDIRECT("'"&amp;A15&amp;"'!"&amp;"A20:A42"),INDIRECT("'"&amp;A15&amp;"'!"&amp;"A20:A42")&lt;$D15))</f>
        <v>1750000</v>
      </c>
      <c r="R15" s="464" cm="1">
        <f t="array" aca="1" ref="R15" ca="1">MIN(_xlfn._xlws.FILTER(INDIRECT("'"&amp;A15&amp;"'!"&amp;"A20:A42"),INDIRECT("'"&amp;A15&amp;"'!"&amp;"A20:A42")&gt;=$D15))</f>
        <v>2000000</v>
      </c>
    </row>
    <row r="16" spans="1:18" x14ac:dyDescent="0.25">
      <c r="A16" s="97" t="s">
        <v>334</v>
      </c>
      <c r="B16" s="452" t="s">
        <v>286</v>
      </c>
      <c r="C16" s="453" t="str">
        <f>VAC_Optim_Scenario!B30</f>
        <v>HCC Online Video</v>
      </c>
      <c r="D16" s="465">
        <f>VAC_Optim_Scenario!E30</f>
        <v>1111779.04</v>
      </c>
      <c r="E16" s="455">
        <f>VAC_Optim_Scenario!F30</f>
        <v>21646.235649615526</v>
      </c>
      <c r="F16" s="465">
        <f>VAC_Optim_Scenario!G60</f>
        <v>4890750.4826741321</v>
      </c>
      <c r="G16" s="470">
        <f t="shared" si="3"/>
        <v>4.3990310184963839</v>
      </c>
      <c r="H16" s="458">
        <f t="shared" si="4"/>
        <v>4.6572537884398968E-3</v>
      </c>
      <c r="I16" s="460">
        <f t="shared" si="5"/>
        <v>51.361310945524473</v>
      </c>
      <c r="J16" s="463">
        <f t="shared" ca="1" si="6"/>
        <v>3.0799076810741566</v>
      </c>
      <c r="K16"/>
      <c r="Q16" s="464" cm="1">
        <f t="array" aca="1" ref="Q16" ca="1">MAX(_xlfn._xlws.FILTER(INDIRECT("'"&amp;A16&amp;"'!"&amp;"A20:A42"),INDIRECT("'"&amp;A16&amp;"'!"&amp;"A20:A42")&lt;$D16))</f>
        <v>1000000</v>
      </c>
      <c r="R16" s="464" cm="1">
        <f t="array" aca="1" ref="R16" ca="1">MIN(_xlfn._xlws.FILTER(INDIRECT("'"&amp;A16&amp;"'!"&amp;"A20:A42"),INDIRECT("'"&amp;A16&amp;"'!"&amp;"A20:A42")&gt;=$D16))</f>
        <v>1200000</v>
      </c>
    </row>
    <row r="17" spans="1:18" x14ac:dyDescent="0.25">
      <c r="A17" s="97" t="s">
        <v>335</v>
      </c>
      <c r="B17" s="452" t="s">
        <v>286</v>
      </c>
      <c r="C17" s="453" t="str">
        <f>VAC_Optim_Scenario!B31</f>
        <v>HCC Streaming Video</v>
      </c>
      <c r="D17" s="465">
        <f>VAC_Optim_Scenario!E31</f>
        <v>13418576</v>
      </c>
      <c r="E17" s="455">
        <f>VAC_Optim_Scenario!F31</f>
        <v>100808.3256282994</v>
      </c>
      <c r="F17" s="465">
        <f>VAC_Optim_Scenario!G61</f>
        <v>22776633.092457965</v>
      </c>
      <c r="G17" s="470">
        <f t="shared" si="3"/>
        <v>1.6973956917975472</v>
      </c>
      <c r="H17" s="458">
        <f t="shared" si="4"/>
        <v>2.1689219503947282E-2</v>
      </c>
      <c r="I17" s="460">
        <f t="shared" si="5"/>
        <v>133.10979937785092</v>
      </c>
      <c r="J17" s="463">
        <f ca="1">(VLOOKUP($Q17,INDIRECT("'"&amp;A17&amp;"'!"&amp;"A20:E42"),3,0)-VLOOKUP($R17,INDIRECT("'"&amp;A17&amp;"'!"&amp;"A20:E42"),3,0))/(Q17-R17)</f>
        <v>1.1961518650093477</v>
      </c>
      <c r="K17"/>
      <c r="Q17" s="464" cm="1">
        <f t="array" aca="1" ref="Q17" ca="1">MAX(_xlfn._xlws.FILTER(INDIRECT("'"&amp;A17&amp;"'!"&amp;"A20:A42"),INDIRECT("'"&amp;A17&amp;"'!"&amp;"A20:A42")&lt;$D17))</f>
        <v>12750000</v>
      </c>
      <c r="R17" s="464" cm="1">
        <f t="array" aca="1" ref="R17" ca="1">MIN(_xlfn._xlws.FILTER(INDIRECT("'"&amp;A17&amp;"'!"&amp;"A20:A42"),INDIRECT("'"&amp;A17&amp;"'!"&amp;"A20:A42")&gt;=$D17))</f>
        <v>13500000</v>
      </c>
    </row>
    <row r="18" spans="1:18" x14ac:dyDescent="0.25">
      <c r="A18" s="97" t="s">
        <v>336</v>
      </c>
      <c r="B18" s="452" t="s">
        <v>286</v>
      </c>
      <c r="C18" s="453" t="str">
        <f>VAC_Optim_Scenario!B32</f>
        <v>HCC Display</v>
      </c>
      <c r="D18" s="465">
        <f>VAC_Optim_Scenario!E32</f>
        <v>2859426.82</v>
      </c>
      <c r="E18" s="455">
        <f>VAC_Optim_Scenario!F32</f>
        <v>76065.012406995462</v>
      </c>
      <c r="F18" s="465">
        <f>VAC_Optim_Scenario!G62</f>
        <v>17186128.903236553</v>
      </c>
      <c r="G18" s="470">
        <f t="shared" si="3"/>
        <v>6.010340528049098</v>
      </c>
      <c r="H18" s="458">
        <f t="shared" si="4"/>
        <v>1.6365620005920036E-2</v>
      </c>
      <c r="I18" s="460">
        <f t="shared" si="5"/>
        <v>37.591880018375271</v>
      </c>
      <c r="J18" s="463">
        <f t="shared" ref="J18:J21" ca="1" si="7">(VLOOKUP($Q18,INDIRECT("'"&amp;A18&amp;"'!"&amp;"A20:E42"),3,0)-VLOOKUP($R18,INDIRECT("'"&amp;A18&amp;"'!"&amp;"A20:E42"),3,0))/(Q18-R18)</f>
        <v>3.5990133726234732</v>
      </c>
      <c r="K18"/>
      <c r="Q18" s="464" cm="1">
        <f t="array" aca="1" ref="Q18" ca="1">MAX(_xlfn._xlws.FILTER(INDIRECT("'"&amp;A18&amp;"'!"&amp;"A20:A42"),INDIRECT("'"&amp;A18&amp;"'!"&amp;"A20:A42")&lt;$D18))</f>
        <v>2750000</v>
      </c>
      <c r="R18" s="464" cm="1">
        <f t="array" aca="1" ref="R18" ca="1">MIN(_xlfn._xlws.FILTER(INDIRECT("'"&amp;A18&amp;"'!"&amp;"A20:A42"),INDIRECT("'"&amp;A18&amp;"'!"&amp;"A20:A42")&gt;=$D18))</f>
        <v>3000000</v>
      </c>
    </row>
    <row r="19" spans="1:18" x14ac:dyDescent="0.25">
      <c r="A19" s="97" t="s">
        <v>337</v>
      </c>
      <c r="B19" s="452" t="s">
        <v>286</v>
      </c>
      <c r="C19" s="453" t="str">
        <f>VAC_Optim_Scenario!B33</f>
        <v>HCC Paid Search</v>
      </c>
      <c r="D19" s="465">
        <f>VAC_Optim_Scenario!E33</f>
        <v>50000</v>
      </c>
      <c r="E19" s="455">
        <f>VAC_Optim_Scenario!F33</f>
        <v>30136.792938374307</v>
      </c>
      <c r="F19" s="465">
        <f>VAC_Optim_Scenario!G63</f>
        <v>6809106.9964962909</v>
      </c>
      <c r="G19" s="470">
        <f t="shared" si="3"/>
        <v>136.18213992992582</v>
      </c>
      <c r="H19" s="458">
        <f t="shared" si="4"/>
        <v>6.4840231509798512E-3</v>
      </c>
      <c r="I19" s="460">
        <f t="shared" si="5"/>
        <v>1.6591015541117227</v>
      </c>
      <c r="J19" s="463">
        <f t="shared" ca="1" si="7"/>
        <v>84.028991834438983</v>
      </c>
      <c r="K19"/>
      <c r="Q19" s="464" cm="1">
        <f t="array" aca="1" ref="Q19" ca="1">MAX(_xlfn._xlws.FILTER(INDIRECT("'"&amp;A19&amp;"'!"&amp;"A20:A42"),INDIRECT("'"&amp;A19&amp;"'!"&amp;"A20:A42")&lt;$D19))</f>
        <v>0</v>
      </c>
      <c r="R19" s="464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338</v>
      </c>
      <c r="B20" s="452" t="s">
        <v>286</v>
      </c>
      <c r="C20" s="453" t="str">
        <f>VAC_Optim_Scenario!B34</f>
        <v>HCC Linear TV</v>
      </c>
      <c r="D20" s="465">
        <f>VAC_Optim_Scenario!E34</f>
        <v>25810928.600000001</v>
      </c>
      <c r="E20" s="455">
        <f>VAC_Optim_Scenario!F34</f>
        <v>168508.00202805389</v>
      </c>
      <c r="F20" s="465">
        <f>VAC_Optim_Scenario!G64</f>
        <v>38072697.978218496</v>
      </c>
      <c r="G20" s="470">
        <f t="shared" si="3"/>
        <v>1.4750611482540188</v>
      </c>
      <c r="H20" s="458">
        <f t="shared" si="4"/>
        <v>3.6255011888939259E-2</v>
      </c>
      <c r="I20" s="460">
        <f t="shared" si="5"/>
        <v>153.17331099625105</v>
      </c>
      <c r="J20" s="463">
        <f t="shared" ca="1" si="7"/>
        <v>1.0273854514533429</v>
      </c>
      <c r="K20"/>
      <c r="Q20" s="464" cm="1">
        <f t="array" aca="1" ref="Q20" ca="1">MAX(_xlfn._xlws.FILTER(INDIRECT("'"&amp;A20&amp;"'!"&amp;"A20:A42"),INDIRECT("'"&amp;A20&amp;"'!"&amp;"A20:A42")&lt;$D20))</f>
        <v>25500000</v>
      </c>
      <c r="R20" s="464" cm="1">
        <f t="array" aca="1" ref="R20" ca="1">MIN(_xlfn._xlws.FILTER(INDIRECT("'"&amp;A20&amp;"'!"&amp;"A20:A42"),INDIRECT("'"&amp;A20&amp;"'!"&amp;"A20:A42")&gt;=$D20))</f>
        <v>27000000</v>
      </c>
    </row>
    <row r="21" spans="1:18" x14ac:dyDescent="0.25">
      <c r="A21" s="97" t="s">
        <v>330</v>
      </c>
      <c r="B21" s="452" t="s">
        <v>286</v>
      </c>
      <c r="C21" s="453" t="str">
        <f>VAC_Optim_Scenario!B35</f>
        <v>HCC Radio</v>
      </c>
      <c r="D21" s="465">
        <f>VAC_Optim_Scenario!E35</f>
        <v>923975</v>
      </c>
      <c r="E21" s="455">
        <f>VAC_Optim_Scenario!F35</f>
        <v>26581.559263521289</v>
      </c>
      <c r="F21" s="465">
        <f>VAC_Optim_Scenario!G65</f>
        <v>6005837.5</v>
      </c>
      <c r="G21" s="470">
        <f t="shared" si="3"/>
        <v>6.5</v>
      </c>
      <c r="H21" s="458">
        <f t="shared" si="4"/>
        <v>5.7191037548772593E-3</v>
      </c>
      <c r="I21" s="460">
        <f t="shared" si="5"/>
        <v>34.76</v>
      </c>
      <c r="J21" s="463">
        <f t="shared" ca="1" si="7"/>
        <v>2.6952193392368331</v>
      </c>
      <c r="K21"/>
      <c r="Q21" s="464" cm="1">
        <f t="array" aca="1" ref="Q21" ca="1">MAX(_xlfn._xlws.FILTER(INDIRECT("'"&amp;A21&amp;"'!"&amp;"A20:A42"),INDIRECT("'"&amp;A21&amp;"'!"&amp;"A20:A42")&lt;$D21))</f>
        <v>750000</v>
      </c>
      <c r="R21" s="464" cm="1">
        <f t="array" aca="1" ref="R21" ca="1">MIN(_xlfn._xlws.FILTER(INDIRECT("'"&amp;A21&amp;"'!"&amp;"A20:A42"),INDIRECT("'"&amp;A21&amp;"'!"&amp;"A20:A42")&gt;=$D21))</f>
        <v>1000000</v>
      </c>
    </row>
    <row r="22" spans="1:18" x14ac:dyDescent="0.25">
      <c r="A22" s="97" t="s">
        <v>339</v>
      </c>
      <c r="B22" s="452" t="s">
        <v>286</v>
      </c>
      <c r="C22" s="453" t="str">
        <f>VAC_Optim_Scenario!B36</f>
        <v>HCC Pharmacy</v>
      </c>
      <c r="D22" s="465">
        <f>VAC_Optim_Scenario!E36</f>
        <v>2411968</v>
      </c>
      <c r="E22" s="455">
        <f>VAC_Optim_Scenario!F36</f>
        <v>18205.929821531288</v>
      </c>
      <c r="F22" s="465">
        <f>VAC_Optim_Scenario!G66</f>
        <v>4113447.783876779</v>
      </c>
      <c r="G22" s="470">
        <f t="shared" si="3"/>
        <v>1.7054321549360436</v>
      </c>
      <c r="H22" s="458">
        <f t="shared" si="4"/>
        <v>3.9170614699883619E-3</v>
      </c>
      <c r="I22" s="460">
        <f t="shared" si="5"/>
        <v>132.48254956731077</v>
      </c>
      <c r="J22" s="463">
        <f t="shared" ca="1" si="6"/>
        <v>1.2851107311617118</v>
      </c>
      <c r="K22"/>
      <c r="Q22" s="464" cm="1">
        <f t="array" aca="1" ref="Q22" ca="1">MAX(_xlfn._xlws.FILTER(INDIRECT("'"&amp;A22&amp;"'!"&amp;"A20:A42"),INDIRECT("'"&amp;A22&amp;"'!"&amp;"A20:A42")&lt;$D22))</f>
        <v>2400000</v>
      </c>
      <c r="R22" s="464" cm="1">
        <f t="array" aca="1" ref="R22" ca="1">MIN(_xlfn._xlws.FILTER(INDIRECT("'"&amp;A22&amp;"'!"&amp;"A20:A42"),INDIRECT("'"&amp;A22&amp;"'!"&amp;"A20:A42")&gt;=$D22))</f>
        <v>2600000</v>
      </c>
    </row>
    <row r="23" spans="1:18" x14ac:dyDescent="0.25">
      <c r="B23" s="466" t="s">
        <v>154</v>
      </c>
      <c r="C23" s="467" t="s">
        <v>232</v>
      </c>
      <c r="D23" s="468">
        <f>SUM(D4:D22)</f>
        <v>92256597.780000001</v>
      </c>
      <c r="E23" s="469">
        <f>SUM(E4:E22)</f>
        <v>1860690.3450625509</v>
      </c>
      <c r="F23" s="468">
        <f>SUM(F4:F22)</f>
        <v>420404376.56343269</v>
      </c>
      <c r="G23" s="471">
        <f>F23/D23</f>
        <v>4.5569031015640897</v>
      </c>
      <c r="H23" s="225">
        <f>SUM(H4:H22)</f>
        <v>0.29092226801733845</v>
      </c>
      <c r="I23" s="290">
        <f>D23/E23</f>
        <v>49.581918896289331</v>
      </c>
      <c r="J23" s="291"/>
    </row>
    <row r="24" spans="1:18" x14ac:dyDescent="0.25">
      <c r="F24" s="97">
        <f>F23/D23</f>
        <v>4.5569031015640897</v>
      </c>
      <c r="G24" s="226"/>
      <c r="H24" s="227"/>
    </row>
    <row r="26" spans="1:18" ht="51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53.229226721114685</v>
      </c>
    </row>
    <row r="28" spans="1:18" x14ac:dyDescent="0.25">
      <c r="E28" s="223" t="s">
        <v>226</v>
      </c>
      <c r="F28" s="259">
        <f t="shared" si="8"/>
        <v>51.50549446347668</v>
      </c>
    </row>
    <row r="29" spans="1:18" x14ac:dyDescent="0.25">
      <c r="E29" s="223" t="s">
        <v>248</v>
      </c>
      <c r="F29" s="259">
        <f t="shared" si="8"/>
        <v>42.722551023461378</v>
      </c>
    </row>
    <row r="30" spans="1:18" x14ac:dyDescent="0.25">
      <c r="E30" s="223" t="s">
        <v>228</v>
      </c>
      <c r="F30" s="259">
        <f t="shared" si="8"/>
        <v>26.290237926979646</v>
      </c>
    </row>
    <row r="31" spans="1:18" x14ac:dyDescent="0.25">
      <c r="E31" s="223" t="s">
        <v>246</v>
      </c>
      <c r="F31" s="259">
        <f t="shared" si="8"/>
        <v>22.868685790684225</v>
      </c>
    </row>
    <row r="32" spans="1:18" x14ac:dyDescent="0.25">
      <c r="E32" s="223" t="s">
        <v>285</v>
      </c>
      <c r="F32" s="259">
        <f t="shared" si="8"/>
        <v>20.363708252210174</v>
      </c>
    </row>
    <row r="33" spans="5:6" x14ac:dyDescent="0.25">
      <c r="E33" s="223" t="s">
        <v>227</v>
      </c>
      <c r="F33" s="259">
        <f t="shared" si="8"/>
        <v>18.98595943863651</v>
      </c>
    </row>
    <row r="34" spans="5:6" x14ac:dyDescent="0.25">
      <c r="E34" s="223" t="s">
        <v>229</v>
      </c>
      <c r="F34" s="259">
        <f t="shared" si="8"/>
        <v>15.831875161949808</v>
      </c>
    </row>
    <row r="35" spans="5:6" x14ac:dyDescent="0.25">
      <c r="E35" s="224" t="s">
        <v>230</v>
      </c>
      <c r="F35" s="259">
        <f t="shared" si="8"/>
        <v>2.6375102733287696</v>
      </c>
    </row>
    <row r="46" spans="5:6" ht="25.5" x14ac:dyDescent="0.25">
      <c r="E46" s="220" t="s">
        <v>3</v>
      </c>
      <c r="F46" s="221" t="s">
        <v>343</v>
      </c>
    </row>
    <row r="47" spans="5:6" x14ac:dyDescent="0.25">
      <c r="E47" s="222" t="s">
        <v>287</v>
      </c>
      <c r="F47" s="259">
        <f t="shared" ref="F47:F56" si="9">VLOOKUP(E47,$C$13:$I$22,7,0)</f>
        <v>154.00794550765286</v>
      </c>
    </row>
    <row r="48" spans="5:6" x14ac:dyDescent="0.25">
      <c r="E48" s="223" t="s">
        <v>288</v>
      </c>
      <c r="F48" s="259">
        <f t="shared" si="9"/>
        <v>153.17331099625105</v>
      </c>
    </row>
    <row r="49" spans="5:6" x14ac:dyDescent="0.25">
      <c r="E49" s="223" t="s">
        <v>248</v>
      </c>
      <c r="F49" s="259">
        <f t="shared" si="9"/>
        <v>133.10979937785092</v>
      </c>
    </row>
    <row r="50" spans="5:6" x14ac:dyDescent="0.25">
      <c r="E50" s="223" t="s">
        <v>302</v>
      </c>
      <c r="F50" s="259">
        <f t="shared" si="9"/>
        <v>132.48254956731077</v>
      </c>
    </row>
    <row r="51" spans="5:6" x14ac:dyDescent="0.25">
      <c r="E51" s="223" t="s">
        <v>228</v>
      </c>
      <c r="F51" s="259">
        <f t="shared" si="9"/>
        <v>73.508410329953804</v>
      </c>
    </row>
    <row r="52" spans="5:6" x14ac:dyDescent="0.25">
      <c r="E52" s="223" t="s">
        <v>246</v>
      </c>
      <c r="F52" s="259">
        <f t="shared" si="9"/>
        <v>51.361310945524473</v>
      </c>
    </row>
    <row r="53" spans="5:6" x14ac:dyDescent="0.25">
      <c r="E53" s="223" t="s">
        <v>229</v>
      </c>
      <c r="F53" s="259">
        <f t="shared" si="9"/>
        <v>37.591880018375271</v>
      </c>
    </row>
    <row r="54" spans="5:6" x14ac:dyDescent="0.25">
      <c r="E54" s="223" t="s">
        <v>227</v>
      </c>
      <c r="F54" s="259">
        <f t="shared" si="9"/>
        <v>36.428388680927966</v>
      </c>
    </row>
    <row r="55" spans="5:6" x14ac:dyDescent="0.25">
      <c r="E55" s="223" t="s">
        <v>192</v>
      </c>
      <c r="F55" s="259">
        <f t="shared" si="9"/>
        <v>34.76</v>
      </c>
    </row>
    <row r="56" spans="5:6" x14ac:dyDescent="0.25">
      <c r="E56" s="223" t="s">
        <v>230</v>
      </c>
      <c r="F56" s="259">
        <f t="shared" si="9"/>
        <v>1.6591015541117227</v>
      </c>
    </row>
  </sheetData>
  <autoFilter ref="E46:F56" xr:uid="{8BCDA747-D407-4282-8381-F585CCEDDB35}">
    <sortState xmlns:xlrd2="http://schemas.microsoft.com/office/spreadsheetml/2017/richdata2" ref="E47:F56">
      <sortCondition descending="1" ref="F46:F56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G20" sqref="G2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86" t="s">
        <v>202</v>
      </c>
      <c r="H4" s="486"/>
      <c r="I4" s="487" t="s">
        <v>203</v>
      </c>
      <c r="J4" s="487"/>
      <c r="K4" s="488" t="s">
        <v>204</v>
      </c>
      <c r="L4" s="488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308</v>
      </c>
      <c r="G5" s="276" t="s">
        <v>300</v>
      </c>
      <c r="H5" s="276"/>
      <c r="I5" s="276" t="s">
        <v>300</v>
      </c>
      <c r="J5" s="276"/>
      <c r="K5" s="276" t="s">
        <v>300</v>
      </c>
      <c r="L5" s="276"/>
      <c r="M5" s="277"/>
    </row>
    <row r="6" spans="2:13" ht="15" customHeight="1" x14ac:dyDescent="0.25">
      <c r="B6" s="183"/>
      <c r="C6" s="169">
        <f>$C$8+E6</f>
        <v>184513195.56</v>
      </c>
      <c r="D6" s="170">
        <v>1</v>
      </c>
      <c r="E6" s="171">
        <f>D6*$C$8</f>
        <v>92256597.780000001</v>
      </c>
      <c r="F6" s="258"/>
      <c r="G6" s="169">
        <f>'Scenario deep dive_23_dz'!P28</f>
        <v>663290090.45151293</v>
      </c>
      <c r="H6" s="276"/>
      <c r="I6" s="169">
        <f t="shared" ref="I6:J8" si="0">G6-$F$8</f>
        <v>242885713.88808024</v>
      </c>
      <c r="J6" s="169">
        <f t="shared" si="0"/>
        <v>-420404376.56343269</v>
      </c>
      <c r="K6" s="172">
        <f t="shared" ref="K6:L8" si="1">G6/$C6</f>
        <v>3.5948111376989527</v>
      </c>
      <c r="L6" s="172">
        <f t="shared" si="1"/>
        <v>0</v>
      </c>
      <c r="M6" s="277"/>
    </row>
    <row r="7" spans="2:13" x14ac:dyDescent="0.25">
      <c r="C7" s="169">
        <f>$C$8+E7</f>
        <v>138384896.67000002</v>
      </c>
      <c r="D7" s="170">
        <v>0.5</v>
      </c>
      <c r="E7" s="171">
        <f>D7*$C$8</f>
        <v>46128298.890000001</v>
      </c>
      <c r="F7" s="169"/>
      <c r="G7" s="169">
        <f>'Scenario deep dive_23_dz'!L28</f>
        <v>616336981.86591959</v>
      </c>
      <c r="H7" s="169"/>
      <c r="I7" s="169">
        <f t="shared" si="0"/>
        <v>195932605.3024869</v>
      </c>
      <c r="J7" s="169">
        <f t="shared" si="0"/>
        <v>-420404376.56343269</v>
      </c>
      <c r="K7" s="172">
        <f t="shared" si="1"/>
        <v>4.453787925539805</v>
      </c>
      <c r="L7" s="172">
        <f t="shared" si="1"/>
        <v>0</v>
      </c>
    </row>
    <row r="8" spans="2:13" x14ac:dyDescent="0.25">
      <c r="B8" s="174">
        <f>F8/C8</f>
        <v>4.5569031015640897</v>
      </c>
      <c r="C8" s="169">
        <f>'Scenario deep dive_23_dz'!C28</f>
        <v>92256597.780000001</v>
      </c>
      <c r="D8" s="170">
        <v>0</v>
      </c>
      <c r="E8" s="171">
        <f>D8*$C$8</f>
        <v>0</v>
      </c>
      <c r="F8" s="169">
        <f>'Scenario deep dive_23_dz'!D28</f>
        <v>420404376.56343269</v>
      </c>
      <c r="G8" s="169">
        <f>'Scenario deep dive_23_dz'!H28</f>
        <v>507314440.29510599</v>
      </c>
      <c r="H8" s="169"/>
      <c r="I8" s="169">
        <f t="shared" si="0"/>
        <v>86910063.7316733</v>
      </c>
      <c r="J8" s="169">
        <f t="shared" si="0"/>
        <v>-420404376.56343269</v>
      </c>
      <c r="K8" s="172">
        <f t="shared" si="1"/>
        <v>5.498950237736655</v>
      </c>
      <c r="L8" s="172">
        <f t="shared" si="1"/>
        <v>0</v>
      </c>
    </row>
    <row r="9" spans="2:13" x14ac:dyDescent="0.25">
      <c r="C9" s="169"/>
      <c r="D9" s="170"/>
      <c r="E9" s="334"/>
      <c r="F9" s="169"/>
      <c r="G9" s="169"/>
      <c r="L9" s="172"/>
    </row>
    <row r="10" spans="2:13" x14ac:dyDescent="0.25">
      <c r="D10" s="334"/>
      <c r="E10" s="334"/>
    </row>
    <row r="11" spans="2:13" x14ac:dyDescent="0.25">
      <c r="F11" s="489" t="s">
        <v>208</v>
      </c>
      <c r="G11" s="489"/>
      <c r="H11" s="489" t="s">
        <v>209</v>
      </c>
      <c r="I11" s="489"/>
    </row>
    <row r="12" spans="2:13" x14ac:dyDescent="0.25">
      <c r="C12" s="166" t="s">
        <v>205</v>
      </c>
      <c r="D12" s="166" t="s">
        <v>206</v>
      </c>
      <c r="E12" s="97" t="s">
        <v>210</v>
      </c>
      <c r="F12" s="276" t="s">
        <v>300</v>
      </c>
      <c r="G12" s="168"/>
      <c r="H12" s="276" t="s">
        <v>300</v>
      </c>
      <c r="I12" s="168"/>
    </row>
    <row r="13" spans="2:13" x14ac:dyDescent="0.25">
      <c r="C13" s="176">
        <f>C6</f>
        <v>184513195.56</v>
      </c>
      <c r="D13" s="177">
        <v>0.5</v>
      </c>
      <c r="E13" s="176">
        <f>C13-C14</f>
        <v>46128298.889999986</v>
      </c>
      <c r="F13" s="178">
        <f>G6-G7</f>
        <v>46953108.585593343</v>
      </c>
      <c r="G13" s="178">
        <f>H6-H7</f>
        <v>0</v>
      </c>
      <c r="H13" s="172">
        <f t="shared" ref="H13:I14" si="2">F13/$E13</f>
        <v>1.0178807741763953</v>
      </c>
      <c r="I13" s="172">
        <f t="shared" si="2"/>
        <v>0</v>
      </c>
    </row>
    <row r="14" spans="2:13" x14ac:dyDescent="0.25">
      <c r="C14" s="176">
        <f>C7</f>
        <v>138384896.67000002</v>
      </c>
      <c r="D14" s="177">
        <f>D7</f>
        <v>0.5</v>
      </c>
      <c r="E14" s="176">
        <f>C14-C15</f>
        <v>46128298.890000015</v>
      </c>
      <c r="F14" s="178">
        <f>G7-G8</f>
        <v>109022541.5708136</v>
      </c>
      <c r="G14" s="178">
        <f>H7-H8</f>
        <v>0</v>
      </c>
      <c r="H14" s="172">
        <f t="shared" si="2"/>
        <v>2.3634633011461039</v>
      </c>
      <c r="I14" s="172">
        <f t="shared" si="2"/>
        <v>0</v>
      </c>
    </row>
    <row r="15" spans="2:13" x14ac:dyDescent="0.25">
      <c r="C15" s="176">
        <f>C8</f>
        <v>92256597.780000001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V91"/>
  <sheetViews>
    <sheetView showGridLines="0" zoomScale="75" zoomScaleNormal="75" workbookViewId="0">
      <selection activeCell="O12" sqref="O12"/>
    </sheetView>
  </sheetViews>
  <sheetFormatPr defaultColWidth="8.7109375" defaultRowHeight="15" x14ac:dyDescent="0.25"/>
  <cols>
    <col min="1" max="1" width="22" style="97" bestFit="1" customWidth="1"/>
    <col min="2" max="2" width="21.28515625" style="97" bestFit="1" customWidth="1"/>
    <col min="3" max="3" width="12.7109375" style="97" bestFit="1" customWidth="1"/>
    <col min="4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3.85546875" style="97" bestFit="1" customWidth="1"/>
    <col min="11" max="11" width="11.140625" style="97" customWidth="1"/>
    <col min="12" max="12" width="14.140625" style="97" customWidth="1"/>
    <col min="13" max="13" width="0.85546875" style="97" customWidth="1"/>
    <col min="14" max="14" width="13.85546875" style="97" bestFit="1" customWidth="1"/>
    <col min="15" max="15" width="12.140625" style="97" bestFit="1" customWidth="1"/>
    <col min="16" max="16" width="13.85546875" style="97" bestFit="1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21" width="12.7109375" style="97" bestFit="1" customWidth="1"/>
    <col min="22" max="22" width="12.140625" style="97" bestFit="1" customWidth="1"/>
    <col min="23" max="16384" width="8.7109375" style="97"/>
  </cols>
  <sheetData>
    <row r="3" spans="1:22" x14ac:dyDescent="0.25">
      <c r="B3" s="180">
        <f>SUM(C9:C13)</f>
        <v>10219266.309999999</v>
      </c>
      <c r="C3" s="180">
        <f>SUM(D9:D13)</f>
        <v>103543587.85847765</v>
      </c>
    </row>
    <row r="4" spans="1:22" x14ac:dyDescent="0.25">
      <c r="F4" s="498" t="s">
        <v>305</v>
      </c>
      <c r="G4" s="498"/>
      <c r="H4" s="498"/>
      <c r="I4" s="498"/>
      <c r="J4" s="498"/>
      <c r="K4" s="498"/>
      <c r="L4" s="498"/>
      <c r="M4" s="498"/>
      <c r="N4" s="498"/>
      <c r="O4" s="498"/>
      <c r="P4" s="498"/>
    </row>
    <row r="5" spans="1:22" x14ac:dyDescent="0.25">
      <c r="F5" s="492" t="s">
        <v>310</v>
      </c>
      <c r="G5" s="493"/>
      <c r="H5" s="494"/>
      <c r="I5" s="181"/>
      <c r="J5" s="492" t="s">
        <v>311</v>
      </c>
      <c r="K5" s="493"/>
      <c r="L5" s="494"/>
      <c r="N5" s="492" t="s">
        <v>312</v>
      </c>
      <c r="O5" s="493"/>
      <c r="P5" s="494"/>
      <c r="R5" s="97" t="s">
        <v>250</v>
      </c>
    </row>
    <row r="6" spans="1:22" ht="51.75" customHeight="1" x14ac:dyDescent="0.25">
      <c r="B6" s="392" t="s">
        <v>213</v>
      </c>
      <c r="C6" s="394" t="s">
        <v>214</v>
      </c>
      <c r="D6" s="393" t="s">
        <v>215</v>
      </c>
      <c r="E6" s="395"/>
      <c r="F6" s="396" t="s">
        <v>223</v>
      </c>
      <c r="G6" s="395" t="s">
        <v>216</v>
      </c>
      <c r="H6" s="393" t="s">
        <v>217</v>
      </c>
      <c r="I6" s="395"/>
      <c r="J6" s="396" t="s">
        <v>223</v>
      </c>
      <c r="K6" s="395" t="s">
        <v>216</v>
      </c>
      <c r="L6" s="393" t="s">
        <v>217</v>
      </c>
      <c r="M6" s="397"/>
      <c r="N6" s="396" t="s">
        <v>223</v>
      </c>
      <c r="O6" s="395" t="s">
        <v>216</v>
      </c>
      <c r="P6" s="393" t="s">
        <v>217</v>
      </c>
      <c r="R6" s="183" t="s">
        <v>223</v>
      </c>
      <c r="S6" s="183" t="s">
        <v>216</v>
      </c>
      <c r="T6" s="183" t="s">
        <v>217</v>
      </c>
    </row>
    <row r="7" spans="1:22" x14ac:dyDescent="0.25">
      <c r="A7" s="385" t="str">
        <f>VAC_Optim_Scenario!A47</f>
        <v>Gardasil Adolescents</v>
      </c>
      <c r="B7" s="385" t="str">
        <f>VAC_Optim_Scenario!B17</f>
        <v>HCC In Office</v>
      </c>
      <c r="C7" s="389">
        <f>VAC_Optim_Scenario!E17</f>
        <v>1755293</v>
      </c>
      <c r="D7" s="381">
        <f>VAC_Optim_Scenario!G47</f>
        <v>7699972.6835207557</v>
      </c>
      <c r="E7" s="374"/>
      <c r="F7" s="388">
        <v>2140261.2416297528</v>
      </c>
      <c r="G7" s="375">
        <v>0.21931850786720666</v>
      </c>
      <c r="H7" s="377">
        <v>8771701.2329933327</v>
      </c>
      <c r="I7" s="374"/>
      <c r="J7" s="389">
        <v>3510586</v>
      </c>
      <c r="K7" s="379">
        <v>1</v>
      </c>
      <c r="L7" s="381">
        <v>11471247.32886255</v>
      </c>
      <c r="M7" s="376"/>
      <c r="N7" s="389">
        <v>3510586</v>
      </c>
      <c r="O7" s="379">
        <v>1</v>
      </c>
      <c r="P7" s="381">
        <v>11471247.32886255</v>
      </c>
      <c r="R7" s="185">
        <f>VAC_Optim_Scenario!$H47</f>
        <v>2140259.0675274357</v>
      </c>
      <c r="S7" s="177">
        <f>(R7-$C7)/$C7</f>
        <v>0.21931726926925346</v>
      </c>
      <c r="T7" s="185">
        <f>VAC_Optim_Scenario!$J47</f>
        <v>8771695.6424614228</v>
      </c>
      <c r="U7" s="185"/>
      <c r="V7" s="180"/>
    </row>
    <row r="8" spans="1:22" x14ac:dyDescent="0.25">
      <c r="A8" s="386" t="str">
        <f>VAC_Optim_Scenario!A48</f>
        <v>Gardasil Adolescents</v>
      </c>
      <c r="B8" s="386" t="str">
        <f>VAC_Optim_Scenario!B18</f>
        <v>HCP MCM</v>
      </c>
      <c r="C8" s="389">
        <f>VAC_Optim_Scenario!E18</f>
        <v>5365372.8900000006</v>
      </c>
      <c r="D8" s="381">
        <f>VAC_Optim_Scenario!G48</f>
        <v>63849938.934329621</v>
      </c>
      <c r="E8" s="378"/>
      <c r="F8" s="389">
        <v>10730745.778995492</v>
      </c>
      <c r="G8" s="379">
        <v>0.99999999981277921</v>
      </c>
      <c r="H8" s="381">
        <v>94570093.694698274</v>
      </c>
      <c r="I8" s="378"/>
      <c r="J8" s="389">
        <v>10730745.778995492</v>
      </c>
      <c r="K8" s="379">
        <v>0.99999999981277921</v>
      </c>
      <c r="L8" s="381">
        <v>94570093.694698274</v>
      </c>
      <c r="M8" s="380"/>
      <c r="N8" s="389">
        <v>10730745.778995492</v>
      </c>
      <c r="O8" s="379">
        <v>0.99999999981277921</v>
      </c>
      <c r="P8" s="381">
        <v>94570093.694698274</v>
      </c>
      <c r="R8" s="185">
        <f>VAC_Optim_Scenario!$H48</f>
        <v>10730745.780000001</v>
      </c>
      <c r="S8" s="177">
        <f t="shared" ref="S8:S22" si="0">(R8-$C8)/$C8</f>
        <v>1</v>
      </c>
      <c r="T8" s="185">
        <f>VAC_Optim_Scenario!$J48</f>
        <v>94570093.698554069</v>
      </c>
      <c r="U8" s="185"/>
      <c r="V8" s="180"/>
    </row>
    <row r="9" spans="1:22" x14ac:dyDescent="0.25">
      <c r="A9" s="386" t="str">
        <f>VAC_Optim_Scenario!A49</f>
        <v>Gardasil Adolescents</v>
      </c>
      <c r="B9" s="386" t="str">
        <f>VAC_Optim_Scenario!B19</f>
        <v>HCC Social</v>
      </c>
      <c r="C9" s="389">
        <f>VAC_Optim_Scenario!E19</f>
        <v>1873000</v>
      </c>
      <c r="D9" s="381">
        <f>VAC_Optim_Scenario!G49</f>
        <v>16096682.775385505</v>
      </c>
      <c r="E9" s="378"/>
      <c r="F9" s="389">
        <v>3745999.9998775865</v>
      </c>
      <c r="G9" s="379">
        <v>0.99999999993464306</v>
      </c>
      <c r="H9" s="381">
        <v>24398008.748036008</v>
      </c>
      <c r="I9" s="378"/>
      <c r="J9" s="389">
        <v>3745999.9998775865</v>
      </c>
      <c r="K9" s="379">
        <v>0.99999999993464306</v>
      </c>
      <c r="L9" s="381">
        <v>24398008.748036008</v>
      </c>
      <c r="M9" s="380"/>
      <c r="N9" s="389">
        <v>3745999.9998775865</v>
      </c>
      <c r="O9" s="379">
        <v>0.99999999993464306</v>
      </c>
      <c r="P9" s="381">
        <v>24398008.748036008</v>
      </c>
      <c r="R9" s="185">
        <f>VAC_Optim_Scenario!$H49</f>
        <v>3746000.0000000005</v>
      </c>
      <c r="S9" s="177">
        <f t="shared" si="0"/>
        <v>1.0000000000000002</v>
      </c>
      <c r="T9" s="185">
        <f>VAC_Optim_Scenario!$J49</f>
        <v>24398008.748514384</v>
      </c>
      <c r="U9" s="185"/>
      <c r="V9" s="180"/>
    </row>
    <row r="10" spans="1:22" x14ac:dyDescent="0.25">
      <c r="A10" s="386" t="str">
        <f>VAC_Optim_Scenario!A50</f>
        <v>Gardasil Adolescents</v>
      </c>
      <c r="B10" s="386" t="str">
        <f>VAC_Optim_Scenario!B20</f>
        <v>HCC Online Video</v>
      </c>
      <c r="C10" s="389">
        <f>VAC_Optim_Scenario!E20</f>
        <v>173076.94</v>
      </c>
      <c r="D10" s="381">
        <f>VAC_Optim_Scenario!G50</f>
        <v>1709980.3714794049</v>
      </c>
      <c r="E10" s="378"/>
      <c r="F10" s="389">
        <v>346153.88</v>
      </c>
      <c r="G10" s="379">
        <v>1</v>
      </c>
      <c r="H10" s="381">
        <v>2565344.7897080756</v>
      </c>
      <c r="I10" s="378"/>
      <c r="J10" s="389">
        <v>346153.88</v>
      </c>
      <c r="K10" s="379">
        <v>1</v>
      </c>
      <c r="L10" s="381">
        <v>2565344.7897080756</v>
      </c>
      <c r="M10" s="380"/>
      <c r="N10" s="389">
        <v>346153.88</v>
      </c>
      <c r="O10" s="379">
        <v>1</v>
      </c>
      <c r="P10" s="381">
        <v>2565344.7897080756</v>
      </c>
      <c r="R10" s="185">
        <f>VAC_Optim_Scenario!$H50</f>
        <v>346153.88</v>
      </c>
      <c r="S10" s="177">
        <f t="shared" si="0"/>
        <v>1</v>
      </c>
      <c r="T10" s="185">
        <f>VAC_Optim_Scenario!$J50</f>
        <v>2565344.7897080756</v>
      </c>
      <c r="U10" s="185"/>
      <c r="V10" s="180"/>
    </row>
    <row r="11" spans="1:22" x14ac:dyDescent="0.25">
      <c r="A11" s="386" t="str">
        <f>VAC_Optim_Scenario!A51</f>
        <v>Gardasil Adolescents</v>
      </c>
      <c r="B11" s="386" t="str">
        <f>VAC_Optim_Scenario!B21</f>
        <v>HCC Streaming Video</v>
      </c>
      <c r="C11" s="389">
        <f>VAC_Optim_Scenario!E21</f>
        <v>6180125</v>
      </c>
      <c r="D11" s="381">
        <f>VAC_Optim_Scenario!G51</f>
        <v>32683849.841578793</v>
      </c>
      <c r="E11" s="378"/>
      <c r="F11" s="389">
        <v>12360250</v>
      </c>
      <c r="G11" s="379">
        <v>1</v>
      </c>
      <c r="H11" s="381">
        <v>53095070.711939476</v>
      </c>
      <c r="I11" s="378"/>
      <c r="J11" s="389">
        <v>12360250</v>
      </c>
      <c r="K11" s="379">
        <v>1</v>
      </c>
      <c r="L11" s="381">
        <v>53095070.711939476</v>
      </c>
      <c r="M11" s="380"/>
      <c r="N11" s="389">
        <v>12360250</v>
      </c>
      <c r="O11" s="379">
        <v>1</v>
      </c>
      <c r="P11" s="381">
        <v>53095070.711939476</v>
      </c>
      <c r="R11" s="185">
        <f>VAC_Optim_Scenario!$H51</f>
        <v>12360250</v>
      </c>
      <c r="S11" s="177">
        <f t="shared" si="0"/>
        <v>1</v>
      </c>
      <c r="T11" s="185">
        <f>VAC_Optim_Scenario!$J51</f>
        <v>53095070.711939476</v>
      </c>
      <c r="U11" s="185"/>
      <c r="V11" s="180"/>
    </row>
    <row r="12" spans="1:22" x14ac:dyDescent="0.25">
      <c r="A12" s="386" t="str">
        <f>VAC_Optim_Scenario!A52</f>
        <v>Gardasil Adolescents</v>
      </c>
      <c r="B12" s="386" t="str">
        <f>VAC_Optim_Scenario!B22</f>
        <v>HCC Display</v>
      </c>
      <c r="C12" s="389">
        <f>VAC_Optim_Scenario!E22</f>
        <v>1648357.37</v>
      </c>
      <c r="D12" s="381">
        <f>VAC_Optim_Scenario!G52</f>
        <v>23524052.607040178</v>
      </c>
      <c r="E12" s="378"/>
      <c r="F12" s="389">
        <v>3296714.7399051897</v>
      </c>
      <c r="G12" s="379">
        <v>0.99999999994248179</v>
      </c>
      <c r="H12" s="381">
        <v>37741168.477009743</v>
      </c>
      <c r="I12" s="378"/>
      <c r="J12" s="389">
        <v>3296714.7399051897</v>
      </c>
      <c r="K12" s="379">
        <v>0.99999999994248179</v>
      </c>
      <c r="L12" s="381">
        <v>37741168.477009743</v>
      </c>
      <c r="M12" s="380"/>
      <c r="N12" s="389">
        <v>3296714.7399051897</v>
      </c>
      <c r="O12" s="379">
        <v>0.99999999994248179</v>
      </c>
      <c r="P12" s="381">
        <v>37741168.477009743</v>
      </c>
      <c r="R12" s="185">
        <f>VAC_Optim_Scenario!$H52</f>
        <v>3296714.7399999998</v>
      </c>
      <c r="S12" s="177">
        <f t="shared" si="0"/>
        <v>0.99999999999999967</v>
      </c>
      <c r="T12" s="185">
        <f>VAC_Optim_Scenario!$J52</f>
        <v>37741168.477636799</v>
      </c>
      <c r="U12" s="185"/>
      <c r="V12" s="180"/>
    </row>
    <row r="13" spans="1:22" x14ac:dyDescent="0.25">
      <c r="A13" s="386" t="str">
        <f>VAC_Optim_Scenario!A53</f>
        <v>Gardasil Adolescents</v>
      </c>
      <c r="B13" s="386" t="str">
        <f>VAC_Optim_Scenario!B23</f>
        <v>HCC Paid Search</v>
      </c>
      <c r="C13" s="389">
        <f>VAC_Optim_Scenario!E23</f>
        <v>344707</v>
      </c>
      <c r="D13" s="381">
        <f>VAC_Optim_Scenario!G53</f>
        <v>29529022.26299376</v>
      </c>
      <c r="E13" s="378"/>
      <c r="F13" s="389">
        <v>689414</v>
      </c>
      <c r="G13" s="379">
        <v>1</v>
      </c>
      <c r="H13" s="381">
        <v>47970038.190346614</v>
      </c>
      <c r="I13" s="378"/>
      <c r="J13" s="389">
        <v>689414</v>
      </c>
      <c r="K13" s="379">
        <v>1</v>
      </c>
      <c r="L13" s="381">
        <v>47970038.190346614</v>
      </c>
      <c r="M13" s="380"/>
      <c r="N13" s="389">
        <v>689414</v>
      </c>
      <c r="O13" s="379">
        <v>1</v>
      </c>
      <c r="P13" s="381">
        <v>47970038.190346614</v>
      </c>
      <c r="R13" s="185">
        <f>VAC_Optim_Scenario!$H53</f>
        <v>689414</v>
      </c>
      <c r="S13" s="177">
        <f t="shared" si="0"/>
        <v>1</v>
      </c>
      <c r="T13" s="185">
        <f>VAC_Optim_Scenario!$J53</f>
        <v>47970038.190346614</v>
      </c>
      <c r="U13" s="185"/>
      <c r="V13" s="180"/>
    </row>
    <row r="14" spans="1:22" x14ac:dyDescent="0.25">
      <c r="A14" s="386" t="str">
        <f>VAC_Optim_Scenario!A54</f>
        <v>Gardasil Adolescents</v>
      </c>
      <c r="B14" s="386" t="str">
        <f>VAC_Optim_Scenario!B24</f>
        <v>HCC Audio</v>
      </c>
      <c r="C14" s="389">
        <f>VAC_Optim_Scenario!E24</f>
        <v>1437048.41</v>
      </c>
      <c r="D14" s="381">
        <f>VAC_Optim_Scenario!G54</f>
        <v>15944380.745101282</v>
      </c>
      <c r="E14" s="378"/>
      <c r="F14" s="389">
        <v>2874096.8199279392</v>
      </c>
      <c r="G14" s="379">
        <v>0.99999999994985511</v>
      </c>
      <c r="H14" s="381">
        <v>24167162.037735865</v>
      </c>
      <c r="I14" s="378"/>
      <c r="J14" s="389">
        <v>2874096.8199279392</v>
      </c>
      <c r="K14" s="379">
        <v>0.99999999994985511</v>
      </c>
      <c r="L14" s="381">
        <v>24167162.037735865</v>
      </c>
      <c r="M14" s="380"/>
      <c r="N14" s="389">
        <v>2874096.8199279392</v>
      </c>
      <c r="O14" s="379">
        <v>0.99999999994985511</v>
      </c>
      <c r="P14" s="381">
        <v>24167162.037735865</v>
      </c>
      <c r="R14" s="185">
        <f>VAC_Optim_Scenario!$H54</f>
        <v>2874096.82</v>
      </c>
      <c r="S14" s="177">
        <f t="shared" si="0"/>
        <v>1</v>
      </c>
      <c r="T14" s="185">
        <f>VAC_Optim_Scenario!$J54</f>
        <v>24167162.038099419</v>
      </c>
      <c r="U14" s="185"/>
      <c r="V14" s="180"/>
    </row>
    <row r="15" spans="1:22" x14ac:dyDescent="0.25">
      <c r="A15" s="438" t="str">
        <f>VAC_Optim_Scenario!A55</f>
        <v>Gardasil Adolescents</v>
      </c>
      <c r="B15" s="438" t="str">
        <f>VAC_Optim_Scenario!B25</f>
        <v>HCC TV</v>
      </c>
      <c r="C15" s="389">
        <f>VAC_Optim_Scenario!E25</f>
        <v>13503524.99</v>
      </c>
      <c r="D15" s="381">
        <f>VAC_Optim_Scenario!G55</f>
        <v>57317880.122995496</v>
      </c>
      <c r="E15" s="382"/>
      <c r="F15" s="390">
        <v>21861197.876076821</v>
      </c>
      <c r="G15" s="383">
        <v>0.61892527264296349</v>
      </c>
      <c r="H15" s="384">
        <v>80306164.074370816</v>
      </c>
      <c r="I15" s="378"/>
      <c r="J15" s="389">
        <v>27007049.98</v>
      </c>
      <c r="K15" s="379">
        <v>1</v>
      </c>
      <c r="L15" s="381">
        <v>93113170.967925042</v>
      </c>
      <c r="M15" s="380"/>
      <c r="N15" s="389">
        <v>27007049.98</v>
      </c>
      <c r="O15" s="379">
        <v>1</v>
      </c>
      <c r="P15" s="381">
        <v>93113170.967925042</v>
      </c>
      <c r="R15" s="185">
        <f>VAC_Optim_Scenario!$H55</f>
        <v>21861203.521423146</v>
      </c>
      <c r="S15" s="177">
        <f t="shared" si="0"/>
        <v>0.61892569070760428</v>
      </c>
      <c r="T15" s="185">
        <f>VAC_Optim_Scenario!$J55</f>
        <v>80306178.590925008</v>
      </c>
      <c r="U15" s="185"/>
      <c r="V15" s="180"/>
    </row>
    <row r="16" spans="1:22" x14ac:dyDescent="0.25">
      <c r="A16" s="385" t="str">
        <f>VAC_Optim_Scenario!A57</f>
        <v>Gardasil Adults</v>
      </c>
      <c r="B16" s="385" t="str">
        <f>VAC_Optim_Scenario!B27</f>
        <v>HCC InOffice</v>
      </c>
      <c r="C16" s="388">
        <f>VAC_Optim_Scenario!E27</f>
        <v>1134710</v>
      </c>
      <c r="D16" s="377">
        <f>VAC_Optim_Scenario!G57</f>
        <v>1664695.7827721967</v>
      </c>
      <c r="E16" s="374"/>
      <c r="F16" s="388">
        <v>567355</v>
      </c>
      <c r="G16" s="375">
        <v>-0.5</v>
      </c>
      <c r="H16" s="377">
        <v>979252.61536259553</v>
      </c>
      <c r="I16" s="378"/>
      <c r="J16" s="388">
        <v>996025.69606175704</v>
      </c>
      <c r="K16" s="375">
        <v>-0.12222004207087533</v>
      </c>
      <c r="L16" s="377">
        <v>1519016.415985543</v>
      </c>
      <c r="M16" s="380"/>
      <c r="N16" s="388">
        <v>2269420</v>
      </c>
      <c r="O16" s="375">
        <v>1</v>
      </c>
      <c r="P16" s="377">
        <v>2479655.646378072</v>
      </c>
      <c r="R16" s="185">
        <f>VAC_Optim_Scenario!$H57</f>
        <v>567355</v>
      </c>
      <c r="S16" s="177">
        <f t="shared" si="0"/>
        <v>-0.5</v>
      </c>
      <c r="T16" s="185">
        <f>VAC_Optim_Scenario!$J57</f>
        <v>979252.61536259553</v>
      </c>
      <c r="U16" s="185"/>
      <c r="V16" s="180"/>
    </row>
    <row r="17" spans="1:22" x14ac:dyDescent="0.25">
      <c r="A17" s="386" t="str">
        <f>VAC_Optim_Scenario!A58</f>
        <v>Gardasil Adults</v>
      </c>
      <c r="B17" s="386" t="str">
        <f>VAC_Optim_Scenario!B28</f>
        <v>HCP MCM</v>
      </c>
      <c r="C17" s="389">
        <f>VAC_Optim_Scenario!E28</f>
        <v>10503728.719999999</v>
      </c>
      <c r="D17" s="381">
        <f>VAC_Optim_Scenario!G58</f>
        <v>65147335.716204539</v>
      </c>
      <c r="E17" s="378"/>
      <c r="F17" s="389">
        <v>9400581.7135872226</v>
      </c>
      <c r="G17" s="379">
        <v>-0.10502432382057715</v>
      </c>
      <c r="H17" s="381">
        <v>59612727.136933491</v>
      </c>
      <c r="I17" s="378"/>
      <c r="J17" s="389">
        <v>21007457.439999998</v>
      </c>
      <c r="K17" s="379">
        <v>1</v>
      </c>
      <c r="L17" s="381">
        <v>105746944.51778761</v>
      </c>
      <c r="M17" s="380"/>
      <c r="N17" s="389">
        <v>21007457.439999998</v>
      </c>
      <c r="O17" s="379">
        <v>1</v>
      </c>
      <c r="P17" s="381">
        <v>105746944.51778761</v>
      </c>
      <c r="R17" s="185">
        <f>VAC_Optim_Scenario!$H58</f>
        <v>9400578.4541951232</v>
      </c>
      <c r="S17" s="177">
        <f t="shared" si="0"/>
        <v>-0.10502463412867691</v>
      </c>
      <c r="T17" s="185">
        <f>VAC_Optim_Scenario!$J58</f>
        <v>59612710.374401949</v>
      </c>
      <c r="U17" s="185"/>
      <c r="V17" s="180"/>
    </row>
    <row r="18" spans="1:22" x14ac:dyDescent="0.25">
      <c r="A18" s="386" t="str">
        <f>VAC_Optim_Scenario!A59</f>
        <v>Gardasil Adults</v>
      </c>
      <c r="B18" s="386" t="str">
        <f>VAC_Optim_Scenario!B29</f>
        <v>HCC Social</v>
      </c>
      <c r="C18" s="389">
        <f>VAC_Optim_Scenario!E29</f>
        <v>1751000</v>
      </c>
      <c r="D18" s="381">
        <f>VAC_Optim_Scenario!G59</f>
        <v>5381981.983070978</v>
      </c>
      <c r="E18" s="378"/>
      <c r="F18" s="389">
        <v>875500.00000000012</v>
      </c>
      <c r="G18" s="379">
        <v>-0.49999999999999994</v>
      </c>
      <c r="H18" s="381">
        <v>3550783.9011496729</v>
      </c>
      <c r="I18" s="378"/>
      <c r="J18" s="389">
        <v>3502000</v>
      </c>
      <c r="K18" s="379">
        <v>1</v>
      </c>
      <c r="L18" s="381">
        <v>8157559.2524011657</v>
      </c>
      <c r="M18" s="380"/>
      <c r="N18" s="389">
        <v>3502000</v>
      </c>
      <c r="O18" s="379">
        <v>1</v>
      </c>
      <c r="P18" s="381">
        <v>8157559.2524011657</v>
      </c>
      <c r="R18" s="185">
        <f>VAC_Optim_Scenario!$H59</f>
        <v>875500</v>
      </c>
      <c r="S18" s="177">
        <f t="shared" si="0"/>
        <v>-0.5</v>
      </c>
      <c r="T18" s="185">
        <f>VAC_Optim_Scenario!$J59</f>
        <v>3550783.9011496725</v>
      </c>
      <c r="U18" s="185"/>
      <c r="V18" s="180"/>
    </row>
    <row r="19" spans="1:22" x14ac:dyDescent="0.25">
      <c r="A19" s="386" t="str">
        <f>VAC_Optim_Scenario!A60</f>
        <v>Gardasil Adults</v>
      </c>
      <c r="B19" s="386" t="str">
        <f>VAC_Optim_Scenario!B30</f>
        <v>HCC Online Video</v>
      </c>
      <c r="C19" s="389">
        <f>VAC_Optim_Scenario!E30</f>
        <v>1111779.04</v>
      </c>
      <c r="D19" s="381">
        <f>VAC_Optim_Scenario!G60</f>
        <v>4890750.4826741321</v>
      </c>
      <c r="E19" s="378"/>
      <c r="F19" s="389">
        <v>555889.52</v>
      </c>
      <c r="G19" s="379">
        <v>-0.5</v>
      </c>
      <c r="H19" s="381">
        <v>2862164.9247734551</v>
      </c>
      <c r="I19" s="378"/>
      <c r="J19" s="389">
        <v>2223558.08</v>
      </c>
      <c r="K19" s="379">
        <v>1</v>
      </c>
      <c r="L19" s="381">
        <v>7341833.3803386232</v>
      </c>
      <c r="M19" s="380"/>
      <c r="N19" s="389">
        <v>2223558.08</v>
      </c>
      <c r="O19" s="379">
        <v>1</v>
      </c>
      <c r="P19" s="381">
        <v>7341833.3803386232</v>
      </c>
      <c r="R19" s="185">
        <f>VAC_Optim_Scenario!$H60</f>
        <v>555889.52</v>
      </c>
      <c r="S19" s="177">
        <f t="shared" si="0"/>
        <v>-0.5</v>
      </c>
      <c r="T19" s="185">
        <f>VAC_Optim_Scenario!$J60</f>
        <v>2862164.9247734551</v>
      </c>
      <c r="U19" s="185"/>
      <c r="V19" s="180"/>
    </row>
    <row r="20" spans="1:22" x14ac:dyDescent="0.25">
      <c r="A20" s="386" t="str">
        <f>VAC_Optim_Scenario!A61</f>
        <v>Gardasil Adults</v>
      </c>
      <c r="B20" s="386" t="str">
        <f>VAC_Optim_Scenario!B31</f>
        <v>HCC Streaming Video</v>
      </c>
      <c r="C20" s="389">
        <f>VAC_Optim_Scenario!E31</f>
        <v>13418576</v>
      </c>
      <c r="D20" s="381">
        <f>VAC_Optim_Scenario!G61</f>
        <v>22776633.092457965</v>
      </c>
      <c r="E20" s="378"/>
      <c r="F20" s="389">
        <v>6709288</v>
      </c>
      <c r="G20" s="379">
        <v>-0.5</v>
      </c>
      <c r="H20" s="381">
        <v>14020662.293293284</v>
      </c>
      <c r="I20" s="378"/>
      <c r="J20" s="389">
        <v>17512248.412732132</v>
      </c>
      <c r="K20" s="379">
        <v>0.30507502530314184</v>
      </c>
      <c r="L20" s="381">
        <v>27443175.377174091</v>
      </c>
      <c r="M20" s="380"/>
      <c r="N20" s="389">
        <v>26837152</v>
      </c>
      <c r="O20" s="379">
        <v>1</v>
      </c>
      <c r="P20" s="381">
        <v>37000749.620551437</v>
      </c>
      <c r="R20" s="185">
        <f>VAC_Optim_Scenario!$H61</f>
        <v>6709288</v>
      </c>
      <c r="S20" s="177">
        <f t="shared" si="0"/>
        <v>-0.5</v>
      </c>
      <c r="T20" s="185">
        <f>VAC_Optim_Scenario!$J61</f>
        <v>14020662.293293284</v>
      </c>
      <c r="U20" s="185"/>
      <c r="V20" s="180"/>
    </row>
    <row r="21" spans="1:22" x14ac:dyDescent="0.25">
      <c r="A21" s="386" t="str">
        <f>VAC_Optim_Scenario!A62</f>
        <v>Gardasil Adults</v>
      </c>
      <c r="B21" s="386" t="str">
        <f>VAC_Optim_Scenario!B32</f>
        <v>HCC Display</v>
      </c>
      <c r="C21" s="389">
        <f>VAC_Optim_Scenario!E32</f>
        <v>2859426.82</v>
      </c>
      <c r="D21" s="381">
        <f>VAC_Optim_Scenario!G62</f>
        <v>17186128.903236553</v>
      </c>
      <c r="E21" s="378"/>
      <c r="F21" s="389">
        <v>1429713.41</v>
      </c>
      <c r="G21" s="379">
        <v>-0.5</v>
      </c>
      <c r="H21" s="381">
        <v>11338616.521691658</v>
      </c>
      <c r="I21" s="378"/>
      <c r="J21" s="389">
        <v>5718853.6399999997</v>
      </c>
      <c r="K21" s="379">
        <v>1</v>
      </c>
      <c r="L21" s="381">
        <v>26049300.292818822</v>
      </c>
      <c r="M21" s="380"/>
      <c r="N21" s="389">
        <v>5718853.6399999997</v>
      </c>
      <c r="O21" s="379">
        <v>1</v>
      </c>
      <c r="P21" s="381">
        <v>26049300.292818822</v>
      </c>
      <c r="R21" s="185">
        <f>VAC_Optim_Scenario!$H62</f>
        <v>1429713.41</v>
      </c>
      <c r="S21" s="177">
        <f t="shared" si="0"/>
        <v>-0.5</v>
      </c>
      <c r="T21" s="185">
        <f>VAC_Optim_Scenario!$J62</f>
        <v>11338616.521691658</v>
      </c>
      <c r="U21" s="185"/>
      <c r="V21" s="180"/>
    </row>
    <row r="22" spans="1:22" x14ac:dyDescent="0.25">
      <c r="A22" s="386" t="str">
        <f>VAC_Optim_Scenario!A63</f>
        <v>Gardasil Adults</v>
      </c>
      <c r="B22" s="386" t="str">
        <f>VAC_Optim_Scenario!B33</f>
        <v>HCC Paid Search</v>
      </c>
      <c r="C22" s="389">
        <f>VAC_Optim_Scenario!E33</f>
        <v>50000</v>
      </c>
      <c r="D22" s="381">
        <f>VAC_Optim_Scenario!G63</f>
        <v>6809106.9964962909</v>
      </c>
      <c r="E22" s="378"/>
      <c r="F22" s="389">
        <v>100000</v>
      </c>
      <c r="G22" s="379">
        <v>1</v>
      </c>
      <c r="H22" s="381">
        <v>11061426.949900242</v>
      </c>
      <c r="I22" s="378"/>
      <c r="J22" s="389">
        <v>100000</v>
      </c>
      <c r="K22" s="379">
        <v>1</v>
      </c>
      <c r="L22" s="381">
        <v>11061426.949900242</v>
      </c>
      <c r="M22" s="380"/>
      <c r="N22" s="389">
        <v>100000</v>
      </c>
      <c r="O22" s="379">
        <v>1</v>
      </c>
      <c r="P22" s="381">
        <v>11061426.949900242</v>
      </c>
      <c r="R22" s="185">
        <f>VAC_Optim_Scenario!$H63</f>
        <v>100000</v>
      </c>
      <c r="S22" s="177">
        <f t="shared" si="0"/>
        <v>1</v>
      </c>
      <c r="T22" s="185">
        <f>VAC_Optim_Scenario!$J63</f>
        <v>11061426.949900242</v>
      </c>
      <c r="U22" s="185"/>
      <c r="V22" s="180"/>
    </row>
    <row r="23" spans="1:22" x14ac:dyDescent="0.25">
      <c r="A23" s="386" t="str">
        <f>VAC_Optim_Scenario!A64</f>
        <v>Gardasil Adults</v>
      </c>
      <c r="B23" s="386" t="str">
        <f>VAC_Optim_Scenario!B34</f>
        <v>HCC Linear TV</v>
      </c>
      <c r="C23" s="389">
        <f>VAC_Optim_Scenario!E34</f>
        <v>25810928.600000001</v>
      </c>
      <c r="D23" s="381">
        <f>VAC_Optim_Scenario!G64</f>
        <v>38072697.978218496</v>
      </c>
      <c r="E23" s="378"/>
      <c r="F23" s="389">
        <v>12905464.300000001</v>
      </c>
      <c r="G23" s="379">
        <v>-0.5</v>
      </c>
      <c r="H23" s="381">
        <v>23436494.708425995</v>
      </c>
      <c r="I23" s="378"/>
      <c r="J23" s="389">
        <v>21095770.828404028</v>
      </c>
      <c r="K23" s="379">
        <v>-0.18268067161272042</v>
      </c>
      <c r="L23" s="381">
        <v>33058861.446514487</v>
      </c>
      <c r="M23" s="380"/>
      <c r="N23" s="389">
        <v>51621857.200000003</v>
      </c>
      <c r="O23" s="379">
        <v>1</v>
      </c>
      <c r="P23" s="381">
        <v>61849280.337110348</v>
      </c>
      <c r="R23" s="185">
        <f>VAC_Optim_Scenario!$H64</f>
        <v>12905464.300000001</v>
      </c>
      <c r="S23" s="177">
        <f>(R23-$C23)/$C23</f>
        <v>-0.5</v>
      </c>
      <c r="T23" s="185">
        <f>VAC_Optim_Scenario!$J64</f>
        <v>23436494.708425995</v>
      </c>
      <c r="U23" s="185"/>
      <c r="V23" s="180"/>
    </row>
    <row r="24" spans="1:22" x14ac:dyDescent="0.25">
      <c r="A24" s="438" t="str">
        <f>VAC_Optim_Scenario!A65</f>
        <v>Gardasil Adults</v>
      </c>
      <c r="B24" s="438" t="str">
        <f>VAC_Optim_Scenario!B35</f>
        <v>HCC Radio</v>
      </c>
      <c r="C24" s="389">
        <f>VAC_Optim_Scenario!E35</f>
        <v>923975</v>
      </c>
      <c r="D24" s="381">
        <f>VAC_Optim_Scenario!G65</f>
        <v>6005837.5</v>
      </c>
      <c r="E24" s="378"/>
      <c r="F24" s="389">
        <v>461987.5</v>
      </c>
      <c r="G24" s="379">
        <v>-0.5</v>
      </c>
      <c r="H24" s="381">
        <v>4551573.6972596971</v>
      </c>
      <c r="I24" s="378"/>
      <c r="J24" s="389">
        <v>461987.5</v>
      </c>
      <c r="K24" s="379">
        <v>-0.5</v>
      </c>
      <c r="L24" s="381">
        <v>4551573.6972596971</v>
      </c>
      <c r="M24" s="380"/>
      <c r="N24" s="389">
        <v>1847950</v>
      </c>
      <c r="O24" s="379">
        <v>1</v>
      </c>
      <c r="P24" s="381">
        <v>7924750.0920665013</v>
      </c>
      <c r="R24" s="185">
        <f>VAC_Optim_Scenario!$H65</f>
        <v>461987.5</v>
      </c>
      <c r="S24" s="177">
        <f t="shared" ref="S24:S25" si="1">(R24-$C24)/$C24</f>
        <v>-0.5</v>
      </c>
      <c r="T24" s="185">
        <f>VAC_Optim_Scenario!$J65</f>
        <v>4551573.6972596971</v>
      </c>
      <c r="U24" s="185"/>
      <c r="V24" s="180"/>
    </row>
    <row r="25" spans="1:22" x14ac:dyDescent="0.25">
      <c r="A25" s="387" t="str">
        <f>VAC_Optim_Scenario!A66</f>
        <v>Gardasil Adults</v>
      </c>
      <c r="B25" s="438" t="str">
        <f>VAC_Optim_Scenario!B36</f>
        <v>HCC Pharmacy</v>
      </c>
      <c r="C25" s="390">
        <f>VAC_Optim_Scenario!E36</f>
        <v>2411968</v>
      </c>
      <c r="D25" s="384">
        <f>VAC_Optim_Scenario!G66</f>
        <v>4113447.783876779</v>
      </c>
      <c r="E25" s="378"/>
      <c r="F25" s="389">
        <v>1205984</v>
      </c>
      <c r="G25" s="379">
        <v>-0.5</v>
      </c>
      <c r="H25" s="381">
        <v>2315985.5894776098</v>
      </c>
      <c r="I25" s="378"/>
      <c r="J25" s="389">
        <v>1205984</v>
      </c>
      <c r="K25" s="379">
        <v>-0.5</v>
      </c>
      <c r="L25" s="381">
        <v>2315985.5894776098</v>
      </c>
      <c r="M25" s="380"/>
      <c r="N25" s="389">
        <v>4823936</v>
      </c>
      <c r="O25" s="379">
        <v>1</v>
      </c>
      <c r="P25" s="381">
        <v>6587285.4158983044</v>
      </c>
      <c r="R25" s="185">
        <f>VAC_Optim_Scenario!$H66</f>
        <v>1205984</v>
      </c>
      <c r="S25" s="177">
        <f t="shared" si="1"/>
        <v>-0.5</v>
      </c>
      <c r="T25" s="185">
        <f>VAC_Optim_Scenario!$J66</f>
        <v>2315985.5894776098</v>
      </c>
      <c r="U25" s="185"/>
      <c r="V25" s="180"/>
    </row>
    <row r="26" spans="1:22" x14ac:dyDescent="0.25">
      <c r="A26" s="440"/>
      <c r="B26" s="441" t="s">
        <v>175</v>
      </c>
      <c r="C26" s="388">
        <f>SUM(C7:C15)</f>
        <v>32280505.600000001</v>
      </c>
      <c r="D26" s="377">
        <f>SUM(D7:D15)</f>
        <v>248355760.34442478</v>
      </c>
      <c r="E26" s="378"/>
      <c r="F26" s="388">
        <f>SUM(F7:F15)</f>
        <v>58044834.336412787</v>
      </c>
      <c r="G26" s="443">
        <f>(F26-$C$26)/$C$26</f>
        <v>0.79813894663449092</v>
      </c>
      <c r="H26" s="377">
        <f>SUM(H7:H15)</f>
        <v>373584751.95683819</v>
      </c>
      <c r="I26" s="378"/>
      <c r="J26" s="388">
        <f>SUM(J7:J15)</f>
        <v>64561011.19870621</v>
      </c>
      <c r="K26" s="443">
        <f>(J26-$C$26)/$C$26</f>
        <v>0.99999999995992028</v>
      </c>
      <c r="L26" s="377">
        <f>SUM(L7:L15)</f>
        <v>389091304.94626164</v>
      </c>
      <c r="M26" s="380"/>
      <c r="N26" s="388">
        <f>SUM(N7:N15)</f>
        <v>64561011.19870621</v>
      </c>
      <c r="O26" s="443">
        <f>(N26-$C$26)/$C$26</f>
        <v>0.99999999995992028</v>
      </c>
      <c r="P26" s="377">
        <f>SUM(P7:P15)</f>
        <v>389091304.94626164</v>
      </c>
      <c r="R26" s="185"/>
      <c r="S26" s="177"/>
      <c r="T26" s="185"/>
      <c r="U26" s="185"/>
      <c r="V26" s="180"/>
    </row>
    <row r="27" spans="1:22" x14ac:dyDescent="0.25">
      <c r="A27" s="440"/>
      <c r="B27" s="442" t="s">
        <v>286</v>
      </c>
      <c r="C27" s="390">
        <f>SUM(C16:C25)</f>
        <v>59976092.18</v>
      </c>
      <c r="D27" s="384">
        <f>SUM(D16:D25)</f>
        <v>172048616.21900794</v>
      </c>
      <c r="E27" s="378"/>
      <c r="F27" s="390">
        <f>SUM(F16:F25)</f>
        <v>34211763.443587221</v>
      </c>
      <c r="G27" s="444">
        <f>(F27-$C$27)/$C$27</f>
        <v>-0.42957664962713776</v>
      </c>
      <c r="H27" s="384">
        <f>SUM(H16:H25)</f>
        <v>133729688.3382677</v>
      </c>
      <c r="I27" s="378"/>
      <c r="J27" s="390">
        <f>SUM(J16:J25)</f>
        <v>73823885.59719792</v>
      </c>
      <c r="K27" s="444">
        <f>(J27-$C$27)/$C$27</f>
        <v>0.23088855765457308</v>
      </c>
      <c r="L27" s="384">
        <f>SUM(L16:L25)</f>
        <v>227245676.91965786</v>
      </c>
      <c r="M27" s="380"/>
      <c r="N27" s="390">
        <f>SUM(N16:N25)</f>
        <v>119952184.36</v>
      </c>
      <c r="O27" s="444">
        <f>(N27-$C$27)/$C$27</f>
        <v>1</v>
      </c>
      <c r="P27" s="384">
        <f>SUM(P16:P25)</f>
        <v>274198785.50525111</v>
      </c>
      <c r="R27" s="185"/>
      <c r="S27" s="177"/>
      <c r="T27" s="185"/>
      <c r="U27" s="185"/>
      <c r="V27" s="180"/>
    </row>
    <row r="28" spans="1:22" ht="34.35" customHeight="1" x14ac:dyDescent="0.25">
      <c r="B28" s="445" t="s">
        <v>219</v>
      </c>
      <c r="C28" s="446">
        <f>SUM(C7:C25)</f>
        <v>92256597.780000001</v>
      </c>
      <c r="D28" s="447">
        <f>SUM(D7:D25)</f>
        <v>420404376.56343269</v>
      </c>
      <c r="E28" s="179"/>
      <c r="F28" s="446">
        <f>SUM(F7:F25)</f>
        <v>92256597.780000001</v>
      </c>
      <c r="G28" s="448">
        <f>(F28-$C$28)/$C$28</f>
        <v>0</v>
      </c>
      <c r="H28" s="447">
        <f>SUM(H7:H25)</f>
        <v>507314440.29510599</v>
      </c>
      <c r="I28" s="439"/>
      <c r="J28" s="446">
        <f>SUM(J7:J25)</f>
        <v>138384896.79590413</v>
      </c>
      <c r="K28" s="448">
        <f>(J28-$C$28)/$C$28</f>
        <v>0.50000000136471678</v>
      </c>
      <c r="L28" s="447">
        <f>SUM(L7:L25)</f>
        <v>616336981.86591959</v>
      </c>
      <c r="M28" s="380"/>
      <c r="N28" s="446">
        <f>SUM(N7:N25)</f>
        <v>184513195.55870622</v>
      </c>
      <c r="O28" s="448">
        <f>(N28-$C$28)/$C$28</f>
        <v>0.99999999998597633</v>
      </c>
      <c r="P28" s="447">
        <f>SUM(P7:P25)</f>
        <v>663290090.45151293</v>
      </c>
      <c r="R28" s="188">
        <f>SUM(R7:R25)</f>
        <v>92256597.993145689</v>
      </c>
      <c r="S28" s="189">
        <f>(R28-$C$28)/$C$28</f>
        <v>2.3103571268087911E-9</v>
      </c>
      <c r="T28" s="188">
        <f>SUM(T7:T25)</f>
        <v>507314432.46392149</v>
      </c>
    </row>
    <row r="29" spans="1:22" x14ac:dyDescent="0.25">
      <c r="D29" s="391">
        <f>SUM(D7:D15)/D28</f>
        <v>0.59075445972896912</v>
      </c>
      <c r="E29" s="391"/>
      <c r="F29" s="391"/>
      <c r="G29" s="391"/>
      <c r="H29" s="391">
        <f>SUM(H7:H15)/H28</f>
        <v>0.73639684243863246</v>
      </c>
      <c r="I29" s="391"/>
      <c r="J29" s="391"/>
      <c r="K29" s="391"/>
      <c r="L29" s="391">
        <f>SUM(L7:L15)/L28</f>
        <v>0.63129637908196479</v>
      </c>
      <c r="P29" s="391">
        <f>SUM(P7:P15)/P28</f>
        <v>0.58660804759106311</v>
      </c>
    </row>
    <row r="30" spans="1:22" x14ac:dyDescent="0.25">
      <c r="D30" s="391">
        <f>SUM(D16:D25)/D28</f>
        <v>0.40924554027103094</v>
      </c>
      <c r="E30" s="391"/>
      <c r="F30" s="391"/>
      <c r="G30" s="391"/>
      <c r="H30" s="391">
        <f>SUM(H16:H25)/H28</f>
        <v>0.26360315756136732</v>
      </c>
      <c r="I30" s="391"/>
      <c r="J30" s="391"/>
      <c r="K30" s="391"/>
      <c r="L30" s="391">
        <f>SUM(L16:L25)/L28</f>
        <v>0.36870362091803505</v>
      </c>
      <c r="P30" s="391">
        <f>SUM(P16:P25)/P28</f>
        <v>0.41339195240893661</v>
      </c>
    </row>
    <row r="31" spans="1:22" ht="26.85" customHeight="1" x14ac:dyDescent="0.25">
      <c r="F31" s="498" t="str">
        <f>F4</f>
        <v>Optimal channel spend allowed to vary between -50% / +100% of the 2023 channel spend</v>
      </c>
      <c r="G31" s="498"/>
      <c r="H31" s="498"/>
      <c r="I31" s="498"/>
      <c r="J31" s="498"/>
      <c r="K31" s="498"/>
      <c r="L31" s="498"/>
      <c r="M31" s="498"/>
      <c r="N31" s="498"/>
      <c r="O31" s="498"/>
      <c r="P31" s="498"/>
    </row>
    <row r="32" spans="1:22" ht="30.4" customHeight="1" x14ac:dyDescent="0.25">
      <c r="C32" s="490" t="s">
        <v>306</v>
      </c>
      <c r="D32" s="491"/>
      <c r="E32" s="190"/>
      <c r="F32" s="492" t="str">
        <f>F5</f>
        <v>Current Optimal ($92MM)</v>
      </c>
      <c r="G32" s="493"/>
      <c r="H32" s="494"/>
      <c r="I32" s="191"/>
      <c r="J32" s="492" t="str">
        <f>J5</f>
        <v>50% increase optimal ($139M)</v>
      </c>
      <c r="K32" s="493"/>
      <c r="L32" s="494"/>
      <c r="N32" s="492" t="str">
        <f>N5</f>
        <v>100% increase optimal ($185M)</v>
      </c>
      <c r="O32" s="493"/>
      <c r="P32" s="494"/>
    </row>
    <row r="33" spans="1:16" ht="45" x14ac:dyDescent="0.25">
      <c r="B33" s="182" t="s">
        <v>213</v>
      </c>
      <c r="C33" s="192" t="s">
        <v>220</v>
      </c>
      <c r="D33" s="193" t="s">
        <v>221</v>
      </c>
      <c r="E33" s="194"/>
      <c r="F33" s="217" t="s">
        <v>223</v>
      </c>
      <c r="G33" s="193" t="s">
        <v>216</v>
      </c>
      <c r="H33" s="195" t="s">
        <v>217</v>
      </c>
      <c r="I33" s="194"/>
      <c r="J33" s="217" t="s">
        <v>223</v>
      </c>
      <c r="K33" s="193" t="s">
        <v>216</v>
      </c>
      <c r="L33" s="195" t="s">
        <v>217</v>
      </c>
      <c r="N33" s="217" t="s">
        <v>223</v>
      </c>
      <c r="O33" s="193" t="s">
        <v>216</v>
      </c>
      <c r="P33" s="195" t="s">
        <v>217</v>
      </c>
    </row>
    <row r="34" spans="1:16" x14ac:dyDescent="0.25">
      <c r="A34" s="172" t="str">
        <f t="shared" ref="A34:B50" si="2">A7</f>
        <v>Gardasil Adolescents</v>
      </c>
      <c r="B34" s="184" t="str">
        <f t="shared" si="2"/>
        <v>HCC In Office</v>
      </c>
      <c r="C34" s="196">
        <f t="shared" ref="C34:D42" si="3">C7/1000000</f>
        <v>1.755293</v>
      </c>
      <c r="D34" s="283">
        <f t="shared" si="3"/>
        <v>7.6999726835207554</v>
      </c>
      <c r="E34" s="198"/>
      <c r="F34" s="199">
        <f t="shared" ref="F34:F50" si="4">F7/1000000</f>
        <v>2.1402612416297528</v>
      </c>
      <c r="G34" s="200">
        <f t="shared" ref="G34:G50" si="5">G7</f>
        <v>0.21931850786720666</v>
      </c>
      <c r="H34" s="278">
        <f t="shared" ref="H34:H50" si="6">H7/1000000</f>
        <v>8.7717012329933333</v>
      </c>
      <c r="I34" s="198"/>
      <c r="J34" s="199">
        <f t="shared" ref="J34:J50" si="7">J7/1000000</f>
        <v>3.510586</v>
      </c>
      <c r="K34" s="200">
        <f t="shared" ref="K34:K50" si="8">K7</f>
        <v>1</v>
      </c>
      <c r="L34" s="278">
        <f t="shared" ref="L34:L50" si="9">L7/1000000</f>
        <v>11.47124732886255</v>
      </c>
      <c r="N34" s="199">
        <f t="shared" ref="N34:N50" si="10">N7/1000000</f>
        <v>3.510586</v>
      </c>
      <c r="O34" s="200">
        <f t="shared" ref="O34:O50" si="11">O7</f>
        <v>1</v>
      </c>
      <c r="P34" s="201">
        <f t="shared" ref="P34:P50" si="12">P7/1000000</f>
        <v>11.47124732886255</v>
      </c>
    </row>
    <row r="35" spans="1:16" x14ac:dyDescent="0.25">
      <c r="A35" s="172" t="str">
        <f t="shared" si="2"/>
        <v>Gardasil Adolescents</v>
      </c>
      <c r="B35" s="184" t="str">
        <f t="shared" si="2"/>
        <v>HCP MCM</v>
      </c>
      <c r="C35" s="202">
        <f t="shared" si="3"/>
        <v>5.3653728900000006</v>
      </c>
      <c r="D35" s="284">
        <f t="shared" si="3"/>
        <v>63.849938934329622</v>
      </c>
      <c r="E35" s="198"/>
      <c r="F35" s="204">
        <f t="shared" si="4"/>
        <v>10.730745778995491</v>
      </c>
      <c r="G35" s="205">
        <f t="shared" si="5"/>
        <v>0.99999999981277921</v>
      </c>
      <c r="H35" s="279">
        <f t="shared" si="6"/>
        <v>94.570093694698272</v>
      </c>
      <c r="I35" s="198"/>
      <c r="J35" s="204">
        <f t="shared" si="7"/>
        <v>10.730745778995491</v>
      </c>
      <c r="K35" s="200">
        <f t="shared" si="8"/>
        <v>0.99999999981277921</v>
      </c>
      <c r="L35" s="279">
        <f t="shared" si="9"/>
        <v>94.570093694698272</v>
      </c>
      <c r="N35" s="204">
        <f t="shared" si="10"/>
        <v>10.730745778995491</v>
      </c>
      <c r="O35" s="200">
        <f t="shared" si="11"/>
        <v>0.99999999981277921</v>
      </c>
      <c r="P35" s="206">
        <f t="shared" si="12"/>
        <v>94.570093694698272</v>
      </c>
    </row>
    <row r="36" spans="1:16" x14ac:dyDescent="0.25">
      <c r="A36" s="172" t="str">
        <f t="shared" si="2"/>
        <v>Gardasil Adolescents</v>
      </c>
      <c r="B36" s="184" t="str">
        <f t="shared" si="2"/>
        <v>HCC Social</v>
      </c>
      <c r="C36" s="202">
        <f t="shared" si="3"/>
        <v>1.873</v>
      </c>
      <c r="D36" s="284">
        <f t="shared" si="3"/>
        <v>16.096682775385503</v>
      </c>
      <c r="E36" s="198"/>
      <c r="F36" s="204">
        <f t="shared" si="4"/>
        <v>3.7459999998775864</v>
      </c>
      <c r="G36" s="205">
        <f t="shared" si="5"/>
        <v>0.99999999993464306</v>
      </c>
      <c r="H36" s="279">
        <f t="shared" si="6"/>
        <v>24.398008748036009</v>
      </c>
      <c r="I36" s="198"/>
      <c r="J36" s="204">
        <f t="shared" si="7"/>
        <v>3.7459999998775864</v>
      </c>
      <c r="K36" s="200">
        <f t="shared" si="8"/>
        <v>0.99999999993464306</v>
      </c>
      <c r="L36" s="279">
        <f t="shared" si="9"/>
        <v>24.398008748036009</v>
      </c>
      <c r="N36" s="204">
        <f t="shared" si="10"/>
        <v>3.7459999998775864</v>
      </c>
      <c r="O36" s="200">
        <f t="shared" si="11"/>
        <v>0.99999999993464306</v>
      </c>
      <c r="P36" s="206">
        <f t="shared" si="12"/>
        <v>24.398008748036009</v>
      </c>
    </row>
    <row r="37" spans="1:16" x14ac:dyDescent="0.25">
      <c r="A37" s="172" t="str">
        <f t="shared" si="2"/>
        <v>Gardasil Adolescents</v>
      </c>
      <c r="B37" s="184" t="str">
        <f t="shared" si="2"/>
        <v>HCC Online Video</v>
      </c>
      <c r="C37" s="202">
        <f t="shared" si="3"/>
        <v>0.17307694000000001</v>
      </c>
      <c r="D37" s="284">
        <f t="shared" si="3"/>
        <v>1.7099803714794048</v>
      </c>
      <c r="E37" s="198"/>
      <c r="F37" s="204">
        <f t="shared" si="4"/>
        <v>0.34615388000000002</v>
      </c>
      <c r="G37" s="205">
        <f t="shared" si="5"/>
        <v>1</v>
      </c>
      <c r="H37" s="279">
        <f t="shared" si="6"/>
        <v>2.5653447897080754</v>
      </c>
      <c r="I37" s="198"/>
      <c r="J37" s="204">
        <f t="shared" si="7"/>
        <v>0.34615388000000002</v>
      </c>
      <c r="K37" s="200">
        <f t="shared" si="8"/>
        <v>1</v>
      </c>
      <c r="L37" s="279">
        <f t="shared" si="9"/>
        <v>2.5653447897080754</v>
      </c>
      <c r="N37" s="204">
        <f t="shared" si="10"/>
        <v>0.34615388000000002</v>
      </c>
      <c r="O37" s="200">
        <f t="shared" si="11"/>
        <v>1</v>
      </c>
      <c r="P37" s="206">
        <f t="shared" si="12"/>
        <v>2.5653447897080754</v>
      </c>
    </row>
    <row r="38" spans="1:16" x14ac:dyDescent="0.25">
      <c r="A38" s="172" t="str">
        <f t="shared" si="2"/>
        <v>Gardasil Adolescents</v>
      </c>
      <c r="B38" s="184" t="str">
        <f t="shared" si="2"/>
        <v>HCC Streaming Video</v>
      </c>
      <c r="C38" s="202">
        <f t="shared" si="3"/>
        <v>6.1801250000000003</v>
      </c>
      <c r="D38" s="284">
        <f t="shared" si="3"/>
        <v>32.683849841578791</v>
      </c>
      <c r="E38" s="198"/>
      <c r="F38" s="204">
        <f t="shared" si="4"/>
        <v>12.360250000000001</v>
      </c>
      <c r="G38" s="205">
        <f t="shared" si="5"/>
        <v>1</v>
      </c>
      <c r="H38" s="279">
        <f t="shared" si="6"/>
        <v>53.095070711939478</v>
      </c>
      <c r="I38" s="198"/>
      <c r="J38" s="204">
        <f t="shared" si="7"/>
        <v>12.360250000000001</v>
      </c>
      <c r="K38" s="200">
        <f t="shared" si="8"/>
        <v>1</v>
      </c>
      <c r="L38" s="279">
        <f t="shared" si="9"/>
        <v>53.095070711939478</v>
      </c>
      <c r="N38" s="204">
        <f t="shared" si="10"/>
        <v>12.360250000000001</v>
      </c>
      <c r="O38" s="200">
        <f t="shared" si="11"/>
        <v>1</v>
      </c>
      <c r="P38" s="206">
        <f t="shared" si="12"/>
        <v>53.095070711939478</v>
      </c>
    </row>
    <row r="39" spans="1:16" x14ac:dyDescent="0.25">
      <c r="A39" s="172" t="str">
        <f t="shared" si="2"/>
        <v>Gardasil Adolescents</v>
      </c>
      <c r="B39" s="184" t="str">
        <f t="shared" si="2"/>
        <v>HCC Display</v>
      </c>
      <c r="C39" s="202">
        <f t="shared" si="3"/>
        <v>1.64835737</v>
      </c>
      <c r="D39" s="284">
        <f t="shared" si="3"/>
        <v>23.524052607040179</v>
      </c>
      <c r="E39" s="198"/>
      <c r="F39" s="204">
        <f t="shared" si="4"/>
        <v>3.2967147399051897</v>
      </c>
      <c r="G39" s="205">
        <f t="shared" si="5"/>
        <v>0.99999999994248179</v>
      </c>
      <c r="H39" s="279">
        <f t="shared" si="6"/>
        <v>37.741168477009744</v>
      </c>
      <c r="I39" s="198"/>
      <c r="J39" s="204">
        <f t="shared" si="7"/>
        <v>3.2967147399051897</v>
      </c>
      <c r="K39" s="200">
        <f t="shared" si="8"/>
        <v>0.99999999994248179</v>
      </c>
      <c r="L39" s="279">
        <f t="shared" si="9"/>
        <v>37.741168477009744</v>
      </c>
      <c r="N39" s="204">
        <f t="shared" si="10"/>
        <v>3.2967147399051897</v>
      </c>
      <c r="O39" s="200">
        <f t="shared" si="11"/>
        <v>0.99999999994248179</v>
      </c>
      <c r="P39" s="206">
        <f t="shared" si="12"/>
        <v>37.741168477009744</v>
      </c>
    </row>
    <row r="40" spans="1:16" x14ac:dyDescent="0.25">
      <c r="A40" s="172" t="str">
        <f t="shared" si="2"/>
        <v>Gardasil Adolescents</v>
      </c>
      <c r="B40" s="184" t="str">
        <f t="shared" si="2"/>
        <v>HCC Paid Search</v>
      </c>
      <c r="C40" s="202">
        <f t="shared" si="3"/>
        <v>0.34470699999999999</v>
      </c>
      <c r="D40" s="284">
        <f t="shared" si="3"/>
        <v>29.52902226299376</v>
      </c>
      <c r="E40" s="198"/>
      <c r="F40" s="204">
        <f t="shared" si="4"/>
        <v>0.68941399999999997</v>
      </c>
      <c r="G40" s="205">
        <f t="shared" si="5"/>
        <v>1</v>
      </c>
      <c r="H40" s="279">
        <f t="shared" si="6"/>
        <v>47.970038190346614</v>
      </c>
      <c r="I40" s="198"/>
      <c r="J40" s="204">
        <f t="shared" si="7"/>
        <v>0.68941399999999997</v>
      </c>
      <c r="K40" s="200">
        <f t="shared" si="8"/>
        <v>1</v>
      </c>
      <c r="L40" s="279">
        <f t="shared" si="9"/>
        <v>47.970038190346614</v>
      </c>
      <c r="N40" s="204">
        <f t="shared" si="10"/>
        <v>0.68941399999999997</v>
      </c>
      <c r="O40" s="200">
        <f t="shared" si="11"/>
        <v>1</v>
      </c>
      <c r="P40" s="206">
        <f t="shared" si="12"/>
        <v>47.970038190346614</v>
      </c>
    </row>
    <row r="41" spans="1:16" x14ac:dyDescent="0.25">
      <c r="A41" s="172" t="str">
        <f t="shared" si="2"/>
        <v>Gardasil Adolescents</v>
      </c>
      <c r="B41" s="184" t="str">
        <f t="shared" si="2"/>
        <v>HCC Audio</v>
      </c>
      <c r="C41" s="202">
        <f t="shared" si="3"/>
        <v>1.4370484099999998</v>
      </c>
      <c r="D41" s="284">
        <f t="shared" si="3"/>
        <v>15.944380745101283</v>
      </c>
      <c r="E41" s="198"/>
      <c r="F41" s="204">
        <f t="shared" si="4"/>
        <v>2.8740968199279391</v>
      </c>
      <c r="G41" s="205">
        <f t="shared" si="5"/>
        <v>0.99999999994985511</v>
      </c>
      <c r="H41" s="279">
        <f t="shared" si="6"/>
        <v>24.167162037735864</v>
      </c>
      <c r="I41" s="198"/>
      <c r="J41" s="204">
        <f t="shared" si="7"/>
        <v>2.8740968199279391</v>
      </c>
      <c r="K41" s="200">
        <f t="shared" si="8"/>
        <v>0.99999999994985511</v>
      </c>
      <c r="L41" s="279">
        <f t="shared" si="9"/>
        <v>24.167162037735864</v>
      </c>
      <c r="N41" s="204">
        <f t="shared" si="10"/>
        <v>2.8740968199279391</v>
      </c>
      <c r="O41" s="200">
        <f t="shared" si="11"/>
        <v>0.99999999994985511</v>
      </c>
      <c r="P41" s="206">
        <f t="shared" si="12"/>
        <v>24.167162037735864</v>
      </c>
    </row>
    <row r="42" spans="1:16" x14ac:dyDescent="0.25">
      <c r="A42" s="172" t="str">
        <f t="shared" si="2"/>
        <v>Gardasil Adolescents</v>
      </c>
      <c r="B42" s="184" t="str">
        <f t="shared" si="2"/>
        <v>HCC TV</v>
      </c>
      <c r="C42" s="202">
        <f t="shared" si="3"/>
        <v>13.503524990000001</v>
      </c>
      <c r="D42" s="284">
        <f t="shared" si="3"/>
        <v>57.317880122995497</v>
      </c>
      <c r="E42" s="198"/>
      <c r="F42" s="204">
        <f t="shared" si="4"/>
        <v>21.861197876076822</v>
      </c>
      <c r="G42" s="205">
        <f t="shared" si="5"/>
        <v>0.61892527264296349</v>
      </c>
      <c r="H42" s="279">
        <f t="shared" si="6"/>
        <v>80.306164074370813</v>
      </c>
      <c r="I42" s="198"/>
      <c r="J42" s="204">
        <f t="shared" si="7"/>
        <v>27.007049980000001</v>
      </c>
      <c r="K42" s="200">
        <f t="shared" si="8"/>
        <v>1</v>
      </c>
      <c r="L42" s="279">
        <f t="shared" si="9"/>
        <v>93.113170967925043</v>
      </c>
      <c r="N42" s="204">
        <f t="shared" si="10"/>
        <v>27.007049980000001</v>
      </c>
      <c r="O42" s="200">
        <f t="shared" si="11"/>
        <v>1</v>
      </c>
      <c r="P42" s="206">
        <f t="shared" si="12"/>
        <v>93.113170967925043</v>
      </c>
    </row>
    <row r="43" spans="1:16" x14ac:dyDescent="0.25">
      <c r="A43" s="172" t="str">
        <f t="shared" si="2"/>
        <v>Gardasil Adults</v>
      </c>
      <c r="B43" s="184" t="str">
        <f t="shared" si="2"/>
        <v>HCC InOffice</v>
      </c>
      <c r="C43" s="202">
        <f t="shared" ref="C43:D43" si="13">C16/1000000</f>
        <v>1.1347100000000001</v>
      </c>
      <c r="D43" s="284">
        <f t="shared" si="13"/>
        <v>1.6646957827721967</v>
      </c>
      <c r="E43" s="198"/>
      <c r="F43" s="204">
        <f t="shared" si="4"/>
        <v>0.56735500000000005</v>
      </c>
      <c r="G43" s="205">
        <f t="shared" si="5"/>
        <v>-0.5</v>
      </c>
      <c r="H43" s="279">
        <f t="shared" si="6"/>
        <v>0.97925261536259556</v>
      </c>
      <c r="I43" s="198"/>
      <c r="J43" s="204">
        <f t="shared" si="7"/>
        <v>0.99602569606175706</v>
      </c>
      <c r="K43" s="200">
        <f t="shared" si="8"/>
        <v>-0.12222004207087533</v>
      </c>
      <c r="L43" s="279">
        <f t="shared" si="9"/>
        <v>1.519016415985543</v>
      </c>
      <c r="N43" s="204">
        <f t="shared" si="10"/>
        <v>2.2694200000000002</v>
      </c>
      <c r="O43" s="200">
        <f t="shared" si="11"/>
        <v>1</v>
      </c>
      <c r="P43" s="206">
        <f t="shared" si="12"/>
        <v>2.4796556463780721</v>
      </c>
    </row>
    <row r="44" spans="1:16" x14ac:dyDescent="0.25">
      <c r="A44" s="172" t="str">
        <f t="shared" si="2"/>
        <v>Gardasil Adults</v>
      </c>
      <c r="B44" s="184" t="str">
        <f t="shared" si="2"/>
        <v>HCP MCM</v>
      </c>
      <c r="C44" s="202">
        <f t="shared" ref="C44:D44" si="14">C17/1000000</f>
        <v>10.503728719999998</v>
      </c>
      <c r="D44" s="284">
        <f t="shared" si="14"/>
        <v>65.147335716204537</v>
      </c>
      <c r="E44" s="198"/>
      <c r="F44" s="204">
        <f t="shared" si="4"/>
        <v>9.4005817135872221</v>
      </c>
      <c r="G44" s="205">
        <f t="shared" si="5"/>
        <v>-0.10502432382057715</v>
      </c>
      <c r="H44" s="279">
        <f t="shared" si="6"/>
        <v>59.612727136933493</v>
      </c>
      <c r="I44" s="198"/>
      <c r="J44" s="204">
        <f t="shared" si="7"/>
        <v>21.007457439999996</v>
      </c>
      <c r="K44" s="200">
        <f t="shared" si="8"/>
        <v>1</v>
      </c>
      <c r="L44" s="279">
        <f t="shared" si="9"/>
        <v>105.74694451778761</v>
      </c>
      <c r="N44" s="204">
        <f t="shared" si="10"/>
        <v>21.007457439999996</v>
      </c>
      <c r="O44" s="200">
        <f t="shared" si="11"/>
        <v>1</v>
      </c>
      <c r="P44" s="206">
        <f t="shared" si="12"/>
        <v>105.74694451778761</v>
      </c>
    </row>
    <row r="45" spans="1:16" x14ac:dyDescent="0.25">
      <c r="A45" s="172" t="str">
        <f t="shared" si="2"/>
        <v>Gardasil Adults</v>
      </c>
      <c r="B45" s="184" t="str">
        <f t="shared" si="2"/>
        <v>HCC Social</v>
      </c>
      <c r="C45" s="202">
        <f t="shared" ref="C45:D45" si="15">C18/1000000</f>
        <v>1.7509999999999999</v>
      </c>
      <c r="D45" s="284">
        <f t="shared" si="15"/>
        <v>5.3819819830709781</v>
      </c>
      <c r="E45" s="198"/>
      <c r="F45" s="204">
        <f t="shared" si="4"/>
        <v>0.87550000000000017</v>
      </c>
      <c r="G45" s="205">
        <f t="shared" si="5"/>
        <v>-0.49999999999999994</v>
      </c>
      <c r="H45" s="279">
        <f t="shared" si="6"/>
        <v>3.5507839011496731</v>
      </c>
      <c r="I45" s="198"/>
      <c r="J45" s="204">
        <f t="shared" si="7"/>
        <v>3.5019999999999998</v>
      </c>
      <c r="K45" s="200">
        <f t="shared" si="8"/>
        <v>1</v>
      </c>
      <c r="L45" s="279">
        <f t="shared" si="9"/>
        <v>8.1575592524011658</v>
      </c>
      <c r="N45" s="204">
        <f t="shared" si="10"/>
        <v>3.5019999999999998</v>
      </c>
      <c r="O45" s="200">
        <f t="shared" si="11"/>
        <v>1</v>
      </c>
      <c r="P45" s="206">
        <f t="shared" si="12"/>
        <v>8.1575592524011658</v>
      </c>
    </row>
    <row r="46" spans="1:16" x14ac:dyDescent="0.25">
      <c r="A46" s="172" t="str">
        <f t="shared" si="2"/>
        <v>Gardasil Adults</v>
      </c>
      <c r="B46" s="184" t="str">
        <f t="shared" si="2"/>
        <v>HCC Online Video</v>
      </c>
      <c r="C46" s="202">
        <f t="shared" ref="C46:D46" si="16">C19/1000000</f>
        <v>1.1117790400000001</v>
      </c>
      <c r="D46" s="284">
        <f t="shared" si="16"/>
        <v>4.8907504826741324</v>
      </c>
      <c r="E46" s="198"/>
      <c r="F46" s="204">
        <f t="shared" si="4"/>
        <v>0.55588952000000003</v>
      </c>
      <c r="G46" s="205">
        <f t="shared" si="5"/>
        <v>-0.5</v>
      </c>
      <c r="H46" s="279">
        <f t="shared" si="6"/>
        <v>2.8621649247734551</v>
      </c>
      <c r="I46" s="198"/>
      <c r="J46" s="204">
        <f t="shared" si="7"/>
        <v>2.2235580800000001</v>
      </c>
      <c r="K46" s="200">
        <f t="shared" si="8"/>
        <v>1</v>
      </c>
      <c r="L46" s="279">
        <f t="shared" si="9"/>
        <v>7.3418333803386231</v>
      </c>
      <c r="N46" s="204">
        <f t="shared" si="10"/>
        <v>2.2235580800000001</v>
      </c>
      <c r="O46" s="200">
        <f t="shared" si="11"/>
        <v>1</v>
      </c>
      <c r="P46" s="206">
        <f t="shared" si="12"/>
        <v>7.3418333803386231</v>
      </c>
    </row>
    <row r="47" spans="1:16" x14ac:dyDescent="0.25">
      <c r="A47" s="172" t="str">
        <f t="shared" si="2"/>
        <v>Gardasil Adults</v>
      </c>
      <c r="B47" s="184" t="str">
        <f t="shared" si="2"/>
        <v>HCC Streaming Video</v>
      </c>
      <c r="C47" s="202">
        <f t="shared" ref="C47:D47" si="17">C20/1000000</f>
        <v>13.418576</v>
      </c>
      <c r="D47" s="284">
        <f t="shared" si="17"/>
        <v>22.776633092457963</v>
      </c>
      <c r="E47" s="198"/>
      <c r="F47" s="204">
        <f t="shared" si="4"/>
        <v>6.7092879999999999</v>
      </c>
      <c r="G47" s="205">
        <f t="shared" si="5"/>
        <v>-0.5</v>
      </c>
      <c r="H47" s="279">
        <f t="shared" si="6"/>
        <v>14.020662293293285</v>
      </c>
      <c r="I47" s="198"/>
      <c r="J47" s="204">
        <f t="shared" si="7"/>
        <v>17.512248412732131</v>
      </c>
      <c r="K47" s="200">
        <f t="shared" si="8"/>
        <v>0.30507502530314184</v>
      </c>
      <c r="L47" s="279">
        <f t="shared" si="9"/>
        <v>27.443175377174089</v>
      </c>
      <c r="N47" s="204">
        <f t="shared" si="10"/>
        <v>26.837152</v>
      </c>
      <c r="O47" s="200">
        <f t="shared" si="11"/>
        <v>1</v>
      </c>
      <c r="P47" s="206">
        <f t="shared" si="12"/>
        <v>37.000749620551439</v>
      </c>
    </row>
    <row r="48" spans="1:16" x14ac:dyDescent="0.25">
      <c r="A48" s="172" t="str">
        <f t="shared" si="2"/>
        <v>Gardasil Adults</v>
      </c>
      <c r="B48" s="184" t="str">
        <f t="shared" si="2"/>
        <v>HCC Display</v>
      </c>
      <c r="C48" s="202">
        <f t="shared" ref="C48:D48" si="18">C21/1000000</f>
        <v>2.8594268199999999</v>
      </c>
      <c r="D48" s="284">
        <f t="shared" si="18"/>
        <v>17.186128903236554</v>
      </c>
      <c r="E48" s="198"/>
      <c r="F48" s="204">
        <f t="shared" si="4"/>
        <v>1.42971341</v>
      </c>
      <c r="G48" s="205">
        <f t="shared" si="5"/>
        <v>-0.5</v>
      </c>
      <c r="H48" s="279">
        <f t="shared" si="6"/>
        <v>11.338616521691657</v>
      </c>
      <c r="I48" s="198"/>
      <c r="J48" s="204">
        <f t="shared" si="7"/>
        <v>5.7188536399999998</v>
      </c>
      <c r="K48" s="200">
        <f t="shared" si="8"/>
        <v>1</v>
      </c>
      <c r="L48" s="279">
        <f t="shared" si="9"/>
        <v>26.04930029281882</v>
      </c>
      <c r="N48" s="204">
        <f t="shared" si="10"/>
        <v>5.7188536399999998</v>
      </c>
      <c r="O48" s="200">
        <f t="shared" si="11"/>
        <v>1</v>
      </c>
      <c r="P48" s="206">
        <f t="shared" si="12"/>
        <v>26.04930029281882</v>
      </c>
    </row>
    <row r="49" spans="1:16" x14ac:dyDescent="0.25">
      <c r="A49" s="172" t="str">
        <f t="shared" si="2"/>
        <v>Gardasil Adults</v>
      </c>
      <c r="B49" s="184" t="str">
        <f t="shared" si="2"/>
        <v>HCC Paid Search</v>
      </c>
      <c r="C49" s="202">
        <f t="shared" ref="C49:D49" si="19">C22/1000000</f>
        <v>0.05</v>
      </c>
      <c r="D49" s="284">
        <f t="shared" si="19"/>
        <v>6.8091069964962907</v>
      </c>
      <c r="E49" s="198"/>
      <c r="F49" s="204">
        <f t="shared" si="4"/>
        <v>0.1</v>
      </c>
      <c r="G49" s="205">
        <f t="shared" si="5"/>
        <v>1</v>
      </c>
      <c r="H49" s="279">
        <f t="shared" si="6"/>
        <v>11.061426949900241</v>
      </c>
      <c r="I49" s="198"/>
      <c r="J49" s="204">
        <f t="shared" si="7"/>
        <v>0.1</v>
      </c>
      <c r="K49" s="200">
        <f t="shared" si="8"/>
        <v>1</v>
      </c>
      <c r="L49" s="279">
        <f t="shared" si="9"/>
        <v>11.061426949900241</v>
      </c>
      <c r="N49" s="204">
        <f t="shared" si="10"/>
        <v>0.1</v>
      </c>
      <c r="O49" s="200">
        <f t="shared" si="11"/>
        <v>1</v>
      </c>
      <c r="P49" s="206">
        <f t="shared" si="12"/>
        <v>11.061426949900241</v>
      </c>
    </row>
    <row r="50" spans="1:16" x14ac:dyDescent="0.25">
      <c r="A50" s="172" t="str">
        <f t="shared" si="2"/>
        <v>Gardasil Adults</v>
      </c>
      <c r="B50" s="184" t="str">
        <f t="shared" si="2"/>
        <v>HCC Linear TV</v>
      </c>
      <c r="C50" s="202">
        <f>C23/1000000</f>
        <v>25.8109286</v>
      </c>
      <c r="D50" s="284">
        <f>D23/1000000</f>
        <v>38.072697978218493</v>
      </c>
      <c r="E50" s="198"/>
      <c r="F50" s="204">
        <f t="shared" si="4"/>
        <v>12.9054643</v>
      </c>
      <c r="G50" s="205">
        <f t="shared" si="5"/>
        <v>-0.5</v>
      </c>
      <c r="H50" s="279">
        <f t="shared" si="6"/>
        <v>23.436494708425997</v>
      </c>
      <c r="I50" s="198"/>
      <c r="J50" s="204">
        <f t="shared" si="7"/>
        <v>21.095770828404028</v>
      </c>
      <c r="K50" s="200">
        <f t="shared" si="8"/>
        <v>-0.18268067161272042</v>
      </c>
      <c r="L50" s="279">
        <f t="shared" si="9"/>
        <v>33.058861446514484</v>
      </c>
      <c r="N50" s="204">
        <f t="shared" si="10"/>
        <v>51.621857200000001</v>
      </c>
      <c r="O50" s="200">
        <f t="shared" si="11"/>
        <v>1</v>
      </c>
      <c r="P50" s="206">
        <f t="shared" si="12"/>
        <v>61.849280337110351</v>
      </c>
    </row>
    <row r="51" spans="1:16" x14ac:dyDescent="0.25">
      <c r="A51" s="172" t="str">
        <f>A24</f>
        <v>Gardasil Adults</v>
      </c>
      <c r="B51" s="184" t="str">
        <f>B24</f>
        <v>HCC Radio</v>
      </c>
      <c r="C51" s="202">
        <f t="shared" ref="C51:D51" si="20">C24/1000000</f>
        <v>0.92397499999999999</v>
      </c>
      <c r="D51" s="284">
        <f t="shared" si="20"/>
        <v>6.0058375000000002</v>
      </c>
      <c r="E51" s="198"/>
      <c r="F51" s="204">
        <f>F24/1000000</f>
        <v>0.4619875</v>
      </c>
      <c r="G51" s="205">
        <f>G24</f>
        <v>-0.5</v>
      </c>
      <c r="H51" s="279">
        <f>H24/1000000</f>
        <v>4.5515736972596974</v>
      </c>
      <c r="I51" s="198"/>
      <c r="J51" s="204">
        <f>J24/1000000</f>
        <v>0.4619875</v>
      </c>
      <c r="K51" s="200">
        <f>K24</f>
        <v>-0.5</v>
      </c>
      <c r="L51" s="279">
        <f>L24/1000000</f>
        <v>4.5515736972596974</v>
      </c>
      <c r="N51" s="204">
        <f>N24/1000000</f>
        <v>1.84795</v>
      </c>
      <c r="O51" s="200">
        <f>O24</f>
        <v>1</v>
      </c>
      <c r="P51" s="206">
        <f>P24/1000000</f>
        <v>7.9247500920665015</v>
      </c>
    </row>
    <row r="52" spans="1:16" x14ac:dyDescent="0.25">
      <c r="A52" s="172" t="str">
        <f>A25</f>
        <v>Gardasil Adults</v>
      </c>
      <c r="B52" s="184" t="str">
        <f>B25</f>
        <v>HCC Pharmacy</v>
      </c>
      <c r="C52" s="202">
        <f t="shared" ref="C52:D52" si="21">C25/1000000</f>
        <v>2.4119679999999999</v>
      </c>
      <c r="D52" s="284">
        <f t="shared" si="21"/>
        <v>4.1134477838767793</v>
      </c>
      <c r="E52" s="198"/>
      <c r="F52" s="204">
        <f>F25/1000000</f>
        <v>1.2059839999999999</v>
      </c>
      <c r="G52" s="205">
        <f>G25</f>
        <v>-0.5</v>
      </c>
      <c r="H52" s="279">
        <f>H25/1000000</f>
        <v>2.3159855894776098</v>
      </c>
      <c r="I52" s="198"/>
      <c r="J52" s="204">
        <f>J25/1000000</f>
        <v>1.2059839999999999</v>
      </c>
      <c r="K52" s="200">
        <f>K25</f>
        <v>-0.5</v>
      </c>
      <c r="L52" s="279">
        <f>L25/1000000</f>
        <v>2.3159855894776098</v>
      </c>
      <c r="N52" s="204">
        <f>N25/1000000</f>
        <v>4.8239359999999998</v>
      </c>
      <c r="O52" s="200">
        <f>O25</f>
        <v>1</v>
      </c>
      <c r="P52" s="206">
        <f>P25/1000000</f>
        <v>6.5872854158983047</v>
      </c>
    </row>
    <row r="53" spans="1:16" x14ac:dyDescent="0.25">
      <c r="A53" s="172"/>
      <c r="B53" s="207" t="str">
        <f>B26</f>
        <v>Gardasil Adolescents</v>
      </c>
      <c r="C53" s="208">
        <f t="shared" ref="C53:D53" si="22">C26/1000000</f>
        <v>32.280505600000005</v>
      </c>
      <c r="D53" s="285">
        <f t="shared" si="22"/>
        <v>248.35576034442479</v>
      </c>
      <c r="E53" s="210"/>
      <c r="F53" s="211">
        <f t="shared" ref="F53:F54" si="23">F26/1000000</f>
        <v>58.044834336412791</v>
      </c>
      <c r="G53" s="205">
        <f t="shared" ref="G53:G54" si="24">G26</f>
        <v>0.79813894663449092</v>
      </c>
      <c r="H53" s="216">
        <f t="shared" ref="H53:H54" si="25">H26/1000000</f>
        <v>373.5847519568382</v>
      </c>
      <c r="I53" s="210"/>
      <c r="J53" s="211">
        <f t="shared" ref="J53:J54" si="26">J26/1000000</f>
        <v>64.561011198706211</v>
      </c>
      <c r="K53" s="205">
        <f t="shared" ref="K53:K54" si="27">K26</f>
        <v>0.99999999995992028</v>
      </c>
      <c r="L53" s="216">
        <f t="shared" ref="L53:L54" si="28">L26/1000000</f>
        <v>389.09130494626163</v>
      </c>
      <c r="N53" s="211">
        <f t="shared" ref="N53:N54" si="29">N26/1000000</f>
        <v>64.561011198706211</v>
      </c>
      <c r="O53" s="205">
        <f t="shared" ref="O53:O54" si="30">O26</f>
        <v>0.99999999995992028</v>
      </c>
      <c r="P53" s="216">
        <f t="shared" ref="P53:P54" si="31">P26/1000000</f>
        <v>389.09130494626163</v>
      </c>
    </row>
    <row r="54" spans="1:16" x14ac:dyDescent="0.25">
      <c r="A54" s="172"/>
      <c r="B54" s="207" t="str">
        <f>B27</f>
        <v>Gardasil Adults</v>
      </c>
      <c r="C54" s="208">
        <f t="shared" ref="C54:D54" si="32">C27/1000000</f>
        <v>59.976092180000002</v>
      </c>
      <c r="D54" s="285">
        <f t="shared" si="32"/>
        <v>172.04861621900793</v>
      </c>
      <c r="E54" s="210"/>
      <c r="F54" s="211">
        <f t="shared" si="23"/>
        <v>34.211763443587223</v>
      </c>
      <c r="G54" s="205">
        <f t="shared" si="24"/>
        <v>-0.42957664962713776</v>
      </c>
      <c r="H54" s="216">
        <f t="shared" si="25"/>
        <v>133.72968833826769</v>
      </c>
      <c r="I54" s="210"/>
      <c r="J54" s="211">
        <f t="shared" si="26"/>
        <v>73.823885597197915</v>
      </c>
      <c r="K54" s="205">
        <f t="shared" si="27"/>
        <v>0.23088855765457308</v>
      </c>
      <c r="L54" s="216">
        <f t="shared" si="28"/>
        <v>227.24567691965785</v>
      </c>
      <c r="N54" s="211">
        <f t="shared" si="29"/>
        <v>119.95218436</v>
      </c>
      <c r="O54" s="205">
        <f t="shared" si="30"/>
        <v>1</v>
      </c>
      <c r="P54" s="216">
        <f t="shared" si="31"/>
        <v>274.19878550525112</v>
      </c>
    </row>
    <row r="55" spans="1:16" ht="29.65" customHeight="1" x14ac:dyDescent="0.25">
      <c r="B55" s="207" t="s">
        <v>219</v>
      </c>
      <c r="C55" s="208">
        <f>C28/1000000</f>
        <v>92.256597780000007</v>
      </c>
      <c r="D55" s="285">
        <f>D28/1000000</f>
        <v>420.40437656343272</v>
      </c>
      <c r="E55" s="210"/>
      <c r="F55" s="211">
        <f>F28/1000000</f>
        <v>92.256597780000007</v>
      </c>
      <c r="G55" s="212">
        <f>G28</f>
        <v>0</v>
      </c>
      <c r="H55" s="216">
        <f>H28/1000000</f>
        <v>507.31444029510601</v>
      </c>
      <c r="I55" s="210"/>
      <c r="J55" s="211">
        <f>J28/1000000</f>
        <v>138.38489679590413</v>
      </c>
      <c r="K55" s="212">
        <f>K28</f>
        <v>0.50000000136471678</v>
      </c>
      <c r="L55" s="216">
        <f>L28/1000000</f>
        <v>616.3369818659196</v>
      </c>
      <c r="N55" s="211">
        <f>N28/1000000</f>
        <v>184.51319555870623</v>
      </c>
      <c r="O55" s="212">
        <f>O28</f>
        <v>0.99999999998597633</v>
      </c>
      <c r="P55" s="216">
        <f>P28/1000000</f>
        <v>663.29009045151292</v>
      </c>
    </row>
    <row r="56" spans="1:16" ht="45" x14ac:dyDescent="0.25">
      <c r="B56" s="280" t="s">
        <v>307</v>
      </c>
      <c r="C56" s="336" t="str">
        <f>_xlfn.CONCAT("ROI"," ", ,C57)</f>
        <v>ROI 4.56</v>
      </c>
      <c r="D56" s="209"/>
      <c r="E56" s="210"/>
      <c r="F56" s="211" t="str">
        <f>_xlfn.CONCAT("ROI"," ", ,F57)</f>
        <v>ROI 5.5</v>
      </c>
      <c r="G56" s="212"/>
      <c r="H56" s="282" t="s">
        <v>341</v>
      </c>
      <c r="I56" s="210"/>
      <c r="J56" s="211" t="str">
        <f>_xlfn.CONCAT("ROI"," ", ,J57)</f>
        <v>ROI 4.45</v>
      </c>
      <c r="K56" s="212"/>
      <c r="L56" s="282" t="s">
        <v>342</v>
      </c>
      <c r="N56" s="211" t="str">
        <f>_xlfn.CONCAT("ROI"," ", ,N57)</f>
        <v>ROI 3.59</v>
      </c>
      <c r="O56" s="212"/>
      <c r="P56" s="282" t="s">
        <v>329</v>
      </c>
    </row>
    <row r="57" spans="1:16" x14ac:dyDescent="0.25">
      <c r="C57" s="97">
        <f>ROUND(D55/C55,2)</f>
        <v>4.5599999999999996</v>
      </c>
      <c r="F57" s="97">
        <f>ROUND(H55/F55,2)</f>
        <v>5.5</v>
      </c>
      <c r="H57" s="216">
        <f>(H55-$D$55)</f>
        <v>86.91006373167329</v>
      </c>
      <c r="J57" s="97">
        <f>ROUND(L55/J55,2)</f>
        <v>4.45</v>
      </c>
      <c r="L57" s="216">
        <f>(L55-$D$55)</f>
        <v>195.93260530248688</v>
      </c>
      <c r="N57" s="97">
        <f>ROUND(P55/N55,2)</f>
        <v>3.59</v>
      </c>
      <c r="P57" s="216">
        <f>(P55-$D$55)</f>
        <v>242.8857138880802</v>
      </c>
    </row>
    <row r="58" spans="1:16" x14ac:dyDescent="0.25">
      <c r="H58" s="335">
        <f>H57/$D$55</f>
        <v>0.20672968355399571</v>
      </c>
      <c r="J58" s="248"/>
      <c r="K58" s="248"/>
      <c r="L58" s="335">
        <f>L57/$D$55</f>
        <v>0.46605748233195088</v>
      </c>
      <c r="M58" s="248"/>
      <c r="N58" s="248"/>
      <c r="O58" s="248"/>
      <c r="P58" s="335">
        <f>P57/$D$55</f>
        <v>0.57774306698120781</v>
      </c>
    </row>
    <row r="60" spans="1:16" x14ac:dyDescent="0.25">
      <c r="B60" s="499" t="s">
        <v>255</v>
      </c>
      <c r="C60" s="499"/>
      <c r="D60" s="499"/>
      <c r="E60" s="499"/>
      <c r="F60" s="499"/>
      <c r="G60" s="499"/>
      <c r="H60" s="499"/>
      <c r="I60" s="499"/>
    </row>
    <row r="61" spans="1:16" x14ac:dyDescent="0.25">
      <c r="B61" s="499"/>
      <c r="C61" s="499"/>
      <c r="D61" s="499"/>
      <c r="E61" s="499"/>
      <c r="F61" s="499"/>
      <c r="G61" s="499"/>
      <c r="H61" s="499"/>
      <c r="I61" s="499"/>
    </row>
    <row r="63" spans="1:16" x14ac:dyDescent="0.25">
      <c r="F63" s="492" t="s">
        <v>244</v>
      </c>
      <c r="G63" s="493"/>
      <c r="H63" s="494"/>
      <c r="I63" s="181"/>
      <c r="J63" s="500"/>
      <c r="K63" s="501"/>
      <c r="L63" s="502"/>
    </row>
    <row r="64" spans="1:16" ht="45" x14ac:dyDescent="0.25">
      <c r="B64" s="182" t="s">
        <v>213</v>
      </c>
      <c r="C64" s="97" t="s">
        <v>214</v>
      </c>
      <c r="D64" s="183" t="s">
        <v>215</v>
      </c>
      <c r="E64" s="183"/>
      <c r="F64" s="97" t="s">
        <v>214</v>
      </c>
      <c r="G64" s="183" t="s">
        <v>216</v>
      </c>
      <c r="H64" s="183" t="s">
        <v>217</v>
      </c>
      <c r="I64" s="183"/>
      <c r="J64" s="97" t="s">
        <v>214</v>
      </c>
      <c r="K64" s="183" t="s">
        <v>216</v>
      </c>
      <c r="L64" s="183" t="s">
        <v>217</v>
      </c>
    </row>
    <row r="65" spans="2:12" x14ac:dyDescent="0.25">
      <c r="B65" s="184" t="s">
        <v>226</v>
      </c>
      <c r="C65" s="185"/>
      <c r="D65" s="185"/>
      <c r="E65" s="185"/>
      <c r="F65" s="185"/>
      <c r="G65" s="177"/>
      <c r="H65" s="185"/>
      <c r="I65" s="185"/>
      <c r="J65" s="185"/>
      <c r="K65" s="177"/>
      <c r="L65" s="185"/>
    </row>
    <row r="66" spans="2:12" x14ac:dyDescent="0.25">
      <c r="B66" s="186" t="s">
        <v>227</v>
      </c>
      <c r="C66" s="185"/>
      <c r="D66" s="185"/>
      <c r="E66" s="185"/>
      <c r="F66" s="185"/>
      <c r="G66" s="177"/>
      <c r="H66" s="185"/>
      <c r="I66" s="185"/>
      <c r="J66" s="185"/>
      <c r="K66" s="177"/>
      <c r="L66" s="185"/>
    </row>
    <row r="67" spans="2:12" x14ac:dyDescent="0.25">
      <c r="B67" s="186" t="s">
        <v>228</v>
      </c>
      <c r="C67" s="185"/>
      <c r="D67" s="185"/>
      <c r="E67" s="185"/>
      <c r="F67" s="185"/>
      <c r="G67" s="177"/>
      <c r="H67" s="185"/>
      <c r="I67" s="185"/>
      <c r="J67" s="185"/>
      <c r="K67" s="177"/>
      <c r="L67" s="185"/>
    </row>
    <row r="68" spans="2:12" x14ac:dyDescent="0.25">
      <c r="B68" s="186" t="s">
        <v>239</v>
      </c>
      <c r="C68" s="185"/>
      <c r="D68" s="185"/>
      <c r="E68" s="185"/>
      <c r="F68" s="185"/>
      <c r="G68" s="177"/>
      <c r="H68" s="185"/>
      <c r="I68" s="185"/>
      <c r="J68" s="185"/>
      <c r="K68" s="177"/>
      <c r="L68" s="185"/>
    </row>
    <row r="69" spans="2:12" x14ac:dyDescent="0.25">
      <c r="B69" s="186" t="s">
        <v>229</v>
      </c>
      <c r="C69" s="185"/>
      <c r="D69" s="185"/>
      <c r="E69" s="185"/>
      <c r="F69" s="185"/>
      <c r="G69" s="177"/>
      <c r="H69" s="185"/>
      <c r="I69" s="185"/>
      <c r="J69" s="185"/>
      <c r="K69" s="177"/>
      <c r="L69" s="185"/>
    </row>
    <row r="70" spans="2:12" x14ac:dyDescent="0.25">
      <c r="B70" s="186" t="s">
        <v>230</v>
      </c>
      <c r="C70" s="185"/>
      <c r="D70" s="185"/>
      <c r="E70" s="185"/>
      <c r="F70" s="185"/>
      <c r="G70" s="177"/>
      <c r="H70" s="185"/>
      <c r="I70" s="185"/>
      <c r="J70" s="185"/>
      <c r="K70" s="177"/>
      <c r="L70" s="185"/>
    </row>
    <row r="71" spans="2:12" x14ac:dyDescent="0.25">
      <c r="B71" s="186" t="s">
        <v>192</v>
      </c>
      <c r="C71" s="185"/>
      <c r="D71" s="185"/>
      <c r="E71" s="185"/>
      <c r="F71" s="185"/>
      <c r="G71" s="177"/>
      <c r="H71" s="185"/>
      <c r="I71" s="185"/>
      <c r="J71" s="185"/>
      <c r="K71" s="177"/>
      <c r="L71" s="185"/>
    </row>
    <row r="72" spans="2:12" x14ac:dyDescent="0.25">
      <c r="B72" s="186" t="s">
        <v>189</v>
      </c>
      <c r="C72" s="185"/>
      <c r="D72" s="185"/>
      <c r="E72" s="185"/>
      <c r="F72" s="185"/>
      <c r="G72" s="177"/>
      <c r="H72" s="185"/>
      <c r="I72" s="185"/>
      <c r="J72" s="185"/>
      <c r="K72" s="177"/>
      <c r="L72" s="185"/>
    </row>
    <row r="73" spans="2:12" x14ac:dyDescent="0.25">
      <c r="B73" s="186" t="s">
        <v>231</v>
      </c>
      <c r="C73" s="185"/>
      <c r="D73" s="185"/>
      <c r="E73" s="185"/>
      <c r="F73" s="185"/>
      <c r="G73" s="177"/>
      <c r="H73" s="185"/>
      <c r="I73" s="185"/>
      <c r="J73" s="185"/>
      <c r="K73" s="177"/>
      <c r="L73" s="185"/>
    </row>
    <row r="74" spans="2:12" x14ac:dyDescent="0.25">
      <c r="B74" s="187" t="s">
        <v>219</v>
      </c>
      <c r="C74" s="188">
        <f>SUM(C65:C73)</f>
        <v>0</v>
      </c>
      <c r="D74" s="188">
        <f>SUM(D65:D73)</f>
        <v>0</v>
      </c>
      <c r="E74" s="179"/>
      <c r="F74" s="188">
        <f>SUM(F65:F73)</f>
        <v>0</v>
      </c>
      <c r="G74" s="189">
        <f>(F74-$C$28)/$C$28</f>
        <v>-1</v>
      </c>
      <c r="H74" s="188">
        <f>SUM(H65:H73)</f>
        <v>0</v>
      </c>
      <c r="I74" s="179"/>
      <c r="J74" s="188">
        <f>SUM(J65:J73)</f>
        <v>0</v>
      </c>
      <c r="K74" s="179"/>
      <c r="L74" s="188">
        <f>SUM(L65:L73)</f>
        <v>0</v>
      </c>
    </row>
    <row r="75" spans="2:12" x14ac:dyDescent="0.25">
      <c r="D75" s="97" t="e">
        <f>D74/C74</f>
        <v>#DIV/0!</v>
      </c>
    </row>
    <row r="77" spans="2:12" ht="27.6" customHeight="1" x14ac:dyDescent="0.25">
      <c r="F77" s="503" t="str">
        <f>B60</f>
        <v>Optimal Channel Spend  allowed to vary between  of the 2021 spend</v>
      </c>
      <c r="G77" s="503"/>
      <c r="H77" s="503"/>
      <c r="I77" s="503"/>
    </row>
    <row r="78" spans="2:12" x14ac:dyDescent="0.25">
      <c r="C78" s="490" t="s">
        <v>245</v>
      </c>
      <c r="D78" s="491"/>
      <c r="E78" s="190"/>
      <c r="F78" s="492" t="str">
        <f>F63</f>
        <v>Current Optimal ($MM)</v>
      </c>
      <c r="G78" s="493"/>
      <c r="H78" s="494"/>
      <c r="I78" s="191"/>
      <c r="J78" s="495"/>
      <c r="K78" s="496"/>
      <c r="L78" s="497"/>
    </row>
    <row r="79" spans="2:12" ht="45" x14ac:dyDescent="0.25">
      <c r="B79" s="182" t="s">
        <v>213</v>
      </c>
      <c r="C79" s="193" t="s">
        <v>223</v>
      </c>
      <c r="D79" s="193" t="s">
        <v>221</v>
      </c>
      <c r="E79" s="194"/>
      <c r="F79" s="217" t="s">
        <v>223</v>
      </c>
      <c r="G79" s="193" t="s">
        <v>216</v>
      </c>
      <c r="H79" s="195" t="s">
        <v>217</v>
      </c>
      <c r="I79" s="194"/>
      <c r="J79" s="217" t="s">
        <v>223</v>
      </c>
      <c r="K79" s="193" t="s">
        <v>216</v>
      </c>
      <c r="L79" s="195" t="s">
        <v>217</v>
      </c>
    </row>
    <row r="80" spans="2:12" x14ac:dyDescent="0.25">
      <c r="B80" s="184" t="s">
        <v>155</v>
      </c>
      <c r="C80" s="196">
        <f t="shared" ref="C80:D86" si="33">C65/1000000</f>
        <v>0</v>
      </c>
      <c r="D80" s="197">
        <f t="shared" si="33"/>
        <v>0</v>
      </c>
      <c r="E80" s="198"/>
      <c r="F80" s="199">
        <f t="shared" ref="F80:F86" si="34">F65/1000000</f>
        <v>0</v>
      </c>
      <c r="G80" s="200">
        <f t="shared" ref="G80:G86" si="35">G65</f>
        <v>0</v>
      </c>
      <c r="H80" s="201">
        <f t="shared" ref="H80:H86" si="36">H65/1000000</f>
        <v>0</v>
      </c>
      <c r="I80" s="198"/>
      <c r="J80" s="199">
        <f t="shared" ref="J80:J86" si="37">J65/1000000</f>
        <v>0</v>
      </c>
      <c r="K80" s="200">
        <f t="shared" ref="K80:K86" si="38">K65</f>
        <v>0</v>
      </c>
      <c r="L80" s="201">
        <f t="shared" ref="L80:L86" si="39">L65/1000000</f>
        <v>0</v>
      </c>
    </row>
    <row r="81" spans="2:12" x14ac:dyDescent="0.25">
      <c r="B81" s="186" t="s">
        <v>93</v>
      </c>
      <c r="C81" s="202">
        <f t="shared" si="33"/>
        <v>0</v>
      </c>
      <c r="D81" s="203">
        <f t="shared" si="33"/>
        <v>0</v>
      </c>
      <c r="E81" s="198"/>
      <c r="F81" s="204">
        <f t="shared" si="34"/>
        <v>0</v>
      </c>
      <c r="G81" s="205">
        <f t="shared" si="35"/>
        <v>0</v>
      </c>
      <c r="H81" s="206">
        <f t="shared" si="36"/>
        <v>0</v>
      </c>
      <c r="I81" s="198"/>
      <c r="J81" s="204">
        <f t="shared" si="37"/>
        <v>0</v>
      </c>
      <c r="K81" s="200">
        <f t="shared" si="38"/>
        <v>0</v>
      </c>
      <c r="L81" s="206">
        <f t="shared" si="39"/>
        <v>0</v>
      </c>
    </row>
    <row r="82" spans="2:12" x14ac:dyDescent="0.25">
      <c r="B82" s="186" t="s">
        <v>164</v>
      </c>
      <c r="C82" s="202">
        <f t="shared" si="33"/>
        <v>0</v>
      </c>
      <c r="D82" s="203">
        <f t="shared" si="33"/>
        <v>0</v>
      </c>
      <c r="E82" s="198"/>
      <c r="F82" s="204">
        <f t="shared" si="34"/>
        <v>0</v>
      </c>
      <c r="G82" s="205">
        <f t="shared" si="35"/>
        <v>0</v>
      </c>
      <c r="H82" s="206">
        <f t="shared" si="36"/>
        <v>0</v>
      </c>
      <c r="I82" s="198"/>
      <c r="J82" s="204">
        <f t="shared" si="37"/>
        <v>0</v>
      </c>
      <c r="K82" s="200">
        <f t="shared" si="38"/>
        <v>0</v>
      </c>
      <c r="L82" s="206">
        <f t="shared" si="39"/>
        <v>0</v>
      </c>
    </row>
    <row r="83" spans="2:12" x14ac:dyDescent="0.25">
      <c r="B83" s="186" t="s">
        <v>165</v>
      </c>
      <c r="C83" s="202">
        <f t="shared" si="33"/>
        <v>0</v>
      </c>
      <c r="D83" s="203">
        <f t="shared" si="33"/>
        <v>0</v>
      </c>
      <c r="E83" s="198"/>
      <c r="F83" s="204">
        <f t="shared" si="34"/>
        <v>0</v>
      </c>
      <c r="G83" s="205">
        <f t="shared" si="35"/>
        <v>0</v>
      </c>
      <c r="H83" s="206">
        <f t="shared" si="36"/>
        <v>0</v>
      </c>
      <c r="I83" s="198"/>
      <c r="J83" s="204">
        <f t="shared" si="37"/>
        <v>0</v>
      </c>
      <c r="K83" s="200">
        <f t="shared" si="38"/>
        <v>0</v>
      </c>
      <c r="L83" s="206">
        <f t="shared" si="39"/>
        <v>0</v>
      </c>
    </row>
    <row r="84" spans="2:12" x14ac:dyDescent="0.25">
      <c r="B84" s="186" t="s">
        <v>167</v>
      </c>
      <c r="C84" s="202">
        <f t="shared" si="33"/>
        <v>0</v>
      </c>
      <c r="D84" s="203">
        <f t="shared" si="33"/>
        <v>0</v>
      </c>
      <c r="E84" s="198"/>
      <c r="F84" s="204">
        <f t="shared" si="34"/>
        <v>0</v>
      </c>
      <c r="G84" s="205">
        <f t="shared" si="35"/>
        <v>0</v>
      </c>
      <c r="H84" s="206">
        <f t="shared" si="36"/>
        <v>0</v>
      </c>
      <c r="I84" s="198"/>
      <c r="J84" s="204">
        <f t="shared" si="37"/>
        <v>0</v>
      </c>
      <c r="K84" s="200">
        <f t="shared" si="38"/>
        <v>0</v>
      </c>
      <c r="L84" s="206">
        <f t="shared" si="39"/>
        <v>0</v>
      </c>
    </row>
    <row r="85" spans="2:12" x14ac:dyDescent="0.25">
      <c r="B85" s="186" t="s">
        <v>166</v>
      </c>
      <c r="C85" s="202">
        <f t="shared" si="33"/>
        <v>0</v>
      </c>
      <c r="D85" s="203">
        <f t="shared" si="33"/>
        <v>0</v>
      </c>
      <c r="E85" s="198"/>
      <c r="F85" s="204">
        <f t="shared" si="34"/>
        <v>0</v>
      </c>
      <c r="G85" s="205">
        <f t="shared" si="35"/>
        <v>0</v>
      </c>
      <c r="H85" s="206">
        <f t="shared" si="36"/>
        <v>0</v>
      </c>
      <c r="I85" s="198"/>
      <c r="J85" s="204">
        <f t="shared" si="37"/>
        <v>0</v>
      </c>
      <c r="K85" s="200">
        <f t="shared" si="38"/>
        <v>0</v>
      </c>
      <c r="L85" s="206">
        <f t="shared" si="39"/>
        <v>0</v>
      </c>
    </row>
    <row r="86" spans="2:12" x14ac:dyDescent="0.25">
      <c r="B86" s="186" t="s">
        <v>162</v>
      </c>
      <c r="C86" s="202">
        <f t="shared" si="33"/>
        <v>0</v>
      </c>
      <c r="D86" s="203">
        <f t="shared" si="33"/>
        <v>0</v>
      </c>
      <c r="E86" s="198"/>
      <c r="F86" s="204">
        <f t="shared" si="34"/>
        <v>0</v>
      </c>
      <c r="G86" s="205">
        <f t="shared" si="35"/>
        <v>0</v>
      </c>
      <c r="H86" s="206">
        <f t="shared" si="36"/>
        <v>0</v>
      </c>
      <c r="I86" s="198"/>
      <c r="J86" s="204">
        <f t="shared" si="37"/>
        <v>0</v>
      </c>
      <c r="K86" s="200">
        <f t="shared" si="38"/>
        <v>0</v>
      </c>
      <c r="L86" s="206">
        <f t="shared" si="39"/>
        <v>0</v>
      </c>
    </row>
    <row r="87" spans="2:12" x14ac:dyDescent="0.25">
      <c r="B87" s="186" t="s">
        <v>218</v>
      </c>
      <c r="C87" s="202">
        <f t="shared" ref="C87:D88" si="40">C73/1000000</f>
        <v>0</v>
      </c>
      <c r="D87" s="203">
        <f t="shared" si="40"/>
        <v>0</v>
      </c>
      <c r="E87" s="198"/>
      <c r="F87" s="204">
        <f t="shared" ref="F87:F88" si="41">F73/1000000</f>
        <v>0</v>
      </c>
      <c r="G87" s="205">
        <f t="shared" ref="G87" si="42">G73</f>
        <v>0</v>
      </c>
      <c r="H87" s="206">
        <f t="shared" ref="H87:H88" si="43">H73/1000000</f>
        <v>0</v>
      </c>
      <c r="I87" s="198"/>
      <c r="J87" s="204">
        <f t="shared" ref="J87:J88" si="44">J73/1000000</f>
        <v>0</v>
      </c>
      <c r="K87" s="200">
        <f t="shared" ref="K87" si="45">K73</f>
        <v>0</v>
      </c>
      <c r="L87" s="206">
        <f t="shared" ref="L87:L88" si="46">L73/1000000</f>
        <v>0</v>
      </c>
    </row>
    <row r="88" spans="2:12" x14ac:dyDescent="0.25">
      <c r="B88" s="207" t="s">
        <v>219</v>
      </c>
      <c r="C88" s="208">
        <f t="shared" si="40"/>
        <v>0</v>
      </c>
      <c r="D88" s="209">
        <f t="shared" si="40"/>
        <v>0</v>
      </c>
      <c r="E88" s="210"/>
      <c r="F88" s="211">
        <f t="shared" si="41"/>
        <v>0</v>
      </c>
      <c r="G88" s="212">
        <f>G74</f>
        <v>-1</v>
      </c>
      <c r="H88" s="213">
        <f t="shared" si="43"/>
        <v>0</v>
      </c>
      <c r="I88" s="210"/>
      <c r="J88" s="211">
        <f t="shared" si="44"/>
        <v>0</v>
      </c>
      <c r="K88" s="212" t="e">
        <v>#REF!</v>
      </c>
      <c r="L88" s="213">
        <f t="shared" si="46"/>
        <v>0</v>
      </c>
    </row>
    <row r="89" spans="2:12" x14ac:dyDescent="0.25">
      <c r="B89" s="207" t="s">
        <v>222</v>
      </c>
      <c r="C89" s="208"/>
      <c r="D89" s="209"/>
      <c r="E89" s="210"/>
      <c r="F89" s="211"/>
      <c r="G89" s="212"/>
      <c r="H89" s="214"/>
      <c r="I89" s="210"/>
      <c r="J89" s="211"/>
      <c r="K89" s="212"/>
      <c r="L89" s="216"/>
    </row>
    <row r="90" spans="2:12" x14ac:dyDescent="0.25">
      <c r="H90" s="218">
        <f>H88-$D$88</f>
        <v>0</v>
      </c>
      <c r="L90" s="218">
        <f>L88-$D$88</f>
        <v>0</v>
      </c>
    </row>
    <row r="91" spans="2:12" x14ac:dyDescent="0.25">
      <c r="H91" s="177" t="e">
        <f>H90/$D$88</f>
        <v>#DIV/0!</v>
      </c>
      <c r="I91" s="332"/>
      <c r="J91" s="332"/>
      <c r="K91" s="332"/>
    </row>
  </sheetData>
  <mergeCells count="16">
    <mergeCell ref="J78:L78"/>
    <mergeCell ref="C78:D78"/>
    <mergeCell ref="F78:H78"/>
    <mergeCell ref="B60:I61"/>
    <mergeCell ref="F63:H63"/>
    <mergeCell ref="J63:L63"/>
    <mergeCell ref="F77:I77"/>
    <mergeCell ref="F4:P4"/>
    <mergeCell ref="N5:P5"/>
    <mergeCell ref="J5:L5"/>
    <mergeCell ref="F5:H5"/>
    <mergeCell ref="C32:D32"/>
    <mergeCell ref="F32:H32"/>
    <mergeCell ref="F31:P31"/>
    <mergeCell ref="N32:P32"/>
    <mergeCell ref="J32:L32"/>
  </mergeCells>
  <conditionalFormatting sqref="G34:G52">
    <cfRule type="cellIs" dxfId="15" priority="39" operator="lessThan">
      <formula>0</formula>
    </cfRule>
    <cfRule type="cellIs" dxfId="14" priority="40" operator="greaterThan">
      <formula>0</formula>
    </cfRule>
  </conditionalFormatting>
  <conditionalFormatting sqref="G80:G87">
    <cfRule type="cellIs" dxfId="13" priority="31" operator="lessThan">
      <formula>0</formula>
    </cfRule>
    <cfRule type="cellIs" dxfId="12" priority="32" operator="greaterThan">
      <formula>0</formula>
    </cfRule>
  </conditionalFormatting>
  <conditionalFormatting sqref="O34:O52">
    <cfRule type="cellIs" dxfId="11" priority="23" operator="lessThan">
      <formula>0</formula>
    </cfRule>
    <cfRule type="cellIs" dxfId="10" priority="24" operator="greaterThan">
      <formula>0</formula>
    </cfRule>
  </conditionalFormatting>
  <conditionalFormatting sqref="K34:K52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K80:K87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G53:G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K53:K5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53:O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F26:F27 H26:H27 J26:J27" formulaRange="1"/>
    <ignoredError sqref="G26:G27 K26:K27" formula="1"/>
    <ignoredError sqref="L26:P27" formula="1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79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201</v>
      </c>
    </row>
    <row r="4" spans="1:14" ht="28.9" customHeight="1" x14ac:dyDescent="0.2">
      <c r="A4" s="49" t="s">
        <v>78</v>
      </c>
      <c r="B4" s="514" t="s">
        <v>340</v>
      </c>
      <c r="C4" s="515"/>
      <c r="D4" s="515"/>
      <c r="E4" s="515"/>
      <c r="F4" s="515"/>
      <c r="G4" s="515"/>
      <c r="H4" s="515"/>
      <c r="I4" s="515"/>
      <c r="N4" s="1" t="s">
        <v>271</v>
      </c>
    </row>
    <row r="5" spans="1:14" x14ac:dyDescent="0.2">
      <c r="A5" s="48" t="s">
        <v>79</v>
      </c>
      <c r="B5" s="1" t="s">
        <v>127</v>
      </c>
      <c r="E5" s="516" t="s">
        <v>50</v>
      </c>
      <c r="F5" s="517"/>
      <c r="G5" s="517"/>
      <c r="H5" s="517"/>
      <c r="I5" s="518"/>
      <c r="N5" s="1" t="s">
        <v>272</v>
      </c>
    </row>
    <row r="6" spans="1:14" x14ac:dyDescent="0.2">
      <c r="A6" s="48" t="s">
        <v>80</v>
      </c>
      <c r="B6" s="1" t="s">
        <v>195</v>
      </c>
      <c r="E6" s="519" t="s">
        <v>51</v>
      </c>
      <c r="F6" s="520"/>
      <c r="G6" s="520"/>
      <c r="H6" s="520"/>
      <c r="I6" s="521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SUM(J47:J64)</f>
        <v>874031634.06536937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15" x14ac:dyDescent="0.25">
      <c r="A11" s="406" t="s">
        <v>82</v>
      </c>
      <c r="B11" s="404" t="s">
        <v>84</v>
      </c>
      <c r="C11" s="404" t="s">
        <v>97</v>
      </c>
      <c r="D11" s="404" t="s">
        <v>98</v>
      </c>
      <c r="E11" s="404" t="s">
        <v>160</v>
      </c>
      <c r="F11" s="404" t="s">
        <v>161</v>
      </c>
      <c r="G11"/>
    </row>
    <row r="12" spans="1:14" s="251" customFormat="1" ht="15.75" thickBot="1" x14ac:dyDescent="0.3">
      <c r="A12" s="407" t="s">
        <v>159</v>
      </c>
      <c r="B12" s="95">
        <f>E38*B10</f>
        <v>92256597.780000001</v>
      </c>
      <c r="C12" s="408">
        <f>B12*E12</f>
        <v>92256597.780000001</v>
      </c>
      <c r="D12" s="408">
        <f>B12*F12</f>
        <v>92256597.780000001</v>
      </c>
      <c r="E12" s="409">
        <v>1</v>
      </c>
      <c r="F12" s="409">
        <v>1</v>
      </c>
      <c r="G12"/>
      <c r="I12" s="265"/>
      <c r="K12" s="266"/>
      <c r="L12" s="266"/>
    </row>
    <row r="13" spans="1:14" ht="13.5" thickBot="1" x14ac:dyDescent="0.25">
      <c r="L13" s="143">
        <f>G68</f>
        <v>420404376.56343269</v>
      </c>
      <c r="M13" s="113">
        <f>J68</f>
        <v>507314432.46392149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0.5</v>
      </c>
      <c r="H14" s="275">
        <v>2</v>
      </c>
      <c r="I14" s="56" t="s">
        <v>95</v>
      </c>
      <c r="J14" s="56" t="s">
        <v>96</v>
      </c>
    </row>
    <row r="15" spans="1:14" ht="27.75" customHeight="1" x14ac:dyDescent="0.2">
      <c r="A15" s="508" t="s">
        <v>2</v>
      </c>
      <c r="B15" s="506" t="s">
        <v>3</v>
      </c>
      <c r="C15" s="506" t="s">
        <v>38</v>
      </c>
      <c r="D15" s="506" t="s">
        <v>128</v>
      </c>
      <c r="E15" s="522" t="s">
        <v>86</v>
      </c>
      <c r="F15" s="524"/>
      <c r="G15" s="504" t="s">
        <v>131</v>
      </c>
      <c r="H15" s="505"/>
      <c r="I15" s="504" t="s">
        <v>89</v>
      </c>
      <c r="J15" s="505"/>
      <c r="K15" s="522" t="s">
        <v>90</v>
      </c>
      <c r="L15" s="523"/>
      <c r="M15" s="523"/>
      <c r="N15" s="524"/>
    </row>
    <row r="16" spans="1:14" ht="25.5" x14ac:dyDescent="0.2">
      <c r="A16" s="507"/>
      <c r="B16" s="507"/>
      <c r="C16" s="507"/>
      <c r="D16" s="507"/>
      <c r="E16" s="78" t="s">
        <v>149</v>
      </c>
      <c r="F16" s="78" t="s">
        <v>193</v>
      </c>
      <c r="G16" s="78" t="s">
        <v>87</v>
      </c>
      <c r="H16" s="78" t="s">
        <v>88</v>
      </c>
      <c r="I16" s="55" t="s">
        <v>148</v>
      </c>
      <c r="J16" s="55" t="s">
        <v>196</v>
      </c>
      <c r="K16" s="78" t="s">
        <v>130</v>
      </c>
      <c r="L16" s="78" t="s">
        <v>197</v>
      </c>
      <c r="M16" s="78" t="s">
        <v>91</v>
      </c>
      <c r="N16" s="78" t="s">
        <v>92</v>
      </c>
    </row>
    <row r="17" spans="1:17" x14ac:dyDescent="0.2">
      <c r="A17" s="268" t="s">
        <v>175</v>
      </c>
      <c r="B17" s="286" t="s">
        <v>226</v>
      </c>
      <c r="C17" s="53" t="s">
        <v>129</v>
      </c>
      <c r="D17" s="297">
        <v>1</v>
      </c>
      <c r="E17" s="307">
        <v>1755293</v>
      </c>
      <c r="F17" s="298">
        <f>GINOFF!I9</f>
        <v>34079.723304951563</v>
      </c>
      <c r="G17" s="347">
        <f>E17*$G$14</f>
        <v>877646.5</v>
      </c>
      <c r="H17" s="347">
        <f>E17*$H$14</f>
        <v>3510586</v>
      </c>
      <c r="I17" s="309">
        <v>2140259.0675274357</v>
      </c>
      <c r="J17" s="299">
        <f>GINOFF!F9</f>
        <v>38823.119600165635</v>
      </c>
      <c r="K17" s="300">
        <f>I17-E17</f>
        <v>384966.06752743572</v>
      </c>
      <c r="L17" s="300">
        <f>J17-F17</f>
        <v>4743.3962952140719</v>
      </c>
      <c r="M17" s="301">
        <f>K17/E17</f>
        <v>0.21931726926925346</v>
      </c>
      <c r="N17" s="301">
        <f>L17/F17</f>
        <v>0.13918529363543533</v>
      </c>
      <c r="O17" s="328">
        <f>E17/F17</f>
        <v>51.50549446347668</v>
      </c>
      <c r="P17" s="288">
        <f>G17/1000000</f>
        <v>0.8776465</v>
      </c>
      <c r="Q17" s="288">
        <f>H17/1000000</f>
        <v>3.510586</v>
      </c>
    </row>
    <row r="18" spans="1:17" x14ac:dyDescent="0.2">
      <c r="A18" s="269" t="s">
        <v>175</v>
      </c>
      <c r="B18" s="287" t="s">
        <v>227</v>
      </c>
      <c r="C18" s="54" t="s">
        <v>129</v>
      </c>
      <c r="D18" s="302">
        <v>1</v>
      </c>
      <c r="E18" s="308">
        <v>5365372.8900000006</v>
      </c>
      <c r="F18" s="303">
        <f>GMCM!I9</f>
        <v>282596.87941192184</v>
      </c>
      <c r="G18" s="310">
        <f>E18*$G$14</f>
        <v>2682686.4450000003</v>
      </c>
      <c r="H18" s="310">
        <f>E18*$H$14</f>
        <v>10730745.780000001</v>
      </c>
      <c r="I18" s="311">
        <v>10730745.780000001</v>
      </c>
      <c r="J18" s="304">
        <f>GMCM!F9</f>
        <v>418562.8649134906</v>
      </c>
      <c r="K18" s="305">
        <f>I18-E18</f>
        <v>5365372.8900000006</v>
      </c>
      <c r="L18" s="305">
        <f t="shared" ref="L18" si="0">J18-F18</f>
        <v>135965.98550156876</v>
      </c>
      <c r="M18" s="306">
        <f>K18/E18</f>
        <v>1</v>
      </c>
      <c r="N18" s="306">
        <f t="shared" ref="N18:N36" si="1">L18/F18</f>
        <v>0.48113052693473163</v>
      </c>
      <c r="O18" s="328">
        <f t="shared" ref="O18:O34" si="2">E18/F18</f>
        <v>18.98595943863651</v>
      </c>
      <c r="P18" s="288">
        <f t="shared" ref="P18:Q26" si="3">G18/1000000</f>
        <v>2.6826864450000003</v>
      </c>
      <c r="Q18" s="288">
        <f t="shared" si="3"/>
        <v>10.730745780000001</v>
      </c>
    </row>
    <row r="19" spans="1:17" s="98" customFormat="1" x14ac:dyDescent="0.2">
      <c r="A19" s="269" t="s">
        <v>175</v>
      </c>
      <c r="B19" s="287" t="s">
        <v>228</v>
      </c>
      <c r="C19" s="54" t="s">
        <v>169</v>
      </c>
      <c r="D19" s="302">
        <v>1</v>
      </c>
      <c r="E19" s="308">
        <v>1873000</v>
      </c>
      <c r="F19" s="303">
        <f>GSOC!I9</f>
        <v>71243.17418511775</v>
      </c>
      <c r="G19" s="310">
        <f t="shared" ref="G19:G34" si="4">E19*$G$14</f>
        <v>936500</v>
      </c>
      <c r="H19" s="310">
        <f t="shared" ref="H19:H34" si="5">E19*$H$14</f>
        <v>3746000</v>
      </c>
      <c r="I19" s="311">
        <v>3746000.0000000005</v>
      </c>
      <c r="J19" s="304">
        <f>GSOC!F9</f>
        <v>107984.45936316892</v>
      </c>
      <c r="K19" s="305">
        <f t="shared" ref="K19:K36" si="6">I19-E19</f>
        <v>1873000.0000000005</v>
      </c>
      <c r="L19" s="305">
        <f t="shared" ref="L19:L36" si="7">J19-F19</f>
        <v>36741.28517805117</v>
      </c>
      <c r="M19" s="306">
        <f t="shared" ref="M19:M36" si="8">K19/E19</f>
        <v>1.0000000000000002</v>
      </c>
      <c r="N19" s="306">
        <f t="shared" si="1"/>
        <v>0.51571656651039832</v>
      </c>
      <c r="O19" s="328">
        <f t="shared" si="2"/>
        <v>26.290237926979646</v>
      </c>
      <c r="P19" s="288">
        <f t="shared" si="3"/>
        <v>0.9365</v>
      </c>
      <c r="Q19" s="288">
        <f t="shared" si="3"/>
        <v>3.746</v>
      </c>
    </row>
    <row r="20" spans="1:17" s="98" customFormat="1" x14ac:dyDescent="0.2">
      <c r="A20" s="269" t="s">
        <v>175</v>
      </c>
      <c r="B20" s="287" t="s">
        <v>246</v>
      </c>
      <c r="C20" s="54" t="s">
        <v>129</v>
      </c>
      <c r="D20" s="302">
        <v>1</v>
      </c>
      <c r="E20" s="308">
        <v>173076.94</v>
      </c>
      <c r="F20" s="303">
        <f>GOLV!I9</f>
        <v>7568.2941111773252</v>
      </c>
      <c r="G20" s="310">
        <f t="shared" si="4"/>
        <v>86538.47</v>
      </c>
      <c r="H20" s="310">
        <f t="shared" si="5"/>
        <v>346153.88</v>
      </c>
      <c r="I20" s="311">
        <v>346153.88</v>
      </c>
      <c r="J20" s="304">
        <f>GOLV!F9</f>
        <v>11354.097502470016</v>
      </c>
      <c r="K20" s="305">
        <f t="shared" si="6"/>
        <v>173076.94</v>
      </c>
      <c r="L20" s="305">
        <f t="shared" si="7"/>
        <v>3785.8033912926912</v>
      </c>
      <c r="M20" s="306">
        <f t="shared" si="8"/>
        <v>1</v>
      </c>
      <c r="N20" s="306">
        <f t="shared" si="1"/>
        <v>0.50021885192088167</v>
      </c>
      <c r="O20" s="328">
        <f t="shared" si="2"/>
        <v>22.868685790684225</v>
      </c>
      <c r="P20" s="288">
        <f t="shared" si="3"/>
        <v>8.6538470000000006E-2</v>
      </c>
      <c r="Q20" s="288">
        <f t="shared" si="3"/>
        <v>0.34615388000000002</v>
      </c>
    </row>
    <row r="21" spans="1:17" s="98" customFormat="1" x14ac:dyDescent="0.2">
      <c r="A21" s="269" t="s">
        <v>175</v>
      </c>
      <c r="B21" s="287" t="s">
        <v>248</v>
      </c>
      <c r="C21" s="54" t="s">
        <v>169</v>
      </c>
      <c r="D21" s="302">
        <v>1</v>
      </c>
      <c r="E21" s="308">
        <v>6180125</v>
      </c>
      <c r="F21" s="303">
        <f>GSTRV!I9</f>
        <v>144657.20917756393</v>
      </c>
      <c r="G21" s="310">
        <f t="shared" si="4"/>
        <v>3090062.5</v>
      </c>
      <c r="H21" s="310">
        <f t="shared" si="5"/>
        <v>12360250</v>
      </c>
      <c r="I21" s="311">
        <v>12360250</v>
      </c>
      <c r="J21" s="304">
        <f>GSTRV!F9</f>
        <v>234996.32960936302</v>
      </c>
      <c r="K21" s="305">
        <f t="shared" si="6"/>
        <v>6180125</v>
      </c>
      <c r="L21" s="305">
        <f t="shared" si="7"/>
        <v>90339.120431799092</v>
      </c>
      <c r="M21" s="306">
        <f t="shared" si="8"/>
        <v>1</v>
      </c>
      <c r="N21" s="306">
        <f t="shared" si="1"/>
        <v>0.62450479271247084</v>
      </c>
      <c r="O21" s="328">
        <f t="shared" si="2"/>
        <v>42.722551023461378</v>
      </c>
      <c r="P21" s="288">
        <f t="shared" si="3"/>
        <v>3.0900625000000002</v>
      </c>
      <c r="Q21" s="288">
        <f t="shared" si="3"/>
        <v>12.360250000000001</v>
      </c>
    </row>
    <row r="22" spans="1:17" s="98" customFormat="1" x14ac:dyDescent="0.2">
      <c r="A22" s="269" t="s">
        <v>175</v>
      </c>
      <c r="B22" s="287" t="s">
        <v>229</v>
      </c>
      <c r="C22" s="54" t="s">
        <v>169</v>
      </c>
      <c r="D22" s="302">
        <v>1</v>
      </c>
      <c r="E22" s="308">
        <v>1648357.37</v>
      </c>
      <c r="F22" s="303">
        <f>GDISP!I9</f>
        <v>104116.36986385845</v>
      </c>
      <c r="G22" s="310">
        <f t="shared" si="4"/>
        <v>824178.68500000006</v>
      </c>
      <c r="H22" s="310">
        <f t="shared" si="5"/>
        <v>3296714.74</v>
      </c>
      <c r="I22" s="311">
        <v>3296714.7399999998</v>
      </c>
      <c r="J22" s="304">
        <f>GDISP!F9</f>
        <v>167040.66777744889</v>
      </c>
      <c r="K22" s="305">
        <f t="shared" si="6"/>
        <v>1648357.3699999996</v>
      </c>
      <c r="L22" s="305">
        <f t="shared" si="7"/>
        <v>62924.297913590446</v>
      </c>
      <c r="M22" s="306">
        <f t="shared" si="8"/>
        <v>0.99999999999999967</v>
      </c>
      <c r="N22" s="306">
        <f t="shared" si="1"/>
        <v>0.60436507722915855</v>
      </c>
      <c r="O22" s="328">
        <f t="shared" si="2"/>
        <v>15.831875161949808</v>
      </c>
      <c r="P22" s="288">
        <f t="shared" si="3"/>
        <v>0.82417868500000002</v>
      </c>
      <c r="Q22" s="288">
        <f t="shared" si="3"/>
        <v>3.2967147400000001</v>
      </c>
    </row>
    <row r="23" spans="1:17" s="98" customFormat="1" x14ac:dyDescent="0.2">
      <c r="A23" s="269" t="s">
        <v>175</v>
      </c>
      <c r="B23" s="287" t="s">
        <v>230</v>
      </c>
      <c r="C23" s="54" t="s">
        <v>169</v>
      </c>
      <c r="D23" s="302">
        <v>1</v>
      </c>
      <c r="E23" s="308">
        <v>344707</v>
      </c>
      <c r="F23" s="303">
        <f>GSEARCH!I9</f>
        <v>130694.08808973072</v>
      </c>
      <c r="G23" s="310">
        <f t="shared" si="4"/>
        <v>172353.5</v>
      </c>
      <c r="H23" s="310">
        <f t="shared" si="5"/>
        <v>689414</v>
      </c>
      <c r="I23" s="311">
        <v>689414</v>
      </c>
      <c r="J23" s="304">
        <f>GSEARCH!F9</f>
        <v>212313.17248095342</v>
      </c>
      <c r="K23" s="305">
        <f t="shared" si="6"/>
        <v>344707</v>
      </c>
      <c r="L23" s="305">
        <f t="shared" si="7"/>
        <v>81619.084391222699</v>
      </c>
      <c r="M23" s="306">
        <f t="shared" si="8"/>
        <v>1</v>
      </c>
      <c r="N23" s="306">
        <f t="shared" si="1"/>
        <v>0.62450479271247095</v>
      </c>
      <c r="O23" s="328">
        <f t="shared" si="2"/>
        <v>2.6375102733287696</v>
      </c>
      <c r="P23" s="288">
        <f t="shared" si="3"/>
        <v>0.17235349999999999</v>
      </c>
      <c r="Q23" s="288">
        <f t="shared" si="3"/>
        <v>0.68941399999999997</v>
      </c>
    </row>
    <row r="24" spans="1:17" x14ac:dyDescent="0.2">
      <c r="A24" s="269" t="s">
        <v>175</v>
      </c>
      <c r="B24" s="287" t="s">
        <v>285</v>
      </c>
      <c r="C24" s="54" t="s">
        <v>169</v>
      </c>
      <c r="D24" s="302">
        <v>1</v>
      </c>
      <c r="E24" s="308">
        <v>1437048.41</v>
      </c>
      <c r="F24" s="303">
        <f>GRADIO!I9</f>
        <v>70569.092436493243</v>
      </c>
      <c r="G24" s="310">
        <f t="shared" si="4"/>
        <v>718524.20499999996</v>
      </c>
      <c r="H24" s="310">
        <f t="shared" si="5"/>
        <v>2874096.82</v>
      </c>
      <c r="I24" s="311">
        <v>2874096.82</v>
      </c>
      <c r="J24" s="304">
        <f>GRADIO!F9</f>
        <v>106962.74248959644</v>
      </c>
      <c r="K24" s="305">
        <f t="shared" si="6"/>
        <v>1437048.41</v>
      </c>
      <c r="L24" s="305">
        <f t="shared" si="7"/>
        <v>36393.650053103192</v>
      </c>
      <c r="M24" s="306">
        <f t="shared" si="8"/>
        <v>1</v>
      </c>
      <c r="N24" s="306">
        <f t="shared" si="1"/>
        <v>0.51571656651039799</v>
      </c>
      <c r="O24" s="328">
        <f t="shared" si="2"/>
        <v>20.363708252210174</v>
      </c>
      <c r="P24" s="288">
        <f t="shared" si="3"/>
        <v>0.71852420499999992</v>
      </c>
      <c r="Q24" s="288">
        <f t="shared" si="3"/>
        <v>2.8740968199999997</v>
      </c>
    </row>
    <row r="25" spans="1:17" s="98" customFormat="1" x14ac:dyDescent="0.2">
      <c r="A25" s="348" t="s">
        <v>175</v>
      </c>
      <c r="B25" s="349" t="s">
        <v>189</v>
      </c>
      <c r="C25" s="350" t="s">
        <v>169</v>
      </c>
      <c r="D25" s="351">
        <v>1</v>
      </c>
      <c r="E25" s="352">
        <v>13503524.99</v>
      </c>
      <c r="F25" s="361">
        <f>GTV!I9</f>
        <v>253686.28893952153</v>
      </c>
      <c r="G25" s="353">
        <f t="shared" si="4"/>
        <v>6751762.4950000001</v>
      </c>
      <c r="H25" s="353">
        <f t="shared" si="5"/>
        <v>27007049.98</v>
      </c>
      <c r="I25" s="354">
        <v>21861203.521423146</v>
      </c>
      <c r="J25" s="362">
        <f>GTV!F9</f>
        <v>355431.43573924497</v>
      </c>
      <c r="K25" s="355">
        <f t="shared" si="6"/>
        <v>8357678.5314231459</v>
      </c>
      <c r="L25" s="355">
        <f t="shared" si="7"/>
        <v>101745.14679972344</v>
      </c>
      <c r="M25" s="356">
        <f t="shared" si="8"/>
        <v>0.61892569070760428</v>
      </c>
      <c r="N25" s="356">
        <f t="shared" si="1"/>
        <v>0.40106679483958768</v>
      </c>
      <c r="O25" s="328">
        <f t="shared" si="2"/>
        <v>53.229226721114685</v>
      </c>
      <c r="P25" s="288">
        <f t="shared" si="3"/>
        <v>6.7517624950000004</v>
      </c>
      <c r="Q25" s="288">
        <f t="shared" si="3"/>
        <v>27.007049980000001</v>
      </c>
    </row>
    <row r="26" spans="1:17" s="98" customFormat="1" x14ac:dyDescent="0.2">
      <c r="A26" s="410" t="s">
        <v>175</v>
      </c>
      <c r="B26" s="411" t="s">
        <v>232</v>
      </c>
      <c r="C26" s="36"/>
      <c r="D26" s="412"/>
      <c r="E26" s="413">
        <f t="shared" ref="E26:L26" si="9">SUM(E17:E25)</f>
        <v>32280505.600000001</v>
      </c>
      <c r="F26" s="414">
        <f t="shared" si="9"/>
        <v>1099211.1195203364</v>
      </c>
      <c r="G26" s="415">
        <f t="shared" si="9"/>
        <v>16140252.800000001</v>
      </c>
      <c r="H26" s="415">
        <f t="shared" si="9"/>
        <v>64561011.200000003</v>
      </c>
      <c r="I26" s="413">
        <f t="shared" si="9"/>
        <v>58044837.808950581</v>
      </c>
      <c r="J26" s="414">
        <f t="shared" si="9"/>
        <v>1653468.8894759018</v>
      </c>
      <c r="K26" s="415">
        <f t="shared" si="9"/>
        <v>25764332.208950579</v>
      </c>
      <c r="L26" s="415">
        <f t="shared" si="9"/>
        <v>554257.76995556545</v>
      </c>
      <c r="M26" s="416">
        <f t="shared" si="8"/>
        <v>0.7981390542083262</v>
      </c>
      <c r="N26" s="416">
        <f t="shared" si="1"/>
        <v>0.50423231726169893</v>
      </c>
      <c r="O26" s="328"/>
      <c r="P26" s="288">
        <f t="shared" si="3"/>
        <v>16.140252800000003</v>
      </c>
      <c r="Q26" s="288"/>
    </row>
    <row r="27" spans="1:17" s="98" customFormat="1" x14ac:dyDescent="0.2">
      <c r="A27" s="346" t="s">
        <v>286</v>
      </c>
      <c r="B27" s="237" t="s">
        <v>287</v>
      </c>
      <c r="C27" s="54" t="s">
        <v>129</v>
      </c>
      <c r="D27" s="302">
        <v>1</v>
      </c>
      <c r="E27" s="310">
        <v>1134710</v>
      </c>
      <c r="F27" s="303">
        <f>GINOFF_adt!I9</f>
        <v>7367.8666140222922</v>
      </c>
      <c r="G27" s="310">
        <f t="shared" si="4"/>
        <v>567355</v>
      </c>
      <c r="H27" s="310">
        <f t="shared" si="5"/>
        <v>2269420</v>
      </c>
      <c r="I27" s="311">
        <v>567355</v>
      </c>
      <c r="J27" s="304">
        <f>GINOFF_adt!F9</f>
        <v>4334.1268273107708</v>
      </c>
      <c r="K27" s="305">
        <f t="shared" si="6"/>
        <v>-567355</v>
      </c>
      <c r="L27" s="305">
        <f t="shared" si="7"/>
        <v>-3033.7397867115214</v>
      </c>
      <c r="M27" s="306">
        <f t="shared" si="8"/>
        <v>-0.5</v>
      </c>
      <c r="N27" s="306">
        <f t="shared" si="1"/>
        <v>-0.4117528106355513</v>
      </c>
      <c r="O27" s="328">
        <f t="shared" si="2"/>
        <v>154.00794550765286</v>
      </c>
      <c r="P27" s="288">
        <f t="shared" ref="P27:P34" si="10">G27/1000000</f>
        <v>0.56735500000000005</v>
      </c>
      <c r="Q27" s="288">
        <f t="shared" ref="Q27:Q34" si="11">H27/1000000</f>
        <v>2.2694200000000002</v>
      </c>
    </row>
    <row r="28" spans="1:17" s="98" customFormat="1" x14ac:dyDescent="0.2">
      <c r="A28" s="346" t="s">
        <v>286</v>
      </c>
      <c r="B28" s="237" t="s">
        <v>227</v>
      </c>
      <c r="C28" s="54" t="s">
        <v>129</v>
      </c>
      <c r="D28" s="302">
        <v>1</v>
      </c>
      <c r="E28" s="310">
        <v>10503728.719999999</v>
      </c>
      <c r="F28" s="303">
        <f>GMCM_adt!I9</f>
        <v>288339.09761974216</v>
      </c>
      <c r="G28" s="310">
        <f t="shared" si="4"/>
        <v>5251864.3599999994</v>
      </c>
      <c r="H28" s="310">
        <f t="shared" si="5"/>
        <v>21007457.439999998</v>
      </c>
      <c r="I28" s="311">
        <v>9400578.4541951232</v>
      </c>
      <c r="J28" s="304">
        <f>GMCM_adt!F9</f>
        <v>263843.10159512237</v>
      </c>
      <c r="K28" s="305">
        <f t="shared" si="6"/>
        <v>-1103150.2658048756</v>
      </c>
      <c r="L28" s="305">
        <f t="shared" si="7"/>
        <v>-24495.996024619788</v>
      </c>
      <c r="M28" s="306">
        <f t="shared" si="8"/>
        <v>-0.10502463412867691</v>
      </c>
      <c r="N28" s="306">
        <f t="shared" si="1"/>
        <v>-8.4955513237142705E-2</v>
      </c>
      <c r="O28" s="328">
        <f t="shared" si="2"/>
        <v>36.428388680927966</v>
      </c>
      <c r="P28" s="288">
        <f t="shared" si="10"/>
        <v>5.251864359999999</v>
      </c>
      <c r="Q28" s="288">
        <f t="shared" si="11"/>
        <v>21.007457439999996</v>
      </c>
    </row>
    <row r="29" spans="1:17" s="98" customFormat="1" x14ac:dyDescent="0.2">
      <c r="A29" s="346" t="s">
        <v>286</v>
      </c>
      <c r="B29" s="237" t="s">
        <v>228</v>
      </c>
      <c r="C29" s="54" t="s">
        <v>170</v>
      </c>
      <c r="D29" s="302">
        <v>1</v>
      </c>
      <c r="E29" s="310">
        <v>1751000</v>
      </c>
      <c r="F29" s="303">
        <f>GSOCIAL_adt!I9</f>
        <v>23820.403572058858</v>
      </c>
      <c r="G29" s="310">
        <f t="shared" si="4"/>
        <v>875500</v>
      </c>
      <c r="H29" s="310">
        <f t="shared" si="5"/>
        <v>3502000</v>
      </c>
      <c r="I29" s="311">
        <v>875500</v>
      </c>
      <c r="J29" s="304">
        <f>GSOCIAL_adt!F9</f>
        <v>15715.605475567285</v>
      </c>
      <c r="K29" s="305">
        <f t="shared" si="6"/>
        <v>-875500</v>
      </c>
      <c r="L29" s="305">
        <f t="shared" si="7"/>
        <v>-8104.7980964915732</v>
      </c>
      <c r="M29" s="306">
        <f t="shared" si="8"/>
        <v>-0.5</v>
      </c>
      <c r="N29" s="306">
        <f t="shared" si="1"/>
        <v>-0.3402460446135529</v>
      </c>
      <c r="O29" s="328">
        <f t="shared" si="2"/>
        <v>73.508410329953804</v>
      </c>
      <c r="P29" s="288">
        <f t="shared" si="10"/>
        <v>0.87549999999999994</v>
      </c>
      <c r="Q29" s="288">
        <f t="shared" si="11"/>
        <v>3.5019999999999998</v>
      </c>
    </row>
    <row r="30" spans="1:17" s="98" customFormat="1" x14ac:dyDescent="0.2">
      <c r="A30" s="346" t="s">
        <v>286</v>
      </c>
      <c r="B30" s="237" t="s">
        <v>246</v>
      </c>
      <c r="C30" s="54" t="s">
        <v>129</v>
      </c>
      <c r="D30" s="302">
        <v>1</v>
      </c>
      <c r="E30" s="310">
        <v>1111779.04</v>
      </c>
      <c r="F30" s="303">
        <f>GOLV_adt!I9</f>
        <v>21646.235649615526</v>
      </c>
      <c r="G30" s="310">
        <f t="shared" si="4"/>
        <v>555889.52</v>
      </c>
      <c r="H30" s="310">
        <f t="shared" si="5"/>
        <v>2223558.08</v>
      </c>
      <c r="I30" s="311">
        <v>555889.52</v>
      </c>
      <c r="J30" s="304">
        <f>GOLV_adt!F9</f>
        <v>12667.809705113992</v>
      </c>
      <c r="K30" s="305">
        <f t="shared" si="6"/>
        <v>-555889.52</v>
      </c>
      <c r="L30" s="305">
        <f t="shared" si="7"/>
        <v>-8978.4259445015341</v>
      </c>
      <c r="M30" s="306">
        <f t="shared" si="8"/>
        <v>-0.5</v>
      </c>
      <c r="N30" s="306">
        <f t="shared" si="1"/>
        <v>-0.41478001486420141</v>
      </c>
      <c r="O30" s="328">
        <f t="shared" si="2"/>
        <v>51.361310945524473</v>
      </c>
      <c r="P30" s="288">
        <f t="shared" si="10"/>
        <v>0.55588952000000003</v>
      </c>
      <c r="Q30" s="288">
        <f t="shared" si="11"/>
        <v>2.2235580800000001</v>
      </c>
    </row>
    <row r="31" spans="1:17" s="98" customFormat="1" x14ac:dyDescent="0.2">
      <c r="A31" s="346" t="s">
        <v>286</v>
      </c>
      <c r="B31" s="237" t="s">
        <v>248</v>
      </c>
      <c r="C31" s="54" t="s">
        <v>170</v>
      </c>
      <c r="D31" s="302">
        <v>1</v>
      </c>
      <c r="E31" s="310">
        <v>13418576</v>
      </c>
      <c r="F31" s="303">
        <f>GSTRTV_adt!I9</f>
        <v>100808.3256282994</v>
      </c>
      <c r="G31" s="310">
        <f t="shared" si="4"/>
        <v>6709288</v>
      </c>
      <c r="H31" s="310">
        <f t="shared" si="5"/>
        <v>26837152</v>
      </c>
      <c r="I31" s="311">
        <v>6709288</v>
      </c>
      <c r="J31" s="304">
        <f>GSTRTV_adt!F9</f>
        <v>62054.803457967973</v>
      </c>
      <c r="K31" s="305">
        <f t="shared" si="6"/>
        <v>-6709288</v>
      </c>
      <c r="L31" s="305">
        <f t="shared" si="7"/>
        <v>-38753.522170331424</v>
      </c>
      <c r="M31" s="306">
        <f t="shared" si="8"/>
        <v>-0.5</v>
      </c>
      <c r="N31" s="306">
        <f t="shared" si="1"/>
        <v>-0.3844277933275419</v>
      </c>
      <c r="O31" s="328">
        <f t="shared" si="2"/>
        <v>133.10979937785092</v>
      </c>
      <c r="P31" s="288">
        <f t="shared" si="10"/>
        <v>6.7092879999999999</v>
      </c>
      <c r="Q31" s="288">
        <f t="shared" si="11"/>
        <v>26.837152</v>
      </c>
    </row>
    <row r="32" spans="1:17" s="98" customFormat="1" x14ac:dyDescent="0.2">
      <c r="A32" s="346" t="s">
        <v>286</v>
      </c>
      <c r="B32" s="237" t="s">
        <v>229</v>
      </c>
      <c r="C32" s="54" t="s">
        <v>170</v>
      </c>
      <c r="D32" s="302">
        <v>1</v>
      </c>
      <c r="E32" s="310">
        <v>2859426.82</v>
      </c>
      <c r="F32" s="303">
        <f>GDISP_adt!I9</f>
        <v>76065.012406995462</v>
      </c>
      <c r="G32" s="310">
        <f t="shared" si="4"/>
        <v>1429713.41</v>
      </c>
      <c r="H32" s="310">
        <f t="shared" si="5"/>
        <v>5718853.6399999997</v>
      </c>
      <c r="I32" s="311">
        <v>1429713.41</v>
      </c>
      <c r="J32" s="304">
        <f>GDISP_adt!F9</f>
        <v>50184.192802034428</v>
      </c>
      <c r="K32" s="305">
        <f t="shared" si="6"/>
        <v>-1429713.41</v>
      </c>
      <c r="L32" s="305">
        <f t="shared" si="7"/>
        <v>-25880.819604961034</v>
      </c>
      <c r="M32" s="306">
        <f t="shared" si="8"/>
        <v>-0.5</v>
      </c>
      <c r="N32" s="306">
        <f t="shared" si="1"/>
        <v>-0.3402460446135529</v>
      </c>
      <c r="O32" s="328">
        <f t="shared" si="2"/>
        <v>37.591880018375271</v>
      </c>
      <c r="P32" s="288">
        <f t="shared" si="10"/>
        <v>1.42971341</v>
      </c>
      <c r="Q32" s="288">
        <f t="shared" si="11"/>
        <v>5.7188536399999998</v>
      </c>
    </row>
    <row r="33" spans="1:22" s="98" customFormat="1" x14ac:dyDescent="0.2">
      <c r="A33" s="346" t="s">
        <v>286</v>
      </c>
      <c r="B33" s="237" t="s">
        <v>230</v>
      </c>
      <c r="C33" s="54" t="s">
        <v>170</v>
      </c>
      <c r="D33" s="302">
        <v>1</v>
      </c>
      <c r="E33" s="310">
        <v>50000</v>
      </c>
      <c r="F33" s="303">
        <f>GPDSRCH_adt!I9</f>
        <v>30136.792938374307</v>
      </c>
      <c r="G33" s="310">
        <f t="shared" si="4"/>
        <v>25000</v>
      </c>
      <c r="H33" s="310">
        <f t="shared" si="5"/>
        <v>100000</v>
      </c>
      <c r="I33" s="311">
        <v>100000</v>
      </c>
      <c r="J33" s="304">
        <f>GPDSRCH_adt!F9</f>
        <v>48957.364565372409</v>
      </c>
      <c r="K33" s="305">
        <f t="shared" si="6"/>
        <v>50000</v>
      </c>
      <c r="L33" s="305">
        <f t="shared" si="7"/>
        <v>18820.571626998102</v>
      </c>
      <c r="M33" s="306">
        <f t="shared" si="8"/>
        <v>1</v>
      </c>
      <c r="N33" s="306">
        <f t="shared" si="1"/>
        <v>0.62450479271247084</v>
      </c>
      <c r="O33" s="328">
        <f t="shared" si="2"/>
        <v>1.6591015541117227</v>
      </c>
      <c r="P33" s="288">
        <f t="shared" si="10"/>
        <v>2.5000000000000001E-2</v>
      </c>
      <c r="Q33" s="288">
        <f t="shared" si="11"/>
        <v>0.1</v>
      </c>
    </row>
    <row r="34" spans="1:22" s="98" customFormat="1" x14ac:dyDescent="0.2">
      <c r="A34" s="346" t="s">
        <v>286</v>
      </c>
      <c r="B34" s="237" t="s">
        <v>288</v>
      </c>
      <c r="C34" s="54" t="s">
        <v>170</v>
      </c>
      <c r="D34" s="302">
        <v>1</v>
      </c>
      <c r="E34" s="310">
        <v>25810928.600000001</v>
      </c>
      <c r="F34" s="303">
        <f>GLINEARTV_adt!I9</f>
        <v>168508.00202805389</v>
      </c>
      <c r="G34" s="310">
        <f t="shared" si="4"/>
        <v>12905464.300000001</v>
      </c>
      <c r="H34" s="310">
        <f t="shared" si="5"/>
        <v>51621857.200000003</v>
      </c>
      <c r="I34" s="311">
        <v>12905464.300000001</v>
      </c>
      <c r="J34" s="304">
        <f>GLINEARTV_adt!F9</f>
        <v>103728.84265037619</v>
      </c>
      <c r="K34" s="305">
        <f t="shared" si="6"/>
        <v>-12905464.300000001</v>
      </c>
      <c r="L34" s="305">
        <f t="shared" si="7"/>
        <v>-64779.159377677701</v>
      </c>
      <c r="M34" s="306">
        <f t="shared" si="8"/>
        <v>-0.5</v>
      </c>
      <c r="N34" s="306">
        <f t="shared" si="1"/>
        <v>-0.38442779332754184</v>
      </c>
      <c r="O34" s="328">
        <f t="shared" si="2"/>
        <v>153.17331099625105</v>
      </c>
      <c r="P34" s="288">
        <f t="shared" si="10"/>
        <v>12.9054643</v>
      </c>
      <c r="Q34" s="288">
        <f t="shared" si="11"/>
        <v>51.621857200000001</v>
      </c>
    </row>
    <row r="35" spans="1:22" s="98" customFormat="1" x14ac:dyDescent="0.2">
      <c r="A35" s="346" t="s">
        <v>286</v>
      </c>
      <c r="B35" s="237" t="s">
        <v>192</v>
      </c>
      <c r="C35" s="54" t="s">
        <v>170</v>
      </c>
      <c r="D35" s="302">
        <v>1</v>
      </c>
      <c r="E35" s="310">
        <v>923975</v>
      </c>
      <c r="F35" s="303">
        <f>GAUDIO!I9</f>
        <v>26581.559263521289</v>
      </c>
      <c r="G35" s="310">
        <f t="shared" ref="G35" si="12">E35*$G$14</f>
        <v>461987.5</v>
      </c>
      <c r="H35" s="310">
        <f t="shared" ref="H35" si="13">E35*$H$14</f>
        <v>1847950</v>
      </c>
      <c r="I35" s="311">
        <v>461987.5</v>
      </c>
      <c r="J35" s="304">
        <f>GAUDIO!F9</f>
        <v>20145.054869698579</v>
      </c>
      <c r="K35" s="305">
        <f t="shared" si="6"/>
        <v>-461987.5</v>
      </c>
      <c r="L35" s="305">
        <f t="shared" si="7"/>
        <v>-6436.50439382271</v>
      </c>
      <c r="M35" s="306">
        <f t="shared" si="8"/>
        <v>-0.5</v>
      </c>
      <c r="N35" s="306">
        <f t="shared" si="1"/>
        <v>-0.24214171674480089</v>
      </c>
      <c r="O35" s="328"/>
      <c r="P35" s="288"/>
      <c r="Q35" s="288"/>
    </row>
    <row r="36" spans="1:22" s="98" customFormat="1" x14ac:dyDescent="0.2">
      <c r="A36" s="346" t="s">
        <v>286</v>
      </c>
      <c r="B36" s="237" t="s">
        <v>302</v>
      </c>
      <c r="C36" s="54" t="s">
        <v>129</v>
      </c>
      <c r="D36" s="302">
        <v>1</v>
      </c>
      <c r="E36" s="310">
        <v>2411968</v>
      </c>
      <c r="F36" s="303">
        <f>GPHRMCY_adt!I9</f>
        <v>18205.929821531288</v>
      </c>
      <c r="G36" s="310">
        <f t="shared" ref="G36" si="14">E36*$G$14</f>
        <v>1205984</v>
      </c>
      <c r="H36" s="310">
        <f t="shared" ref="H36" si="15">E36*$H$14</f>
        <v>4823936</v>
      </c>
      <c r="I36" s="311">
        <v>1205984</v>
      </c>
      <c r="J36" s="304">
        <f>GPHRMCY_adt!F9</f>
        <v>10250.445204379968</v>
      </c>
      <c r="K36" s="305">
        <f t="shared" si="6"/>
        <v>-1205984</v>
      </c>
      <c r="L36" s="305">
        <f t="shared" si="7"/>
        <v>-7955.48461715132</v>
      </c>
      <c r="M36" s="306">
        <f t="shared" si="8"/>
        <v>-0.5</v>
      </c>
      <c r="N36" s="306">
        <f t="shared" si="1"/>
        <v>-0.43697216759249208</v>
      </c>
      <c r="O36" s="328"/>
      <c r="P36" s="288"/>
      <c r="Q36" s="288"/>
    </row>
    <row r="37" spans="1:22" s="98" customFormat="1" x14ac:dyDescent="0.2">
      <c r="A37" s="410" t="s">
        <v>286</v>
      </c>
      <c r="B37" s="411" t="s">
        <v>232</v>
      </c>
      <c r="C37" s="36"/>
      <c r="D37" s="412"/>
      <c r="E37" s="415">
        <f t="shared" ref="E37:L37" si="16">SUM(E27:E36)</f>
        <v>59976092.18</v>
      </c>
      <c r="F37" s="415">
        <f t="shared" si="16"/>
        <v>761479.22554221447</v>
      </c>
      <c r="G37" s="415">
        <f t="shared" si="16"/>
        <v>29988046.09</v>
      </c>
      <c r="H37" s="415">
        <f t="shared" si="16"/>
        <v>119952184.36</v>
      </c>
      <c r="I37" s="415">
        <f t="shared" si="16"/>
        <v>34211760.184195124</v>
      </c>
      <c r="J37" s="414">
        <f t="shared" si="16"/>
        <v>591881.34715294396</v>
      </c>
      <c r="K37" s="415">
        <f t="shared" si="16"/>
        <v>-25764331.995804876</v>
      </c>
      <c r="L37" s="415">
        <f t="shared" si="16"/>
        <v>-169597.87838927048</v>
      </c>
      <c r="M37" s="416">
        <f t="shared" ref="M37" si="17">K37/E37</f>
        <v>-0.42957670397199388</v>
      </c>
      <c r="N37" s="416">
        <f t="shared" ref="N37" si="18">L37/F37</f>
        <v>-0.22272160907411179</v>
      </c>
      <c r="O37" s="328"/>
      <c r="P37" s="288"/>
      <c r="Q37" s="288"/>
    </row>
    <row r="38" spans="1:22" s="98" customFormat="1" x14ac:dyDescent="0.2">
      <c r="A38" s="417" t="s">
        <v>154</v>
      </c>
      <c r="B38" s="417" t="s">
        <v>99</v>
      </c>
      <c r="C38" s="417"/>
      <c r="D38" s="418"/>
      <c r="E38" s="419">
        <f t="shared" ref="E38:L38" si="19">SUM(E17:E25,E27:E36)</f>
        <v>92256597.780000001</v>
      </c>
      <c r="F38" s="419">
        <f t="shared" si="19"/>
        <v>1860690.3450625509</v>
      </c>
      <c r="G38" s="419">
        <f t="shared" si="19"/>
        <v>46128298.890000001</v>
      </c>
      <c r="H38" s="419">
        <f t="shared" si="19"/>
        <v>184513195.56</v>
      </c>
      <c r="I38" s="419">
        <f t="shared" si="19"/>
        <v>92256597.993145689</v>
      </c>
      <c r="J38" s="421">
        <f t="shared" si="19"/>
        <v>2245350.2366288453</v>
      </c>
      <c r="K38" s="422">
        <f t="shared" si="19"/>
        <v>0.21314570307731628</v>
      </c>
      <c r="L38" s="422">
        <f t="shared" si="19"/>
        <v>384659.89156629494</v>
      </c>
      <c r="M38" s="420">
        <f>K38/E38</f>
        <v>2.3103572883274416E-9</v>
      </c>
      <c r="N38" s="420">
        <f>L38/F38</f>
        <v>0.20672966492625286</v>
      </c>
    </row>
    <row r="39" spans="1:22" x14ac:dyDescent="0.2">
      <c r="E39" s="113"/>
    </row>
    <row r="41" spans="1:22" x14ac:dyDescent="0.2">
      <c r="J41" s="318"/>
      <c r="K41" s="87"/>
    </row>
    <row r="42" spans="1:22" s="98" customFormat="1" x14ac:dyDescent="0.2">
      <c r="D42" s="529" t="s">
        <v>154</v>
      </c>
      <c r="E42" s="529"/>
      <c r="F42" s="529"/>
      <c r="G42" s="529"/>
      <c r="H42" s="529"/>
      <c r="I42" s="529"/>
      <c r="J42" s="528"/>
      <c r="K42" s="528"/>
      <c r="L42" s="528"/>
      <c r="M42" s="528"/>
      <c r="N42" s="528"/>
      <c r="O42" s="528"/>
      <c r="P42" s="128"/>
    </row>
    <row r="43" spans="1:22" ht="25.5" x14ac:dyDescent="0.2">
      <c r="A43" s="511" t="s">
        <v>132</v>
      </c>
      <c r="D43" s="140" t="s">
        <v>126</v>
      </c>
      <c r="E43" s="140" t="s">
        <v>141</v>
      </c>
      <c r="F43" s="140" t="s">
        <v>145</v>
      </c>
      <c r="G43" s="140" t="s">
        <v>142</v>
      </c>
      <c r="H43" s="140" t="s">
        <v>143</v>
      </c>
      <c r="I43" s="140" t="s">
        <v>144</v>
      </c>
      <c r="J43" s="82"/>
      <c r="K43" s="82"/>
      <c r="L43" s="82"/>
      <c r="M43" s="82"/>
      <c r="N43" s="82"/>
      <c r="O43" s="82"/>
      <c r="P43" s="128"/>
    </row>
    <row r="44" spans="1:22" x14ac:dyDescent="0.2">
      <c r="A44" s="511"/>
      <c r="D44" s="154">
        <v>1</v>
      </c>
      <c r="E44" s="126">
        <v>225.94</v>
      </c>
      <c r="F44" s="296">
        <f>E44</f>
        <v>225.94</v>
      </c>
      <c r="G44" s="126">
        <f>E44</f>
        <v>225.94</v>
      </c>
      <c r="H44" s="141"/>
      <c r="I44" s="126">
        <f>E44</f>
        <v>225.94</v>
      </c>
      <c r="J44" s="127"/>
      <c r="K44" s="129"/>
      <c r="L44" s="130"/>
      <c r="M44" s="129"/>
      <c r="N44" s="131"/>
      <c r="O44" s="129"/>
      <c r="P44" s="128"/>
    </row>
    <row r="45" spans="1:22" ht="13.9" customHeight="1" x14ac:dyDescent="0.2">
      <c r="A45" s="510" t="s">
        <v>2</v>
      </c>
      <c r="B45" s="506" t="s">
        <v>3</v>
      </c>
      <c r="C45" s="506" t="str">
        <f t="shared" ref="C45:C55" si="20">D15</f>
        <v>Response Scaling Factor for Sensitivity Analysis</v>
      </c>
      <c r="D45" s="525" t="s">
        <v>86</v>
      </c>
      <c r="E45" s="526"/>
      <c r="F45" s="526"/>
      <c r="G45" s="527"/>
      <c r="H45" s="512" t="s">
        <v>89</v>
      </c>
      <c r="I45" s="513"/>
      <c r="J45" s="513"/>
      <c r="K45" s="525" t="s">
        <v>136</v>
      </c>
      <c r="L45" s="526"/>
      <c r="M45" s="526"/>
      <c r="N45" s="527"/>
      <c r="P45" s="128"/>
      <c r="Q45" s="128"/>
      <c r="R45" s="128"/>
      <c r="S45" s="128"/>
      <c r="T45" s="128"/>
      <c r="U45" s="128"/>
      <c r="V45" s="128"/>
    </row>
    <row r="46" spans="1:22" ht="74.45" customHeight="1" x14ac:dyDescent="0.2">
      <c r="A46" s="507"/>
      <c r="B46" s="507"/>
      <c r="C46" s="507">
        <f t="shared" si="20"/>
        <v>0</v>
      </c>
      <c r="D46" s="93" t="s">
        <v>163</v>
      </c>
      <c r="E46" s="93" t="s">
        <v>133</v>
      </c>
      <c r="F46" s="93" t="s">
        <v>134</v>
      </c>
      <c r="G46" s="93" t="s">
        <v>146</v>
      </c>
      <c r="H46" s="55" t="s">
        <v>156</v>
      </c>
      <c r="I46" s="55" t="s">
        <v>135</v>
      </c>
      <c r="J46" s="55" t="s">
        <v>147</v>
      </c>
      <c r="K46" s="93" t="s">
        <v>137</v>
      </c>
      <c r="L46" s="93" t="s">
        <v>138</v>
      </c>
      <c r="M46" s="93" t="s">
        <v>139</v>
      </c>
      <c r="N46" s="93" t="s">
        <v>140</v>
      </c>
      <c r="P46" s="1" t="s">
        <v>209</v>
      </c>
    </row>
    <row r="47" spans="1:22" x14ac:dyDescent="0.2">
      <c r="A47" s="231" t="str">
        <f t="shared" ref="A47:B50" si="21">A17</f>
        <v>Gardasil Adolescents</v>
      </c>
      <c r="B47" s="231" t="str">
        <f t="shared" si="21"/>
        <v>HCC In Office</v>
      </c>
      <c r="C47" s="297">
        <f t="shared" si="20"/>
        <v>1</v>
      </c>
      <c r="D47" s="99">
        <f t="shared" ref="D47:D64" si="22">E17</f>
        <v>1755293</v>
      </c>
      <c r="E47" s="253" t="s">
        <v>168</v>
      </c>
      <c r="F47" s="101">
        <f t="shared" ref="F47:F64" si="23">F17/$D$44</f>
        <v>34079.723304951563</v>
      </c>
      <c r="G47" s="103">
        <f>F47*$F$44</f>
        <v>7699972.6835207557</v>
      </c>
      <c r="H47" s="105">
        <f t="shared" ref="H47:H64" si="24">I17</f>
        <v>2140259.0675274357</v>
      </c>
      <c r="I47" s="101">
        <f t="shared" ref="I47:I64" si="25">J17/$D$44</f>
        <v>38823.119600165635</v>
      </c>
      <c r="J47" s="107">
        <f>I47*$F$44</f>
        <v>8771695.6424614228</v>
      </c>
      <c r="K47" s="99">
        <f>H47-D47</f>
        <v>384966.06752743572</v>
      </c>
      <c r="L47" s="99">
        <f>J47-G47</f>
        <v>1071722.9589406671</v>
      </c>
      <c r="M47" s="109">
        <f>K47/D47</f>
        <v>0.21931726926925346</v>
      </c>
      <c r="N47" s="110">
        <f>L47/G47</f>
        <v>0.1391852936354353</v>
      </c>
      <c r="O47" s="142"/>
      <c r="P47" s="312">
        <f>(J47-G47)/1000000</f>
        <v>1.0717229589406672</v>
      </c>
    </row>
    <row r="48" spans="1:22" x14ac:dyDescent="0.2">
      <c r="A48" s="237" t="str">
        <f t="shared" si="21"/>
        <v>Gardasil Adolescents</v>
      </c>
      <c r="B48" s="237" t="str">
        <f t="shared" si="21"/>
        <v>HCP MCM</v>
      </c>
      <c r="C48" s="302">
        <f t="shared" si="20"/>
        <v>1</v>
      </c>
      <c r="D48" s="100">
        <f t="shared" si="22"/>
        <v>5365372.8900000006</v>
      </c>
      <c r="E48" s="254" t="s">
        <v>168</v>
      </c>
      <c r="F48" s="102">
        <f t="shared" si="23"/>
        <v>282596.87941192184</v>
      </c>
      <c r="G48" s="104">
        <f t="shared" ref="G48:G67" si="26">F48*$F$44</f>
        <v>63849938.934329621</v>
      </c>
      <c r="H48" s="106">
        <f t="shared" si="24"/>
        <v>10730745.780000001</v>
      </c>
      <c r="I48" s="102">
        <f t="shared" si="25"/>
        <v>418562.8649134906</v>
      </c>
      <c r="J48" s="108">
        <f t="shared" ref="J48" si="27">I48*$F$44</f>
        <v>94570093.698554069</v>
      </c>
      <c r="K48" s="100">
        <f t="shared" ref="K48" si="28">H48-D48</f>
        <v>5365372.8900000006</v>
      </c>
      <c r="L48" s="100">
        <f t="shared" ref="L48" si="29">J48-G48</f>
        <v>30720154.764224447</v>
      </c>
      <c r="M48" s="111">
        <f t="shared" ref="M48" si="30">K48/D48</f>
        <v>1</v>
      </c>
      <c r="N48" s="112">
        <f t="shared" ref="N48" si="31">L48/G48</f>
        <v>0.48113052693473163</v>
      </c>
      <c r="O48" s="142"/>
      <c r="P48" s="312">
        <f t="shared" ref="P48:P55" si="32">(J48-G48)/1000000</f>
        <v>30.720154764224446</v>
      </c>
    </row>
    <row r="49" spans="1:16" s="98" customFormat="1" x14ac:dyDescent="0.2">
      <c r="A49" s="237" t="str">
        <f t="shared" si="21"/>
        <v>Gardasil Adolescents</v>
      </c>
      <c r="B49" s="237" t="str">
        <f t="shared" si="21"/>
        <v>HCC Social</v>
      </c>
      <c r="C49" s="302">
        <f t="shared" si="20"/>
        <v>1</v>
      </c>
      <c r="D49" s="100">
        <f t="shared" si="22"/>
        <v>1873000</v>
      </c>
      <c r="E49" s="254" t="s">
        <v>168</v>
      </c>
      <c r="F49" s="102">
        <f t="shared" si="23"/>
        <v>71243.17418511775</v>
      </c>
      <c r="G49" s="104">
        <f t="shared" si="26"/>
        <v>16096682.775385505</v>
      </c>
      <c r="H49" s="106">
        <f t="shared" si="24"/>
        <v>3746000.0000000005</v>
      </c>
      <c r="I49" s="102">
        <f t="shared" si="25"/>
        <v>107984.45936316892</v>
      </c>
      <c r="J49" s="108">
        <f t="shared" ref="J49:J67" si="33">I49*$F$44</f>
        <v>24398008.748514384</v>
      </c>
      <c r="K49" s="100">
        <f t="shared" ref="K49:K67" si="34">H49-D49</f>
        <v>1873000.0000000005</v>
      </c>
      <c r="L49" s="100">
        <f t="shared" ref="L49:L67" si="35">J49-G49</f>
        <v>8301325.9731288794</v>
      </c>
      <c r="M49" s="111">
        <f t="shared" ref="M49:M64" si="36">K49/D49</f>
        <v>1.0000000000000002</v>
      </c>
      <c r="N49" s="112">
        <f t="shared" ref="N49:N64" si="37">L49/G49</f>
        <v>0.51571656651039821</v>
      </c>
      <c r="O49" s="142"/>
      <c r="P49" s="312">
        <f t="shared" si="32"/>
        <v>8.3013259731288791</v>
      </c>
    </row>
    <row r="50" spans="1:16" s="98" customFormat="1" x14ac:dyDescent="0.2">
      <c r="A50" s="237" t="str">
        <f t="shared" si="21"/>
        <v>Gardasil Adolescents</v>
      </c>
      <c r="B50" s="237" t="str">
        <f t="shared" si="21"/>
        <v>HCC Online Video</v>
      </c>
      <c r="C50" s="302">
        <f t="shared" si="20"/>
        <v>1</v>
      </c>
      <c r="D50" s="100">
        <f t="shared" si="22"/>
        <v>173076.94</v>
      </c>
      <c r="E50" s="254" t="s">
        <v>168</v>
      </c>
      <c r="F50" s="102">
        <f t="shared" si="23"/>
        <v>7568.2941111773252</v>
      </c>
      <c r="G50" s="104">
        <f t="shared" si="26"/>
        <v>1709980.3714794049</v>
      </c>
      <c r="H50" s="106">
        <f t="shared" si="24"/>
        <v>346153.88</v>
      </c>
      <c r="I50" s="102">
        <f t="shared" si="25"/>
        <v>11354.097502470016</v>
      </c>
      <c r="J50" s="108">
        <f t="shared" si="33"/>
        <v>2565344.7897080756</v>
      </c>
      <c r="K50" s="100">
        <f t="shared" si="34"/>
        <v>173076.94</v>
      </c>
      <c r="L50" s="100">
        <f t="shared" si="35"/>
        <v>855364.41822867072</v>
      </c>
      <c r="M50" s="111">
        <f t="shared" si="36"/>
        <v>1</v>
      </c>
      <c r="N50" s="112">
        <f t="shared" si="37"/>
        <v>0.50021885192088167</v>
      </c>
      <c r="O50" s="142"/>
      <c r="P50" s="312">
        <f t="shared" si="32"/>
        <v>0.85536441822867071</v>
      </c>
    </row>
    <row r="51" spans="1:16" s="98" customFormat="1" x14ac:dyDescent="0.2">
      <c r="A51" s="237" t="s">
        <v>175</v>
      </c>
      <c r="B51" s="237" t="str">
        <f>B21</f>
        <v>HCC Streaming Video</v>
      </c>
      <c r="C51" s="302">
        <f t="shared" si="20"/>
        <v>1</v>
      </c>
      <c r="D51" s="100">
        <f t="shared" si="22"/>
        <v>6180125</v>
      </c>
      <c r="E51" s="254" t="s">
        <v>168</v>
      </c>
      <c r="F51" s="102">
        <f t="shared" si="23"/>
        <v>144657.20917756393</v>
      </c>
      <c r="G51" s="104">
        <f t="shared" si="26"/>
        <v>32683849.841578793</v>
      </c>
      <c r="H51" s="106">
        <f t="shared" si="24"/>
        <v>12360250</v>
      </c>
      <c r="I51" s="102">
        <f t="shared" si="25"/>
        <v>234996.32960936302</v>
      </c>
      <c r="J51" s="108">
        <f t="shared" si="33"/>
        <v>53095070.711939476</v>
      </c>
      <c r="K51" s="100">
        <f t="shared" si="34"/>
        <v>6180125</v>
      </c>
      <c r="L51" s="100">
        <f t="shared" si="35"/>
        <v>20411220.870360684</v>
      </c>
      <c r="M51" s="111">
        <f t="shared" si="36"/>
        <v>1</v>
      </c>
      <c r="N51" s="112">
        <f t="shared" si="37"/>
        <v>0.62450479271247072</v>
      </c>
      <c r="O51" s="142"/>
      <c r="P51" s="312">
        <f t="shared" si="32"/>
        <v>20.411220870360683</v>
      </c>
    </row>
    <row r="52" spans="1:16" s="98" customFormat="1" x14ac:dyDescent="0.2">
      <c r="A52" s="237" t="str">
        <f>A22</f>
        <v>Gardasil Adolescents</v>
      </c>
      <c r="B52" s="237" t="str">
        <f>B22</f>
        <v>HCC Display</v>
      </c>
      <c r="C52" s="302">
        <f t="shared" si="20"/>
        <v>1</v>
      </c>
      <c r="D52" s="100">
        <f t="shared" si="22"/>
        <v>1648357.37</v>
      </c>
      <c r="E52" s="254" t="s">
        <v>168</v>
      </c>
      <c r="F52" s="102">
        <f t="shared" si="23"/>
        <v>104116.36986385845</v>
      </c>
      <c r="G52" s="104">
        <f t="shared" si="26"/>
        <v>23524052.607040178</v>
      </c>
      <c r="H52" s="106">
        <f t="shared" si="24"/>
        <v>3296714.7399999998</v>
      </c>
      <c r="I52" s="102">
        <f t="shared" si="25"/>
        <v>167040.66777744889</v>
      </c>
      <c r="J52" s="108">
        <f t="shared" si="33"/>
        <v>37741168.477636799</v>
      </c>
      <c r="K52" s="100">
        <f t="shared" si="34"/>
        <v>1648357.3699999996</v>
      </c>
      <c r="L52" s="100">
        <f t="shared" si="35"/>
        <v>14217115.870596621</v>
      </c>
      <c r="M52" s="111">
        <f t="shared" si="36"/>
        <v>0.99999999999999967</v>
      </c>
      <c r="N52" s="112">
        <f t="shared" si="37"/>
        <v>0.60436507722915833</v>
      </c>
      <c r="O52" s="142"/>
      <c r="P52" s="312">
        <f t="shared" si="32"/>
        <v>14.217115870596622</v>
      </c>
    </row>
    <row r="53" spans="1:16" x14ac:dyDescent="0.2">
      <c r="A53" s="237" t="str">
        <f>A23</f>
        <v>Gardasil Adolescents</v>
      </c>
      <c r="B53" s="237" t="str">
        <f>B23</f>
        <v>HCC Paid Search</v>
      </c>
      <c r="C53" s="302">
        <f t="shared" si="20"/>
        <v>1</v>
      </c>
      <c r="D53" s="100">
        <f t="shared" si="22"/>
        <v>344707</v>
      </c>
      <c r="E53" s="254" t="s">
        <v>168</v>
      </c>
      <c r="F53" s="102">
        <f t="shared" si="23"/>
        <v>130694.08808973072</v>
      </c>
      <c r="G53" s="104">
        <f t="shared" si="26"/>
        <v>29529022.26299376</v>
      </c>
      <c r="H53" s="106">
        <f t="shared" si="24"/>
        <v>689414</v>
      </c>
      <c r="I53" s="102">
        <f t="shared" si="25"/>
        <v>212313.17248095342</v>
      </c>
      <c r="J53" s="108">
        <f t="shared" si="33"/>
        <v>47970038.190346614</v>
      </c>
      <c r="K53" s="100">
        <f t="shared" si="34"/>
        <v>344707</v>
      </c>
      <c r="L53" s="100">
        <f t="shared" si="35"/>
        <v>18441015.927352853</v>
      </c>
      <c r="M53" s="111">
        <f t="shared" si="36"/>
        <v>1</v>
      </c>
      <c r="N53" s="112">
        <f t="shared" si="37"/>
        <v>0.62450479271247072</v>
      </c>
      <c r="O53" s="142"/>
      <c r="P53" s="312">
        <f t="shared" si="32"/>
        <v>18.441015927352854</v>
      </c>
    </row>
    <row r="54" spans="1:16" s="98" customFormat="1" x14ac:dyDescent="0.2">
      <c r="A54" s="237" t="str">
        <f>A24</f>
        <v>Gardasil Adolescents</v>
      </c>
      <c r="B54" s="237" t="str">
        <f>B24</f>
        <v>HCC Audio</v>
      </c>
      <c r="C54" s="302">
        <f t="shared" si="20"/>
        <v>1</v>
      </c>
      <c r="D54" s="100">
        <f t="shared" si="22"/>
        <v>1437048.41</v>
      </c>
      <c r="E54" s="254" t="s">
        <v>168</v>
      </c>
      <c r="F54" s="102">
        <f t="shared" si="23"/>
        <v>70569.092436493243</v>
      </c>
      <c r="G54" s="104">
        <f t="shared" si="26"/>
        <v>15944380.745101282</v>
      </c>
      <c r="H54" s="106">
        <f t="shared" si="24"/>
        <v>2874096.82</v>
      </c>
      <c r="I54" s="102">
        <f t="shared" si="25"/>
        <v>106962.74248959644</v>
      </c>
      <c r="J54" s="108">
        <f t="shared" si="33"/>
        <v>24167162.038099419</v>
      </c>
      <c r="K54" s="100">
        <f t="shared" si="34"/>
        <v>1437048.41</v>
      </c>
      <c r="L54" s="100">
        <f t="shared" si="35"/>
        <v>8222781.292998137</v>
      </c>
      <c r="M54" s="111">
        <f t="shared" si="36"/>
        <v>1</v>
      </c>
      <c r="N54" s="112">
        <f t="shared" si="37"/>
        <v>0.5157165665103981</v>
      </c>
      <c r="O54" s="142"/>
      <c r="P54" s="312">
        <f t="shared" si="32"/>
        <v>8.2227812929981372</v>
      </c>
    </row>
    <row r="55" spans="1:16" s="98" customFormat="1" x14ac:dyDescent="0.2">
      <c r="A55" s="364" t="str">
        <f>A25</f>
        <v>Gardasil Adolescents</v>
      </c>
      <c r="B55" s="364" t="str">
        <f>B25</f>
        <v>HCC TV</v>
      </c>
      <c r="C55" s="351">
        <f t="shared" si="20"/>
        <v>1</v>
      </c>
      <c r="D55" s="365">
        <f t="shared" si="22"/>
        <v>13503524.99</v>
      </c>
      <c r="E55" s="366" t="s">
        <v>168</v>
      </c>
      <c r="F55" s="367">
        <f t="shared" si="23"/>
        <v>253686.28893952153</v>
      </c>
      <c r="G55" s="368">
        <f t="shared" si="26"/>
        <v>57317880.122995496</v>
      </c>
      <c r="H55" s="369">
        <f t="shared" si="24"/>
        <v>21861203.521423146</v>
      </c>
      <c r="I55" s="367">
        <f t="shared" si="25"/>
        <v>355431.43573924497</v>
      </c>
      <c r="J55" s="370">
        <f t="shared" si="33"/>
        <v>80306178.590925008</v>
      </c>
      <c r="K55" s="365">
        <f t="shared" si="34"/>
        <v>8357678.5314231459</v>
      </c>
      <c r="L55" s="365">
        <f t="shared" si="35"/>
        <v>22988298.467929512</v>
      </c>
      <c r="M55" s="371">
        <f t="shared" si="36"/>
        <v>0.61892569070760428</v>
      </c>
      <c r="N55" s="372">
        <f t="shared" si="37"/>
        <v>0.40106679483958763</v>
      </c>
      <c r="O55" s="142"/>
      <c r="P55" s="312">
        <f t="shared" si="32"/>
        <v>22.988298467929511</v>
      </c>
    </row>
    <row r="56" spans="1:16" s="98" customFormat="1" x14ac:dyDescent="0.2">
      <c r="A56" s="411" t="str">
        <f>A26</f>
        <v>Gardasil Adolescents</v>
      </c>
      <c r="B56" s="411" t="s">
        <v>232</v>
      </c>
      <c r="C56" s="412"/>
      <c r="D56" s="428">
        <f t="shared" si="22"/>
        <v>32280505.600000001</v>
      </c>
      <c r="E56" s="414"/>
      <c r="F56" s="429">
        <f t="shared" si="23"/>
        <v>1099211.1195203364</v>
      </c>
      <c r="G56" s="430">
        <f t="shared" si="26"/>
        <v>248355760.34442481</v>
      </c>
      <c r="H56" s="431">
        <f t="shared" si="24"/>
        <v>58044837.808950581</v>
      </c>
      <c r="I56" s="429">
        <f t="shared" si="25"/>
        <v>1653468.8894759018</v>
      </c>
      <c r="J56" s="430">
        <f t="shared" si="33"/>
        <v>373584760.88818526</v>
      </c>
      <c r="K56" s="431">
        <f t="shared" si="34"/>
        <v>25764332.208950579</v>
      </c>
      <c r="L56" s="431">
        <f t="shared" si="35"/>
        <v>125229000.54376045</v>
      </c>
      <c r="M56" s="432">
        <f t="shared" si="36"/>
        <v>0.7981390542083262</v>
      </c>
      <c r="N56" s="433">
        <f t="shared" si="37"/>
        <v>0.50423231726169881</v>
      </c>
      <c r="O56" s="142"/>
      <c r="P56" s="312"/>
    </row>
    <row r="57" spans="1:16" s="98" customFormat="1" x14ac:dyDescent="0.2">
      <c r="A57" s="373" t="s">
        <v>286</v>
      </c>
      <c r="B57" s="237" t="str">
        <f>B27</f>
        <v>HCC InOffice</v>
      </c>
      <c r="C57" s="302">
        <f>D27</f>
        <v>1</v>
      </c>
      <c r="D57" s="100">
        <f t="shared" si="22"/>
        <v>1134710</v>
      </c>
      <c r="E57" s="254" t="s">
        <v>168</v>
      </c>
      <c r="F57" s="102">
        <f t="shared" si="23"/>
        <v>7367.8666140222922</v>
      </c>
      <c r="G57" s="104">
        <f t="shared" si="26"/>
        <v>1664695.7827721967</v>
      </c>
      <c r="H57" s="106">
        <f t="shared" si="24"/>
        <v>567355</v>
      </c>
      <c r="I57" s="102">
        <f t="shared" si="25"/>
        <v>4334.1268273107708</v>
      </c>
      <c r="J57" s="108">
        <f t="shared" si="33"/>
        <v>979252.61536259553</v>
      </c>
      <c r="K57" s="100">
        <f t="shared" si="34"/>
        <v>-567355</v>
      </c>
      <c r="L57" s="100">
        <f t="shared" si="35"/>
        <v>-685443.16740960116</v>
      </c>
      <c r="M57" s="111">
        <f t="shared" si="36"/>
        <v>-0.5</v>
      </c>
      <c r="N57" s="112">
        <f t="shared" si="37"/>
        <v>-0.4117528106355513</v>
      </c>
      <c r="O57" s="142"/>
      <c r="P57" s="312"/>
    </row>
    <row r="58" spans="1:16" s="98" customFormat="1" x14ac:dyDescent="0.2">
      <c r="A58" s="373" t="s">
        <v>286</v>
      </c>
      <c r="B58" s="237" t="str">
        <f t="shared" ref="B58:B67" si="38">B28</f>
        <v>HCP MCM</v>
      </c>
      <c r="C58" s="302">
        <f t="shared" ref="C58:D66" si="39">D28</f>
        <v>1</v>
      </c>
      <c r="D58" s="100">
        <f t="shared" si="22"/>
        <v>10503728.719999999</v>
      </c>
      <c r="E58" s="254" t="s">
        <v>168</v>
      </c>
      <c r="F58" s="102">
        <f t="shared" si="23"/>
        <v>288339.09761974216</v>
      </c>
      <c r="G58" s="104">
        <f t="shared" si="26"/>
        <v>65147335.716204539</v>
      </c>
      <c r="H58" s="106">
        <f t="shared" si="24"/>
        <v>9400578.4541951232</v>
      </c>
      <c r="I58" s="102">
        <f t="shared" si="25"/>
        <v>263843.10159512237</v>
      </c>
      <c r="J58" s="108">
        <f t="shared" si="33"/>
        <v>59612710.374401949</v>
      </c>
      <c r="K58" s="100">
        <f t="shared" si="34"/>
        <v>-1103150.2658048756</v>
      </c>
      <c r="L58" s="100">
        <f t="shared" si="35"/>
        <v>-5534625.3418025896</v>
      </c>
      <c r="M58" s="111">
        <f t="shared" si="36"/>
        <v>-0.10502463412867691</v>
      </c>
      <c r="N58" s="112">
        <f t="shared" si="37"/>
        <v>-8.4955513237142635E-2</v>
      </c>
      <c r="O58" s="142"/>
      <c r="P58" s="312"/>
    </row>
    <row r="59" spans="1:16" s="98" customFormat="1" x14ac:dyDescent="0.2">
      <c r="A59" s="373" t="s">
        <v>286</v>
      </c>
      <c r="B59" s="237" t="str">
        <f t="shared" si="38"/>
        <v>HCC Social</v>
      </c>
      <c r="C59" s="302">
        <f t="shared" si="39"/>
        <v>1</v>
      </c>
      <c r="D59" s="100">
        <f t="shared" si="22"/>
        <v>1751000</v>
      </c>
      <c r="E59" s="254" t="s">
        <v>168</v>
      </c>
      <c r="F59" s="102">
        <f t="shared" si="23"/>
        <v>23820.403572058858</v>
      </c>
      <c r="G59" s="104">
        <f t="shared" si="26"/>
        <v>5381981.983070978</v>
      </c>
      <c r="H59" s="106">
        <f t="shared" si="24"/>
        <v>875500</v>
      </c>
      <c r="I59" s="102">
        <f t="shared" si="25"/>
        <v>15715.605475567285</v>
      </c>
      <c r="J59" s="108">
        <f t="shared" si="33"/>
        <v>3550783.9011496725</v>
      </c>
      <c r="K59" s="100">
        <f t="shared" si="34"/>
        <v>-875500</v>
      </c>
      <c r="L59" s="100">
        <f t="shared" si="35"/>
        <v>-1831198.0819213055</v>
      </c>
      <c r="M59" s="111">
        <f t="shared" si="36"/>
        <v>-0.5</v>
      </c>
      <c r="N59" s="112">
        <f t="shared" si="37"/>
        <v>-0.34024604461355284</v>
      </c>
      <c r="O59" s="142"/>
      <c r="P59" s="312"/>
    </row>
    <row r="60" spans="1:16" s="98" customFormat="1" x14ac:dyDescent="0.2">
      <c r="A60" s="373" t="s">
        <v>286</v>
      </c>
      <c r="B60" s="237" t="str">
        <f t="shared" si="38"/>
        <v>HCC Online Video</v>
      </c>
      <c r="C60" s="302">
        <f t="shared" si="39"/>
        <v>1</v>
      </c>
      <c r="D60" s="100">
        <f t="shared" si="22"/>
        <v>1111779.04</v>
      </c>
      <c r="E60" s="254" t="s">
        <v>168</v>
      </c>
      <c r="F60" s="102">
        <f t="shared" si="23"/>
        <v>21646.235649615526</v>
      </c>
      <c r="G60" s="104">
        <f t="shared" si="26"/>
        <v>4890750.4826741321</v>
      </c>
      <c r="H60" s="106">
        <f t="shared" si="24"/>
        <v>555889.52</v>
      </c>
      <c r="I60" s="102">
        <f t="shared" si="25"/>
        <v>12667.809705113992</v>
      </c>
      <c r="J60" s="108">
        <f t="shared" si="33"/>
        <v>2862164.9247734551</v>
      </c>
      <c r="K60" s="100">
        <f t="shared" si="34"/>
        <v>-555889.52</v>
      </c>
      <c r="L60" s="100">
        <f t="shared" si="35"/>
        <v>-2028585.557900677</v>
      </c>
      <c r="M60" s="111">
        <f t="shared" si="36"/>
        <v>-0.5</v>
      </c>
      <c r="N60" s="112">
        <f t="shared" si="37"/>
        <v>-0.41478001486420146</v>
      </c>
      <c r="O60" s="142"/>
      <c r="P60" s="312"/>
    </row>
    <row r="61" spans="1:16" s="98" customFormat="1" x14ac:dyDescent="0.2">
      <c r="A61" s="373" t="s">
        <v>286</v>
      </c>
      <c r="B61" s="237" t="str">
        <f t="shared" si="38"/>
        <v>HCC Streaming Video</v>
      </c>
      <c r="C61" s="302">
        <f t="shared" si="39"/>
        <v>1</v>
      </c>
      <c r="D61" s="100">
        <f t="shared" si="22"/>
        <v>13418576</v>
      </c>
      <c r="E61" s="254" t="s">
        <v>168</v>
      </c>
      <c r="F61" s="102">
        <f t="shared" si="23"/>
        <v>100808.3256282994</v>
      </c>
      <c r="G61" s="104">
        <f t="shared" si="26"/>
        <v>22776633.092457965</v>
      </c>
      <c r="H61" s="106">
        <f t="shared" si="24"/>
        <v>6709288</v>
      </c>
      <c r="I61" s="102">
        <f t="shared" si="25"/>
        <v>62054.803457967973</v>
      </c>
      <c r="J61" s="108">
        <f t="shared" si="33"/>
        <v>14020662.293293284</v>
      </c>
      <c r="K61" s="100">
        <f t="shared" si="34"/>
        <v>-6709288</v>
      </c>
      <c r="L61" s="100">
        <f t="shared" si="35"/>
        <v>-8755970.7991646808</v>
      </c>
      <c r="M61" s="111">
        <f t="shared" si="36"/>
        <v>-0.5</v>
      </c>
      <c r="N61" s="112">
        <f t="shared" si="37"/>
        <v>-0.38442779332754184</v>
      </c>
      <c r="O61" s="142"/>
      <c r="P61" s="312"/>
    </row>
    <row r="62" spans="1:16" s="98" customFormat="1" x14ac:dyDescent="0.2">
      <c r="A62" s="373" t="s">
        <v>286</v>
      </c>
      <c r="B62" s="237" t="str">
        <f t="shared" si="38"/>
        <v>HCC Display</v>
      </c>
      <c r="C62" s="302">
        <f t="shared" si="39"/>
        <v>1</v>
      </c>
      <c r="D62" s="100">
        <f t="shared" si="22"/>
        <v>2859426.82</v>
      </c>
      <c r="E62" s="254" t="s">
        <v>168</v>
      </c>
      <c r="F62" s="102">
        <f t="shared" si="23"/>
        <v>76065.012406995462</v>
      </c>
      <c r="G62" s="104">
        <f t="shared" si="26"/>
        <v>17186128.903236553</v>
      </c>
      <c r="H62" s="106">
        <f t="shared" si="24"/>
        <v>1429713.41</v>
      </c>
      <c r="I62" s="102">
        <f t="shared" si="25"/>
        <v>50184.192802034428</v>
      </c>
      <c r="J62" s="108">
        <f t="shared" si="33"/>
        <v>11338616.521691658</v>
      </c>
      <c r="K62" s="100">
        <f t="shared" si="34"/>
        <v>-1429713.41</v>
      </c>
      <c r="L62" s="100">
        <f t="shared" si="35"/>
        <v>-5847512.3815448955</v>
      </c>
      <c r="M62" s="111">
        <f t="shared" si="36"/>
        <v>-0.5</v>
      </c>
      <c r="N62" s="112">
        <f t="shared" si="37"/>
        <v>-0.3402460446135529</v>
      </c>
      <c r="O62" s="142"/>
      <c r="P62" s="312"/>
    </row>
    <row r="63" spans="1:16" s="98" customFormat="1" x14ac:dyDescent="0.2">
      <c r="A63" s="373" t="s">
        <v>286</v>
      </c>
      <c r="B63" s="237" t="str">
        <f t="shared" si="38"/>
        <v>HCC Paid Search</v>
      </c>
      <c r="C63" s="302">
        <f t="shared" si="39"/>
        <v>1</v>
      </c>
      <c r="D63" s="100">
        <f t="shared" si="22"/>
        <v>50000</v>
      </c>
      <c r="E63" s="254" t="s">
        <v>168</v>
      </c>
      <c r="F63" s="102">
        <f t="shared" si="23"/>
        <v>30136.792938374307</v>
      </c>
      <c r="G63" s="104">
        <f t="shared" si="26"/>
        <v>6809106.9964962909</v>
      </c>
      <c r="H63" s="106">
        <f t="shared" si="24"/>
        <v>100000</v>
      </c>
      <c r="I63" s="102">
        <f t="shared" si="25"/>
        <v>48957.364565372409</v>
      </c>
      <c r="J63" s="108">
        <f t="shared" si="33"/>
        <v>11061426.949900242</v>
      </c>
      <c r="K63" s="100">
        <f t="shared" si="34"/>
        <v>50000</v>
      </c>
      <c r="L63" s="100">
        <f t="shared" si="35"/>
        <v>4252319.9534039507</v>
      </c>
      <c r="M63" s="111">
        <f t="shared" si="36"/>
        <v>1</v>
      </c>
      <c r="N63" s="112">
        <f t="shared" si="37"/>
        <v>0.62450479271247084</v>
      </c>
      <c r="O63" s="142"/>
      <c r="P63" s="312"/>
    </row>
    <row r="64" spans="1:16" s="98" customFormat="1" x14ac:dyDescent="0.2">
      <c r="A64" s="373" t="s">
        <v>286</v>
      </c>
      <c r="B64" s="237" t="str">
        <f t="shared" si="38"/>
        <v>HCC Linear TV</v>
      </c>
      <c r="C64" s="302">
        <f t="shared" si="39"/>
        <v>1</v>
      </c>
      <c r="D64" s="100">
        <f t="shared" si="22"/>
        <v>25810928.600000001</v>
      </c>
      <c r="E64" s="254" t="s">
        <v>168</v>
      </c>
      <c r="F64" s="102">
        <f t="shared" si="23"/>
        <v>168508.00202805389</v>
      </c>
      <c r="G64" s="104">
        <f t="shared" si="26"/>
        <v>38072697.978218496</v>
      </c>
      <c r="H64" s="106">
        <f t="shared" si="24"/>
        <v>12905464.300000001</v>
      </c>
      <c r="I64" s="102">
        <f t="shared" si="25"/>
        <v>103728.84265037619</v>
      </c>
      <c r="J64" s="108">
        <f t="shared" si="33"/>
        <v>23436494.708425995</v>
      </c>
      <c r="K64" s="100">
        <f t="shared" si="34"/>
        <v>-12905464.300000001</v>
      </c>
      <c r="L64" s="100">
        <f t="shared" si="35"/>
        <v>-14636203.269792501</v>
      </c>
      <c r="M64" s="111">
        <f t="shared" si="36"/>
        <v>-0.5</v>
      </c>
      <c r="N64" s="112">
        <f t="shared" si="37"/>
        <v>-0.38442779332754184</v>
      </c>
      <c r="O64" s="142"/>
      <c r="P64" s="312"/>
    </row>
    <row r="65" spans="1:16" s="98" customFormat="1" x14ac:dyDescent="0.2">
      <c r="A65" s="373" t="s">
        <v>286</v>
      </c>
      <c r="B65" s="237" t="str">
        <f t="shared" si="38"/>
        <v>HCC Radio</v>
      </c>
      <c r="C65" s="302">
        <f t="shared" si="39"/>
        <v>1</v>
      </c>
      <c r="D65" s="100">
        <f t="shared" si="39"/>
        <v>923975</v>
      </c>
      <c r="E65" s="254" t="s">
        <v>168</v>
      </c>
      <c r="F65" s="102">
        <f t="shared" ref="F65:F67" si="40">F35/$D$44</f>
        <v>26581.559263521289</v>
      </c>
      <c r="G65" s="104">
        <f t="shared" si="26"/>
        <v>6005837.5</v>
      </c>
      <c r="H65" s="106">
        <f t="shared" ref="H65:H67" si="41">I35</f>
        <v>461987.5</v>
      </c>
      <c r="I65" s="102">
        <f t="shared" ref="I65:I67" si="42">J35/$D$44</f>
        <v>20145.054869698579</v>
      </c>
      <c r="J65" s="108">
        <f t="shared" si="33"/>
        <v>4551573.6972596971</v>
      </c>
      <c r="K65" s="100">
        <f t="shared" si="34"/>
        <v>-461987.5</v>
      </c>
      <c r="L65" s="100">
        <f t="shared" si="35"/>
        <v>-1454263.8027403029</v>
      </c>
      <c r="M65" s="111">
        <f t="shared" ref="M65:M67" si="43">K65/D65</f>
        <v>-0.5</v>
      </c>
      <c r="N65" s="112">
        <f t="shared" ref="N65:N67" si="44">L65/G65</f>
        <v>-0.24214171674480084</v>
      </c>
      <c r="O65" s="142"/>
      <c r="P65" s="312"/>
    </row>
    <row r="66" spans="1:16" s="98" customFormat="1" x14ac:dyDescent="0.2">
      <c r="A66" s="373" t="s">
        <v>286</v>
      </c>
      <c r="B66" s="237" t="str">
        <f t="shared" si="38"/>
        <v>HCC Pharmacy</v>
      </c>
      <c r="C66" s="302">
        <f t="shared" si="39"/>
        <v>1</v>
      </c>
      <c r="D66" s="100">
        <f t="shared" si="39"/>
        <v>2411968</v>
      </c>
      <c r="E66" s="254" t="s">
        <v>168</v>
      </c>
      <c r="F66" s="102">
        <f t="shared" si="40"/>
        <v>18205.929821531288</v>
      </c>
      <c r="G66" s="104">
        <f t="shared" si="26"/>
        <v>4113447.783876779</v>
      </c>
      <c r="H66" s="106">
        <f t="shared" si="41"/>
        <v>1205984</v>
      </c>
      <c r="I66" s="102">
        <f t="shared" si="42"/>
        <v>10250.445204379968</v>
      </c>
      <c r="J66" s="108">
        <f t="shared" si="33"/>
        <v>2315985.5894776098</v>
      </c>
      <c r="K66" s="100">
        <f t="shared" si="34"/>
        <v>-1205984</v>
      </c>
      <c r="L66" s="100">
        <f t="shared" si="35"/>
        <v>-1797462.1943991692</v>
      </c>
      <c r="M66" s="111">
        <f t="shared" si="43"/>
        <v>-0.5</v>
      </c>
      <c r="N66" s="112">
        <f t="shared" si="44"/>
        <v>-0.43697216759249213</v>
      </c>
      <c r="O66" s="142"/>
      <c r="P66" s="312"/>
    </row>
    <row r="67" spans="1:16" s="98" customFormat="1" x14ac:dyDescent="0.2">
      <c r="A67" s="411" t="s">
        <v>286</v>
      </c>
      <c r="B67" s="411" t="str">
        <f t="shared" si="38"/>
        <v>Total</v>
      </c>
      <c r="C67" s="36"/>
      <c r="D67" s="428">
        <f t="shared" ref="D67" si="45">E37</f>
        <v>59976092.18</v>
      </c>
      <c r="E67" s="414"/>
      <c r="F67" s="434">
        <f t="shared" si="40"/>
        <v>761479.22554221447</v>
      </c>
      <c r="G67" s="435">
        <f t="shared" si="26"/>
        <v>172048616.21900794</v>
      </c>
      <c r="H67" s="428">
        <f t="shared" si="41"/>
        <v>34211760.184195124</v>
      </c>
      <c r="I67" s="434">
        <f t="shared" si="42"/>
        <v>591881.34715294396</v>
      </c>
      <c r="J67" s="435">
        <f t="shared" si="33"/>
        <v>133729671.57573615</v>
      </c>
      <c r="K67" s="428">
        <f t="shared" si="34"/>
        <v>-25764331.995804876</v>
      </c>
      <c r="L67" s="428">
        <f t="shared" si="35"/>
        <v>-38318944.643271789</v>
      </c>
      <c r="M67" s="436">
        <f t="shared" si="43"/>
        <v>-0.42957670397199388</v>
      </c>
      <c r="N67" s="437">
        <f t="shared" si="44"/>
        <v>-0.22272160907411187</v>
      </c>
      <c r="O67" s="142"/>
      <c r="P67" s="312"/>
    </row>
    <row r="68" spans="1:16" s="98" customFormat="1" x14ac:dyDescent="0.2">
      <c r="A68" s="417" t="s">
        <v>154</v>
      </c>
      <c r="B68" s="417" t="s">
        <v>99</v>
      </c>
      <c r="C68" s="418"/>
      <c r="D68" s="423">
        <f>SUM(D47:D55,D57:D66)</f>
        <v>92256597.780000001</v>
      </c>
      <c r="E68" s="424"/>
      <c r="F68" s="425">
        <f>SUM(F47:F55,F57:F66)</f>
        <v>1860690.3450625509</v>
      </c>
      <c r="G68" s="423">
        <f>SUM(G47:G55,G57:G66)</f>
        <v>420404376.56343269</v>
      </c>
      <c r="H68" s="423">
        <f>SUM(H47:H55,H57:H66)</f>
        <v>92256597.993145689</v>
      </c>
      <c r="I68" s="425">
        <f>SUM(I47:I55,I57:I66)</f>
        <v>2245350.2366288453</v>
      </c>
      <c r="J68" s="423">
        <f>SUM(J47:J55,J57:J66)</f>
        <v>507314432.46392149</v>
      </c>
      <c r="K68" s="423">
        <f t="shared" ref="K68" si="46">H68-D68</f>
        <v>0.21314568817615509</v>
      </c>
      <c r="L68" s="423">
        <f t="shared" ref="L68" si="47">J68-G68</f>
        <v>86910055.900488794</v>
      </c>
      <c r="M68" s="426">
        <f t="shared" ref="M68" si="48">K68/D68</f>
        <v>2.3103571268087911E-9</v>
      </c>
      <c r="N68" s="427">
        <f t="shared" ref="N68" si="49">L68/G68</f>
        <v>0.20672966492625314</v>
      </c>
    </row>
    <row r="69" spans="1:16" x14ac:dyDescent="0.2">
      <c r="D69" s="150"/>
      <c r="E69" s="255"/>
      <c r="F69" s="151"/>
      <c r="G69" s="113"/>
      <c r="H69" s="98"/>
      <c r="I69" s="94"/>
      <c r="J69" s="113"/>
      <c r="K69" s="98"/>
      <c r="L69" s="113"/>
      <c r="M69" s="117"/>
      <c r="N69" s="114"/>
    </row>
    <row r="70" spans="1:16" x14ac:dyDescent="0.2">
      <c r="D70" s="150"/>
      <c r="E70" s="255"/>
      <c r="F70" s="151"/>
      <c r="G70" s="113"/>
      <c r="H70" s="98"/>
      <c r="I70" s="94"/>
      <c r="J70" s="113"/>
      <c r="K70" s="98"/>
      <c r="L70" s="113"/>
      <c r="M70" s="117"/>
      <c r="N70" s="114"/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28"/>
      <c r="E72" s="256"/>
      <c r="F72" s="128"/>
      <c r="G72" s="98"/>
      <c r="H72" s="98"/>
      <c r="I72" s="98"/>
      <c r="J72" s="98"/>
      <c r="K72" s="98"/>
      <c r="L72" s="98"/>
      <c r="M72" s="98"/>
      <c r="N72" s="98"/>
    </row>
    <row r="73" spans="1:16" x14ac:dyDescent="0.2">
      <c r="D73" s="152"/>
      <c r="E73" s="256"/>
      <c r="F73" s="128"/>
      <c r="G73" s="98"/>
      <c r="H73" s="98"/>
      <c r="I73" s="98"/>
      <c r="J73" s="98"/>
      <c r="K73" s="98"/>
      <c r="L73" s="98"/>
      <c r="M73" s="98"/>
      <c r="N73" s="98"/>
    </row>
    <row r="74" spans="1:16" x14ac:dyDescent="0.2">
      <c r="D74" s="128"/>
      <c r="E74" s="256"/>
      <c r="F74" s="128"/>
    </row>
    <row r="75" spans="1:16" x14ac:dyDescent="0.2">
      <c r="E75" s="257"/>
    </row>
    <row r="76" spans="1:16" x14ac:dyDescent="0.2">
      <c r="E76" s="257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</sheetData>
  <mergeCells count="20">
    <mergeCell ref="H45:J45"/>
    <mergeCell ref="B4:I4"/>
    <mergeCell ref="E5:I5"/>
    <mergeCell ref="E6:I6"/>
    <mergeCell ref="K15:N15"/>
    <mergeCell ref="K45:N45"/>
    <mergeCell ref="J42:O42"/>
    <mergeCell ref="C15:C16"/>
    <mergeCell ref="D15:D16"/>
    <mergeCell ref="E15:F15"/>
    <mergeCell ref="G15:H15"/>
    <mergeCell ref="I15:J15"/>
    <mergeCell ref="D42:I42"/>
    <mergeCell ref="C45:C46"/>
    <mergeCell ref="D45:G45"/>
    <mergeCell ref="A45:A46"/>
    <mergeCell ref="B45:B46"/>
    <mergeCell ref="A43:A44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8 G26:H26 K26:L2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K5" sqref="K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15" customHeight="1" x14ac:dyDescent="0.2">
      <c r="A8" s="54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9"/>
      <c r="B9" s="95">
        <f>VAC_Optim_Scenario!G17</f>
        <v>877646.5</v>
      </c>
      <c r="C9" s="95">
        <f>VAC_Optim_Scenario!H17</f>
        <v>3510586</v>
      </c>
      <c r="D9" s="68">
        <f>VAC_Optim_Scenario!I17</f>
        <v>2140259.0675274357</v>
      </c>
      <c r="E9" s="84">
        <f>((($R$12/(1+EXP($P$12+$Q$12*D9)))-1) - ($F$12-$C$12))*$I$12</f>
        <v>38823.119600165635</v>
      </c>
      <c r="F9" s="89">
        <f>E9*$G$12</f>
        <v>38823.119600165635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3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9"/>
      <c r="B12" s="95">
        <f>'[1]HCC Inoffice Curve'!$B$12</f>
        <v>1700000</v>
      </c>
      <c r="C12" s="153">
        <f>'[1]HCC Inoffice Curve'!$C$12</f>
        <v>33335.304822477454</v>
      </c>
      <c r="D12" s="153">
        <f>'[1]HCC Inoffice Curve'!$D$12</f>
        <v>0</v>
      </c>
      <c r="E12" s="153">
        <f>'[1]HCC Inoffice Curve'!$E$12</f>
        <v>66670.609644954908</v>
      </c>
      <c r="F12" s="153">
        <f>'[1]HCC Inoffice Curve'!$F$12</f>
        <v>8649234</v>
      </c>
      <c r="G12" s="155">
        <f>VAC_Optim_Scenario!$D$44</f>
        <v>1</v>
      </c>
      <c r="H12" s="71">
        <f>C12*G12</f>
        <v>33335.304822477454</v>
      </c>
      <c r="I12" s="115">
        <f>VAC_Optim_Scenario!D17</f>
        <v>1</v>
      </c>
      <c r="K12" s="531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32" t="s">
        <v>182</v>
      </c>
      <c r="B13" s="533"/>
      <c r="C13" s="533"/>
      <c r="D13" s="533"/>
      <c r="E13" s="533"/>
      <c r="F13" s="534"/>
      <c r="G13" s="119" t="s">
        <v>150</v>
      </c>
      <c r="H13" s="119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35" customHeight="1" x14ac:dyDescent="0.2">
      <c r="A8" s="542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9"/>
      <c r="B9" s="95">
        <f>VAC_Optim_Scenario!G27</f>
        <v>567355</v>
      </c>
      <c r="C9" s="95">
        <f>VAC_Optim_Scenario!H27</f>
        <v>2269420</v>
      </c>
      <c r="D9" s="68">
        <f>VAC_Optim_Scenario!I27</f>
        <v>567355</v>
      </c>
      <c r="E9" s="84">
        <f>((($R$12/(1+EXP($P$12+$Q$12*D9)))-1) - ($F$12-$C$12))*$I$12</f>
        <v>4334.1268273107708</v>
      </c>
      <c r="F9" s="89">
        <f>E9*$G$12</f>
        <v>4334.1268273107708</v>
      </c>
      <c r="G9" s="95">
        <f>VAC_Optim_Scenario!E27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30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9"/>
      <c r="B12" s="357">
        <f>'[3]HCC Inoffice Curve'!$B$12</f>
        <v>1100000</v>
      </c>
      <c r="C12" s="357">
        <f>'[3]HCC Inoffice Curve'!$C$12</f>
        <v>7211.735697901333</v>
      </c>
      <c r="D12" s="357">
        <f>'[3]HCC Inoffice Curve'!$D$12</f>
        <v>0</v>
      </c>
      <c r="E12" s="357">
        <f>'[3]HCC Inoffice Curve'!$E$12</f>
        <v>14423.471395802664</v>
      </c>
      <c r="F12" s="357">
        <f>'[3]HCC Inoffice Curve'!$F$12</f>
        <v>4647854</v>
      </c>
      <c r="G12" s="363">
        <f>VAC_Optim_Scenario!$D$44</f>
        <v>1</v>
      </c>
      <c r="H12" s="71">
        <f>C12*G12</f>
        <v>7211.735697901333</v>
      </c>
      <c r="I12" s="359">
        <f>VAC_Optim_Scenario!D27</f>
        <v>1</v>
      </c>
      <c r="K12" s="53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532" t="s">
        <v>182</v>
      </c>
      <c r="B13" s="533"/>
      <c r="C13" s="533"/>
      <c r="D13" s="533"/>
      <c r="E13" s="533"/>
      <c r="F13" s="534"/>
      <c r="G13" s="338" t="s">
        <v>150</v>
      </c>
      <c r="H13" s="338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15" customHeight="1" x14ac:dyDescent="0.2">
      <c r="A8" s="54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9"/>
      <c r="B9" s="95">
        <f>VAC_Optim_Scenario!G18</f>
        <v>2682686.4450000003</v>
      </c>
      <c r="C9" s="95">
        <f>VAC_Optim_Scenario!H18</f>
        <v>10730745.780000001</v>
      </c>
      <c r="D9" s="68">
        <f>VAC_Optim_Scenario!I18</f>
        <v>10730745.780000001</v>
      </c>
      <c r="E9" s="84">
        <f>((($R$12/(1+EXP($P$12+$Q$12*D9)))-1) - ($F$12-$C$12))*$I$12</f>
        <v>418562.8649134906</v>
      </c>
      <c r="F9" s="89">
        <f>E9*$G$12</f>
        <v>418562.8649134906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3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9"/>
      <c r="B12" s="95">
        <f>'[4]HCP MCM SCurve'!$B$12</f>
        <v>5365372.8900000006</v>
      </c>
      <c r="C12" s="95">
        <f>'[4]HCP MCM SCurve'!$C$12</f>
        <v>282596.87941192201</v>
      </c>
      <c r="D12" s="95">
        <f>'[4]HCP MCM SCurve'!$D$12</f>
        <v>0</v>
      </c>
      <c r="E12" s="95">
        <f>'[4]HCP MCM SCurve'!$E$12</f>
        <v>536934.07088265184</v>
      </c>
      <c r="F12" s="95">
        <f>'[4]HCP MCM SCurve'!$F$12</f>
        <v>8649234</v>
      </c>
      <c r="G12" s="91">
        <f>VAC_Optim_Scenario!$D$44</f>
        <v>1</v>
      </c>
      <c r="H12" s="71">
        <f>C12*G12</f>
        <v>282596.87941192201</v>
      </c>
      <c r="I12" s="115">
        <f>VAC_Optim_Scenario!D18</f>
        <v>1</v>
      </c>
      <c r="K12" s="531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32" t="s">
        <v>187</v>
      </c>
      <c r="B13" s="533"/>
      <c r="C13" s="533"/>
      <c r="D13" s="533"/>
      <c r="E13" s="533"/>
      <c r="F13" s="534"/>
      <c r="G13" s="119" t="s">
        <v>150</v>
      </c>
      <c r="H13" s="119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31"/>
      <c r="B18" s="75">
        <v>0</v>
      </c>
      <c r="C18" s="76">
        <v>12000000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35" customHeight="1" x14ac:dyDescent="0.2">
      <c r="A8" s="542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9"/>
      <c r="B9" s="95">
        <f>VAC_Optim_Scenario!G28</f>
        <v>5251864.3599999994</v>
      </c>
      <c r="C9" s="95">
        <f>VAC_Optim_Scenario!H28</f>
        <v>21007457.439999998</v>
      </c>
      <c r="D9" s="68">
        <f>VAC_Optim_Scenario!I28</f>
        <v>9400578.4541951232</v>
      </c>
      <c r="E9" s="84">
        <f>((($R$12/(1+EXP($P$12+$Q$12*D9)))-1) - ($F$12-$C$12))*$I$12</f>
        <v>263843.10159512237</v>
      </c>
      <c r="F9" s="89">
        <f>E9*$G$12</f>
        <v>263843.10159512237</v>
      </c>
      <c r="G9" s="95">
        <f>VAC_Optim_Scenario!E28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30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9"/>
      <c r="B12" s="357">
        <f>'[5]HCP MCM SCurve'!$B$12</f>
        <v>10503728.719999999</v>
      </c>
      <c r="C12" s="357">
        <f>'[5]HCP MCM SCurve'!$C$12</f>
        <v>288339.09761974245</v>
      </c>
      <c r="D12" s="357">
        <f>'[5]HCP MCM SCurve'!$D$12</f>
        <v>0</v>
      </c>
      <c r="E12" s="357">
        <f>'[5]HCP MCM SCurve'!$E$12</f>
        <v>720847.7440493562</v>
      </c>
      <c r="F12" s="357">
        <f>'[5]HCP MCM SCurve'!$F$12</f>
        <v>4647854</v>
      </c>
      <c r="G12" s="358">
        <f>VAC_Optim_Scenario!$D$44</f>
        <v>1</v>
      </c>
      <c r="H12" s="71">
        <f>C12*G12</f>
        <v>288339.09761974245</v>
      </c>
      <c r="I12" s="359">
        <f>VAC_Optim_Scenario!D28</f>
        <v>1</v>
      </c>
      <c r="K12" s="53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532" t="s">
        <v>187</v>
      </c>
      <c r="B13" s="533"/>
      <c r="C13" s="533"/>
      <c r="D13" s="533"/>
      <c r="E13" s="533"/>
      <c r="F13" s="534"/>
      <c r="G13" s="338" t="s">
        <v>150</v>
      </c>
      <c r="H13" s="338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31"/>
      <c r="B18" s="75">
        <v>0</v>
      </c>
      <c r="C18" s="76">
        <v>12500000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338" t="s">
        <v>35</v>
      </c>
      <c r="B21" s="338" t="s">
        <v>177</v>
      </c>
      <c r="C21" s="338" t="s">
        <v>184</v>
      </c>
      <c r="D21" s="98" t="s">
        <v>188</v>
      </c>
      <c r="E21" s="338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539"/>
      <c r="B9" s="157">
        <f>VAC_Optim_Scenario!G$19</f>
        <v>936500</v>
      </c>
      <c r="C9" s="157">
        <f>VAC_Optim_Scenario!H$19</f>
        <v>3746000</v>
      </c>
      <c r="D9" s="158">
        <f>VAC_Optim_Scenario!I$19</f>
        <v>3746000.0000000005</v>
      </c>
      <c r="E9" s="84">
        <f>((GSOC!D9/$B$12)^$D$12)*$C$12*$F$12</f>
        <v>107984.45936316892</v>
      </c>
      <c r="F9" s="84">
        <f>E9*F11</f>
        <v>107984.45936316892</v>
      </c>
      <c r="G9" s="76">
        <f>VAC_Optim_Scenario!E19</f>
        <v>1873000</v>
      </c>
      <c r="H9" s="159">
        <f>((GSOC!G9/$B$12)^$D$12)*$C$12*$F$12</f>
        <v>71243.17418511775</v>
      </c>
      <c r="I9" s="160">
        <f>H9*F11</f>
        <v>71243.17418511775</v>
      </c>
    </row>
    <row r="10" spans="1:9" ht="15.75" thickBot="1" x14ac:dyDescent="0.3"/>
    <row r="11" spans="1:9" ht="48.95" customHeight="1" x14ac:dyDescent="0.25">
      <c r="A11" s="511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11"/>
      <c r="B12" s="162">
        <f>'[6]HCC Social - Power'!$B$12</f>
        <v>1873000</v>
      </c>
      <c r="C12" s="162">
        <f>'[6]HCC Social - Power'!$C$12</f>
        <v>71243.17418511775</v>
      </c>
      <c r="D12" s="317">
        <f>'[6]HCC Social - Power'!$D$12</f>
        <v>0.6</v>
      </c>
      <c r="E12" s="262" t="s">
        <v>122</v>
      </c>
      <c r="F12" s="163">
        <f>VAC_Optim_Scenario!D19</f>
        <v>1</v>
      </c>
      <c r="G12" s="267">
        <f>B12*2</f>
        <v>3746000</v>
      </c>
    </row>
    <row r="13" spans="1:9" ht="18.75" customHeight="1" x14ac:dyDescent="0.25">
      <c r="A13" s="532" t="s">
        <v>171</v>
      </c>
      <c r="B13" s="533"/>
      <c r="C13" s="533"/>
      <c r="D13" s="533"/>
      <c r="E13" s="262" t="s">
        <v>172</v>
      </c>
      <c r="F13" s="262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53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289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9"/>
      <c r="B9" s="157">
        <f>VAC_Optim_Scenario!G29</f>
        <v>875500</v>
      </c>
      <c r="C9" s="157">
        <f>VAC_Optim_Scenario!H29</f>
        <v>3502000</v>
      </c>
      <c r="D9" s="158">
        <f>VAC_Optim_Scenario!I29</f>
        <v>875500</v>
      </c>
      <c r="E9" s="84">
        <f>((GSOCIAL_adt!D9/$B$12)^$D$12)*$C$12*$F$12</f>
        <v>15715.605475567285</v>
      </c>
      <c r="F9" s="84">
        <f>E9*F11</f>
        <v>15715.605475567285</v>
      </c>
      <c r="G9" s="76">
        <f>VAC_Optim_Scenario!E29</f>
        <v>1751000</v>
      </c>
      <c r="H9" s="159">
        <f>((GSOCIAL_adt!G9/$B$12)^$D$12)*$C$12*$F$12</f>
        <v>23820.403572058858</v>
      </c>
      <c r="I9" s="160">
        <f>H9*F11</f>
        <v>23820.403572058858</v>
      </c>
    </row>
    <row r="10" spans="1:9" ht="15.75" thickBot="1" x14ac:dyDescent="0.3"/>
    <row r="11" spans="1:9" ht="48.95" customHeight="1" x14ac:dyDescent="0.25">
      <c r="A11" s="511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11"/>
      <c r="B12" s="162">
        <f>'[7]HCC Social - Power'!$B$12</f>
        <v>1751000</v>
      </c>
      <c r="C12" s="162">
        <f>'[7]HCC Social - Power'!$C$12</f>
        <v>23820.403572058858</v>
      </c>
      <c r="D12" s="333">
        <f>'[7]HCC Social - Power'!$D$12</f>
        <v>0.6</v>
      </c>
      <c r="E12" s="338" t="s">
        <v>122</v>
      </c>
      <c r="F12" s="163">
        <f>VAC_Optim_Scenario!D29</f>
        <v>1</v>
      </c>
      <c r="G12" s="267">
        <f>B12*2</f>
        <v>3502000</v>
      </c>
    </row>
    <row r="13" spans="1:9" ht="18.75" customHeight="1" x14ac:dyDescent="0.25">
      <c r="A13" s="532" t="s">
        <v>171</v>
      </c>
      <c r="B13" s="533"/>
      <c r="C13" s="533"/>
      <c r="D13" s="533"/>
      <c r="E13" s="338" t="s">
        <v>172</v>
      </c>
      <c r="F13" s="338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VAC_Optim_Scenario!$I$44</f>
        <v>225.94</v>
      </c>
      <c r="F14" s="95">
        <f>VAC_Optim_Scenario!$F$44</f>
        <v>225.94</v>
      </c>
    </row>
    <row r="15" spans="1:9" ht="15.75" thickBot="1" x14ac:dyDescent="0.3"/>
    <row r="16" spans="1:9" x14ac:dyDescent="0.25">
      <c r="A16" s="530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3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15" customHeight="1" x14ac:dyDescent="0.2">
      <c r="A8" s="542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539"/>
      <c r="B9" s="95">
        <f>VAC_Optim_Scenario!G20</f>
        <v>86538.47</v>
      </c>
      <c r="C9" s="95">
        <f>VAC_Optim_Scenario!H20</f>
        <v>346153.88</v>
      </c>
      <c r="D9" s="68">
        <f>VAC_Optim_Scenario!I20</f>
        <v>346153.88</v>
      </c>
      <c r="E9" s="84">
        <f>((($R$12/(1+EXP($P$12+$Q$12*D9)))-1) - ($F$12-$C$12))*$I$12</f>
        <v>11354.097502470016</v>
      </c>
      <c r="F9" s="89">
        <f>E9*$G$12</f>
        <v>11354.097502470016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530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539"/>
      <c r="B12" s="95">
        <f>'[8]HCC Online Video Curve'!$B$12</f>
        <v>173076.94</v>
      </c>
      <c r="C12" s="95">
        <f>'[8]HCC Online Video Curve'!$C$12</f>
        <v>7568.2941111774026</v>
      </c>
      <c r="D12" s="95">
        <f>'[8]HCC Online Video Curve'!$D$12</f>
        <v>0</v>
      </c>
      <c r="E12" s="95">
        <f>'[8]HCC Online Video Curve'!$E$12</f>
        <v>15136.588222354803</v>
      </c>
      <c r="F12" s="95">
        <f>'[8]HCC Online Video Curve'!$F$12</f>
        <v>8649234</v>
      </c>
      <c r="G12" s="91">
        <f>VAC_Optim_Scenario!$D$44</f>
        <v>1</v>
      </c>
      <c r="H12" s="71">
        <f>C12*G12</f>
        <v>7568.2941111774026</v>
      </c>
      <c r="I12" s="115">
        <f>VAC_Optim_Scenario!D20</f>
        <v>1</v>
      </c>
      <c r="K12" s="531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32" t="s">
        <v>114</v>
      </c>
      <c r="B13" s="533"/>
      <c r="C13" s="533"/>
      <c r="D13" s="533"/>
      <c r="E13" s="533"/>
      <c r="F13" s="534"/>
      <c r="G13" s="133" t="s">
        <v>150</v>
      </c>
      <c r="H13" s="133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531"/>
      <c r="B18" s="75">
        <v>0</v>
      </c>
      <c r="C18" s="76">
        <v>2000000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291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35" customHeight="1" x14ac:dyDescent="0.2">
      <c r="A8" s="542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39"/>
      <c r="B9" s="95">
        <f>VAC_Optim_Scenario!G30</f>
        <v>555889.52</v>
      </c>
      <c r="C9" s="95">
        <f>VAC_Optim_Scenario!H30</f>
        <v>2223558.08</v>
      </c>
      <c r="D9" s="68">
        <f>VAC_Optim_Scenario!I30</f>
        <v>555889.52</v>
      </c>
      <c r="E9" s="84">
        <f>((($R$12/(1+EXP($P$12+$Q$12*D9)))-1) - ($F$12-$C$12))*$I$12</f>
        <v>12667.809705113992</v>
      </c>
      <c r="F9" s="89">
        <f>E9*$G$12</f>
        <v>12667.809705113992</v>
      </c>
      <c r="G9" s="95">
        <f>VAC_Optim_Scenario!E30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30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39"/>
      <c r="B12" s="357">
        <f>'[9]HCC Online Video Curve'!$B$12</f>
        <v>1111779.04</v>
      </c>
      <c r="C12" s="357">
        <f>'[9]HCC Online Video Curve'!$C$12</f>
        <v>21646.235649615326</v>
      </c>
      <c r="D12" s="357">
        <f>'[9]HCC Online Video Curve'!$D$12</f>
        <v>0</v>
      </c>
      <c r="E12" s="357">
        <f>'[9]HCC Online Video Curve'!$E$12</f>
        <v>43292.471299230652</v>
      </c>
      <c r="F12" s="357">
        <f>'[9]HCC Online Video Curve'!$F$12</f>
        <v>4647854</v>
      </c>
      <c r="G12" s="358">
        <f>VAC_Optim_Scenario!$D$44</f>
        <v>1</v>
      </c>
      <c r="H12" s="71">
        <f>C12*G12</f>
        <v>21646.235649615326</v>
      </c>
      <c r="I12" s="359">
        <f>VAC_Optim_Scenario!D30</f>
        <v>1</v>
      </c>
      <c r="K12" s="53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532" t="s">
        <v>182</v>
      </c>
      <c r="B13" s="533"/>
      <c r="C13" s="533"/>
      <c r="D13" s="533"/>
      <c r="E13" s="533"/>
      <c r="F13" s="534"/>
      <c r="G13" s="338" t="s">
        <v>150</v>
      </c>
      <c r="H13" s="338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270" t="s">
        <v>10</v>
      </c>
      <c r="C8" s="270" t="s">
        <v>11</v>
      </c>
      <c r="D8" s="270" t="s">
        <v>20</v>
      </c>
      <c r="E8" s="270" t="s">
        <v>21</v>
      </c>
      <c r="F8" s="270" t="s">
        <v>117</v>
      </c>
      <c r="G8" s="270" t="s">
        <v>22</v>
      </c>
      <c r="H8" s="270" t="s">
        <v>23</v>
      </c>
      <c r="I8" s="4" t="s">
        <v>123</v>
      </c>
    </row>
    <row r="9" spans="1:9" ht="15.75" thickBot="1" x14ac:dyDescent="0.3">
      <c r="A9" s="539"/>
      <c r="B9" s="157">
        <f>VAC_Optim_Scenario!G21</f>
        <v>3090062.5</v>
      </c>
      <c r="C9" s="157">
        <f>VAC_Optim_Scenario!H21</f>
        <v>12360250</v>
      </c>
      <c r="D9" s="158">
        <f>VAC_Optim_Scenario!I21</f>
        <v>12360250</v>
      </c>
      <c r="E9" s="84">
        <f>((GSTRV!D9/$B$12)^$D$12)*$C$12*$F$12</f>
        <v>234996.32960936302</v>
      </c>
      <c r="F9" s="84">
        <f>E9*F11</f>
        <v>234996.32960936302</v>
      </c>
      <c r="G9" s="76">
        <f>VAC_Optim_Scenario!E21</f>
        <v>6180125</v>
      </c>
      <c r="H9" s="159">
        <f>((GSTRV!G9/$B$12)^$D$12)*$C$12*$F$12</f>
        <v>144657.20917756393</v>
      </c>
      <c r="I9" s="160">
        <f>H9*F11</f>
        <v>144657.20917756393</v>
      </c>
    </row>
    <row r="10" spans="1:9" ht="15.75" thickBot="1" x14ac:dyDescent="0.3"/>
    <row r="11" spans="1:9" ht="48.95" customHeight="1" x14ac:dyDescent="0.25">
      <c r="A11" s="511" t="s">
        <v>15</v>
      </c>
      <c r="B11" s="271" t="s">
        <v>16</v>
      </c>
      <c r="C11" s="271" t="s">
        <v>17</v>
      </c>
      <c r="D11" s="271" t="s">
        <v>170</v>
      </c>
      <c r="E11" s="270" t="s">
        <v>126</v>
      </c>
      <c r="F11" s="161">
        <v>1</v>
      </c>
    </row>
    <row r="12" spans="1:9" ht="40.5" customHeight="1" thickBot="1" x14ac:dyDescent="0.3">
      <c r="A12" s="511"/>
      <c r="B12" s="162">
        <f>'[10]Streaming Video - Power'!$B$12</f>
        <v>5935125</v>
      </c>
      <c r="C12" s="162">
        <f>'[10]Streaming Video - Power'!$C$12</f>
        <v>140618.64530883348</v>
      </c>
      <c r="D12" s="317">
        <f>'[10]Streaming Video - Power'!$D$12</f>
        <v>0.7</v>
      </c>
      <c r="E12" s="270" t="s">
        <v>122</v>
      </c>
      <c r="F12" s="163">
        <f>VAC_Optim_Scenario!D21</f>
        <v>1</v>
      </c>
      <c r="H12" s="267"/>
    </row>
    <row r="13" spans="1:9" ht="18.75" customHeight="1" x14ac:dyDescent="0.25">
      <c r="A13" s="532" t="s">
        <v>171</v>
      </c>
      <c r="B13" s="533"/>
      <c r="C13" s="533"/>
      <c r="D13" s="533"/>
      <c r="E13" s="270" t="s">
        <v>172</v>
      </c>
      <c r="F13" s="270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271" t="s">
        <v>32</v>
      </c>
      <c r="C16" s="271" t="s">
        <v>31</v>
      </c>
      <c r="D16" s="272" t="s">
        <v>33</v>
      </c>
    </row>
    <row r="17" spans="1:4" ht="15.75" thickBot="1" x14ac:dyDescent="0.3">
      <c r="A17" s="531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270" t="s">
        <v>35</v>
      </c>
      <c r="B20" s="270" t="s">
        <v>177</v>
      </c>
      <c r="C20" s="270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9"/>
      <c r="B9" s="157">
        <f>VAC_Optim_Scenario!G31</f>
        <v>6709288</v>
      </c>
      <c r="C9" s="157">
        <f>VAC_Optim_Scenario!H31</f>
        <v>26837152</v>
      </c>
      <c r="D9" s="158">
        <f>VAC_Optim_Scenario!I31</f>
        <v>6709288</v>
      </c>
      <c r="E9" s="84">
        <f>((GSTRTV_adt!D9/$B$12)^$D$12)*$C$12*$F$12</f>
        <v>62054.803457967973</v>
      </c>
      <c r="F9" s="84">
        <f>E9*F11</f>
        <v>62054.803457967973</v>
      </c>
      <c r="G9" s="76">
        <f>VAC_Optim_Scenario!E31</f>
        <v>13418576</v>
      </c>
      <c r="H9" s="159">
        <f>((GSTRTV_adt!G9/$B$12)^$D$12)*$C$12*$F$12</f>
        <v>100808.3256282994</v>
      </c>
      <c r="I9" s="160">
        <f>H9*F11</f>
        <v>100808.3256282994</v>
      </c>
    </row>
    <row r="10" spans="1:9" ht="15.75" thickBot="1" x14ac:dyDescent="0.3"/>
    <row r="11" spans="1:9" ht="48.95" customHeight="1" x14ac:dyDescent="0.25">
      <c r="A11" s="511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11"/>
      <c r="B12" s="162">
        <f>'[11]Streaming Video - Power'!$B$12</f>
        <v>13418576</v>
      </c>
      <c r="C12" s="162">
        <f>'[11]Streaming Video - Power'!$C$12</f>
        <v>100808.3256282994</v>
      </c>
      <c r="D12" s="333">
        <f>'[11]Streaming Video - Power'!$D$12</f>
        <v>0.7</v>
      </c>
      <c r="E12" s="338" t="s">
        <v>122</v>
      </c>
      <c r="F12" s="163">
        <f>VAC_Optim_Scenario!D31</f>
        <v>1</v>
      </c>
      <c r="G12" s="267">
        <f>B12*2</f>
        <v>26837152</v>
      </c>
    </row>
    <row r="13" spans="1:9" ht="18.75" customHeight="1" x14ac:dyDescent="0.25">
      <c r="A13" s="532" t="s">
        <v>171</v>
      </c>
      <c r="B13" s="533"/>
      <c r="C13" s="533"/>
      <c r="D13" s="533"/>
      <c r="E13" s="338" t="s">
        <v>172</v>
      </c>
      <c r="F13" s="338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31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266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9" t="s">
        <v>102</v>
      </c>
      <c r="I2" s="320"/>
      <c r="J2" s="320"/>
      <c r="K2" s="320"/>
      <c r="L2" s="321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15" customHeight="1" x14ac:dyDescent="0.2">
      <c r="A8" s="542"/>
      <c r="B8" s="323" t="s">
        <v>10</v>
      </c>
      <c r="C8" s="17" t="s">
        <v>11</v>
      </c>
      <c r="D8" s="19" t="s">
        <v>20</v>
      </c>
      <c r="E8" s="323" t="s">
        <v>21</v>
      </c>
      <c r="F8" s="81" t="s">
        <v>117</v>
      </c>
      <c r="G8" s="322" t="s">
        <v>22</v>
      </c>
      <c r="H8" s="323" t="s">
        <v>23</v>
      </c>
      <c r="I8" s="88" t="s">
        <v>123</v>
      </c>
    </row>
    <row r="9" spans="1:18" ht="14.65" customHeight="1" thickBot="1" x14ac:dyDescent="0.25">
      <c r="A9" s="539"/>
      <c r="B9" s="95">
        <f>VAC_Optim_Scenario!G22</f>
        <v>824178.68500000006</v>
      </c>
      <c r="C9" s="95">
        <f>VAC_Optim_Scenario!H22</f>
        <v>3296714.74</v>
      </c>
      <c r="D9" s="68">
        <f>VAC_Optim_Scenario!I22</f>
        <v>3296714.7399999998</v>
      </c>
      <c r="E9" s="84">
        <f>((($R$12/(1+EXP($P$12+$Q$12*D9)))-1) - ($F$12-$C$12))*$I$12</f>
        <v>167040.66777744889</v>
      </c>
      <c r="F9" s="89">
        <f>E9*$G$12</f>
        <v>167040.66777744889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325" t="s">
        <v>16</v>
      </c>
      <c r="C11" s="325" t="s">
        <v>17</v>
      </c>
      <c r="D11" s="325" t="s">
        <v>18</v>
      </c>
      <c r="E11" s="325" t="s">
        <v>19</v>
      </c>
      <c r="F11" s="326" t="s">
        <v>109</v>
      </c>
      <c r="G11" s="324" t="s">
        <v>118</v>
      </c>
      <c r="H11" s="325" t="s">
        <v>119</v>
      </c>
      <c r="I11" s="92" t="s">
        <v>122</v>
      </c>
      <c r="K11" s="530" t="s">
        <v>25</v>
      </c>
      <c r="L11" s="325" t="s">
        <v>110</v>
      </c>
      <c r="M11" s="325" t="s">
        <v>111</v>
      </c>
      <c r="N11" s="325" t="s">
        <v>112</v>
      </c>
      <c r="O11" s="325" t="s">
        <v>113</v>
      </c>
      <c r="P11" s="325" t="s">
        <v>26</v>
      </c>
      <c r="Q11" s="325" t="s">
        <v>27</v>
      </c>
      <c r="R11" s="326" t="s">
        <v>28</v>
      </c>
    </row>
    <row r="12" spans="1:18" ht="15" customHeight="1" thickBot="1" x14ac:dyDescent="0.25">
      <c r="A12" s="539"/>
      <c r="B12" s="95">
        <f>'[12]HCC Display'!$B$12</f>
        <v>1648357.37</v>
      </c>
      <c r="C12" s="95">
        <f>'[12]HCC Display'!$C$12</f>
        <v>104116.3698638577</v>
      </c>
      <c r="D12" s="95">
        <f>'[12]HCC Display'!$D$12</f>
        <v>0</v>
      </c>
      <c r="E12" s="95">
        <f>'[12]HCC Display'!$E$12</f>
        <v>260290.92465964428</v>
      </c>
      <c r="F12" s="95">
        <f>'[12]HCC Display'!$F$12</f>
        <v>8649234</v>
      </c>
      <c r="G12" s="91">
        <f>VAC_Optim_Scenario!$D$44</f>
        <v>1</v>
      </c>
      <c r="H12" s="71">
        <f>C12*G12</f>
        <v>104116.3698638577</v>
      </c>
      <c r="I12" s="115">
        <f>VAC_Optim_Scenario!D20</f>
        <v>1</v>
      </c>
      <c r="K12" s="531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32" t="s">
        <v>114</v>
      </c>
      <c r="B13" s="533"/>
      <c r="C13" s="533"/>
      <c r="D13" s="533"/>
      <c r="E13" s="533"/>
      <c r="F13" s="534"/>
      <c r="G13" s="323" t="s">
        <v>150</v>
      </c>
      <c r="H13" s="323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VAC_Optim_Scenario!$I$44</f>
        <v>225.94</v>
      </c>
      <c r="H14" s="95">
        <f>VAC_Optim_Scenario!$F$44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325" t="s">
        <v>32</v>
      </c>
      <c r="C17" s="325" t="s">
        <v>31</v>
      </c>
      <c r="D17" s="326" t="s">
        <v>33</v>
      </c>
      <c r="F17" s="82"/>
      <c r="G17" s="82"/>
      <c r="H17" s="83"/>
    </row>
    <row r="18" spans="1:8" ht="23.6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323" t="s">
        <v>35</v>
      </c>
      <c r="B21" s="323" t="s">
        <v>120</v>
      </c>
      <c r="C21" s="323" t="s">
        <v>199</v>
      </c>
      <c r="D21" s="98" t="s">
        <v>121</v>
      </c>
      <c r="E21" s="323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9"/>
      <c r="B9" s="157">
        <f>VAC_Optim_Scenario!G32</f>
        <v>1429713.41</v>
      </c>
      <c r="C9" s="157">
        <f>VAC_Optim_Scenario!H32</f>
        <v>5718853.6399999997</v>
      </c>
      <c r="D9" s="158">
        <f>VAC_Optim_Scenario!I32</f>
        <v>1429713.41</v>
      </c>
      <c r="E9" s="84">
        <f>((GDISP_adt!D9/$B$12)^$D$12)*$C$12*$F$12</f>
        <v>50184.192802034428</v>
      </c>
      <c r="F9" s="84">
        <f>E9*F11</f>
        <v>50184.192802034428</v>
      </c>
      <c r="G9" s="76">
        <f>VAC_Optim_Scenario!E32</f>
        <v>2859426.82</v>
      </c>
      <c r="H9" s="159">
        <f>((GDISP_adt!G9/$B$12)^$D$12)*$C$12*$F$12</f>
        <v>76065.012406995462</v>
      </c>
      <c r="I9" s="160">
        <f>H9*F11</f>
        <v>76065.012406995462</v>
      </c>
    </row>
    <row r="10" spans="1:9" ht="15.75" thickBot="1" x14ac:dyDescent="0.3"/>
    <row r="11" spans="1:9" ht="48.95" customHeight="1" x14ac:dyDescent="0.25">
      <c r="A11" s="511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11"/>
      <c r="B12" s="162">
        <f>'[13]HCC Display - Power'!$B$12</f>
        <v>2859426.82</v>
      </c>
      <c r="C12" s="162">
        <f>'[13]HCC Display - Power'!$C$12</f>
        <v>76065.012406995462</v>
      </c>
      <c r="D12" s="333">
        <f>'[13]HCC Display - Power'!$D$12</f>
        <v>0.6</v>
      </c>
      <c r="E12" s="338" t="s">
        <v>122</v>
      </c>
      <c r="F12" s="163">
        <f>VAC_Optim_Scenario!D32</f>
        <v>1</v>
      </c>
      <c r="G12" s="267">
        <f>B12*2</f>
        <v>5718853.6399999997</v>
      </c>
    </row>
    <row r="13" spans="1:9" ht="18.75" customHeight="1" x14ac:dyDescent="0.25">
      <c r="A13" s="532" t="s">
        <v>171</v>
      </c>
      <c r="B13" s="533"/>
      <c r="C13" s="533"/>
      <c r="D13" s="533"/>
      <c r="E13" s="338" t="s">
        <v>172</v>
      </c>
      <c r="F13" s="338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VAC_Optim_Scenario!$I$44</f>
        <v>225.94</v>
      </c>
      <c r="F14" s="95">
        <f>VAC_Optim_Scenario!$F$44</f>
        <v>225.94</v>
      </c>
    </row>
    <row r="15" spans="1:9" ht="15.75" thickBot="1" x14ac:dyDescent="0.3"/>
    <row r="16" spans="1:9" x14ac:dyDescent="0.25">
      <c r="A16" s="530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3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539"/>
      <c r="B9" s="157">
        <f>VAC_Optim_Scenario!G23</f>
        <v>172353.5</v>
      </c>
      <c r="C9" s="157">
        <f>VAC_Optim_Scenario!H23</f>
        <v>689414</v>
      </c>
      <c r="D9" s="158">
        <f>VAC_Optim_Scenario!I23</f>
        <v>689414</v>
      </c>
      <c r="E9" s="84">
        <f>((GSEARCH!D9/$B$12)^$D$12)*$C$12*$F$12</f>
        <v>212313.17248095342</v>
      </c>
      <c r="F9" s="84">
        <f>E9*F11</f>
        <v>212313.17248095342</v>
      </c>
      <c r="G9" s="76">
        <f>VAC_Optim_Scenario!E23</f>
        <v>344707</v>
      </c>
      <c r="H9" s="159">
        <f>((GSEARCH!G9/$B$12)^$D$12)*$C$12*$F$12</f>
        <v>130694.08808973072</v>
      </c>
      <c r="I9" s="160">
        <f>H9*F11</f>
        <v>130694.08808973072</v>
      </c>
    </row>
    <row r="10" spans="1:9" ht="15.75" thickBot="1" x14ac:dyDescent="0.3"/>
    <row r="11" spans="1:9" ht="48.95" customHeight="1" x14ac:dyDescent="0.25">
      <c r="A11" s="511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11"/>
      <c r="B12" s="162">
        <f>'[14]HCC Paid Search - Power'!$B$12</f>
        <v>344707</v>
      </c>
      <c r="C12" s="162">
        <f>'[14]HCC Paid Search - Power'!$C$12</f>
        <v>130694.08808973072</v>
      </c>
      <c r="D12" s="317">
        <f>'[14]HCC Paid Search - Power'!$D$12</f>
        <v>0.7</v>
      </c>
      <c r="E12" s="147" t="s">
        <v>122</v>
      </c>
      <c r="F12" s="163">
        <f>VAC_Optim_Scenario!D23</f>
        <v>1</v>
      </c>
    </row>
    <row r="13" spans="1:9" ht="18.75" customHeight="1" x14ac:dyDescent="0.25">
      <c r="A13" s="532" t="s">
        <v>171</v>
      </c>
      <c r="B13" s="533"/>
      <c r="C13" s="533"/>
      <c r="D13" s="533"/>
      <c r="E13" s="147" t="s">
        <v>172</v>
      </c>
      <c r="F13" s="147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531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296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9"/>
      <c r="B9" s="157">
        <f>VAC_Optim_Scenario!G33</f>
        <v>25000</v>
      </c>
      <c r="C9" s="157">
        <f>VAC_Optim_Scenario!H33</f>
        <v>100000</v>
      </c>
      <c r="D9" s="158">
        <f>VAC_Optim_Scenario!I33</f>
        <v>100000</v>
      </c>
      <c r="E9" s="84">
        <f>((GPDSRCH_adt!D9/$B$12)^$D$12)*$C$12*$F$12</f>
        <v>48957.364565372409</v>
      </c>
      <c r="F9" s="84">
        <f>E9*F11</f>
        <v>48957.364565372409</v>
      </c>
      <c r="G9" s="76">
        <f>VAC_Optim_Scenario!E33</f>
        <v>50000</v>
      </c>
      <c r="H9" s="159">
        <f>((GPDSRCH_adt!G9/$B$12)^$D$12)*$C$12*$F$12</f>
        <v>30136.792938374307</v>
      </c>
      <c r="I9" s="160">
        <f>H9*F11</f>
        <v>30136.792938374307</v>
      </c>
    </row>
    <row r="10" spans="1:9" ht="15.75" thickBot="1" x14ac:dyDescent="0.3"/>
    <row r="11" spans="1:9" ht="48.95" customHeight="1" x14ac:dyDescent="0.25">
      <c r="A11" s="511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11"/>
      <c r="B12" s="162">
        <f>'[15]HCC Paid Search - Power'!$B$12</f>
        <v>50000</v>
      </c>
      <c r="C12" s="162">
        <f>'[15]HCC Paid Search - Power'!$C$12</f>
        <v>30136.792938374307</v>
      </c>
      <c r="D12" s="333">
        <f>'[15]HCC Paid Search - Power'!$D$12</f>
        <v>0.7</v>
      </c>
      <c r="E12" s="338" t="s">
        <v>122</v>
      </c>
      <c r="F12" s="163">
        <f>VAC_Optim_Scenario!D33</f>
        <v>1</v>
      </c>
      <c r="G12" s="267">
        <f>B12*2</f>
        <v>100000</v>
      </c>
    </row>
    <row r="13" spans="1:9" ht="18.75" customHeight="1" x14ac:dyDescent="0.25">
      <c r="A13" s="532" t="s">
        <v>171</v>
      </c>
      <c r="B13" s="533"/>
      <c r="C13" s="533"/>
      <c r="D13" s="533"/>
      <c r="E13" s="338" t="s">
        <v>172</v>
      </c>
      <c r="F13" s="338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3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39"/>
      <c r="B9" s="157">
        <f>VAC_Optim_Scenario!G24</f>
        <v>718524.20499999996</v>
      </c>
      <c r="C9" s="157">
        <f>VAC_Optim_Scenario!H24</f>
        <v>2874096.82</v>
      </c>
      <c r="D9" s="158">
        <f>VAC_Optim_Scenario!I24</f>
        <v>2874096.82</v>
      </c>
      <c r="E9" s="159">
        <f>((GRADIO!D9/$B$12)^$D$12)*$C$12*$F$12</f>
        <v>106962.74248959644</v>
      </c>
      <c r="F9" s="84">
        <f>E9*F11</f>
        <v>106962.74248959644</v>
      </c>
      <c r="G9" s="76">
        <f>VAC_Optim_Scenario!E24</f>
        <v>1437048.41</v>
      </c>
      <c r="H9" s="159">
        <f>((GRADIO!G9/$B$12)^$D$12)*$C$12*$F$12</f>
        <v>70569.092436493243</v>
      </c>
      <c r="I9" s="160">
        <f>H9*F11</f>
        <v>70569.092436493243</v>
      </c>
    </row>
    <row r="10" spans="1:9" ht="15.75" thickBot="1" x14ac:dyDescent="0.3"/>
    <row r="11" spans="1:9" ht="48.95" customHeight="1" x14ac:dyDescent="0.25">
      <c r="A11" s="511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11"/>
      <c r="B12" s="162">
        <f>'[16]Radio - Power'!$B$12</f>
        <v>1437048.41</v>
      </c>
      <c r="C12" s="162">
        <f>'[16]Radio - Power'!$C$12</f>
        <v>70569.092436493243</v>
      </c>
      <c r="D12" s="317">
        <f>'[16]Radio - Power'!$D$12</f>
        <v>0.6</v>
      </c>
      <c r="E12" s="144" t="s">
        <v>122</v>
      </c>
      <c r="F12" s="163">
        <f>VAC_Optim_Scenario!D24</f>
        <v>1</v>
      </c>
    </row>
    <row r="13" spans="1:9" ht="18.75" customHeight="1" x14ac:dyDescent="0.25">
      <c r="A13" s="532" t="s">
        <v>171</v>
      </c>
      <c r="B13" s="533"/>
      <c r="C13" s="533"/>
      <c r="D13" s="533"/>
      <c r="E13" s="144" t="s">
        <v>172</v>
      </c>
      <c r="F13" s="144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31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topLeftCell="A11" zoomScaleNormal="100" workbookViewId="0">
      <selection activeCell="E18" sqref="E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283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29" t="s">
        <v>10</v>
      </c>
      <c r="C8" s="329" t="s">
        <v>11</v>
      </c>
      <c r="D8" s="329" t="s">
        <v>20</v>
      </c>
      <c r="E8" s="329" t="s">
        <v>21</v>
      </c>
      <c r="F8" s="329" t="s">
        <v>117</v>
      </c>
      <c r="G8" s="329" t="s">
        <v>22</v>
      </c>
      <c r="H8" s="329" t="s">
        <v>23</v>
      </c>
      <c r="I8" s="4" t="s">
        <v>123</v>
      </c>
    </row>
    <row r="9" spans="1:9" ht="15.75" thickBot="1" x14ac:dyDescent="0.3">
      <c r="A9" s="539"/>
      <c r="B9" s="157">
        <f>VAC_Optim_Scenario!G35</f>
        <v>461987.5</v>
      </c>
      <c r="C9" s="157">
        <f>VAC_Optim_Scenario!H35</f>
        <v>1847950</v>
      </c>
      <c r="D9" s="158">
        <f>VAC_Optim_Scenario!I35</f>
        <v>461987.5</v>
      </c>
      <c r="E9" s="84">
        <f>((GAUDIO!D9/$B$12)^$D$12)*$C$12*$F$12</f>
        <v>20145.054869698579</v>
      </c>
      <c r="F9" s="84">
        <f>E9*F11</f>
        <v>20145.054869698579</v>
      </c>
      <c r="G9" s="76">
        <f>VAC_Optim_Scenario!E35</f>
        <v>923975</v>
      </c>
      <c r="H9" s="159">
        <f>((GAUDIO!G9/$B$12)^$D$12)*$C$12*$F$12</f>
        <v>26581.559263521289</v>
      </c>
      <c r="I9" s="160">
        <f>H9*F11</f>
        <v>26581.559263521289</v>
      </c>
    </row>
    <row r="10" spans="1:9" ht="15.75" thickBot="1" x14ac:dyDescent="0.3"/>
    <row r="11" spans="1:9" ht="48.95" customHeight="1" x14ac:dyDescent="0.25">
      <c r="A11" s="511" t="s">
        <v>15</v>
      </c>
      <c r="B11" s="330" t="s">
        <v>16</v>
      </c>
      <c r="C11" s="330" t="s">
        <v>17</v>
      </c>
      <c r="D11" s="330" t="s">
        <v>170</v>
      </c>
      <c r="E11" s="329" t="s">
        <v>126</v>
      </c>
      <c r="F11" s="161">
        <v>1</v>
      </c>
    </row>
    <row r="12" spans="1:9" ht="40.5" customHeight="1" thickBot="1" x14ac:dyDescent="0.3">
      <c r="A12" s="511"/>
      <c r="B12" s="162">
        <f>'[17]Radio - Power'!$B$12</f>
        <v>923975</v>
      </c>
      <c r="C12" s="162">
        <f>'[17]Radio - Power'!$C$12</f>
        <v>26581.559263521289</v>
      </c>
      <c r="D12" s="333">
        <f>'[17]Radio - Power'!$D$12</f>
        <v>0.4</v>
      </c>
      <c r="E12" s="329" t="s">
        <v>122</v>
      </c>
      <c r="F12" s="163">
        <f>[18]VAC_Optim_Scenario!D24</f>
        <v>1</v>
      </c>
      <c r="G12" s="267">
        <f>B12*2</f>
        <v>1847950</v>
      </c>
    </row>
    <row r="13" spans="1:9" ht="18.75" customHeight="1" x14ac:dyDescent="0.25">
      <c r="A13" s="532" t="s">
        <v>171</v>
      </c>
      <c r="B13" s="533"/>
      <c r="C13" s="533"/>
      <c r="D13" s="533"/>
      <c r="E13" s="329" t="s">
        <v>172</v>
      </c>
      <c r="F13" s="329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330" t="s">
        <v>32</v>
      </c>
      <c r="C16" s="330" t="s">
        <v>31</v>
      </c>
      <c r="D16" s="331" t="s">
        <v>33</v>
      </c>
    </row>
    <row r="17" spans="1:4" ht="15.75" thickBot="1" x14ac:dyDescent="0.3">
      <c r="A17" s="53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29" t="s">
        <v>35</v>
      </c>
      <c r="B20" s="329" t="s">
        <v>177</v>
      </c>
      <c r="C20" s="329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39"/>
      <c r="B9" s="157">
        <f>VAC_Optim_Scenario!G25</f>
        <v>6751762.4950000001</v>
      </c>
      <c r="C9" s="157">
        <f>VAC_Optim_Scenario!H25</f>
        <v>27007049.98</v>
      </c>
      <c r="D9" s="158">
        <f>VAC_Optim_Scenario!I25</f>
        <v>21861203.521423146</v>
      </c>
      <c r="E9" s="84">
        <f>((GTV!D9/$B$12)^$D$12)*$C$12*$F$12</f>
        <v>355431.43573924497</v>
      </c>
      <c r="F9" s="84">
        <f>E9*F11</f>
        <v>355431.43573924497</v>
      </c>
      <c r="G9" s="76">
        <f>VAC_Optim_Scenario!E25</f>
        <v>13503524.99</v>
      </c>
      <c r="H9" s="159">
        <f>((GTV!G9/$B$12)^$D$12)*$C$12*$F$12</f>
        <v>253686.28893952153</v>
      </c>
      <c r="I9" s="160">
        <f>H9*F11</f>
        <v>253686.28893952153</v>
      </c>
    </row>
    <row r="10" spans="1:9" ht="15.75" thickBot="1" x14ac:dyDescent="0.3"/>
    <row r="11" spans="1:9" ht="48.95" customHeight="1" x14ac:dyDescent="0.25">
      <c r="A11" s="511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11"/>
      <c r="B12" s="162">
        <f>'[19]TV - Power'!$B$12</f>
        <v>13503524.99</v>
      </c>
      <c r="C12" s="162">
        <f>'[19]TV - Power'!$C$12</f>
        <v>253686.28893952153</v>
      </c>
      <c r="D12" s="317">
        <f>'[19]TV - Power'!$D$12</f>
        <v>0.7</v>
      </c>
      <c r="E12" s="144" t="s">
        <v>122</v>
      </c>
      <c r="F12" s="163">
        <f>VAC_Optim_Scenario!D25</f>
        <v>1</v>
      </c>
    </row>
    <row r="13" spans="1:9" ht="18.75" customHeight="1" x14ac:dyDescent="0.25">
      <c r="A13" s="532" t="s">
        <v>171</v>
      </c>
      <c r="B13" s="533"/>
      <c r="C13" s="533"/>
      <c r="D13" s="533"/>
      <c r="E13" s="144" t="s">
        <v>172</v>
      </c>
      <c r="F13" s="144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31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15" customHeight="1" x14ac:dyDescent="0.2">
      <c r="A8" s="54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39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3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39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VAC_Optim_Scenario!$D$44</f>
        <v>1</v>
      </c>
      <c r="H12" s="71">
        <f>C12*G12</f>
        <v>54924.559200000003</v>
      </c>
      <c r="I12" s="115" t="e">
        <f>VAC_Optim_Scenario!#REF!</f>
        <v>#REF!</v>
      </c>
      <c r="K12" s="53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32" t="s">
        <v>114</v>
      </c>
      <c r="B13" s="533"/>
      <c r="C13" s="533"/>
      <c r="D13" s="533"/>
      <c r="E13" s="533"/>
      <c r="F13" s="534"/>
      <c r="G13" s="119" t="s">
        <v>150</v>
      </c>
      <c r="H13" s="119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VAC_Optim_Scenario!I44</f>
        <v>225.94</v>
      </c>
      <c r="H14" s="95">
        <f>VAC_Optim_Scenario!G44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49"/>
      <c r="C4" s="550"/>
      <c r="D4" s="550"/>
      <c r="E4" s="550"/>
      <c r="F4" s="55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3" t="s">
        <v>9</v>
      </c>
      <c r="C7" s="543"/>
      <c r="D7" s="543" t="s">
        <v>12</v>
      </c>
      <c r="E7" s="543"/>
      <c r="F7" s="543"/>
      <c r="G7" s="543" t="s">
        <v>124</v>
      </c>
      <c r="H7" s="543"/>
      <c r="I7" s="548"/>
    </row>
    <row r="8" spans="1:9" x14ac:dyDescent="0.25">
      <c r="A8" s="542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39"/>
      <c r="B9" s="157">
        <f>VAC_Optim_Scenario!G34</f>
        <v>12905464.300000001</v>
      </c>
      <c r="C9" s="157">
        <f>VAC_Optim_Scenario!H34</f>
        <v>51621857.200000003</v>
      </c>
      <c r="D9" s="158">
        <f>VAC_Optim_Scenario!I34</f>
        <v>12905464.300000001</v>
      </c>
      <c r="E9" s="84">
        <f>((GLINEARTV_adt!D9/$B$12)^$D$12)*$C$12*$F$12</f>
        <v>103728.84265037619</v>
      </c>
      <c r="F9" s="84">
        <f>E9*F11</f>
        <v>103728.84265037619</v>
      </c>
      <c r="G9" s="76">
        <f>VAC_Optim_Scenario!E34</f>
        <v>25810928.600000001</v>
      </c>
      <c r="H9" s="159">
        <f>((GLINEARTV_adt!G9/$B$12)^$D$12)*$C$12*$F$12</f>
        <v>168508.00202805389</v>
      </c>
      <c r="I9" s="160">
        <f>H9*F11</f>
        <v>168508.00202805389</v>
      </c>
    </row>
    <row r="10" spans="1:9" ht="15.75" thickBot="1" x14ac:dyDescent="0.3"/>
    <row r="11" spans="1:9" ht="48.95" customHeight="1" x14ac:dyDescent="0.25">
      <c r="A11" s="511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11"/>
      <c r="B12" s="162">
        <f>'[20]TV - Power'!$B$12</f>
        <v>25810928.600000001</v>
      </c>
      <c r="C12" s="162">
        <f>'[20]TV - Power'!$C$12</f>
        <v>168508.00202805389</v>
      </c>
      <c r="D12" s="333">
        <f>'[20]TV - Power'!$D$12</f>
        <v>0.7</v>
      </c>
      <c r="E12" s="338" t="s">
        <v>122</v>
      </c>
      <c r="F12" s="163">
        <f>VAC_Optim_Scenario!D34</f>
        <v>1</v>
      </c>
      <c r="G12" s="267">
        <f>B12*2</f>
        <v>51621857.200000003</v>
      </c>
    </row>
    <row r="13" spans="1:9" ht="18.75" customHeight="1" x14ac:dyDescent="0.25">
      <c r="A13" s="532" t="s">
        <v>171</v>
      </c>
      <c r="B13" s="533"/>
      <c r="C13" s="533"/>
      <c r="D13" s="533"/>
      <c r="E13" s="338" t="s">
        <v>172</v>
      </c>
      <c r="F13" s="338" t="s">
        <v>173</v>
      </c>
    </row>
    <row r="14" spans="1:9" ht="15.75" thickBot="1" x14ac:dyDescent="0.3">
      <c r="A14" s="535"/>
      <c r="B14" s="536"/>
      <c r="C14" s="536"/>
      <c r="D14" s="536"/>
      <c r="E14" s="95">
        <f>VAC_Optim_Scenario!G44</f>
        <v>225.94</v>
      </c>
      <c r="F14" s="95">
        <f>VAC_Optim_Scenario!E44</f>
        <v>225.94</v>
      </c>
    </row>
    <row r="15" spans="1:9" ht="15.75" thickBot="1" x14ac:dyDescent="0.3"/>
    <row r="16" spans="1:9" x14ac:dyDescent="0.25">
      <c r="A16" s="530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31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11" t="s">
        <v>37</v>
      </c>
      <c r="B19" s="511"/>
      <c r="C19" s="511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303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99" t="s">
        <v>102</v>
      </c>
      <c r="I2" s="400"/>
      <c r="J2" s="400"/>
      <c r="K2" s="400"/>
      <c r="L2" s="401"/>
    </row>
    <row r="3" spans="1:18" ht="13.5" thickBot="1" x14ac:dyDescent="0.25">
      <c r="A3" s="11" t="s">
        <v>3</v>
      </c>
      <c r="B3" s="12" t="s">
        <v>304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40" t="s">
        <v>106</v>
      </c>
      <c r="C4" s="540"/>
      <c r="D4" s="540"/>
      <c r="E4" s="540"/>
      <c r="F4" s="54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[21]VAC_Optim_Scenario!$G$14</f>
        <v>0.5</v>
      </c>
      <c r="C6" s="94">
        <f>[21]VAC_Optim_Scenario!$H$14</f>
        <v>2</v>
      </c>
    </row>
    <row r="7" spans="1:18" ht="27.75" customHeight="1" x14ac:dyDescent="0.2">
      <c r="A7" s="538" t="s">
        <v>8</v>
      </c>
      <c r="B7" s="543" t="s">
        <v>9</v>
      </c>
      <c r="C7" s="544"/>
      <c r="D7" s="545" t="s">
        <v>12</v>
      </c>
      <c r="E7" s="546"/>
      <c r="F7" s="547"/>
      <c r="G7" s="543" t="s">
        <v>124</v>
      </c>
      <c r="H7" s="543"/>
      <c r="I7" s="548"/>
      <c r="J7" s="98" t="s">
        <v>125</v>
      </c>
    </row>
    <row r="8" spans="1:18" ht="28.35" customHeight="1" x14ac:dyDescent="0.2">
      <c r="A8" s="542"/>
      <c r="B8" s="398" t="s">
        <v>10</v>
      </c>
      <c r="C8" s="17" t="s">
        <v>11</v>
      </c>
      <c r="D8" s="19" t="s">
        <v>20</v>
      </c>
      <c r="E8" s="398" t="s">
        <v>21</v>
      </c>
      <c r="F8" s="81" t="s">
        <v>117</v>
      </c>
      <c r="G8" s="402" t="s">
        <v>22</v>
      </c>
      <c r="H8" s="398" t="s">
        <v>23</v>
      </c>
      <c r="I8" s="88" t="s">
        <v>123</v>
      </c>
    </row>
    <row r="9" spans="1:18" ht="14.45" customHeight="1" thickBot="1" x14ac:dyDescent="0.25">
      <c r="A9" s="539"/>
      <c r="B9" s="95">
        <f>VAC_Optim_Scenario!G36</f>
        <v>1205984</v>
      </c>
      <c r="C9" s="95">
        <f>VAC_Optim_Scenario!H36</f>
        <v>4823936</v>
      </c>
      <c r="D9" s="95">
        <f>VAC_Optim_Scenario!I36</f>
        <v>1205984</v>
      </c>
      <c r="E9" s="84">
        <f>((($R$12/(1+EXP($P$12+$Q$12*D9)))-1) - ($F$12-$C$12))*$I$12</f>
        <v>10250.445204379968</v>
      </c>
      <c r="F9" s="89">
        <f>E9*$G$12</f>
        <v>10250.445204379968</v>
      </c>
      <c r="G9" s="95">
        <f>VAC_Optim_Scenario!E36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404" t="s">
        <v>16</v>
      </c>
      <c r="C11" s="404" t="s">
        <v>17</v>
      </c>
      <c r="D11" s="404" t="s">
        <v>18</v>
      </c>
      <c r="E11" s="404" t="s">
        <v>19</v>
      </c>
      <c r="F11" s="405" t="s">
        <v>109</v>
      </c>
      <c r="G11" s="403" t="s">
        <v>181</v>
      </c>
      <c r="H11" s="404" t="s">
        <v>119</v>
      </c>
      <c r="I11" s="92" t="s">
        <v>122</v>
      </c>
      <c r="K11" s="530" t="s">
        <v>25</v>
      </c>
      <c r="L11" s="404" t="s">
        <v>110</v>
      </c>
      <c r="M11" s="404" t="s">
        <v>111</v>
      </c>
      <c r="N11" s="404" t="s">
        <v>112</v>
      </c>
      <c r="O11" s="404" t="s">
        <v>113</v>
      </c>
      <c r="P11" s="404" t="s">
        <v>26</v>
      </c>
      <c r="Q11" s="404" t="s">
        <v>27</v>
      </c>
      <c r="R11" s="405" t="s">
        <v>28</v>
      </c>
    </row>
    <row r="12" spans="1:18" ht="15" customHeight="1" thickBot="1" x14ac:dyDescent="0.25">
      <c r="A12" s="539"/>
      <c r="B12" s="357">
        <f>'[22]HCC PHARMACY SCurve'!$B$12</f>
        <v>2411882</v>
      </c>
      <c r="C12" s="153">
        <f>'[22]HCC PHARMACY SCurve'!$C$12</f>
        <v>18205.431530494821</v>
      </c>
      <c r="D12" s="153">
        <f>'[22]HCC PHARMACY SCurve'!$D$12</f>
        <v>0</v>
      </c>
      <c r="E12" s="153">
        <f>'[22]HCC PHARMACY SCurve'!$E$12</f>
        <v>45513.578826237055</v>
      </c>
      <c r="F12" s="153">
        <f>'[22]HCC PHARMACY SCurve'!$F$12</f>
        <v>4647854</v>
      </c>
      <c r="G12" s="358">
        <f>[21]VAC_Optim_Scenario!$D$33</f>
        <v>1</v>
      </c>
      <c r="H12" s="71">
        <f>C12*G12</f>
        <v>18205.431530494821</v>
      </c>
      <c r="I12" s="359">
        <f>[21]VAC_Optim_Scenario!D26</f>
        <v>1</v>
      </c>
      <c r="K12" s="53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532" t="s">
        <v>182</v>
      </c>
      <c r="B13" s="533"/>
      <c r="C13" s="533"/>
      <c r="D13" s="533"/>
      <c r="E13" s="533"/>
      <c r="F13" s="534"/>
      <c r="G13" s="398" t="s">
        <v>150</v>
      </c>
      <c r="H13" s="398" t="s">
        <v>151</v>
      </c>
      <c r="K13" s="532" t="s">
        <v>115</v>
      </c>
      <c r="L13" s="533"/>
      <c r="M13" s="533"/>
      <c r="N13" s="533"/>
      <c r="O13" s="533"/>
      <c r="P13" s="533"/>
      <c r="Q13" s="533"/>
      <c r="R13" s="534"/>
    </row>
    <row r="14" spans="1:18" ht="33.6" customHeight="1" thickBot="1" x14ac:dyDescent="0.25">
      <c r="A14" s="535"/>
      <c r="B14" s="536"/>
      <c r="C14" s="536"/>
      <c r="D14" s="536"/>
      <c r="E14" s="536"/>
      <c r="F14" s="537"/>
      <c r="G14" s="95">
        <f>VAC_Optim_Scenario!I44</f>
        <v>225.94</v>
      </c>
      <c r="H14" s="95">
        <f>VAC_Optim_Scenario!G44</f>
        <v>225.94</v>
      </c>
      <c r="K14" s="535"/>
      <c r="L14" s="536"/>
      <c r="M14" s="536"/>
      <c r="N14" s="536"/>
      <c r="O14" s="536"/>
      <c r="P14" s="536"/>
      <c r="Q14" s="536"/>
      <c r="R14" s="537"/>
    </row>
    <row r="16" spans="1:18" ht="13.5" thickBot="1" x14ac:dyDescent="0.25"/>
    <row r="17" spans="1:8" ht="42.6" customHeight="1" x14ac:dyDescent="0.2">
      <c r="A17" s="530" t="s">
        <v>34</v>
      </c>
      <c r="B17" s="404" t="s">
        <v>32</v>
      </c>
      <c r="C17" s="404" t="s">
        <v>31</v>
      </c>
      <c r="D17" s="405" t="s">
        <v>33</v>
      </c>
      <c r="F17" s="96"/>
      <c r="G17" s="96"/>
      <c r="H17" s="360"/>
    </row>
    <row r="18" spans="1:8" ht="23.45" customHeight="1" thickBot="1" x14ac:dyDescent="0.25">
      <c r="A18" s="531"/>
      <c r="B18" s="75">
        <v>0</v>
      </c>
      <c r="C18" s="76">
        <v>4000000</v>
      </c>
      <c r="D18" s="26">
        <v>20</v>
      </c>
    </row>
    <row r="20" spans="1:8" x14ac:dyDescent="0.2">
      <c r="A20" s="511" t="s">
        <v>37</v>
      </c>
      <c r="B20" s="511"/>
      <c r="C20" s="511"/>
    </row>
    <row r="21" spans="1:8" ht="25.5" x14ac:dyDescent="0.2">
      <c r="A21" s="398" t="s">
        <v>35</v>
      </c>
      <c r="B21" s="398" t="s">
        <v>183</v>
      </c>
      <c r="C21" s="398" t="s">
        <v>184</v>
      </c>
      <c r="D21" s="98" t="s">
        <v>185</v>
      </c>
      <c r="E21" s="39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16" t="s">
        <v>100</v>
      </c>
      <c r="G2" s="517"/>
      <c r="H2" s="517"/>
      <c r="I2" s="517"/>
      <c r="J2" s="517"/>
      <c r="K2" s="517"/>
      <c r="L2" s="518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19" t="s">
        <v>72</v>
      </c>
      <c r="G3" s="520"/>
      <c r="H3" s="520"/>
      <c r="I3" s="520"/>
      <c r="J3" s="520"/>
      <c r="K3" s="520"/>
      <c r="L3" s="521"/>
    </row>
    <row r="4" spans="1:12" ht="13.5" thickBot="1" x14ac:dyDescent="0.25">
      <c r="A4" s="29" t="s">
        <v>38</v>
      </c>
      <c r="B4" s="552" t="s">
        <v>39</v>
      </c>
      <c r="C4" s="552"/>
      <c r="D4" s="553"/>
    </row>
    <row r="6" spans="1:12" ht="13.5" thickBot="1" x14ac:dyDescent="0.25"/>
    <row r="7" spans="1:12" ht="27.75" customHeight="1" x14ac:dyDescent="0.2">
      <c r="A7" s="538" t="s">
        <v>8</v>
      </c>
      <c r="B7" s="543" t="s">
        <v>9</v>
      </c>
      <c r="C7" s="544"/>
      <c r="D7" s="545" t="s">
        <v>12</v>
      </c>
      <c r="E7" s="547"/>
      <c r="F7" s="546" t="s">
        <v>24</v>
      </c>
      <c r="G7" s="560"/>
    </row>
    <row r="8" spans="1:12" ht="25.5" x14ac:dyDescent="0.2">
      <c r="A8" s="54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3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3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3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39"/>
      <c r="B12" s="12">
        <v>20</v>
      </c>
      <c r="C12" s="12">
        <v>30</v>
      </c>
      <c r="D12" s="12">
        <v>0</v>
      </c>
      <c r="E12" s="14">
        <v>70</v>
      </c>
      <c r="G12" s="53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32" t="s">
        <v>30</v>
      </c>
      <c r="B13" s="533"/>
      <c r="C13" s="533"/>
      <c r="D13" s="533"/>
      <c r="E13" s="534"/>
      <c r="G13" s="554" t="s">
        <v>29</v>
      </c>
      <c r="H13" s="555"/>
      <c r="I13" s="555"/>
      <c r="J13" s="556"/>
    </row>
    <row r="14" spans="1:12" ht="33.6" customHeight="1" x14ac:dyDescent="0.2">
      <c r="A14" s="535"/>
      <c r="B14" s="536"/>
      <c r="C14" s="536"/>
      <c r="D14" s="536"/>
      <c r="E14" s="537"/>
      <c r="G14" s="557"/>
      <c r="H14" s="558"/>
      <c r="I14" s="558"/>
      <c r="J14" s="559"/>
    </row>
    <row r="16" spans="1:12" ht="13.5" thickBot="1" x14ac:dyDescent="0.25"/>
    <row r="17" spans="1:4" ht="16.899999999999999" customHeight="1" x14ac:dyDescent="0.2">
      <c r="A17" s="530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31"/>
      <c r="B18" s="12">
        <v>0</v>
      </c>
      <c r="C18" s="12">
        <v>100</v>
      </c>
      <c r="D18" s="26">
        <v>20</v>
      </c>
    </row>
    <row r="20" spans="1:4" x14ac:dyDescent="0.2">
      <c r="A20" s="511" t="s">
        <v>37</v>
      </c>
      <c r="B20" s="511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16" t="s">
        <v>100</v>
      </c>
      <c r="G2" s="517"/>
      <c r="H2" s="517"/>
      <c r="I2" s="517"/>
      <c r="J2" s="517"/>
      <c r="K2" s="517"/>
      <c r="L2" s="518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19" t="s">
        <v>72</v>
      </c>
      <c r="G3" s="520"/>
      <c r="H3" s="520"/>
      <c r="I3" s="520"/>
      <c r="J3" s="520"/>
      <c r="K3" s="520"/>
      <c r="L3" s="521"/>
    </row>
    <row r="4" spans="1:12" ht="31.9" customHeight="1" thickBot="1" x14ac:dyDescent="0.25">
      <c r="A4" s="29" t="s">
        <v>38</v>
      </c>
      <c r="B4" s="561" t="s">
        <v>41</v>
      </c>
      <c r="C4" s="562"/>
      <c r="D4" s="563"/>
    </row>
    <row r="6" spans="1:12" ht="13.5" thickBot="1" x14ac:dyDescent="0.25"/>
    <row r="7" spans="1:12" ht="27.75" customHeight="1" x14ac:dyDescent="0.2">
      <c r="A7" s="538" t="s">
        <v>8</v>
      </c>
      <c r="B7" s="543" t="s">
        <v>9</v>
      </c>
      <c r="C7" s="544"/>
      <c r="D7" s="545" t="s">
        <v>12</v>
      </c>
      <c r="E7" s="547"/>
      <c r="F7" s="546" t="s">
        <v>24</v>
      </c>
      <c r="G7" s="560"/>
      <c r="H7" s="1" t="s">
        <v>54</v>
      </c>
    </row>
    <row r="8" spans="1:12" ht="25.5" x14ac:dyDescent="0.2">
      <c r="A8" s="54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3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38" t="s">
        <v>42</v>
      </c>
      <c r="B11" s="508" t="s">
        <v>47</v>
      </c>
      <c r="C11" s="565" t="s">
        <v>46</v>
      </c>
      <c r="D11" s="546"/>
      <c r="E11" s="546"/>
      <c r="F11" s="3" t="s">
        <v>48</v>
      </c>
      <c r="G11" s="33"/>
      <c r="H11" s="32"/>
      <c r="I11" s="32"/>
      <c r="J11" s="32"/>
    </row>
    <row r="12" spans="1:12" x14ac:dyDescent="0.2">
      <c r="A12" s="566"/>
      <c r="B12" s="50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6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64" t="s">
        <v>52</v>
      </c>
      <c r="B14" s="564"/>
      <c r="C14" s="564"/>
      <c r="D14" s="564"/>
      <c r="E14" s="564"/>
      <c r="F14" s="564"/>
      <c r="G14" s="38"/>
      <c r="H14" s="39"/>
      <c r="I14" s="39"/>
      <c r="J14" s="39"/>
    </row>
    <row r="15" spans="1:12" ht="30.6" customHeight="1" x14ac:dyDescent="0.2">
      <c r="A15" s="564"/>
      <c r="B15" s="564"/>
      <c r="C15" s="564"/>
      <c r="D15" s="564"/>
      <c r="E15" s="564"/>
      <c r="F15" s="564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30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31"/>
      <c r="B19" s="12">
        <v>0</v>
      </c>
      <c r="C19" s="12">
        <v>20000000</v>
      </c>
      <c r="D19" s="26">
        <v>20</v>
      </c>
    </row>
    <row r="21" spans="1:4" x14ac:dyDescent="0.2">
      <c r="A21" s="511" t="s">
        <v>37</v>
      </c>
      <c r="B21" s="511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68" t="s">
        <v>106</v>
      </c>
      <c r="C4" s="568"/>
      <c r="D4" s="568"/>
      <c r="E4" s="568"/>
      <c r="F4" s="56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38" t="s">
        <v>8</v>
      </c>
      <c r="B7" s="543" t="s">
        <v>9</v>
      </c>
      <c r="C7" s="544"/>
      <c r="D7" s="545" t="s">
        <v>12</v>
      </c>
      <c r="E7" s="547"/>
      <c r="F7" s="546" t="s">
        <v>24</v>
      </c>
      <c r="G7" s="560"/>
    </row>
    <row r="8" spans="1:15" ht="25.5" x14ac:dyDescent="0.2">
      <c r="A8" s="54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39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38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3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39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3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32" t="s">
        <v>114</v>
      </c>
      <c r="B13" s="533"/>
      <c r="C13" s="533"/>
      <c r="D13" s="533"/>
      <c r="E13" s="533"/>
      <c r="F13" s="534"/>
      <c r="H13" s="532" t="s">
        <v>115</v>
      </c>
      <c r="I13" s="533"/>
      <c r="J13" s="533"/>
      <c r="K13" s="533"/>
      <c r="L13" s="533"/>
      <c r="M13" s="533"/>
      <c r="N13" s="533"/>
      <c r="O13" s="534"/>
    </row>
    <row r="14" spans="1:15" ht="33.6" customHeight="1" x14ac:dyDescent="0.2">
      <c r="A14" s="535"/>
      <c r="B14" s="536"/>
      <c r="C14" s="536"/>
      <c r="D14" s="536"/>
      <c r="E14" s="536"/>
      <c r="F14" s="537"/>
      <c r="H14" s="535"/>
      <c r="I14" s="536"/>
      <c r="J14" s="536"/>
      <c r="K14" s="536"/>
      <c r="L14" s="536"/>
      <c r="M14" s="536"/>
      <c r="N14" s="536"/>
      <c r="O14" s="537"/>
    </row>
    <row r="16" spans="1:15" ht="13.5" thickBot="1" x14ac:dyDescent="0.25"/>
    <row r="17" spans="1:4" ht="16.899999999999999" customHeight="1" x14ac:dyDescent="0.2">
      <c r="A17" s="530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31"/>
      <c r="B18" s="75">
        <v>0</v>
      </c>
      <c r="C18" s="76">
        <v>200000000</v>
      </c>
      <c r="D18" s="26">
        <v>20</v>
      </c>
    </row>
    <row r="20" spans="1:4" x14ac:dyDescent="0.2">
      <c r="A20" s="511" t="s">
        <v>37</v>
      </c>
      <c r="B20" s="511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16" t="s">
        <v>100</v>
      </c>
      <c r="G2" s="517"/>
      <c r="H2" s="517"/>
      <c r="I2" s="517"/>
      <c r="J2" s="517"/>
      <c r="K2" s="517"/>
      <c r="L2" s="518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19" t="s">
        <v>72</v>
      </c>
      <c r="G3" s="520"/>
      <c r="H3" s="520"/>
      <c r="I3" s="520"/>
      <c r="J3" s="520"/>
      <c r="K3" s="520"/>
      <c r="L3" s="521"/>
    </row>
    <row r="4" spans="1:14" ht="13.5" thickBot="1" x14ac:dyDescent="0.25">
      <c r="A4" s="29" t="s">
        <v>38</v>
      </c>
      <c r="B4" s="552" t="s">
        <v>57</v>
      </c>
      <c r="C4" s="552"/>
      <c r="D4" s="553"/>
    </row>
    <row r="6" spans="1:14" ht="13.5" thickBot="1" x14ac:dyDescent="0.25"/>
    <row r="7" spans="1:14" ht="27.75" customHeight="1" x14ac:dyDescent="0.2">
      <c r="A7" s="538" t="s">
        <v>8</v>
      </c>
      <c r="B7" s="543" t="s">
        <v>9</v>
      </c>
      <c r="C7" s="544"/>
      <c r="D7" s="545" t="s">
        <v>12</v>
      </c>
      <c r="E7" s="547"/>
      <c r="F7" s="546" t="s">
        <v>24</v>
      </c>
      <c r="G7" s="560"/>
      <c r="I7" s="572" t="s">
        <v>73</v>
      </c>
      <c r="J7" s="572"/>
      <c r="K7" s="572"/>
      <c r="L7" s="572"/>
      <c r="N7" s="47" t="s">
        <v>58</v>
      </c>
    </row>
    <row r="8" spans="1:14" ht="25.5" x14ac:dyDescent="0.2">
      <c r="A8" s="54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72"/>
      <c r="J8" s="572"/>
      <c r="K8" s="572"/>
      <c r="L8" s="572"/>
      <c r="N8" s="47" t="s">
        <v>59</v>
      </c>
    </row>
    <row r="9" spans="1:14" ht="13.5" thickBot="1" x14ac:dyDescent="0.25">
      <c r="A9" s="53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11" t="s">
        <v>60</v>
      </c>
      <c r="B11" s="3" t="s">
        <v>61</v>
      </c>
      <c r="C11" s="3" t="s">
        <v>62</v>
      </c>
      <c r="D11" s="32"/>
      <c r="E11" s="57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11"/>
      <c r="B12" s="41">
        <v>0</v>
      </c>
      <c r="C12" s="41">
        <v>0</v>
      </c>
      <c r="D12" s="32"/>
      <c r="E12" s="57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11"/>
      <c r="B13" s="41">
        <v>1</v>
      </c>
      <c r="C13" s="41">
        <v>0.75</v>
      </c>
      <c r="D13" s="32"/>
      <c r="E13" s="57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11"/>
      <c r="B14" s="41">
        <v>2</v>
      </c>
      <c r="C14" s="41">
        <v>0</v>
      </c>
      <c r="D14" s="32"/>
      <c r="E14" s="57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11"/>
      <c r="B15" s="41">
        <v>3</v>
      </c>
      <c r="C15" s="41">
        <v>-1</v>
      </c>
      <c r="D15" s="32"/>
      <c r="E15" s="57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11"/>
      <c r="B16" s="41">
        <v>4</v>
      </c>
      <c r="C16" s="41">
        <v>3</v>
      </c>
      <c r="D16" s="32"/>
      <c r="E16" s="57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11"/>
      <c r="B17" s="42">
        <v>5</v>
      </c>
      <c r="C17" s="42">
        <v>3</v>
      </c>
      <c r="D17" s="40"/>
      <c r="E17" s="57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73" t="s">
        <v>74</v>
      </c>
      <c r="B18" s="574"/>
      <c r="C18" s="575"/>
      <c r="D18" s="33"/>
      <c r="E18" s="564" t="s">
        <v>75</v>
      </c>
      <c r="F18" s="564"/>
      <c r="G18" s="564"/>
      <c r="H18" s="564"/>
      <c r="I18" s="564"/>
      <c r="J18" s="564"/>
      <c r="K18" s="564"/>
      <c r="L18" s="564"/>
      <c r="M18" s="564"/>
    </row>
    <row r="19" spans="1:13" ht="35.65" customHeight="1" x14ac:dyDescent="0.2">
      <c r="A19" s="535"/>
      <c r="B19" s="536"/>
      <c r="C19" s="537"/>
      <c r="D19" s="33"/>
      <c r="E19" s="564"/>
      <c r="F19" s="564"/>
      <c r="G19" s="564"/>
      <c r="H19" s="564"/>
      <c r="I19" s="564"/>
      <c r="J19" s="564"/>
      <c r="K19" s="564"/>
      <c r="L19" s="564"/>
      <c r="M19" s="564"/>
    </row>
    <row r="21" spans="1:13" ht="13.5" thickBot="1" x14ac:dyDescent="0.25"/>
    <row r="22" spans="1:13" ht="16.899999999999999" customHeight="1" x14ac:dyDescent="0.2">
      <c r="A22" s="530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31"/>
      <c r="B23" s="12">
        <v>0</v>
      </c>
      <c r="C23" s="12">
        <v>5</v>
      </c>
      <c r="D23" s="26">
        <v>20</v>
      </c>
    </row>
    <row r="25" spans="1:13" x14ac:dyDescent="0.2">
      <c r="A25" s="511" t="s">
        <v>37</v>
      </c>
      <c r="B25" s="511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dive_23_dz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2023-08-21T13:52:53Z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