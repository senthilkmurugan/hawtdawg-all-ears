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Total\Optimize\"/>
    </mc:Choice>
  </mc:AlternateContent>
  <xr:revisionPtr revIDLastSave="0" documentId="13_ncr:1_{9D4A1991-22EC-4DB8-A144-925539CF665A}" xr6:coauthVersionLast="47" xr6:coauthVersionMax="47" xr10:uidLastSave="{00000000-0000-0000-0000-000000000000}"/>
  <bookViews>
    <workbookView xWindow="-120" yWindow="-120" windowWidth="20730" windowHeight="11310" tabRatio="709" firstSheet="9" activeTab="9" xr2:uid="{00000000-000D-0000-FFFF-FFFF00000000}"/>
  </bookViews>
  <sheets>
    <sheet name="YOY Curve comparison" sheetId="85" state="hidden" r:id="rId1"/>
    <sheet name="Scenario summary" sheetId="78" state="hidden" r:id="rId2"/>
    <sheet name="Chart - Combined" sheetId="36" state="hidden" r:id="rId3"/>
    <sheet name="Scenario deep dive" sheetId="79" state="hidden" r:id="rId4"/>
    <sheet name="Scenario deep dive_2023" sheetId="89" state="hidden" r:id="rId5"/>
    <sheet name="Senstivity" sheetId="87" state="hidden" r:id="rId6"/>
    <sheet name="Sensitivity - Template" sheetId="86" state="hidden" r:id="rId7"/>
    <sheet name="Contribution, promo eff, ROI" sheetId="80" r:id="rId8"/>
    <sheet name="Scenario summary_23_dz" sheetId="92" r:id="rId9"/>
    <sheet name="Scenario deep dive_23_dz" sheetId="91" r:id="rId10"/>
    <sheet name="VAC_Optim_Scenario" sheetId="23" r:id="rId11"/>
    <sheet name="GINOFF" sheetId="51" r:id="rId12"/>
    <sheet name="GINOFF_adt" sheetId="93" r:id="rId13"/>
    <sheet name="GMCM" sheetId="50" r:id="rId14"/>
    <sheet name="GMCM_adt" sheetId="94" r:id="rId15"/>
    <sheet name="GSOC" sheetId="82" r:id="rId16"/>
    <sheet name="GSOCIAL_adt" sheetId="95" r:id="rId17"/>
    <sheet name="GOLV" sheetId="59" r:id="rId18"/>
    <sheet name="GOLV_adt" sheetId="96" r:id="rId19"/>
    <sheet name="GSTRV" sheetId="84" r:id="rId20"/>
    <sheet name="GSTRTV_adt" sheetId="97" r:id="rId21"/>
    <sheet name="GDISP" sheetId="88" r:id="rId22"/>
    <sheet name="GDISP_adt" sheetId="98" r:id="rId23"/>
    <sheet name="GSEARCH" sheetId="77" r:id="rId24"/>
    <sheet name="GPDSRCH_adt" sheetId="99" r:id="rId25"/>
    <sheet name="GRADIO" sheetId="75" r:id="rId26"/>
    <sheet name="GAUDIO" sheetId="90" r:id="rId27"/>
    <sheet name="GTV" sheetId="74" r:id="rId28"/>
    <sheet name="GPRNT" sheetId="48" state="hidden" r:id="rId29"/>
    <sheet name="GLINEARTV_adt" sheetId="100" r:id="rId30"/>
    <sheet name="GPHRMCY_adt" sheetId="101" r:id="rId31"/>
    <sheet name="Fn.Templates ==&gt;" sheetId="3" r:id="rId32"/>
    <sheet name="FT_SCurveEst" sheetId="2" r:id="rId33"/>
    <sheet name="FT_Equation" sheetId="4" r:id="rId34"/>
    <sheet name="FT_SCurve3Est" sheetId="13" r:id="rId35"/>
    <sheet name="FT_Interpolate" sheetId="5" r:id="rId36"/>
  </sheets>
  <functionGroups builtInGroupCount="19"/>
  <externalReferences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</externalReferences>
  <definedNames>
    <definedName name="_xlnm._FilterDatabase" localSheetId="7" hidden="1">'Contribution, promo eff, ROI'!$E$26:$F$35</definedName>
    <definedName name="_xlnm._FilterDatabase" localSheetId="10" hidden="1">VAC_Optim_Scenario!$H$19:$H$27</definedName>
    <definedName name="solver_adj" localSheetId="10" hidden="1">VAC_Optim_Scenario!$I$19:$I$27,VAC_Optim_Scenario!$I$29:$I$38</definedName>
    <definedName name="solver_cvg" localSheetId="6" hidden="1">0.0001</definedName>
    <definedName name="solver_cvg" localSheetId="5" hidden="1">0.0001</definedName>
    <definedName name="solver_cvg" localSheetId="10" hidden="1">0.0001</definedName>
    <definedName name="solver_drv" localSheetId="6" hidden="1">1</definedName>
    <definedName name="solver_drv" localSheetId="5" hidden="1">1</definedName>
    <definedName name="solver_drv" localSheetId="10" hidden="1">1</definedName>
    <definedName name="solver_eng" localSheetId="30" hidden="1">1</definedName>
    <definedName name="solver_eng" localSheetId="6" hidden="1">1</definedName>
    <definedName name="solver_eng" localSheetId="5" hidden="1">1</definedName>
    <definedName name="solver_eng" localSheetId="10" hidden="1">1</definedName>
    <definedName name="solver_est" localSheetId="6" hidden="1">1</definedName>
    <definedName name="solver_est" localSheetId="5" hidden="1">1</definedName>
    <definedName name="solver_est" localSheetId="10" hidden="1">1</definedName>
    <definedName name="solver_itr" localSheetId="6" hidden="1">2147483647</definedName>
    <definedName name="solver_itr" localSheetId="5" hidden="1">2147483647</definedName>
    <definedName name="solver_itr" localSheetId="10" hidden="1">2147483647</definedName>
    <definedName name="solver_lhs0" localSheetId="10" hidden="1">VAC_Optim_Scenario!$I$40</definedName>
    <definedName name="solver_lhs1" localSheetId="10" hidden="1">VAC_Optim_Scenario!$B$14</definedName>
    <definedName name="solver_lhs10" localSheetId="10" hidden="1">VAC_Optim_Scenario!$I$39</definedName>
    <definedName name="solver_lhs11" localSheetId="10" hidden="1">VAC_Optim_Scenario!$I$39</definedName>
    <definedName name="solver_lhs2" localSheetId="10" hidden="1">VAC_Optim_Scenario!$G$12:$G$13</definedName>
    <definedName name="solver_lhs3" localSheetId="10" hidden="1">VAC_Optim_Scenario!$G$12:$G$13</definedName>
    <definedName name="solver_lhs4" localSheetId="10" hidden="1">VAC_Optim_Scenario!$I$19:$I$27</definedName>
    <definedName name="solver_lhs5" localSheetId="10" hidden="1">VAC_Optim_Scenario!$I$19:$I$27</definedName>
    <definedName name="solver_lhs6" localSheetId="10" hidden="1">VAC_Optim_Scenario!$I$29:$I$38</definedName>
    <definedName name="solver_lhs7" localSheetId="10" hidden="1">VAC_Optim_Scenario!$I$29:$I$38</definedName>
    <definedName name="solver_lhs8" localSheetId="10" hidden="1">VAC_Optim_Scenario!$I$29:$I$38</definedName>
    <definedName name="solver_lhs9" localSheetId="10" hidden="1">VAC_Optim_Scenario!$I$29:$I$38</definedName>
    <definedName name="solver_mip" localSheetId="6" hidden="1">2147483647</definedName>
    <definedName name="solver_mip" localSheetId="5" hidden="1">2147483647</definedName>
    <definedName name="solver_mip" localSheetId="10" hidden="1">2147483647</definedName>
    <definedName name="solver_mni" localSheetId="6" hidden="1">30</definedName>
    <definedName name="solver_mni" localSheetId="5" hidden="1">30</definedName>
    <definedName name="solver_mni" localSheetId="10" hidden="1">30</definedName>
    <definedName name="solver_mrt" localSheetId="6" hidden="1">0.075</definedName>
    <definedName name="solver_mrt" localSheetId="5" hidden="1">0.075</definedName>
    <definedName name="solver_mrt" localSheetId="10" hidden="1">0.075</definedName>
    <definedName name="solver_msl" localSheetId="6" hidden="1">2</definedName>
    <definedName name="solver_msl" localSheetId="5" hidden="1">2</definedName>
    <definedName name="solver_msl" localSheetId="10" hidden="1">2</definedName>
    <definedName name="solver_neg" localSheetId="30" hidden="1">1</definedName>
    <definedName name="solver_neg" localSheetId="6" hidden="1">1</definedName>
    <definedName name="solver_neg" localSheetId="5" hidden="1">1</definedName>
    <definedName name="solver_neg" localSheetId="10" hidden="1">1</definedName>
    <definedName name="solver_nod" localSheetId="6" hidden="1">2147483647</definedName>
    <definedName name="solver_nod" localSheetId="5" hidden="1">2147483647</definedName>
    <definedName name="solver_nod" localSheetId="10" hidden="1">2147483647</definedName>
    <definedName name="solver_num" localSheetId="30" hidden="1">0</definedName>
    <definedName name="solver_num" localSheetId="6" hidden="1">0</definedName>
    <definedName name="solver_num" localSheetId="5" hidden="1">0</definedName>
    <definedName name="solver_num" localSheetId="10" hidden="1">7</definedName>
    <definedName name="solver_nwt" localSheetId="6" hidden="1">1</definedName>
    <definedName name="solver_nwt" localSheetId="5" hidden="1">1</definedName>
    <definedName name="solver_nwt" localSheetId="10" hidden="1">1</definedName>
    <definedName name="solver_opt" localSheetId="30" hidden="1">GPHRMCY_adt!$I$12</definedName>
    <definedName name="solver_opt" localSheetId="6" hidden="1">'Sensitivity - Template'!$F$6</definedName>
    <definedName name="solver_opt" localSheetId="5" hidden="1">Senstivity!$F$6</definedName>
    <definedName name="solver_opt" localSheetId="10" hidden="1">VAC_Optim_Scenario!$B$9</definedName>
    <definedName name="solver_pre" localSheetId="6" hidden="1">0.000001</definedName>
    <definedName name="solver_pre" localSheetId="5" hidden="1">0.000001</definedName>
    <definedName name="solver_pre" localSheetId="10" hidden="1">0.00000001</definedName>
    <definedName name="solver_rbv" localSheetId="6" hidden="1">1</definedName>
    <definedName name="solver_rbv" localSheetId="5" hidden="1">1</definedName>
    <definedName name="solver_rbv" localSheetId="10" hidden="1">1</definedName>
    <definedName name="solver_rel0" localSheetId="10" hidden="1">3</definedName>
    <definedName name="solver_rel1" localSheetId="10" hidden="1">2</definedName>
    <definedName name="solver_rel10" localSheetId="10" hidden="1">3</definedName>
    <definedName name="solver_rel11" localSheetId="10" hidden="1">3</definedName>
    <definedName name="solver_rel2" localSheetId="10" hidden="1">1</definedName>
    <definedName name="solver_rel3" localSheetId="10" hidden="1">3</definedName>
    <definedName name="solver_rel4" localSheetId="10" hidden="1">1</definedName>
    <definedName name="solver_rel5" localSheetId="10" hidden="1">3</definedName>
    <definedName name="solver_rel6" localSheetId="10" hidden="1">1</definedName>
    <definedName name="solver_rel7" localSheetId="10" hidden="1">3</definedName>
    <definedName name="solver_rel8" localSheetId="10" hidden="1">3</definedName>
    <definedName name="solver_rel9" localSheetId="10" hidden="1">3</definedName>
    <definedName name="solver_rhs0" localSheetId="10" hidden="1">VAC_Optim_Scenario!$C$14</definedName>
    <definedName name="solver_rhs1" localSheetId="10" hidden="1">VAC_Optim_Scenario!$I$40</definedName>
    <definedName name="solver_rhs10" localSheetId="10" hidden="1">VAC_Optim_Scenario!$G$39</definedName>
    <definedName name="solver_rhs11" localSheetId="10" hidden="1">VAC_Optim_Scenario!$G$39</definedName>
    <definedName name="solver_rhs2" localSheetId="10" hidden="1">VAC_Optim_Scenario!$D$12:$D$13</definedName>
    <definedName name="solver_rhs3" localSheetId="10" hidden="1">VAC_Optim_Scenario!$C$12:$C$13</definedName>
    <definedName name="solver_rhs4" localSheetId="10" hidden="1">VAC_Optim_Scenario!$H$19:$H$27</definedName>
    <definedName name="solver_rhs5" localSheetId="10" hidden="1">VAC_Optim_Scenario!$G$19:$G$27</definedName>
    <definedName name="solver_rhs6" localSheetId="10" hidden="1">VAC_Optim_Scenario!$H$29:$H$38</definedName>
    <definedName name="solver_rhs7" localSheetId="10" hidden="1">VAC_Optim_Scenario!$G$29:$G$38</definedName>
    <definedName name="solver_rhs8" localSheetId="10" hidden="1">VAC_Optim_Scenario!$G$29:$G$38</definedName>
    <definedName name="solver_rhs9" localSheetId="10" hidden="1">VAC_Optim_Scenario!$G$29:$G$38</definedName>
    <definedName name="solver_rlx" localSheetId="6" hidden="1">2</definedName>
    <definedName name="solver_rlx" localSheetId="5" hidden="1">2</definedName>
    <definedName name="solver_rlx" localSheetId="10" hidden="1">2</definedName>
    <definedName name="solver_rsd" localSheetId="6" hidden="1">0</definedName>
    <definedName name="solver_rsd" localSheetId="5" hidden="1">0</definedName>
    <definedName name="solver_rsd" localSheetId="10" hidden="1">0</definedName>
    <definedName name="solver_scl" localSheetId="6" hidden="1">1</definedName>
    <definedName name="solver_scl" localSheetId="5" hidden="1">1</definedName>
    <definedName name="solver_scl" localSheetId="10" hidden="1">1</definedName>
    <definedName name="solver_sho" localSheetId="6" hidden="1">2</definedName>
    <definedName name="solver_sho" localSheetId="5" hidden="1">2</definedName>
    <definedName name="solver_sho" localSheetId="10" hidden="1">2</definedName>
    <definedName name="solver_ssz" localSheetId="6" hidden="1">100</definedName>
    <definedName name="solver_ssz" localSheetId="5" hidden="1">100</definedName>
    <definedName name="solver_ssz" localSheetId="10" hidden="1">100</definedName>
    <definedName name="solver_tim" localSheetId="6" hidden="1">2147483647</definedName>
    <definedName name="solver_tim" localSheetId="5" hidden="1">2147483647</definedName>
    <definedName name="solver_tim" localSheetId="10" hidden="1">2147483647</definedName>
    <definedName name="solver_tol" localSheetId="6" hidden="1">0.01</definedName>
    <definedName name="solver_tol" localSheetId="5" hidden="1">0.01</definedName>
    <definedName name="solver_tol" localSheetId="10" hidden="1">0.01</definedName>
    <definedName name="solver_typ" localSheetId="30" hidden="1">1</definedName>
    <definedName name="solver_typ" localSheetId="6" hidden="1">1</definedName>
    <definedName name="solver_typ" localSheetId="5" hidden="1">1</definedName>
    <definedName name="solver_typ" localSheetId="10" hidden="1">1</definedName>
    <definedName name="solver_val" localSheetId="30" hidden="1">0</definedName>
    <definedName name="solver_val" localSheetId="6" hidden="1">0</definedName>
    <definedName name="solver_val" localSheetId="5" hidden="1">0</definedName>
    <definedName name="solver_val" localSheetId="10" hidden="1">0</definedName>
    <definedName name="solver_ver" localSheetId="30" hidden="1">3</definedName>
    <definedName name="solver_ver" localSheetId="6" hidden="1">3</definedName>
    <definedName name="solver_ver" localSheetId="5" hidden="1">3</definedName>
    <definedName name="solver_ver" localSheetId="1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3" i="23" l="1"/>
  <c r="B13" i="23"/>
  <c r="D13" i="23" s="1"/>
  <c r="X24" i="91"/>
  <c r="X23" i="91"/>
  <c r="X17" i="91"/>
  <c r="X18" i="91"/>
  <c r="X19" i="91"/>
  <c r="X20" i="91"/>
  <c r="X21" i="91"/>
  <c r="X22" i="91"/>
  <c r="X25" i="91"/>
  <c r="X16" i="91"/>
  <c r="X8" i="91"/>
  <c r="X9" i="91"/>
  <c r="X10" i="91"/>
  <c r="X11" i="91"/>
  <c r="X12" i="91"/>
  <c r="X13" i="91"/>
  <c r="X14" i="91"/>
  <c r="X15" i="91"/>
  <c r="X7" i="91"/>
  <c r="W8" i="91"/>
  <c r="W9" i="91"/>
  <c r="W10" i="91"/>
  <c r="W11" i="91"/>
  <c r="W12" i="91"/>
  <c r="W13" i="91"/>
  <c r="W14" i="91"/>
  <c r="W15" i="91"/>
  <c r="W7" i="91"/>
  <c r="W24" i="91"/>
  <c r="W23" i="91"/>
  <c r="W17" i="91"/>
  <c r="W18" i="91"/>
  <c r="W19" i="91"/>
  <c r="W20" i="91"/>
  <c r="W21" i="91"/>
  <c r="W22" i="91"/>
  <c r="W25" i="91"/>
  <c r="W16" i="91"/>
  <c r="V7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V9" i="91"/>
  <c r="V8" i="91"/>
  <c r="L27" i="91"/>
  <c r="L26" i="91"/>
  <c r="J27" i="91"/>
  <c r="J26" i="91"/>
  <c r="B12" i="23" l="1"/>
  <c r="B14" i="23" l="1"/>
  <c r="D12" i="23"/>
  <c r="C12" i="23" l="1"/>
  <c r="F14" i="90" l="1"/>
  <c r="E14" i="90"/>
  <c r="H14" i="101"/>
  <c r="G14" i="101"/>
  <c r="D14" i="80"/>
  <c r="D15" i="80"/>
  <c r="D16" i="80"/>
  <c r="D17" i="80"/>
  <c r="D18" i="80"/>
  <c r="D19" i="80"/>
  <c r="D20" i="80"/>
  <c r="D21" i="80"/>
  <c r="D22" i="80"/>
  <c r="D13" i="80"/>
  <c r="R18" i="80" a="1"/>
  <c r="Q19" i="80" a="1"/>
  <c r="Q16" i="80" a="1"/>
  <c r="R21" i="80" a="1"/>
  <c r="R16" i="80" a="1"/>
  <c r="Q21" i="80" a="1"/>
  <c r="Q22" i="80" a="1"/>
  <c r="Q14" i="80" a="1"/>
  <c r="Q18" i="80" a="1"/>
  <c r="Q15" i="80" a="1"/>
  <c r="R15" i="80" a="1"/>
  <c r="R19" i="80" a="1"/>
  <c r="R22" i="80" a="1"/>
  <c r="R13" i="80" a="1"/>
  <c r="Q17" i="80" a="1"/>
  <c r="R17" i="80" a="1"/>
  <c r="Q20" i="80" a="1"/>
  <c r="Q13" i="80" a="1"/>
  <c r="R20" i="80" a="1"/>
  <c r="R14" i="80" a="1"/>
  <c r="R22" i="80" l="1"/>
  <c r="R20" i="80"/>
  <c r="R19" i="80"/>
  <c r="R18" i="80"/>
  <c r="R17" i="80"/>
  <c r="R16" i="80"/>
  <c r="R15" i="80"/>
  <c r="R14" i="80"/>
  <c r="R13" i="80"/>
  <c r="R21" i="80"/>
  <c r="Q22" i="80"/>
  <c r="Q21" i="80"/>
  <c r="Q20" i="80"/>
  <c r="Q19" i="80"/>
  <c r="Q18" i="80"/>
  <c r="Q17" i="80"/>
  <c r="Q16" i="80"/>
  <c r="Q15" i="80"/>
  <c r="Q14" i="80"/>
  <c r="Q13" i="80"/>
  <c r="A24" i="88" l="1"/>
  <c r="A25" i="88" s="1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A37" i="88" s="1"/>
  <c r="A38" i="88" s="1"/>
  <c r="A39" i="88" s="1"/>
  <c r="A40" i="88" s="1"/>
  <c r="A41" i="88" s="1"/>
  <c r="A42" i="88" s="1"/>
  <c r="A43" i="88" s="1"/>
  <c r="A44" i="88" s="1"/>
  <c r="A23" i="88"/>
  <c r="D5" i="80"/>
  <c r="D6" i="80"/>
  <c r="D7" i="80"/>
  <c r="D8" i="80"/>
  <c r="D9" i="80"/>
  <c r="D10" i="80"/>
  <c r="D11" i="80"/>
  <c r="D12" i="80"/>
  <c r="D4" i="80"/>
  <c r="Q9" i="80" a="1"/>
  <c r="Q8" i="80" a="1"/>
  <c r="R6" i="80" a="1"/>
  <c r="R9" i="80" a="1"/>
  <c r="R11" i="80" a="1"/>
  <c r="Q6" i="80" a="1"/>
  <c r="R10" i="80" a="1"/>
  <c r="Q10" i="80" a="1"/>
  <c r="R12" i="80" a="1"/>
  <c r="Q4" i="80" a="1"/>
  <c r="R8" i="80" a="1"/>
  <c r="Q11" i="80" a="1"/>
  <c r="R7" i="80" a="1"/>
  <c r="R4" i="80" a="1"/>
  <c r="Q7" i="80" a="1"/>
  <c r="Q12" i="80" a="1"/>
  <c r="D23" i="80" l="1"/>
  <c r="Q4" i="80"/>
  <c r="Q6" i="80"/>
  <c r="Q7" i="80"/>
  <c r="Q8" i="80"/>
  <c r="Q9" i="80"/>
  <c r="Q10" i="80"/>
  <c r="Q12" i="80"/>
  <c r="R4" i="80"/>
  <c r="R6" i="80"/>
  <c r="R7" i="80"/>
  <c r="R8" i="80"/>
  <c r="R9" i="80"/>
  <c r="R10" i="80"/>
  <c r="R11" i="80"/>
  <c r="R12" i="80"/>
  <c r="Q11" i="80"/>
  <c r="B54" i="91" l="1"/>
  <c r="B53" i="91"/>
  <c r="P27" i="91"/>
  <c r="P54" i="91" s="1"/>
  <c r="N27" i="91"/>
  <c r="N54" i="91" s="1"/>
  <c r="P26" i="91"/>
  <c r="P53" i="91" s="1"/>
  <c r="N26" i="91"/>
  <c r="N53" i="91" s="1"/>
  <c r="H27" i="91"/>
  <c r="H54" i="91" s="1"/>
  <c r="H26" i="91"/>
  <c r="F27" i="91"/>
  <c r="F54" i="91" s="1"/>
  <c r="F26" i="91"/>
  <c r="F53" i="91" s="1"/>
  <c r="J54" i="91" l="1"/>
  <c r="J53" i="91"/>
  <c r="L54" i="91"/>
  <c r="L53" i="91"/>
  <c r="H53" i="91"/>
  <c r="G9" i="90"/>
  <c r="D9" i="90"/>
  <c r="C21" i="80"/>
  <c r="C22" i="80"/>
  <c r="N51" i="91"/>
  <c r="O51" i="91"/>
  <c r="P51" i="91"/>
  <c r="N52" i="91"/>
  <c r="O52" i="91"/>
  <c r="P52" i="91"/>
  <c r="J51" i="91"/>
  <c r="K51" i="91"/>
  <c r="L51" i="91"/>
  <c r="J52" i="91"/>
  <c r="K52" i="91"/>
  <c r="L52" i="91"/>
  <c r="F51" i="91"/>
  <c r="G51" i="91"/>
  <c r="H51" i="91"/>
  <c r="F52" i="91"/>
  <c r="G52" i="91"/>
  <c r="H52" i="91"/>
  <c r="P28" i="91"/>
  <c r="P30" i="91" s="1"/>
  <c r="N28" i="91"/>
  <c r="L30" i="91"/>
  <c r="H28" i="91"/>
  <c r="H30" i="91" s="1"/>
  <c r="F28" i="91"/>
  <c r="C24" i="91"/>
  <c r="C51" i="91" s="1"/>
  <c r="C25" i="91"/>
  <c r="C52" i="91" s="1"/>
  <c r="B24" i="91"/>
  <c r="B51" i="91" s="1"/>
  <c r="B25" i="91"/>
  <c r="B52" i="91" s="1"/>
  <c r="A24" i="91"/>
  <c r="A51" i="91" s="1"/>
  <c r="A25" i="91"/>
  <c r="A52" i="91" s="1"/>
  <c r="H67" i="23"/>
  <c r="H68" i="23"/>
  <c r="D67" i="23"/>
  <c r="D68" i="23"/>
  <c r="C60" i="23"/>
  <c r="C61" i="23"/>
  <c r="C62" i="23"/>
  <c r="C63" i="23"/>
  <c r="C64" i="23"/>
  <c r="C65" i="23"/>
  <c r="C66" i="23"/>
  <c r="C67" i="23"/>
  <c r="C68" i="23"/>
  <c r="C59" i="23"/>
  <c r="B60" i="23"/>
  <c r="B61" i="23"/>
  <c r="B62" i="23"/>
  <c r="B63" i="23"/>
  <c r="B64" i="23"/>
  <c r="B65" i="23"/>
  <c r="B66" i="23"/>
  <c r="B67" i="23"/>
  <c r="B68" i="23"/>
  <c r="B69" i="23"/>
  <c r="B59" i="23"/>
  <c r="A58" i="23"/>
  <c r="C9" i="101"/>
  <c r="G9" i="101"/>
  <c r="D9" i="101"/>
  <c r="B9" i="101"/>
  <c r="A22" i="101"/>
  <c r="A23" i="101" s="1"/>
  <c r="A24" i="101" s="1"/>
  <c r="A25" i="101" s="1"/>
  <c r="A26" i="101" s="1"/>
  <c r="A27" i="101" s="1"/>
  <c r="A28" i="101" s="1"/>
  <c r="A29" i="101" s="1"/>
  <c r="A30" i="101" s="1"/>
  <c r="A31" i="101" s="1"/>
  <c r="A32" i="101" s="1"/>
  <c r="A33" i="101" s="1"/>
  <c r="A34" i="101" s="1"/>
  <c r="A35" i="101" s="1"/>
  <c r="A36" i="101" s="1"/>
  <c r="A37" i="101" s="1"/>
  <c r="A38" i="101" s="1"/>
  <c r="A39" i="101" s="1"/>
  <c r="A40" i="101" s="1"/>
  <c r="A41" i="101" s="1"/>
  <c r="A42" i="101" s="1"/>
  <c r="I12" i="101"/>
  <c r="G12" i="101"/>
  <c r="F12" i="101"/>
  <c r="L12" i="101" s="1"/>
  <c r="M12" i="101" s="1"/>
  <c r="E12" i="101"/>
  <c r="D12" i="101"/>
  <c r="C12" i="101"/>
  <c r="H12" i="101" s="1"/>
  <c r="B12" i="101"/>
  <c r="N12" i="101" s="1"/>
  <c r="C6" i="101"/>
  <c r="B6" i="101"/>
  <c r="K37" i="23"/>
  <c r="M37" i="23" s="1"/>
  <c r="K38" i="23"/>
  <c r="M38" i="23" s="1"/>
  <c r="B9" i="90"/>
  <c r="C9" i="90"/>
  <c r="I40" i="23"/>
  <c r="I39" i="23"/>
  <c r="E40" i="23"/>
  <c r="I14" i="23" s="1"/>
  <c r="J14" i="23" s="1"/>
  <c r="E39" i="23"/>
  <c r="D69" i="23" s="1"/>
  <c r="H69" i="23" l="1"/>
  <c r="K69" i="23" s="1"/>
  <c r="M69" i="23" s="1"/>
  <c r="I41" i="23"/>
  <c r="K67" i="23"/>
  <c r="M67" i="23" s="1"/>
  <c r="K68" i="23"/>
  <c r="M68" i="23" s="1"/>
  <c r="R25" i="91"/>
  <c r="S25" i="91" s="1"/>
  <c r="R24" i="91"/>
  <c r="S24" i="91" s="1"/>
  <c r="P12" i="101"/>
  <c r="Q12" i="101" s="1"/>
  <c r="R12" i="101"/>
  <c r="O12" i="101"/>
  <c r="B41" i="101" l="1"/>
  <c r="B37" i="101"/>
  <c r="B33" i="101"/>
  <c r="B29" i="101"/>
  <c r="B25" i="101"/>
  <c r="B26" i="101"/>
  <c r="B40" i="101"/>
  <c r="B36" i="101"/>
  <c r="B32" i="101"/>
  <c r="B28" i="101"/>
  <c r="B24" i="101"/>
  <c r="B34" i="101"/>
  <c r="B39" i="101"/>
  <c r="B35" i="101"/>
  <c r="B31" i="101"/>
  <c r="B27" i="101"/>
  <c r="B23" i="101"/>
  <c r="B22" i="101"/>
  <c r="E9" i="101"/>
  <c r="F9" i="101" s="1"/>
  <c r="J38" i="23" s="1"/>
  <c r="I68" i="23" s="1"/>
  <c r="J68" i="23" s="1"/>
  <c r="B42" i="101"/>
  <c r="B38" i="101"/>
  <c r="B30" i="101"/>
  <c r="H9" i="101"/>
  <c r="I9" i="101" s="1"/>
  <c r="T25" i="91" l="1"/>
  <c r="J9" i="101"/>
  <c r="F38" i="23"/>
  <c r="E42" i="101"/>
  <c r="D42" i="101"/>
  <c r="C42" i="101"/>
  <c r="C36" i="101"/>
  <c r="E36" i="101"/>
  <c r="D36" i="101"/>
  <c r="D31" i="101"/>
  <c r="C31" i="101"/>
  <c r="E31" i="101"/>
  <c r="E33" i="101"/>
  <c r="D33" i="101"/>
  <c r="C33" i="101"/>
  <c r="E34" i="101"/>
  <c r="D34" i="101"/>
  <c r="C34" i="101"/>
  <c r="C24" i="101"/>
  <c r="E24" i="101"/>
  <c r="D24" i="101"/>
  <c r="E30" i="101"/>
  <c r="D30" i="101"/>
  <c r="C30" i="101"/>
  <c r="D35" i="101"/>
  <c r="C35" i="101"/>
  <c r="E35" i="101"/>
  <c r="C28" i="101"/>
  <c r="E28" i="101"/>
  <c r="D28" i="101"/>
  <c r="E26" i="101"/>
  <c r="D26" i="101"/>
  <c r="C26" i="101"/>
  <c r="E37" i="101"/>
  <c r="C37" i="101"/>
  <c r="D37" i="101"/>
  <c r="D27" i="101"/>
  <c r="C27" i="101"/>
  <c r="E27" i="101"/>
  <c r="E29" i="101"/>
  <c r="C29" i="101"/>
  <c r="D29" i="101"/>
  <c r="C40" i="101"/>
  <c r="D40" i="101"/>
  <c r="E40" i="101"/>
  <c r="E22" i="101"/>
  <c r="C22" i="101"/>
  <c r="E38" i="101"/>
  <c r="D38" i="101"/>
  <c r="C38" i="101"/>
  <c r="D23" i="101"/>
  <c r="C23" i="101"/>
  <c r="E23" i="101"/>
  <c r="D39" i="101"/>
  <c r="C39" i="101"/>
  <c r="E39" i="101"/>
  <c r="C32" i="101"/>
  <c r="D32" i="101"/>
  <c r="E32" i="101"/>
  <c r="E25" i="101"/>
  <c r="C25" i="101"/>
  <c r="D25" i="101"/>
  <c r="E41" i="101"/>
  <c r="C41" i="101"/>
  <c r="D41" i="101"/>
  <c r="J22" i="80"/>
  <c r="L38" i="23" l="1"/>
  <c r="N38" i="23" s="1"/>
  <c r="F68" i="23"/>
  <c r="G68" i="23" s="1"/>
  <c r="F22" i="80" s="1"/>
  <c r="E22" i="80"/>
  <c r="I22" i="80" s="1"/>
  <c r="D12" i="100"/>
  <c r="C12" i="100"/>
  <c r="B12" i="100"/>
  <c r="H22" i="80" l="1"/>
  <c r="G22" i="80"/>
  <c r="D25" i="91"/>
  <c r="D52" i="91" s="1"/>
  <c r="L68" i="23"/>
  <c r="N68" i="23" s="1"/>
  <c r="D12" i="90"/>
  <c r="C12" i="90"/>
  <c r="B12" i="90"/>
  <c r="D12" i="99" l="1"/>
  <c r="C12" i="99"/>
  <c r="B12" i="99"/>
  <c r="D12" i="98" l="1"/>
  <c r="C12" i="98"/>
  <c r="B12" i="98"/>
  <c r="D12" i="97" l="1"/>
  <c r="C12" i="97"/>
  <c r="B12" i="97"/>
  <c r="F12" i="96" l="1"/>
  <c r="E12" i="96"/>
  <c r="D12" i="96"/>
  <c r="C12" i="96"/>
  <c r="B12" i="96"/>
  <c r="D12" i="95" l="1"/>
  <c r="C12" i="95"/>
  <c r="B12" i="95"/>
  <c r="F12" i="94" l="1"/>
  <c r="E12" i="94"/>
  <c r="D12" i="94"/>
  <c r="C12" i="94"/>
  <c r="B12" i="94"/>
  <c r="F12" i="93" l="1"/>
  <c r="E12" i="93"/>
  <c r="D12" i="93"/>
  <c r="C12" i="93"/>
  <c r="B12" i="93"/>
  <c r="D12" i="74" l="1"/>
  <c r="C12" i="74"/>
  <c r="B12" i="74"/>
  <c r="D12" i="75" l="1"/>
  <c r="C12" i="75"/>
  <c r="B12" i="75"/>
  <c r="D12" i="77" l="1"/>
  <c r="C12" i="77"/>
  <c r="B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0" l="1"/>
  <c r="E12" i="50"/>
  <c r="D12" i="50"/>
  <c r="C12" i="50"/>
  <c r="B12" i="50"/>
  <c r="F12" i="51" l="1"/>
  <c r="E12" i="51"/>
  <c r="D12" i="51"/>
  <c r="C12" i="51"/>
  <c r="B12" i="51"/>
  <c r="I28" i="23" l="1"/>
  <c r="G14" i="23"/>
  <c r="D14" i="23"/>
  <c r="G13" i="23"/>
  <c r="E28" i="23"/>
  <c r="D58" i="23" s="1"/>
  <c r="G12" i="23" l="1"/>
  <c r="H58" i="23"/>
  <c r="K58" i="23" s="1"/>
  <c r="M58" i="23" s="1"/>
  <c r="G14" i="92" l="1"/>
  <c r="G13" i="92"/>
  <c r="C12" i="80" l="1"/>
  <c r="C13" i="80"/>
  <c r="C14" i="80"/>
  <c r="C15" i="80"/>
  <c r="C16" i="80"/>
  <c r="C17" i="80"/>
  <c r="C18" i="80"/>
  <c r="C19" i="80"/>
  <c r="C20" i="80"/>
  <c r="J43" i="91"/>
  <c r="K43" i="91"/>
  <c r="L43" i="91"/>
  <c r="J44" i="91"/>
  <c r="K44" i="91"/>
  <c r="L44" i="91"/>
  <c r="J45" i="91"/>
  <c r="K45" i="91"/>
  <c r="L45" i="91"/>
  <c r="J46" i="91"/>
  <c r="K46" i="91"/>
  <c r="L46" i="91"/>
  <c r="J47" i="91"/>
  <c r="K47" i="91"/>
  <c r="L47" i="91"/>
  <c r="J48" i="91"/>
  <c r="K48" i="91"/>
  <c r="L48" i="91"/>
  <c r="J49" i="91"/>
  <c r="K49" i="91"/>
  <c r="L49" i="91"/>
  <c r="J50" i="91"/>
  <c r="K50" i="91"/>
  <c r="L50" i="91"/>
  <c r="N43" i="91"/>
  <c r="O43" i="91"/>
  <c r="P43" i="91"/>
  <c r="N44" i="91"/>
  <c r="O44" i="91"/>
  <c r="P44" i="91"/>
  <c r="N45" i="91"/>
  <c r="O45" i="91"/>
  <c r="P45" i="91"/>
  <c r="N46" i="91"/>
  <c r="O46" i="91"/>
  <c r="P46" i="91"/>
  <c r="N47" i="91"/>
  <c r="O47" i="91"/>
  <c r="P47" i="91"/>
  <c r="N48" i="91"/>
  <c r="O48" i="91"/>
  <c r="P48" i="91"/>
  <c r="N49" i="91"/>
  <c r="O49" i="91"/>
  <c r="P49" i="91"/>
  <c r="N50" i="91"/>
  <c r="O50" i="91"/>
  <c r="P50" i="91"/>
  <c r="F43" i="91"/>
  <c r="G43" i="91"/>
  <c r="H43" i="91"/>
  <c r="F44" i="91"/>
  <c r="G44" i="91"/>
  <c r="H44" i="91"/>
  <c r="F45" i="91"/>
  <c r="G45" i="91"/>
  <c r="H45" i="91"/>
  <c r="F46" i="91"/>
  <c r="G46" i="91"/>
  <c r="H46" i="91"/>
  <c r="F47" i="91"/>
  <c r="G47" i="91"/>
  <c r="H47" i="91"/>
  <c r="F48" i="91"/>
  <c r="G48" i="91"/>
  <c r="H48" i="91"/>
  <c r="F49" i="91"/>
  <c r="G49" i="91"/>
  <c r="H49" i="91"/>
  <c r="F50" i="91"/>
  <c r="G50" i="91"/>
  <c r="H50" i="91"/>
  <c r="C17" i="91"/>
  <c r="C44" i="91" s="1"/>
  <c r="C18" i="91"/>
  <c r="C45" i="91" s="1"/>
  <c r="C19" i="91"/>
  <c r="C46" i="91" s="1"/>
  <c r="C20" i="91"/>
  <c r="C47" i="91" s="1"/>
  <c r="C21" i="91"/>
  <c r="C48" i="91" s="1"/>
  <c r="C22" i="91"/>
  <c r="C49" i="91" s="1"/>
  <c r="C23" i="91"/>
  <c r="C50" i="91" s="1"/>
  <c r="C16" i="91"/>
  <c r="B16" i="91"/>
  <c r="B43" i="91" s="1"/>
  <c r="B17" i="91"/>
  <c r="B44" i="91" s="1"/>
  <c r="B18" i="91"/>
  <c r="B45" i="91" s="1"/>
  <c r="B19" i="91"/>
  <c r="B46" i="91" s="1"/>
  <c r="B20" i="91"/>
  <c r="B47" i="91" s="1"/>
  <c r="B21" i="91"/>
  <c r="B48" i="91" s="1"/>
  <c r="B22" i="91"/>
  <c r="B49" i="91" s="1"/>
  <c r="B23" i="91"/>
  <c r="B50" i="91" s="1"/>
  <c r="A16" i="91"/>
  <c r="A43" i="91" s="1"/>
  <c r="A17" i="91"/>
  <c r="A44" i="91" s="1"/>
  <c r="A18" i="91"/>
  <c r="A45" i="91" s="1"/>
  <c r="A19" i="91"/>
  <c r="A46" i="91" s="1"/>
  <c r="A20" i="91"/>
  <c r="A47" i="91" s="1"/>
  <c r="A21" i="91"/>
  <c r="A48" i="91" s="1"/>
  <c r="A22" i="91"/>
  <c r="A49" i="91" s="1"/>
  <c r="A23" i="91"/>
  <c r="A50" i="91" s="1"/>
  <c r="A11" i="91"/>
  <c r="A38" i="91" s="1"/>
  <c r="H59" i="23"/>
  <c r="H60" i="23"/>
  <c r="H61" i="23"/>
  <c r="H62" i="23"/>
  <c r="H63" i="23"/>
  <c r="H64" i="23"/>
  <c r="H65" i="23"/>
  <c r="H66" i="23"/>
  <c r="D59" i="23"/>
  <c r="D60" i="23"/>
  <c r="D61" i="23"/>
  <c r="D62" i="23"/>
  <c r="D63" i="23"/>
  <c r="D64" i="23"/>
  <c r="D65" i="23"/>
  <c r="D66" i="23"/>
  <c r="F14" i="100"/>
  <c r="F12" i="100"/>
  <c r="G9" i="100"/>
  <c r="D9" i="100"/>
  <c r="A22" i="100"/>
  <c r="A21" i="100"/>
  <c r="F14" i="99"/>
  <c r="F12" i="99"/>
  <c r="G9" i="99"/>
  <c r="D9" i="99"/>
  <c r="A22" i="99"/>
  <c r="A23" i="99" s="1"/>
  <c r="A21" i="99"/>
  <c r="G12" i="99"/>
  <c r="F12" i="98"/>
  <c r="G9" i="98"/>
  <c r="D9" i="98"/>
  <c r="A22" i="98"/>
  <c r="A23" i="98" s="1"/>
  <c r="A21" i="98"/>
  <c r="G12" i="98"/>
  <c r="F14" i="97"/>
  <c r="F12" i="97"/>
  <c r="G9" i="97"/>
  <c r="D9" i="97"/>
  <c r="A22" i="97"/>
  <c r="A23" i="97" s="1"/>
  <c r="A21" i="97"/>
  <c r="G12" i="97"/>
  <c r="G12" i="96"/>
  <c r="I12" i="96"/>
  <c r="G9" i="96"/>
  <c r="D9" i="96"/>
  <c r="A22" i="96"/>
  <c r="A23" i="96" s="1"/>
  <c r="A24" i="96" s="1"/>
  <c r="A25" i="96" s="1"/>
  <c r="A26" i="96" s="1"/>
  <c r="A27" i="96" s="1"/>
  <c r="A28" i="96" s="1"/>
  <c r="A29" i="96" s="1"/>
  <c r="A30" i="96" s="1"/>
  <c r="A31" i="96" s="1"/>
  <c r="A32" i="96" s="1"/>
  <c r="A33" i="96" s="1"/>
  <c r="A34" i="96" s="1"/>
  <c r="A35" i="96" s="1"/>
  <c r="A36" i="96" s="1"/>
  <c r="A37" i="96" s="1"/>
  <c r="A38" i="96" s="1"/>
  <c r="A39" i="96" s="1"/>
  <c r="A40" i="96" s="1"/>
  <c r="A41" i="96" s="1"/>
  <c r="A42" i="96" s="1"/>
  <c r="N12" i="96"/>
  <c r="C6" i="96"/>
  <c r="B6" i="96"/>
  <c r="F12" i="95"/>
  <c r="G9" i="95"/>
  <c r="D9" i="95"/>
  <c r="A22" i="95"/>
  <c r="A23" i="95" s="1"/>
  <c r="A21" i="95"/>
  <c r="G12" i="95"/>
  <c r="G12" i="94"/>
  <c r="I12" i="94"/>
  <c r="G9" i="94"/>
  <c r="D9" i="94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A43" i="94" s="1"/>
  <c r="A44" i="94" s="1"/>
  <c r="A45" i="94" s="1"/>
  <c r="A46" i="94" s="1"/>
  <c r="A47" i="94" s="1"/>
  <c r="N12" i="94"/>
  <c r="C6" i="94"/>
  <c r="B6" i="94"/>
  <c r="G12" i="93"/>
  <c r="I12" i="93"/>
  <c r="Q30" i="23"/>
  <c r="Q31" i="23"/>
  <c r="C9" i="96"/>
  <c r="C9" i="97"/>
  <c r="Q34" i="23"/>
  <c r="C9" i="99"/>
  <c r="Q36" i="23"/>
  <c r="P30" i="23"/>
  <c r="B9" i="95"/>
  <c r="P32" i="23"/>
  <c r="P33" i="23"/>
  <c r="P34" i="23"/>
  <c r="B9" i="99"/>
  <c r="P36" i="23"/>
  <c r="K27" i="23"/>
  <c r="M27" i="23" s="1"/>
  <c r="K29" i="23"/>
  <c r="K30" i="23"/>
  <c r="M30" i="23" s="1"/>
  <c r="K31" i="23"/>
  <c r="M31" i="23" s="1"/>
  <c r="K32" i="23"/>
  <c r="M32" i="23" s="1"/>
  <c r="K33" i="23"/>
  <c r="M33" i="23" s="1"/>
  <c r="K34" i="23"/>
  <c r="M34" i="23" s="1"/>
  <c r="K35" i="23"/>
  <c r="M35" i="23" s="1"/>
  <c r="K36" i="23"/>
  <c r="M36" i="23" s="1"/>
  <c r="G9" i="93"/>
  <c r="D9" i="93"/>
  <c r="A22" i="93"/>
  <c r="A23" i="93" s="1"/>
  <c r="A24" i="93" s="1"/>
  <c r="A25" i="93" s="1"/>
  <c r="A26" i="93" s="1"/>
  <c r="A27" i="93" s="1"/>
  <c r="A28" i="93" s="1"/>
  <c r="A29" i="93" s="1"/>
  <c r="A30" i="93" s="1"/>
  <c r="A31" i="93" s="1"/>
  <c r="A32" i="93" s="1"/>
  <c r="A33" i="93" s="1"/>
  <c r="A34" i="93" s="1"/>
  <c r="A35" i="93" s="1"/>
  <c r="A36" i="93" s="1"/>
  <c r="A37" i="93" s="1"/>
  <c r="A38" i="93" s="1"/>
  <c r="A39" i="93" s="1"/>
  <c r="A40" i="93" s="1"/>
  <c r="A41" i="93" s="1"/>
  <c r="A42" i="93" s="1"/>
  <c r="N12" i="93"/>
  <c r="C6" i="93"/>
  <c r="B6" i="93"/>
  <c r="F50" i="80" l="1"/>
  <c r="C43" i="91"/>
  <c r="C27" i="91"/>
  <c r="G39" i="23"/>
  <c r="H39" i="23"/>
  <c r="K39" i="23"/>
  <c r="M39" i="23" s="1"/>
  <c r="P29" i="23"/>
  <c r="C9" i="93"/>
  <c r="M29" i="23"/>
  <c r="K66" i="23"/>
  <c r="M66" i="23" s="1"/>
  <c r="K62" i="23"/>
  <c r="M62" i="23" s="1"/>
  <c r="K65" i="23"/>
  <c r="M65" i="23" s="1"/>
  <c r="K61" i="23"/>
  <c r="M61" i="23" s="1"/>
  <c r="K64" i="23"/>
  <c r="M64" i="23" s="1"/>
  <c r="K60" i="23"/>
  <c r="M60" i="23" s="1"/>
  <c r="K63" i="23"/>
  <c r="M63" i="23" s="1"/>
  <c r="K59" i="23"/>
  <c r="M59" i="23" s="1"/>
  <c r="L12" i="96"/>
  <c r="M12" i="96" s="1"/>
  <c r="B9" i="93"/>
  <c r="L29" i="91"/>
  <c r="H29" i="91"/>
  <c r="P29" i="91"/>
  <c r="L12" i="93"/>
  <c r="M12" i="93" s="1"/>
  <c r="P12" i="93" s="1"/>
  <c r="L12" i="94"/>
  <c r="M12" i="94" s="1"/>
  <c r="P12" i="94" s="1"/>
  <c r="O12" i="93"/>
  <c r="O12" i="94"/>
  <c r="C9" i="94"/>
  <c r="R23" i="91"/>
  <c r="S23" i="91" s="1"/>
  <c r="R19" i="91"/>
  <c r="R22" i="91"/>
  <c r="S22" i="91" s="1"/>
  <c r="R18" i="91"/>
  <c r="S18" i="91" s="1"/>
  <c r="R21" i="91"/>
  <c r="S21" i="91" s="1"/>
  <c r="R17" i="91"/>
  <c r="S17" i="91" s="1"/>
  <c r="R20" i="91"/>
  <c r="S20" i="91" s="1"/>
  <c r="R16" i="91"/>
  <c r="E9" i="95"/>
  <c r="F9" i="95" s="1"/>
  <c r="J31" i="23" s="1"/>
  <c r="I61" i="23" s="1"/>
  <c r="E9" i="99"/>
  <c r="F9" i="99" s="1"/>
  <c r="J35" i="23" s="1"/>
  <c r="I65" i="23" s="1"/>
  <c r="B21" i="100"/>
  <c r="C21" i="100" s="1"/>
  <c r="B9" i="94"/>
  <c r="C9" i="95"/>
  <c r="H9" i="95"/>
  <c r="I9" i="95" s="1"/>
  <c r="F31" i="23" s="1"/>
  <c r="H9" i="97"/>
  <c r="I9" i="97" s="1"/>
  <c r="F33" i="23" s="1"/>
  <c r="B9" i="98"/>
  <c r="B21" i="99"/>
  <c r="C21" i="99" s="1"/>
  <c r="H9" i="100"/>
  <c r="I9" i="100" s="1"/>
  <c r="F36" i="23" s="1"/>
  <c r="O36" i="23" s="1"/>
  <c r="Q35" i="23"/>
  <c r="Q33" i="23"/>
  <c r="Q29" i="23"/>
  <c r="B21" i="95"/>
  <c r="B9" i="97"/>
  <c r="E9" i="98"/>
  <c r="F9" i="98" s="1"/>
  <c r="J34" i="23" s="1"/>
  <c r="I64" i="23" s="1"/>
  <c r="C9" i="98"/>
  <c r="B9" i="100"/>
  <c r="P35" i="23"/>
  <c r="P31" i="23"/>
  <c r="B22" i="100"/>
  <c r="C22" i="100" s="1"/>
  <c r="H12" i="94"/>
  <c r="B9" i="96"/>
  <c r="H9" i="98"/>
  <c r="I9" i="98" s="1"/>
  <c r="F34" i="23" s="1"/>
  <c r="B21" i="98"/>
  <c r="E9" i="100"/>
  <c r="F9" i="100" s="1"/>
  <c r="J36" i="23" s="1"/>
  <c r="I66" i="23" s="1"/>
  <c r="C9" i="100"/>
  <c r="Q32" i="23"/>
  <c r="B21" i="97"/>
  <c r="C21" i="97" s="1"/>
  <c r="E9" i="97"/>
  <c r="F9" i="97" s="1"/>
  <c r="J33" i="23" s="1"/>
  <c r="I63" i="23" s="1"/>
  <c r="A23" i="100"/>
  <c r="G12" i="100"/>
  <c r="H9" i="99"/>
  <c r="I9" i="99" s="1"/>
  <c r="F35" i="23" s="1"/>
  <c r="A24" i="99"/>
  <c r="B23" i="99"/>
  <c r="C23" i="99" s="1"/>
  <c r="B22" i="99"/>
  <c r="C22" i="99" s="1"/>
  <c r="A24" i="98"/>
  <c r="B23" i="98"/>
  <c r="B22" i="98"/>
  <c r="B23" i="97"/>
  <c r="C23" i="97" s="1"/>
  <c r="A24" i="97"/>
  <c r="B22" i="97"/>
  <c r="C22" i="97" s="1"/>
  <c r="H12" i="96"/>
  <c r="O12" i="96"/>
  <c r="B23" i="95"/>
  <c r="A24" i="95"/>
  <c r="B22" i="95"/>
  <c r="H12" i="93"/>
  <c r="J19" i="80"/>
  <c r="S16" i="91" l="1"/>
  <c r="R27" i="91"/>
  <c r="S27" i="91" s="1"/>
  <c r="C54" i="91"/>
  <c r="K27" i="91"/>
  <c r="K54" i="91" s="1"/>
  <c r="R12" i="96"/>
  <c r="P12" i="96"/>
  <c r="Q12" i="96" s="1"/>
  <c r="B41" i="96" s="1"/>
  <c r="O27" i="91"/>
  <c r="O54" i="91" s="1"/>
  <c r="G27" i="91"/>
  <c r="G54" i="91" s="1"/>
  <c r="Q12" i="94"/>
  <c r="R12" i="94"/>
  <c r="R12" i="93"/>
  <c r="Q12" i="93"/>
  <c r="F64" i="23"/>
  <c r="E18" i="80"/>
  <c r="I18" i="80" s="1"/>
  <c r="F53" i="80" s="1"/>
  <c r="O33" i="23"/>
  <c r="F63" i="23"/>
  <c r="E17" i="80"/>
  <c r="I17" i="80" s="1"/>
  <c r="F49" i="80" s="1"/>
  <c r="E19" i="80"/>
  <c r="I19" i="80" s="1"/>
  <c r="F56" i="80" s="1"/>
  <c r="F65" i="23"/>
  <c r="E20" i="80"/>
  <c r="I20" i="80" s="1"/>
  <c r="F48" i="80" s="1"/>
  <c r="F66" i="23"/>
  <c r="E15" i="80"/>
  <c r="I15" i="80" s="1"/>
  <c r="F51" i="80" s="1"/>
  <c r="F61" i="23"/>
  <c r="S19" i="91"/>
  <c r="L31" i="23"/>
  <c r="N31" i="23" s="1"/>
  <c r="L36" i="23"/>
  <c r="N36" i="23" s="1"/>
  <c r="L33" i="23"/>
  <c r="N33" i="23" s="1"/>
  <c r="O31" i="23"/>
  <c r="L35" i="23"/>
  <c r="N35" i="23" s="1"/>
  <c r="O35" i="23"/>
  <c r="O34" i="23"/>
  <c r="L34" i="23"/>
  <c r="N34" i="23" s="1"/>
  <c r="A24" i="100"/>
  <c r="B23" i="100"/>
  <c r="C23" i="100" s="1"/>
  <c r="B24" i="99"/>
  <c r="C24" i="99" s="1"/>
  <c r="A25" i="99"/>
  <c r="B24" i="98"/>
  <c r="A25" i="98"/>
  <c r="B24" i="97"/>
  <c r="C24" i="97" s="1"/>
  <c r="A25" i="97"/>
  <c r="B24" i="95"/>
  <c r="A25" i="95"/>
  <c r="B31" i="94"/>
  <c r="H9" i="94"/>
  <c r="I9" i="94" s="1"/>
  <c r="B34" i="94"/>
  <c r="B28" i="94"/>
  <c r="B41" i="94"/>
  <c r="B25" i="94"/>
  <c r="B45" i="94" l="1"/>
  <c r="B43" i="94"/>
  <c r="B29" i="94"/>
  <c r="B44" i="94"/>
  <c r="B36" i="94"/>
  <c r="C36" i="94" s="1"/>
  <c r="B38" i="94"/>
  <c r="B22" i="94"/>
  <c r="B35" i="94"/>
  <c r="D35" i="94" s="1"/>
  <c r="B47" i="94"/>
  <c r="B32" i="94"/>
  <c r="D32" i="94" s="1"/>
  <c r="B33" i="94"/>
  <c r="B46" i="94"/>
  <c r="B26" i="94"/>
  <c r="C26" i="94" s="1"/>
  <c r="B42" i="94"/>
  <c r="C42" i="94" s="1"/>
  <c r="B23" i="94"/>
  <c r="B39" i="94"/>
  <c r="C39" i="94" s="1"/>
  <c r="B40" i="94"/>
  <c r="D41" i="94" s="1"/>
  <c r="B37" i="94"/>
  <c r="B24" i="94"/>
  <c r="B30" i="94"/>
  <c r="C30" i="94" s="1"/>
  <c r="E9" i="94"/>
  <c r="F9" i="94" s="1"/>
  <c r="J30" i="23" s="1"/>
  <c r="I60" i="23" s="1"/>
  <c r="B27" i="94"/>
  <c r="D28" i="94" s="1"/>
  <c r="B37" i="93"/>
  <c r="B23" i="96"/>
  <c r="D24" i="96" s="1"/>
  <c r="B39" i="96"/>
  <c r="C39" i="96" s="1"/>
  <c r="H9" i="96"/>
  <c r="I9" i="96" s="1"/>
  <c r="J9" i="96" s="1"/>
  <c r="B31" i="96"/>
  <c r="E9" i="96"/>
  <c r="F9" i="96" s="1"/>
  <c r="J32" i="23" s="1"/>
  <c r="I62" i="23" s="1"/>
  <c r="B36" i="96"/>
  <c r="C36" i="96" s="1"/>
  <c r="B42" i="96"/>
  <c r="D42" i="96" s="1"/>
  <c r="B37" i="96"/>
  <c r="C37" i="96" s="1"/>
  <c r="B28" i="96"/>
  <c r="C28" i="96" s="1"/>
  <c r="B30" i="96"/>
  <c r="B29" i="96"/>
  <c r="C29" i="96" s="1"/>
  <c r="B38" i="96"/>
  <c r="D38" i="96" s="1"/>
  <c r="B27" i="96"/>
  <c r="B26" i="96"/>
  <c r="C26" i="96" s="1"/>
  <c r="B32" i="96"/>
  <c r="B34" i="96"/>
  <c r="B33" i="96"/>
  <c r="B22" i="96"/>
  <c r="C22" i="96" s="1"/>
  <c r="B35" i="96"/>
  <c r="B24" i="96"/>
  <c r="C24" i="96" s="1"/>
  <c r="B40" i="96"/>
  <c r="B25" i="96"/>
  <c r="B23" i="93"/>
  <c r="B24" i="93"/>
  <c r="B26" i="93"/>
  <c r="C26" i="93" s="1"/>
  <c r="B41" i="93"/>
  <c r="B42" i="93"/>
  <c r="C42" i="93" s="1"/>
  <c r="B31" i="93"/>
  <c r="B28" i="93"/>
  <c r="B34" i="93"/>
  <c r="C34" i="93" s="1"/>
  <c r="B30" i="93"/>
  <c r="H9" i="93"/>
  <c r="I9" i="93" s="1"/>
  <c r="B35" i="93"/>
  <c r="C35" i="93" s="1"/>
  <c r="B32" i="93"/>
  <c r="C32" i="93" s="1"/>
  <c r="B25" i="93"/>
  <c r="C25" i="93" s="1"/>
  <c r="B22" i="93"/>
  <c r="B39" i="93"/>
  <c r="C39" i="93" s="1"/>
  <c r="B40" i="93"/>
  <c r="B33" i="93"/>
  <c r="B29" i="93"/>
  <c r="B27" i="93"/>
  <c r="D27" i="93" s="1"/>
  <c r="E9" i="93"/>
  <c r="F9" i="93" s="1"/>
  <c r="J29" i="23" s="1"/>
  <c r="B36" i="93"/>
  <c r="C36" i="93" s="1"/>
  <c r="B38" i="93"/>
  <c r="H20" i="80"/>
  <c r="H15" i="80"/>
  <c r="H19" i="80"/>
  <c r="H18" i="80"/>
  <c r="H17" i="80"/>
  <c r="F32" i="23"/>
  <c r="J9" i="94"/>
  <c r="F30" i="23"/>
  <c r="A25" i="100"/>
  <c r="B24" i="100"/>
  <c r="C24" i="100" s="1"/>
  <c r="B25" i="99"/>
  <c r="C25" i="99" s="1"/>
  <c r="A26" i="99"/>
  <c r="B25" i="98"/>
  <c r="A26" i="98"/>
  <c r="A26" i="97"/>
  <c r="B25" i="97"/>
  <c r="C25" i="97" s="1"/>
  <c r="C32" i="96"/>
  <c r="C34" i="96"/>
  <c r="C42" i="96"/>
  <c r="C35" i="96"/>
  <c r="C41" i="96"/>
  <c r="B25" i="95"/>
  <c r="A26" i="95"/>
  <c r="D42" i="94"/>
  <c r="D24" i="94"/>
  <c r="C24" i="94"/>
  <c r="C27" i="94"/>
  <c r="C33" i="94"/>
  <c r="D25" i="94"/>
  <c r="C25" i="94"/>
  <c r="C41" i="94"/>
  <c r="C28" i="94"/>
  <c r="C34" i="94"/>
  <c r="D34" i="94"/>
  <c r="C31" i="94"/>
  <c r="D31" i="94"/>
  <c r="D23" i="94"/>
  <c r="C23" i="94"/>
  <c r="D29" i="94"/>
  <c r="C29" i="94"/>
  <c r="C22" i="94"/>
  <c r="J9" i="93"/>
  <c r="F29" i="23"/>
  <c r="C29" i="93"/>
  <c r="D39" i="93"/>
  <c r="C33" i="93"/>
  <c r="C22" i="93"/>
  <c r="C28" i="93"/>
  <c r="C23" i="93"/>
  <c r="D38" i="93"/>
  <c r="C38" i="93"/>
  <c r="C37" i="93"/>
  <c r="D31" i="93"/>
  <c r="C31" i="93"/>
  <c r="C24" i="93"/>
  <c r="D25" i="93"/>
  <c r="C35" i="94" l="1"/>
  <c r="C23" i="96"/>
  <c r="D30" i="94"/>
  <c r="D40" i="93"/>
  <c r="D35" i="96"/>
  <c r="C40" i="94"/>
  <c r="D26" i="94"/>
  <c r="D30" i="93"/>
  <c r="D40" i="94"/>
  <c r="D36" i="94"/>
  <c r="D23" i="93"/>
  <c r="D37" i="94"/>
  <c r="D39" i="94"/>
  <c r="C30" i="93"/>
  <c r="D27" i="94"/>
  <c r="D38" i="94"/>
  <c r="C37" i="94"/>
  <c r="C32" i="94"/>
  <c r="D24" i="93"/>
  <c r="C38" i="94"/>
  <c r="D33" i="94"/>
  <c r="D42" i="93"/>
  <c r="D33" i="96"/>
  <c r="I59" i="23"/>
  <c r="D39" i="96"/>
  <c r="D32" i="96"/>
  <c r="C38" i="96"/>
  <c r="D25" i="96"/>
  <c r="C31" i="96"/>
  <c r="D40" i="96"/>
  <c r="D27" i="96"/>
  <c r="D34" i="96"/>
  <c r="C40" i="96"/>
  <c r="D26" i="96"/>
  <c r="D30" i="96"/>
  <c r="C25" i="96"/>
  <c r="D23" i="96"/>
  <c r="D37" i="96"/>
  <c r="D36" i="96"/>
  <c r="C33" i="96"/>
  <c r="C27" i="96"/>
  <c r="D28" i="96"/>
  <c r="D31" i="96"/>
  <c r="D29" i="96"/>
  <c r="C30" i="96"/>
  <c r="D41" i="96"/>
  <c r="D28" i="93"/>
  <c r="D26" i="93"/>
  <c r="D35" i="93"/>
  <c r="C40" i="93"/>
  <c r="C27" i="93"/>
  <c r="D29" i="93"/>
  <c r="D41" i="93"/>
  <c r="D34" i="93"/>
  <c r="D32" i="93"/>
  <c r="D33" i="93"/>
  <c r="C41" i="93"/>
  <c r="D36" i="93"/>
  <c r="D37" i="93"/>
  <c r="F60" i="23"/>
  <c r="E14" i="80"/>
  <c r="I14" i="80" s="1"/>
  <c r="F54" i="80" s="1"/>
  <c r="F59" i="23"/>
  <c r="E13" i="80"/>
  <c r="I13" i="80" s="1"/>
  <c r="F47" i="80" s="1"/>
  <c r="E16" i="80"/>
  <c r="I16" i="80" s="1"/>
  <c r="F52" i="80" s="1"/>
  <c r="F62" i="23"/>
  <c r="L32" i="23"/>
  <c r="N32" i="23" s="1"/>
  <c r="O32" i="23"/>
  <c r="L29" i="23"/>
  <c r="O29" i="23"/>
  <c r="L30" i="23"/>
  <c r="N30" i="23" s="1"/>
  <c r="O30" i="23"/>
  <c r="A26" i="100"/>
  <c r="B25" i="100"/>
  <c r="C25" i="100" s="1"/>
  <c r="A27" i="99"/>
  <c r="B26" i="99"/>
  <c r="C26" i="99" s="1"/>
  <c r="A27" i="98"/>
  <c r="B26" i="98"/>
  <c r="A27" i="97"/>
  <c r="B26" i="97"/>
  <c r="C26" i="97" s="1"/>
  <c r="A27" i="95"/>
  <c r="B26" i="95"/>
  <c r="N29" i="23" l="1"/>
  <c r="H13" i="80"/>
  <c r="H14" i="80"/>
  <c r="H16" i="80"/>
  <c r="B26" i="100"/>
  <c r="C26" i="100" s="1"/>
  <c r="A27" i="100"/>
  <c r="A28" i="99"/>
  <c r="B27" i="99"/>
  <c r="C27" i="99" s="1"/>
  <c r="B27" i="98"/>
  <c r="A28" i="98"/>
  <c r="A28" i="97"/>
  <c r="B27" i="97"/>
  <c r="C27" i="97" s="1"/>
  <c r="B27" i="95"/>
  <c r="A28" i="95"/>
  <c r="B27" i="100" l="1"/>
  <c r="C27" i="100" s="1"/>
  <c r="A28" i="100"/>
  <c r="B28" i="99"/>
  <c r="C28" i="99" s="1"/>
  <c r="A29" i="99"/>
  <c r="B28" i="98"/>
  <c r="A29" i="98"/>
  <c r="B28" i="97"/>
  <c r="C28" i="97" s="1"/>
  <c r="A29" i="97"/>
  <c r="B28" i="95"/>
  <c r="A29" i="95"/>
  <c r="A29" i="100" l="1"/>
  <c r="B28" i="100"/>
  <c r="C28" i="100" s="1"/>
  <c r="B29" i="99"/>
  <c r="C29" i="99" s="1"/>
  <c r="A30" i="99"/>
  <c r="A30" i="98"/>
  <c r="B29" i="98"/>
  <c r="B29" i="97"/>
  <c r="C29" i="97" s="1"/>
  <c r="A30" i="97"/>
  <c r="B29" i="95"/>
  <c r="A30" i="95"/>
  <c r="B29" i="100" l="1"/>
  <c r="C29" i="100" s="1"/>
  <c r="A30" i="100"/>
  <c r="A31" i="99"/>
  <c r="B30" i="99"/>
  <c r="C30" i="99" s="1"/>
  <c r="A31" i="98"/>
  <c r="B30" i="98"/>
  <c r="A31" i="97"/>
  <c r="B30" i="97"/>
  <c r="C30" i="97" s="1"/>
  <c r="A31" i="95"/>
  <c r="B30" i="95"/>
  <c r="B30" i="100" l="1"/>
  <c r="C30" i="100" s="1"/>
  <c r="A31" i="100"/>
  <c r="A32" i="99"/>
  <c r="B31" i="99"/>
  <c r="C31" i="99" s="1"/>
  <c r="A32" i="98"/>
  <c r="B31" i="98"/>
  <c r="A32" i="97"/>
  <c r="B31" i="97"/>
  <c r="C31" i="97" s="1"/>
  <c r="A32" i="95"/>
  <c r="B31" i="95"/>
  <c r="B31" i="100" l="1"/>
  <c r="C31" i="100" s="1"/>
  <c r="A32" i="100"/>
  <c r="B32" i="99"/>
  <c r="C32" i="99" s="1"/>
  <c r="A33" i="99"/>
  <c r="B32" i="98"/>
  <c r="A33" i="98"/>
  <c r="B32" i="97"/>
  <c r="C32" i="97" s="1"/>
  <c r="A33" i="97"/>
  <c r="B32" i="95"/>
  <c r="A33" i="95"/>
  <c r="A33" i="100" l="1"/>
  <c r="B32" i="100"/>
  <c r="C32" i="100" s="1"/>
  <c r="B33" i="99"/>
  <c r="C33" i="99" s="1"/>
  <c r="A34" i="99"/>
  <c r="B33" i="98"/>
  <c r="A34" i="98"/>
  <c r="B33" i="97"/>
  <c r="C33" i="97" s="1"/>
  <c r="A34" i="97"/>
  <c r="B33" i="95"/>
  <c r="A34" i="95"/>
  <c r="B33" i="100" l="1"/>
  <c r="C33" i="100" s="1"/>
  <c r="A34" i="100"/>
  <c r="A35" i="99"/>
  <c r="B34" i="99"/>
  <c r="C34" i="99" s="1"/>
  <c r="A35" i="98"/>
  <c r="B34" i="98"/>
  <c r="A35" i="97"/>
  <c r="B34" i="97"/>
  <c r="C34" i="97" s="1"/>
  <c r="A35" i="95"/>
  <c r="B34" i="95"/>
  <c r="B34" i="100" l="1"/>
  <c r="C34" i="100" s="1"/>
  <c r="A35" i="100"/>
  <c r="A36" i="99"/>
  <c r="B35" i="99"/>
  <c r="C35" i="99" s="1"/>
  <c r="A36" i="98"/>
  <c r="B35" i="98"/>
  <c r="B35" i="97"/>
  <c r="C35" i="97" s="1"/>
  <c r="A36" i="97"/>
  <c r="A36" i="95"/>
  <c r="B35" i="95"/>
  <c r="B35" i="100" l="1"/>
  <c r="C35" i="100" s="1"/>
  <c r="A36" i="100"/>
  <c r="B36" i="99"/>
  <c r="C36" i="99" s="1"/>
  <c r="A37" i="99"/>
  <c r="B36" i="98"/>
  <c r="A37" i="98"/>
  <c r="B36" i="97"/>
  <c r="C36" i="97" s="1"/>
  <c r="A37" i="97"/>
  <c r="B36" i="95"/>
  <c r="A37" i="95"/>
  <c r="A37" i="100" l="1"/>
  <c r="B36" i="100"/>
  <c r="C36" i="100" s="1"/>
  <c r="B37" i="99"/>
  <c r="C37" i="99" s="1"/>
  <c r="A38" i="99"/>
  <c r="B37" i="98"/>
  <c r="A38" i="98"/>
  <c r="B37" i="97"/>
  <c r="C37" i="97" s="1"/>
  <c r="A38" i="97"/>
  <c r="B37" i="95"/>
  <c r="A38" i="95"/>
  <c r="B37" i="100" l="1"/>
  <c r="C37" i="100" s="1"/>
  <c r="A38" i="100"/>
  <c r="A39" i="99"/>
  <c r="B38" i="99"/>
  <c r="C38" i="99" s="1"/>
  <c r="A39" i="98"/>
  <c r="B38" i="98"/>
  <c r="A39" i="97"/>
  <c r="B38" i="97"/>
  <c r="C38" i="97" s="1"/>
  <c r="A39" i="95"/>
  <c r="B38" i="95"/>
  <c r="B38" i="100" l="1"/>
  <c r="C38" i="100" s="1"/>
  <c r="A39" i="100"/>
  <c r="A40" i="99"/>
  <c r="B39" i="99"/>
  <c r="C39" i="99" s="1"/>
  <c r="A40" i="98"/>
  <c r="B39" i="98"/>
  <c r="A40" i="97"/>
  <c r="B39" i="97"/>
  <c r="C39" i="97" s="1"/>
  <c r="B39" i="95"/>
  <c r="A40" i="95"/>
  <c r="J17" i="80"/>
  <c r="B39" i="100" l="1"/>
  <c r="C39" i="100" s="1"/>
  <c r="A40" i="100"/>
  <c r="B40" i="99"/>
  <c r="C40" i="99" s="1"/>
  <c r="A41" i="99"/>
  <c r="B41" i="99" s="1"/>
  <c r="C41" i="99" s="1"/>
  <c r="B40" i="98"/>
  <c r="A41" i="98"/>
  <c r="B41" i="98" s="1"/>
  <c r="B40" i="97"/>
  <c r="C40" i="97" s="1"/>
  <c r="A41" i="97"/>
  <c r="B41" i="97" s="1"/>
  <c r="C41" i="97" s="1"/>
  <c r="B40" i="95"/>
  <c r="A41" i="95"/>
  <c r="B41" i="95" s="1"/>
  <c r="A41" i="100" l="1"/>
  <c r="B40" i="100"/>
  <c r="C40" i="100" s="1"/>
  <c r="J20" i="80"/>
  <c r="B41" i="100" l="1"/>
  <c r="C41" i="100" s="1"/>
  <c r="A42" i="100"/>
  <c r="B42" i="100" s="1"/>
  <c r="D15" i="92" l="1"/>
  <c r="D14" i="92"/>
  <c r="L42" i="91"/>
  <c r="K42" i="91"/>
  <c r="J42" i="91"/>
  <c r="L41" i="91"/>
  <c r="K41" i="91"/>
  <c r="J41" i="91"/>
  <c r="L40" i="91"/>
  <c r="K40" i="91"/>
  <c r="J40" i="91"/>
  <c r="L39" i="91"/>
  <c r="K39" i="91"/>
  <c r="J39" i="91"/>
  <c r="L38" i="91"/>
  <c r="K38" i="91"/>
  <c r="J38" i="91"/>
  <c r="L37" i="91"/>
  <c r="K37" i="91"/>
  <c r="J37" i="91"/>
  <c r="L36" i="91"/>
  <c r="K36" i="91"/>
  <c r="J36" i="91"/>
  <c r="L35" i="91"/>
  <c r="K35" i="91"/>
  <c r="J35" i="91"/>
  <c r="L34" i="91"/>
  <c r="K34" i="91"/>
  <c r="J34" i="91"/>
  <c r="J32" i="91"/>
  <c r="G7" i="92"/>
  <c r="J55" i="91"/>
  <c r="L55" i="91" l="1"/>
  <c r="J57" i="91" s="1"/>
  <c r="J56" i="91" s="1"/>
  <c r="P42" i="91"/>
  <c r="O42" i="91"/>
  <c r="N42" i="91"/>
  <c r="H42" i="91"/>
  <c r="G42" i="91"/>
  <c r="F42" i="91"/>
  <c r="P41" i="91"/>
  <c r="O41" i="91"/>
  <c r="N41" i="91"/>
  <c r="H41" i="91"/>
  <c r="G41" i="91"/>
  <c r="F41" i="91"/>
  <c r="P40" i="91"/>
  <c r="O40" i="91"/>
  <c r="N40" i="91"/>
  <c r="H40" i="91"/>
  <c r="G40" i="91"/>
  <c r="F40" i="91"/>
  <c r="P39" i="91"/>
  <c r="O39" i="91"/>
  <c r="N39" i="91"/>
  <c r="H39" i="91"/>
  <c r="G39" i="91"/>
  <c r="F39" i="91"/>
  <c r="P38" i="91"/>
  <c r="O38" i="91"/>
  <c r="N38" i="91"/>
  <c r="H38" i="91"/>
  <c r="G38" i="91"/>
  <c r="F38" i="91"/>
  <c r="P37" i="91"/>
  <c r="O37" i="91"/>
  <c r="N37" i="91"/>
  <c r="H37" i="91"/>
  <c r="G37" i="91"/>
  <c r="F37" i="91"/>
  <c r="P36" i="91"/>
  <c r="O36" i="91"/>
  <c r="N36" i="91"/>
  <c r="H36" i="91"/>
  <c r="G36" i="91"/>
  <c r="F36" i="91"/>
  <c r="P35" i="91"/>
  <c r="O35" i="91"/>
  <c r="N35" i="91"/>
  <c r="H35" i="91"/>
  <c r="G35" i="91"/>
  <c r="F35" i="91"/>
  <c r="P34" i="91"/>
  <c r="O34" i="91"/>
  <c r="N34" i="91"/>
  <c r="H34" i="91"/>
  <c r="G34" i="91"/>
  <c r="F34" i="91"/>
  <c r="N32" i="91"/>
  <c r="F32" i="91"/>
  <c r="F31" i="91"/>
  <c r="N55" i="91"/>
  <c r="F55" i="91"/>
  <c r="C15" i="91"/>
  <c r="C42" i="91" s="1"/>
  <c r="B15" i="91"/>
  <c r="B42" i="91" s="1"/>
  <c r="C14" i="91"/>
  <c r="C41" i="91" s="1"/>
  <c r="B14" i="91"/>
  <c r="B41" i="91" s="1"/>
  <c r="C13" i="91"/>
  <c r="B13" i="91"/>
  <c r="B40" i="91" s="1"/>
  <c r="C12" i="91"/>
  <c r="C39" i="91" s="1"/>
  <c r="B12" i="91"/>
  <c r="B39" i="91" s="1"/>
  <c r="C11" i="91"/>
  <c r="B11" i="91"/>
  <c r="B38" i="91" s="1"/>
  <c r="C10" i="91"/>
  <c r="C37" i="91" s="1"/>
  <c r="B10" i="91"/>
  <c r="B37" i="91" s="1"/>
  <c r="C9" i="91"/>
  <c r="B9" i="91"/>
  <c r="B36" i="91" s="1"/>
  <c r="C8" i="91"/>
  <c r="C35" i="91" s="1"/>
  <c r="B8" i="91"/>
  <c r="B35" i="91" s="1"/>
  <c r="C7" i="91"/>
  <c r="B7" i="91"/>
  <c r="B34" i="91" s="1"/>
  <c r="C26" i="91" l="1"/>
  <c r="C28" i="91"/>
  <c r="H55" i="91"/>
  <c r="F57" i="91" s="1"/>
  <c r="F56" i="91" s="1"/>
  <c r="G8" i="92"/>
  <c r="P55" i="91"/>
  <c r="N57" i="91" s="1"/>
  <c r="N56" i="91" s="1"/>
  <c r="G6" i="92"/>
  <c r="F13" i="92" s="1"/>
  <c r="B3" i="91"/>
  <c r="C34" i="91"/>
  <c r="C38" i="91"/>
  <c r="C36" i="91"/>
  <c r="C40" i="91"/>
  <c r="H40" i="23"/>
  <c r="A21" i="90"/>
  <c r="F12" i="90"/>
  <c r="G12" i="90"/>
  <c r="C53" i="91" l="1"/>
  <c r="K26" i="91"/>
  <c r="K53" i="91" s="1"/>
  <c r="C8" i="92"/>
  <c r="K8" i="92" s="1"/>
  <c r="G26" i="91"/>
  <c r="G53" i="91" s="1"/>
  <c r="O26" i="91"/>
  <c r="O53" i="91" s="1"/>
  <c r="O28" i="91"/>
  <c r="O55" i="91" s="1"/>
  <c r="H28" i="23"/>
  <c r="F14" i="92"/>
  <c r="K55" i="91"/>
  <c r="C55" i="91"/>
  <c r="G28" i="91"/>
  <c r="G55" i="91" s="1"/>
  <c r="B21" i="90"/>
  <c r="C21" i="90" s="1"/>
  <c r="H9" i="90"/>
  <c r="I9" i="90" s="1"/>
  <c r="F37" i="23" s="1"/>
  <c r="E9" i="90"/>
  <c r="F9" i="90" s="1"/>
  <c r="J37" i="23" s="1"/>
  <c r="I67" i="23" s="1"/>
  <c r="J67" i="23" s="1"/>
  <c r="A22" i="90"/>
  <c r="E8" i="92" l="1"/>
  <c r="E7" i="92"/>
  <c r="C7" i="92" s="1"/>
  <c r="C14" i="92" s="1"/>
  <c r="C15" i="92"/>
  <c r="E6" i="92"/>
  <c r="C6" i="92" s="1"/>
  <c r="C13" i="92" s="1"/>
  <c r="L8" i="92"/>
  <c r="F39" i="23"/>
  <c r="F69" i="23" s="1"/>
  <c r="G69" i="23" s="1"/>
  <c r="F67" i="23"/>
  <c r="E21" i="80"/>
  <c r="I21" i="80" s="1"/>
  <c r="F55" i="80" s="1"/>
  <c r="T24" i="91"/>
  <c r="L37" i="23"/>
  <c r="J39" i="23"/>
  <c r="K7" i="92"/>
  <c r="B22" i="90"/>
  <c r="C22" i="90" s="1"/>
  <c r="A23" i="90"/>
  <c r="I69" i="23" l="1"/>
  <c r="J69" i="23" s="1"/>
  <c r="L69" i="23" s="1"/>
  <c r="N69" i="23" s="1"/>
  <c r="K6" i="92"/>
  <c r="E14" i="92"/>
  <c r="L7" i="92"/>
  <c r="L6" i="92"/>
  <c r="H21" i="80"/>
  <c r="G67" i="23"/>
  <c r="F21" i="80" s="1"/>
  <c r="L39" i="23"/>
  <c r="N39" i="23" s="1"/>
  <c r="N37" i="23"/>
  <c r="E13" i="92"/>
  <c r="I13" i="92" s="1"/>
  <c r="A24" i="90"/>
  <c r="B23" i="90"/>
  <c r="C23" i="90" s="1"/>
  <c r="D24" i="91" l="1"/>
  <c r="G21" i="80"/>
  <c r="L67" i="23"/>
  <c r="N67" i="23" s="1"/>
  <c r="H13" i="92"/>
  <c r="I14" i="92"/>
  <c r="H14" i="92"/>
  <c r="B24" i="90"/>
  <c r="C24" i="90" s="1"/>
  <c r="A25" i="90"/>
  <c r="D51" i="91" l="1"/>
  <c r="B25" i="90"/>
  <c r="C25" i="90" s="1"/>
  <c r="A26" i="90"/>
  <c r="A27" i="90" l="1"/>
  <c r="B26" i="90"/>
  <c r="C26" i="90" s="1"/>
  <c r="A28" i="90" l="1"/>
  <c r="B27" i="90"/>
  <c r="C27" i="90" s="1"/>
  <c r="J21" i="80"/>
  <c r="A29" i="90" l="1"/>
  <c r="B28" i="90"/>
  <c r="C28" i="90" s="1"/>
  <c r="B29" i="90" l="1"/>
  <c r="C29" i="90" s="1"/>
  <c r="A30" i="90"/>
  <c r="B30" i="90" l="1"/>
  <c r="C30" i="90" s="1"/>
  <c r="A31" i="90"/>
  <c r="A32" i="90" l="1"/>
  <c r="B31" i="90"/>
  <c r="C31" i="90" s="1"/>
  <c r="A33" i="90" l="1"/>
  <c r="B32" i="90"/>
  <c r="C32" i="90" s="1"/>
  <c r="B33" i="90" l="1"/>
  <c r="C33" i="90" s="1"/>
  <c r="A34" i="90"/>
  <c r="B34" i="90" l="1"/>
  <c r="C34" i="90" s="1"/>
  <c r="A35" i="90"/>
  <c r="A36" i="90" l="1"/>
  <c r="B35" i="90"/>
  <c r="C35" i="90" s="1"/>
  <c r="B36" i="90" l="1"/>
  <c r="C36" i="90" s="1"/>
  <c r="A37" i="90"/>
  <c r="B37" i="90" l="1"/>
  <c r="C37" i="90" s="1"/>
  <c r="A38" i="90"/>
  <c r="A39" i="90" l="1"/>
  <c r="B38" i="90"/>
  <c r="C38" i="90" s="1"/>
  <c r="A40" i="90" l="1"/>
  <c r="B39" i="90"/>
  <c r="C39" i="90" s="1"/>
  <c r="B40" i="90" l="1"/>
  <c r="C40" i="90" s="1"/>
  <c r="A41" i="90"/>
  <c r="B41" i="90" s="1"/>
  <c r="C41" i="90" s="1"/>
  <c r="C50" i="23" l="1"/>
  <c r="AB23" i="89"/>
  <c r="AB24" i="89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B25" i="89" s="1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2" i="89" l="1"/>
  <c r="A26" i="89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G40" i="23"/>
  <c r="B9" i="88"/>
  <c r="G28" i="23" l="1"/>
  <c r="P28" i="23" s="1"/>
  <c r="E9" i="88"/>
  <c r="F9" i="88" s="1"/>
  <c r="J24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4" i="23"/>
  <c r="O24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57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F16" i="78" l="1"/>
  <c r="F17" i="78"/>
  <c r="G15" i="78" l="1"/>
  <c r="I46" i="23" l="1"/>
  <c r="G14" i="88" l="1"/>
  <c r="G14" i="93"/>
  <c r="E14" i="98"/>
  <c r="G14" i="94"/>
  <c r="G14" i="96"/>
  <c r="E14" i="95"/>
  <c r="F46" i="23"/>
  <c r="G46" i="23"/>
  <c r="J63" i="23" l="1"/>
  <c r="J64" i="23"/>
  <c r="J66" i="23"/>
  <c r="J65" i="23"/>
  <c r="J61" i="23"/>
  <c r="J62" i="23"/>
  <c r="J60" i="23"/>
  <c r="G66" i="23"/>
  <c r="F20" i="80" s="1"/>
  <c r="G61" i="23"/>
  <c r="F15" i="80" s="1"/>
  <c r="G64" i="23"/>
  <c r="F18" i="80" s="1"/>
  <c r="G65" i="23"/>
  <c r="F19" i="80" s="1"/>
  <c r="G63" i="23"/>
  <c r="F17" i="80" s="1"/>
  <c r="J59" i="23"/>
  <c r="G62" i="23"/>
  <c r="F16" i="80" s="1"/>
  <c r="G59" i="23"/>
  <c r="F13" i="80" s="1"/>
  <c r="G60" i="23"/>
  <c r="F14" i="80" s="1"/>
  <c r="H14" i="88"/>
  <c r="E26" i="88" s="1"/>
  <c r="F14" i="98"/>
  <c r="H14" i="94"/>
  <c r="H14" i="96"/>
  <c r="F14" i="95"/>
  <c r="H14" i="93"/>
  <c r="E14" i="99"/>
  <c r="E14" i="100"/>
  <c r="E14" i="97"/>
  <c r="E25" i="88"/>
  <c r="E23" i="88"/>
  <c r="E33" i="88"/>
  <c r="E37" i="88"/>
  <c r="E40" i="88"/>
  <c r="E30" i="88"/>
  <c r="E28" i="88"/>
  <c r="E36" i="88"/>
  <c r="E31" i="88"/>
  <c r="E24" i="88"/>
  <c r="E27" i="88"/>
  <c r="E22" i="88"/>
  <c r="E39" i="88"/>
  <c r="E34" i="88"/>
  <c r="E35" i="88"/>
  <c r="E41" i="88"/>
  <c r="E32" i="88"/>
  <c r="E29" i="88"/>
  <c r="E38" i="88"/>
  <c r="E42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1" i="80"/>
  <c r="C10" i="80"/>
  <c r="C9" i="80"/>
  <c r="C8" i="80"/>
  <c r="C7" i="80"/>
  <c r="C6" i="80"/>
  <c r="C5" i="80"/>
  <c r="C4" i="80"/>
  <c r="J9" i="80"/>
  <c r="D17" i="91" l="1"/>
  <c r="D44" i="91" s="1"/>
  <c r="G14" i="80"/>
  <c r="G17" i="80"/>
  <c r="D20" i="91"/>
  <c r="D47" i="91" s="1"/>
  <c r="G20" i="80"/>
  <c r="D23" i="91"/>
  <c r="D50" i="91" s="1"/>
  <c r="T22" i="91"/>
  <c r="L65" i="23"/>
  <c r="N65" i="23" s="1"/>
  <c r="D16" i="91"/>
  <c r="G13" i="80"/>
  <c r="G19" i="80"/>
  <c r="D22" i="91"/>
  <c r="D49" i="91" s="1"/>
  <c r="T17" i="91"/>
  <c r="L60" i="23"/>
  <c r="N60" i="23" s="1"/>
  <c r="T23" i="91"/>
  <c r="L66" i="23"/>
  <c r="N66" i="23" s="1"/>
  <c r="D19" i="91"/>
  <c r="D46" i="91" s="1"/>
  <c r="G16" i="80"/>
  <c r="G18" i="80"/>
  <c r="D21" i="91"/>
  <c r="D48" i="91" s="1"/>
  <c r="T19" i="91"/>
  <c r="L62" i="23"/>
  <c r="N62" i="23" s="1"/>
  <c r="T21" i="91"/>
  <c r="L64" i="23"/>
  <c r="N64" i="23" s="1"/>
  <c r="T16" i="91"/>
  <c r="L59" i="23"/>
  <c r="N59" i="23" s="1"/>
  <c r="G15" i="80"/>
  <c r="D18" i="91"/>
  <c r="D45" i="91" s="1"/>
  <c r="T18" i="91"/>
  <c r="L61" i="23"/>
  <c r="N61" i="23" s="1"/>
  <c r="T20" i="91"/>
  <c r="L63" i="23"/>
  <c r="N63" i="23" s="1"/>
  <c r="E32" i="96"/>
  <c r="E33" i="96"/>
  <c r="E39" i="96"/>
  <c r="E29" i="96"/>
  <c r="E40" i="96"/>
  <c r="E30" i="96"/>
  <c r="E37" i="96"/>
  <c r="E24" i="96"/>
  <c r="E42" i="96"/>
  <c r="E35" i="96"/>
  <c r="E38" i="96"/>
  <c r="E34" i="96"/>
  <c r="E41" i="96"/>
  <c r="E27" i="96"/>
  <c r="E36" i="96"/>
  <c r="E25" i="96"/>
  <c r="E28" i="96"/>
  <c r="E26" i="96"/>
  <c r="E31" i="96"/>
  <c r="E23" i="96"/>
  <c r="E22" i="96"/>
  <c r="E39" i="94"/>
  <c r="E37" i="94"/>
  <c r="E33" i="94"/>
  <c r="E31" i="94"/>
  <c r="E29" i="94"/>
  <c r="E22" i="94"/>
  <c r="E32" i="94"/>
  <c r="E25" i="94"/>
  <c r="E38" i="94"/>
  <c r="E42" i="94"/>
  <c r="E23" i="94"/>
  <c r="E24" i="94"/>
  <c r="E30" i="94"/>
  <c r="E41" i="94"/>
  <c r="E36" i="94"/>
  <c r="E35" i="94"/>
  <c r="E28" i="94"/>
  <c r="E40" i="94"/>
  <c r="E27" i="94"/>
  <c r="E26" i="94"/>
  <c r="E34" i="94"/>
  <c r="E32" i="93"/>
  <c r="E22" i="93"/>
  <c r="E28" i="93"/>
  <c r="E42" i="93"/>
  <c r="E36" i="93"/>
  <c r="E37" i="93"/>
  <c r="E39" i="93"/>
  <c r="E24" i="93"/>
  <c r="E33" i="93"/>
  <c r="E27" i="93"/>
  <c r="E38" i="93"/>
  <c r="E40" i="93"/>
  <c r="E41" i="93"/>
  <c r="E29" i="93"/>
  <c r="E34" i="93"/>
  <c r="E23" i="93"/>
  <c r="E30" i="93"/>
  <c r="E31" i="93"/>
  <c r="E25" i="93"/>
  <c r="E35" i="93"/>
  <c r="E26" i="93"/>
  <c r="C22" i="98"/>
  <c r="C23" i="98"/>
  <c r="C21" i="98"/>
  <c r="C24" i="98"/>
  <c r="C25" i="98"/>
  <c r="C26" i="98"/>
  <c r="C27" i="98"/>
  <c r="C28" i="98"/>
  <c r="C29" i="98"/>
  <c r="C30" i="98"/>
  <c r="C31" i="98"/>
  <c r="C32" i="98"/>
  <c r="C33" i="98"/>
  <c r="C34" i="98"/>
  <c r="C35" i="98"/>
  <c r="C36" i="98"/>
  <c r="C37" i="98"/>
  <c r="C38" i="98"/>
  <c r="C39" i="98"/>
  <c r="C41" i="98"/>
  <c r="C40" i="98"/>
  <c r="C22" i="95"/>
  <c r="C21" i="95"/>
  <c r="C23" i="95"/>
  <c r="C24" i="95"/>
  <c r="C25" i="95"/>
  <c r="C26" i="95"/>
  <c r="C27" i="95"/>
  <c r="C28" i="95"/>
  <c r="C29" i="95"/>
  <c r="C30" i="95"/>
  <c r="C31" i="95"/>
  <c r="C32" i="95"/>
  <c r="C33" i="95"/>
  <c r="C34" i="95"/>
  <c r="C35" i="95"/>
  <c r="C36" i="95"/>
  <c r="C37" i="95"/>
  <c r="C38" i="95"/>
  <c r="C39" i="95"/>
  <c r="C41" i="95"/>
  <c r="C40" i="95"/>
  <c r="I12" i="59"/>
  <c r="G9" i="59"/>
  <c r="D9" i="59"/>
  <c r="F12" i="82"/>
  <c r="V20" i="79"/>
  <c r="R20" i="79"/>
  <c r="B8" i="79"/>
  <c r="B23" i="79" s="1"/>
  <c r="B9" i="79"/>
  <c r="B24" i="79" s="1"/>
  <c r="B10" i="79"/>
  <c r="B11" i="79"/>
  <c r="B26" i="79" s="1"/>
  <c r="B12" i="79"/>
  <c r="B27" i="79" s="1"/>
  <c r="B13" i="79"/>
  <c r="B28" i="79" s="1"/>
  <c r="B14" i="79"/>
  <c r="B29" i="79" s="1"/>
  <c r="B15" i="79"/>
  <c r="B30" i="79" s="1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5" i="79"/>
  <c r="Q21" i="23"/>
  <c r="J18" i="80"/>
  <c r="J13" i="80"/>
  <c r="J15" i="80"/>
  <c r="J16" i="80"/>
  <c r="J14" i="80"/>
  <c r="T27" i="91" l="1"/>
  <c r="D43" i="91"/>
  <c r="D27" i="91"/>
  <c r="F12" i="84"/>
  <c r="D9" i="84"/>
  <c r="G9" i="84"/>
  <c r="K23" i="23"/>
  <c r="M23" i="23" s="1"/>
  <c r="D54" i="91" l="1"/>
  <c r="Q27" i="91"/>
  <c r="U27" i="91"/>
  <c r="B9" i="84"/>
  <c r="P23" i="23"/>
  <c r="C9" i="84"/>
  <c r="Q23" i="23"/>
  <c r="A22" i="84"/>
  <c r="A23" i="84" s="1"/>
  <c r="A21" i="84"/>
  <c r="F14" i="84"/>
  <c r="E14" i="84"/>
  <c r="H9" i="84"/>
  <c r="I9" i="84" l="1"/>
  <c r="F23" i="23" s="1"/>
  <c r="B21" i="84"/>
  <c r="C21" i="84" s="1"/>
  <c r="E9" i="84"/>
  <c r="F9" i="84" s="1"/>
  <c r="J23" i="23" s="1"/>
  <c r="B23" i="84"/>
  <c r="C23" i="84" s="1"/>
  <c r="A24" i="84"/>
  <c r="B22" i="84"/>
  <c r="C22" i="84" s="1"/>
  <c r="E8" i="80" l="1"/>
  <c r="I8" i="80" s="1"/>
  <c r="O23" i="23"/>
  <c r="L23" i="23"/>
  <c r="N23" i="23" s="1"/>
  <c r="B24" i="84"/>
  <c r="C24" i="84" s="1"/>
  <c r="A25" i="84"/>
  <c r="I53" i="23"/>
  <c r="J53" i="23" s="1"/>
  <c r="H53" i="23"/>
  <c r="F53" i="23"/>
  <c r="G53" i="23" s="1"/>
  <c r="D53" i="23"/>
  <c r="C53" i="23"/>
  <c r="B53" i="23"/>
  <c r="B54" i="23"/>
  <c r="B55" i="23"/>
  <c r="B56" i="23"/>
  <c r="B57" i="23"/>
  <c r="D11" i="91" l="1"/>
  <c r="D38" i="91" s="1"/>
  <c r="F8" i="80"/>
  <c r="H8" i="80"/>
  <c r="Z11" i="89"/>
  <c r="AA11" i="89" s="1"/>
  <c r="R11" i="91"/>
  <c r="S11" i="91" s="1"/>
  <c r="AB11" i="89"/>
  <c r="T11" i="9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53" i="23"/>
  <c r="P26" i="79"/>
  <c r="T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53" i="23"/>
  <c r="M53" i="23" s="1"/>
  <c r="L53" i="23"/>
  <c r="N53" i="23" s="1"/>
  <c r="W26" i="79" l="1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21" i="23" s="1"/>
  <c r="O21" i="23" s="1"/>
  <c r="E9" i="82"/>
  <c r="F9" i="82" s="1"/>
  <c r="J21" i="23" s="1"/>
  <c r="G12" i="82"/>
  <c r="B21" i="82"/>
  <c r="C21" i="82" s="1"/>
  <c r="A24" i="82"/>
  <c r="B23" i="82"/>
  <c r="C23" i="82" s="1"/>
  <c r="B22" i="82"/>
  <c r="C22" i="82" s="1"/>
  <c r="F51" i="23" l="1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J6" i="80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8" i="78"/>
  <c r="C31" i="79"/>
  <c r="G50" i="79"/>
  <c r="G64" i="79" s="1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C10" i="78" s="1"/>
  <c r="E9" i="78"/>
  <c r="C9" i="78" s="1"/>
  <c r="C17" i="78"/>
  <c r="E7" i="78"/>
  <c r="C7" i="78" s="1"/>
  <c r="E6" i="78"/>
  <c r="C6" i="78" s="1"/>
  <c r="E8" i="78"/>
  <c r="L8" i="78"/>
  <c r="C18" i="78" l="1"/>
  <c r="E17" i="78" s="1"/>
  <c r="H17" i="78" s="1"/>
  <c r="L9" i="78"/>
  <c r="C15" i="78"/>
  <c r="L6" i="78"/>
  <c r="L7" i="78"/>
  <c r="C16" i="78"/>
  <c r="E16" i="78" s="1"/>
  <c r="H16" i="78" s="1"/>
  <c r="C19" i="78"/>
  <c r="L10" i="78"/>
  <c r="F12" i="77"/>
  <c r="G9" i="77"/>
  <c r="D9" i="77"/>
  <c r="A21" i="77"/>
  <c r="A22" i="77" s="1"/>
  <c r="A23" i="77" s="1"/>
  <c r="I16" i="78" l="1"/>
  <c r="I17" i="78"/>
  <c r="E15" i="78"/>
  <c r="E18" i="78"/>
  <c r="H9" i="77"/>
  <c r="I9" i="77" s="1"/>
  <c r="F25" i="23" s="1"/>
  <c r="B21" i="77"/>
  <c r="C21" i="77" s="1"/>
  <c r="E9" i="77"/>
  <c r="F9" i="77" s="1"/>
  <c r="J25" i="23" s="1"/>
  <c r="B23" i="77"/>
  <c r="C23" i="77" s="1"/>
  <c r="A24" i="77"/>
  <c r="B22" i="77"/>
  <c r="C22" i="77" s="1"/>
  <c r="E10" i="80" l="1"/>
  <c r="I10" i="80" s="1"/>
  <c r="O25" i="23"/>
  <c r="I18" i="78"/>
  <c r="I15" i="78"/>
  <c r="B24" i="77"/>
  <c r="C24" i="77" s="1"/>
  <c r="A25" i="77"/>
  <c r="J10" i="80"/>
  <c r="H10" i="80" l="1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7" i="23" s="1"/>
  <c r="E12" i="80" s="1"/>
  <c r="I12" i="80" s="1"/>
  <c r="A21" i="75"/>
  <c r="B21" i="75" s="1"/>
  <c r="C21" i="75" s="1"/>
  <c r="H9" i="75"/>
  <c r="I9" i="75" s="1"/>
  <c r="F26" i="23" s="1"/>
  <c r="E9" i="75"/>
  <c r="F9" i="75" s="1"/>
  <c r="J26" i="23" s="1"/>
  <c r="A21" i="74"/>
  <c r="A22" i="74" s="1"/>
  <c r="B22" i="74" s="1"/>
  <c r="C22" i="74" s="1"/>
  <c r="E9" i="74"/>
  <c r="F9" i="74" s="1"/>
  <c r="J27" i="23" s="1"/>
  <c r="L27" i="23" l="1"/>
  <c r="N27" i="23" s="1"/>
  <c r="H12" i="80"/>
  <c r="E11" i="80"/>
  <c r="I11" i="80" s="1"/>
  <c r="O26" i="23"/>
  <c r="O27" i="23"/>
  <c r="A22" i="75"/>
  <c r="A23" i="75" s="1"/>
  <c r="A24" i="75" s="1"/>
  <c r="A23" i="74"/>
  <c r="B21" i="74"/>
  <c r="C21" i="74" s="1"/>
  <c r="H11" i="80" l="1"/>
  <c r="B23" i="75"/>
  <c r="C23" i="75" s="1"/>
  <c r="B22" i="75"/>
  <c r="C22" i="75" s="1"/>
  <c r="F30" i="80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J11" i="80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J12" i="80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Q20" i="23" l="1"/>
  <c r="C9" i="77" l="1"/>
  <c r="Q25" i="23"/>
  <c r="C6" i="48"/>
  <c r="B6" i="48"/>
  <c r="C6" i="59"/>
  <c r="B6" i="59"/>
  <c r="C6" i="50"/>
  <c r="B6" i="50"/>
  <c r="C6" i="51"/>
  <c r="B6" i="51"/>
  <c r="D57" i="23" l="1"/>
  <c r="H57" i="23"/>
  <c r="C51" i="23"/>
  <c r="D51" i="23"/>
  <c r="H51" i="23"/>
  <c r="C52" i="23"/>
  <c r="D52" i="23"/>
  <c r="H52" i="23"/>
  <c r="C54" i="23"/>
  <c r="D54" i="23"/>
  <c r="H54" i="23"/>
  <c r="C55" i="23"/>
  <c r="D55" i="23"/>
  <c r="H55" i="23"/>
  <c r="C56" i="23"/>
  <c r="D56" i="23"/>
  <c r="H56" i="23"/>
  <c r="Z10" i="89" l="1"/>
  <c r="AA10" i="89" s="1"/>
  <c r="R10" i="91"/>
  <c r="S10" i="91" s="1"/>
  <c r="Z12" i="89"/>
  <c r="AA12" i="89" s="1"/>
  <c r="R12" i="91"/>
  <c r="S12" i="91" s="1"/>
  <c r="Z13" i="89"/>
  <c r="AA13" i="89" s="1"/>
  <c r="R13" i="91"/>
  <c r="S13" i="91" s="1"/>
  <c r="Z15" i="89"/>
  <c r="AA15" i="89" s="1"/>
  <c r="R15" i="91"/>
  <c r="S15" i="91" s="1"/>
  <c r="Z14" i="89"/>
  <c r="AA14" i="89" s="1"/>
  <c r="R14" i="91"/>
  <c r="S14" i="91" s="1"/>
  <c r="Z9" i="89"/>
  <c r="AA9" i="89" s="1"/>
  <c r="R9" i="91"/>
  <c r="S9" i="91" s="1"/>
  <c r="Q21" i="87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54" i="23"/>
  <c r="M54" i="23" s="1"/>
  <c r="K57" i="23"/>
  <c r="M57" i="23" s="1"/>
  <c r="K56" i="23"/>
  <c r="M56" i="23" s="1"/>
  <c r="K52" i="23"/>
  <c r="M52" i="23" s="1"/>
  <c r="K55" i="23"/>
  <c r="M55" i="23" s="1"/>
  <c r="K51" i="23"/>
  <c r="M51" i="23" s="1"/>
  <c r="F24" i="79" l="1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21" i="23" l="1"/>
  <c r="M21" i="23" s="1"/>
  <c r="K22" i="23"/>
  <c r="M22" i="23" s="1"/>
  <c r="K24" i="23"/>
  <c r="M24" i="23" s="1"/>
  <c r="K25" i="23"/>
  <c r="M25" i="23" s="1"/>
  <c r="K26" i="23"/>
  <c r="M26" i="23" s="1"/>
  <c r="C9" i="82"/>
  <c r="C9" i="88"/>
  <c r="P27" i="23"/>
  <c r="Q27" i="23"/>
  <c r="P20" i="23"/>
  <c r="Q19" i="23"/>
  <c r="P19" i="23"/>
  <c r="G12" i="59"/>
  <c r="H12" i="59" s="1"/>
  <c r="N12" i="59"/>
  <c r="B9" i="82" l="1"/>
  <c r="P21" i="23"/>
  <c r="Q22" i="23"/>
  <c r="C9" i="59"/>
  <c r="P22" i="23"/>
  <c r="B9" i="59"/>
  <c r="P24" i="23"/>
  <c r="Q24" i="23"/>
  <c r="B9" i="77"/>
  <c r="P25" i="23"/>
  <c r="C9" i="75"/>
  <c r="Q26" i="23"/>
  <c r="B9" i="75"/>
  <c r="P26" i="23"/>
  <c r="B9" i="74"/>
  <c r="C9" i="74"/>
  <c r="L12" i="59"/>
  <c r="M12" i="59" s="1"/>
  <c r="O12" i="59"/>
  <c r="R12" i="59" l="1"/>
  <c r="P12" i="59"/>
  <c r="Q12" i="59" s="1"/>
  <c r="I56" i="23"/>
  <c r="I55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54" i="23" l="1"/>
  <c r="J22" i="23"/>
  <c r="I52" i="23" s="1"/>
  <c r="J52" i="23" s="1"/>
  <c r="J9" i="59"/>
  <c r="F22" i="23"/>
  <c r="D42" i="59"/>
  <c r="L25" i="23"/>
  <c r="N25" i="23" s="1"/>
  <c r="F55" i="23"/>
  <c r="L26" i="23"/>
  <c r="N26" i="23" s="1"/>
  <c r="F56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AB10" i="89" l="1"/>
  <c r="T10" i="91"/>
  <c r="E7" i="80"/>
  <c r="O22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2" i="23"/>
  <c r="N22" i="23" s="1"/>
  <c r="F52" i="23"/>
  <c r="F54" i="23"/>
  <c r="L24" i="23"/>
  <c r="N24" i="23" s="1"/>
  <c r="A57" i="23"/>
  <c r="A15" i="91" s="1"/>
  <c r="A42" i="91" s="1"/>
  <c r="A55" i="23"/>
  <c r="A13" i="91" s="1"/>
  <c r="A40" i="91" s="1"/>
  <c r="A56" i="23"/>
  <c r="A14" i="91" s="1"/>
  <c r="A41" i="91" s="1"/>
  <c r="A51" i="23"/>
  <c r="A9" i="91" s="1"/>
  <c r="A36" i="91" s="1"/>
  <c r="B51" i="23"/>
  <c r="A52" i="23"/>
  <c r="A10" i="91" s="1"/>
  <c r="A37" i="91" s="1"/>
  <c r="B52" i="23"/>
  <c r="A54" i="23"/>
  <c r="A12" i="91" s="1"/>
  <c r="A39" i="91" s="1"/>
  <c r="F32" i="80" l="1"/>
  <c r="I7" i="80"/>
  <c r="H7" i="80"/>
  <c r="F35" i="80"/>
  <c r="H50" i="23"/>
  <c r="H49" i="23"/>
  <c r="D50" i="23"/>
  <c r="B50" i="23"/>
  <c r="B49" i="23"/>
  <c r="A50" i="23"/>
  <c r="A8" i="91" s="1"/>
  <c r="A35" i="91" s="1"/>
  <c r="A49" i="23"/>
  <c r="A7" i="91" s="1"/>
  <c r="A34" i="91" s="1"/>
  <c r="H70" i="23" l="1"/>
  <c r="Z7" i="89"/>
  <c r="AA7" i="89" s="1"/>
  <c r="R7" i="91"/>
  <c r="Z8" i="89"/>
  <c r="AA8" i="89" s="1"/>
  <c r="R8" i="91"/>
  <c r="S8" i="91" s="1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50" i="23"/>
  <c r="M50" i="23" s="1"/>
  <c r="R26" i="91" l="1"/>
  <c r="S26" i="91" s="1"/>
  <c r="R28" i="91"/>
  <c r="S28" i="91" s="1"/>
  <c r="S7" i="91"/>
  <c r="Z16" i="89"/>
  <c r="AA16" i="89" s="1"/>
  <c r="N23" i="79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V16" i="79"/>
  <c r="O23" i="79"/>
  <c r="K22" i="79"/>
  <c r="J16" i="79"/>
  <c r="N16" i="79"/>
  <c r="G22" i="79"/>
  <c r="F22" i="79"/>
  <c r="F16" i="79"/>
  <c r="R16" i="79"/>
  <c r="J55" i="23"/>
  <c r="J56" i="23"/>
  <c r="J54" i="23"/>
  <c r="G54" i="23"/>
  <c r="F9" i="80" s="1"/>
  <c r="G55" i="23"/>
  <c r="G52" i="23"/>
  <c r="F7" i="80" s="1"/>
  <c r="G56" i="23"/>
  <c r="H14" i="59"/>
  <c r="D14" i="91" l="1"/>
  <c r="F11" i="80"/>
  <c r="D13" i="91"/>
  <c r="D40" i="91" s="1"/>
  <c r="F10" i="80"/>
  <c r="G10" i="80" s="1"/>
  <c r="P52" i="23"/>
  <c r="D10" i="91"/>
  <c r="D37" i="91" s="1"/>
  <c r="G9" i="80"/>
  <c r="D12" i="91"/>
  <c r="D39" i="91" s="1"/>
  <c r="D41" i="91"/>
  <c r="AB12" i="89"/>
  <c r="T12" i="91"/>
  <c r="AB13" i="89"/>
  <c r="T13" i="91"/>
  <c r="AB14" i="89"/>
  <c r="T14" i="9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54" i="23"/>
  <c r="P56" i="23"/>
  <c r="P55" i="23"/>
  <c r="L28" i="79"/>
  <c r="H28" i="79"/>
  <c r="L27" i="79"/>
  <c r="X27" i="79"/>
  <c r="T27" i="79"/>
  <c r="V31" i="79"/>
  <c r="W16" i="79"/>
  <c r="W31" i="79" s="1"/>
  <c r="R31" i="79"/>
  <c r="S16" i="79"/>
  <c r="S31" i="79" s="1"/>
  <c r="G11" i="80"/>
  <c r="D14" i="79"/>
  <c r="D29" i="79" s="1"/>
  <c r="A29" i="79" s="1"/>
  <c r="D13" i="79"/>
  <c r="D28" i="79" s="1"/>
  <c r="A28" i="79" s="1"/>
  <c r="D10" i="79"/>
  <c r="D25" i="79" s="1"/>
  <c r="A25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16" i="79"/>
  <c r="G31" i="79" s="1"/>
  <c r="N31" i="79"/>
  <c r="O16" i="79"/>
  <c r="O31" i="79" s="1"/>
  <c r="J31" i="79"/>
  <c r="K16" i="79"/>
  <c r="K31" i="79" s="1"/>
  <c r="L52" i="23"/>
  <c r="N52" i="23" s="1"/>
  <c r="L56" i="23"/>
  <c r="N56" i="23" s="1"/>
  <c r="L54" i="23"/>
  <c r="N54" i="23" s="1"/>
  <c r="L55" i="23"/>
  <c r="N55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57" i="23"/>
  <c r="F57" i="23"/>
  <c r="G57" i="23" s="1"/>
  <c r="F12" i="80" s="1"/>
  <c r="J7" i="80"/>
  <c r="D15" i="91" l="1"/>
  <c r="D42" i="91" s="1"/>
  <c r="G12" i="80"/>
  <c r="J57" i="23"/>
  <c r="AB15" i="89" s="1"/>
  <c r="P13" i="87"/>
  <c r="R27" i="87"/>
  <c r="R13" i="87"/>
  <c r="P27" i="87"/>
  <c r="N13" i="87"/>
  <c r="N27" i="87"/>
  <c r="X30" i="79"/>
  <c r="H30" i="79"/>
  <c r="T30" i="79"/>
  <c r="P30" i="79"/>
  <c r="L30" i="79"/>
  <c r="D15" i="79"/>
  <c r="D30" i="79" s="1"/>
  <c r="A30" i="79" s="1"/>
  <c r="I13" i="86" l="1"/>
  <c r="R13" i="86" s="1"/>
  <c r="E27" i="86"/>
  <c r="N27" i="86" s="1"/>
  <c r="I27" i="86"/>
  <c r="R27" i="86" s="1"/>
  <c r="E13" i="86"/>
  <c r="N13" i="86" s="1"/>
  <c r="L57" i="23"/>
  <c r="N57" i="23" s="1"/>
  <c r="G27" i="86"/>
  <c r="P27" i="86" s="1"/>
  <c r="P57" i="23"/>
  <c r="AB15" i="79"/>
  <c r="G13" i="86"/>
  <c r="P13" i="86" s="1"/>
  <c r="T15" i="91"/>
  <c r="C14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A24" i="50" l="1"/>
  <c r="P12" i="51"/>
  <c r="Q12" i="51" s="1"/>
  <c r="R12" i="51"/>
  <c r="R12" i="48"/>
  <c r="Q12" i="48"/>
  <c r="A25" i="50" l="1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19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26" i="50" l="1"/>
  <c r="G51" i="23"/>
  <c r="F6" i="80" s="1"/>
  <c r="I49" i="23"/>
  <c r="J9" i="48"/>
  <c r="J9" i="51"/>
  <c r="F19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" i="80"/>
  <c r="A27" i="50" l="1"/>
  <c r="G6" i="80"/>
  <c r="D9" i="91"/>
  <c r="E4" i="80"/>
  <c r="O19" i="23"/>
  <c r="F31" i="80"/>
  <c r="D9" i="79"/>
  <c r="L21" i="23"/>
  <c r="N21" i="23" s="1"/>
  <c r="I51" i="23"/>
  <c r="J51" i="23" s="1"/>
  <c r="F49" i="23"/>
  <c r="J49" i="23"/>
  <c r="I4" i="80" l="1"/>
  <c r="A28" i="50"/>
  <c r="H4" i="80"/>
  <c r="G49" i="23"/>
  <c r="D7" i="79" s="1"/>
  <c r="D22" i="79" s="1"/>
  <c r="A22" i="79" s="1"/>
  <c r="F28" i="80"/>
  <c r="C3" i="91"/>
  <c r="D36" i="91"/>
  <c r="AB9" i="89"/>
  <c r="T9" i="91"/>
  <c r="AB7" i="89"/>
  <c r="T7" i="91"/>
  <c r="N7" i="87"/>
  <c r="R21" i="87"/>
  <c r="R7" i="87"/>
  <c r="P21" i="87"/>
  <c r="P7" i="87"/>
  <c r="N21" i="87"/>
  <c r="N5" i="87"/>
  <c r="P5" i="87"/>
  <c r="R19" i="87"/>
  <c r="P19" i="87"/>
  <c r="N19" i="87"/>
  <c r="R5" i="87"/>
  <c r="P51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F27" i="80"/>
  <c r="F29" i="80"/>
  <c r="D24" i="79"/>
  <c r="A24" i="79" s="1"/>
  <c r="C3" i="79"/>
  <c r="L51" i="23"/>
  <c r="N51" i="23" s="1"/>
  <c r="D7" i="91" l="1"/>
  <c r="F4" i="80"/>
  <c r="A29" i="50"/>
  <c r="P49" i="23"/>
  <c r="D34" i="91"/>
  <c r="X22" i="79"/>
  <c r="H22" i="79"/>
  <c r="C9" i="51"/>
  <c r="B9" i="51"/>
  <c r="A30" i="50" l="1"/>
  <c r="G4" i="80"/>
  <c r="B9" i="50"/>
  <c r="B9" i="48"/>
  <c r="C9" i="50"/>
  <c r="C9" i="48"/>
  <c r="A31" i="50" l="1"/>
  <c r="G14" i="51"/>
  <c r="D49" i="23"/>
  <c r="D70" i="23" s="1"/>
  <c r="C47" i="23"/>
  <c r="C48" i="23"/>
  <c r="C49" i="23"/>
  <c r="A32" i="50" l="1"/>
  <c r="G14" i="50"/>
  <c r="K49" i="23"/>
  <c r="M49" i="23" s="1"/>
  <c r="A33" i="50" l="1"/>
  <c r="K70" i="23"/>
  <c r="M70" i="23" s="1"/>
  <c r="A34" i="50" l="1"/>
  <c r="K20" i="23"/>
  <c r="K19" i="23"/>
  <c r="A35" i="50" l="1"/>
  <c r="K40" i="23"/>
  <c r="M40" i="23" s="1"/>
  <c r="K28" i="23"/>
  <c r="M28" i="23" s="1"/>
  <c r="M20" i="23"/>
  <c r="M19" i="23"/>
  <c r="A36" i="50" l="1"/>
  <c r="L49" i="23"/>
  <c r="N49" i="23" s="1"/>
  <c r="A37" i="50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38" i="50" l="1"/>
  <c r="N12" i="13"/>
  <c r="O12" i="13"/>
  <c r="A39" i="50" l="1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40" i="50" l="1"/>
  <c r="C33" i="13"/>
  <c r="C28" i="13"/>
  <c r="C23" i="13"/>
  <c r="C38" i="13"/>
  <c r="C29" i="13"/>
  <c r="C37" i="13"/>
  <c r="C34" i="13"/>
  <c r="C25" i="13"/>
  <c r="C41" i="13"/>
  <c r="F12" i="5" a="1"/>
  <c r="A41" i="50" l="1"/>
  <c r="L19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29" i="5"/>
  <c r="B41" i="5"/>
  <c r="B46" i="5"/>
  <c r="B38" i="5"/>
  <c r="B44" i="5"/>
  <c r="B28" i="5"/>
  <c r="B33" i="5"/>
  <c r="B39" i="5"/>
  <c r="B37" i="5"/>
  <c r="B40" i="5"/>
  <c r="E9" i="5"/>
  <c r="B47" i="5"/>
  <c r="B32" i="5"/>
  <c r="B31" i="5"/>
  <c r="B42" i="5"/>
  <c r="B34" i="5"/>
  <c r="B35" i="5"/>
  <c r="B45" i="5"/>
  <c r="B36" i="5"/>
  <c r="B30" i="5"/>
  <c r="B27" i="5"/>
  <c r="B43" i="5"/>
  <c r="A42" i="50" l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9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R5" i="80" a="1"/>
  <c r="Q5" i="80" a="1"/>
  <c r="Q5" i="80" l="1"/>
  <c r="R5" i="80"/>
  <c r="B42" i="4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20" i="23" s="1"/>
  <c r="J40" i="23" s="1"/>
  <c r="B9" i="23" s="1"/>
  <c r="B39" i="50"/>
  <c r="B23" i="50"/>
  <c r="B30" i="50"/>
  <c r="B29" i="50"/>
  <c r="B32" i="50"/>
  <c r="B38" i="50"/>
  <c r="B35" i="50"/>
  <c r="B22" i="50"/>
  <c r="J28" i="23" l="1"/>
  <c r="E42" i="50"/>
  <c r="D42" i="50"/>
  <c r="C42" i="50"/>
  <c r="E22" i="50"/>
  <c r="C22" i="50"/>
  <c r="D29" i="50"/>
  <c r="E29" i="50"/>
  <c r="C29" i="50"/>
  <c r="I50" i="23"/>
  <c r="I70" i="23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20" i="23"/>
  <c r="F40" i="23" s="1"/>
  <c r="J9" i="50"/>
  <c r="J5" i="80"/>
  <c r="I58" i="23" l="1"/>
  <c r="J58" i="23" s="1"/>
  <c r="F28" i="23"/>
  <c r="F58" i="23" s="1"/>
  <c r="G58" i="23" s="1"/>
  <c r="O20" i="23"/>
  <c r="L20" i="23"/>
  <c r="L40" i="23" s="1"/>
  <c r="E5" i="80"/>
  <c r="E23" i="80" s="1"/>
  <c r="I23" i="80" s="1"/>
  <c r="F50" i="23"/>
  <c r="F70" i="23" s="1"/>
  <c r="J50" i="23"/>
  <c r="L58" i="23" l="1"/>
  <c r="N58" i="23" s="1"/>
  <c r="J70" i="23"/>
  <c r="M15" i="23" s="1"/>
  <c r="I5" i="80"/>
  <c r="N40" i="23"/>
  <c r="L28" i="23"/>
  <c r="N28" i="23" s="1"/>
  <c r="N20" i="23"/>
  <c r="AB8" i="89"/>
  <c r="AB16" i="89" s="1"/>
  <c r="T8" i="91"/>
  <c r="R6" i="87"/>
  <c r="P6" i="87"/>
  <c r="N6" i="87"/>
  <c r="R20" i="87"/>
  <c r="P20" i="87"/>
  <c r="N20" i="87"/>
  <c r="L23" i="79"/>
  <c r="H23" i="79"/>
  <c r="T23" i="79"/>
  <c r="P23" i="79"/>
  <c r="H5" i="80"/>
  <c r="H23" i="80" s="1"/>
  <c r="F33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G50" i="23"/>
  <c r="F34" i="80"/>
  <c r="T28" i="91" l="1"/>
  <c r="T26" i="91"/>
  <c r="F5" i="80"/>
  <c r="F23" i="80" s="1"/>
  <c r="G70" i="23"/>
  <c r="D8" i="91"/>
  <c r="P50" i="23"/>
  <c r="X23" i="79"/>
  <c r="X16" i="79"/>
  <c r="L50" i="23"/>
  <c r="N50" i="23" s="1"/>
  <c r="D8" i="79"/>
  <c r="H16" i="79"/>
  <c r="L16" i="79"/>
  <c r="P16" i="79"/>
  <c r="T16" i="79"/>
  <c r="D28" i="91" l="1"/>
  <c r="D30" i="91" s="1"/>
  <c r="D26" i="91"/>
  <c r="G5" i="80"/>
  <c r="D35" i="91"/>
  <c r="D23" i="79"/>
  <c r="A23" i="79" s="1"/>
  <c r="D16" i="79"/>
  <c r="L70" i="23"/>
  <c r="N70" i="23" s="1"/>
  <c r="L15" i="23"/>
  <c r="L31" i="79"/>
  <c r="G9" i="78"/>
  <c r="K9" i="78" s="1"/>
  <c r="T31" i="79"/>
  <c r="G7" i="78"/>
  <c r="G6" i="78"/>
  <c r="X31" i="79"/>
  <c r="P31" i="79"/>
  <c r="G10" i="78"/>
  <c r="H31" i="79"/>
  <c r="G8" i="78"/>
  <c r="D29" i="91" l="1"/>
  <c r="D53" i="91"/>
  <c r="Q26" i="91"/>
  <c r="U26" i="91"/>
  <c r="F8" i="92"/>
  <c r="D55" i="91"/>
  <c r="G23" i="80"/>
  <c r="F24" i="80"/>
  <c r="F8" i="78"/>
  <c r="I10" i="78" s="1"/>
  <c r="D17" i="79"/>
  <c r="D31" i="79"/>
  <c r="F18" i="78"/>
  <c r="H18" i="78" s="1"/>
  <c r="K6" i="78"/>
  <c r="K8" i="78"/>
  <c r="K10" i="78"/>
  <c r="K7" i="78"/>
  <c r="F15" i="78"/>
  <c r="H15" i="78" s="1"/>
  <c r="C57" i="91" l="1"/>
  <c r="C56" i="91" s="1"/>
  <c r="L57" i="91"/>
  <c r="L58" i="91" s="1"/>
  <c r="P57" i="91"/>
  <c r="P58" i="91" s="1"/>
  <c r="H57" i="91"/>
  <c r="H58" i="91" s="1"/>
  <c r="I7" i="92"/>
  <c r="J7" i="92"/>
  <c r="I8" i="92"/>
  <c r="B8" i="92"/>
  <c r="J8" i="92"/>
  <c r="I6" i="92"/>
  <c r="J6" i="92"/>
  <c r="T33" i="79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<sst xmlns="http://schemas.openxmlformats.org/spreadsheetml/2006/main" count="1996" uniqueCount="354">
  <si>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</si>
  <si>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</si>
  <si>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</si>
  <si>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</si>
  <si>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</si>
  <si>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</si>
  <si>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</si>
  <si>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</si>
  <si>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</si>
  <si>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</si>
  <si>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</si>
  <si>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</si>
  <si>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</si>
  <si>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</si>
  <si>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</si>
  <si>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</si>
  <si>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</si>
  <si>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</si>
  <si>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</si>
  <si>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</si>
  <si>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</si>
  <si>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</si>
  <si>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</si>
  <si>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</si>
  <si>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</si>
  <si>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</si>
  <si>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</si>
  <si>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</si>
  <si>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</si>
  <si>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</si>
  <si>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</si>
  <si>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</si>
  <si>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</si>
  <si>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</si>
  <si>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</si>
  <si>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</si>
  <si>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</si>
  <si>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</si>
  <si>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</si>
  <si>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</si>
  <si>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</si>
  <si>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</si>
  <si>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</si>
  <si>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</si>
  <si>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</si>
  <si>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</si>
  <si>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</si>
  <si>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</si>
  <si>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</si>
  <si>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</si>
  <si>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</si>
  <si>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</si>
  <si>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</si>
  <si>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</si>
  <si>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</si>
  <si>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</si>
  <si>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</si>
  <si>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</si>
  <si>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</si>
  <si>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</si>
  <si>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</si>
  <si>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</si>
  <si>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</si>
  <si>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</si>
  <si>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</si>
  <si>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</si>
  <si>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</si>
  <si>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</si>
  <si>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</si>
  <si>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</si>
  <si>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</si>
  <si>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</si>
  <si>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</si>
  <si>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</si>
  <si>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</si>
  <si>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</si>
  <si>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</si>
  <si>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</si>
  <si>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</si>
  <si>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</si>
  <si>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</si>
  <si>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</si>
  <si>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</si>
  <si>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</si>
  <si>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</si>
  <si>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</si>
  <si>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</si>
  <si>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</si>
  <si>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</si>
  <si>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</si>
  <si>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</si>
  <si>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</si>
  <si>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</si>
  <si>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</si>
  <si>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</si>
  <si>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</si>
  <si>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</si>
  <si>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</si>
  <si>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</si>
  <si>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</si>
  <si>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</si>
  <si>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</si>
  <si>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</si>
  <si>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</si>
  <si>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</si>
  <si>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</si>
  <si>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</si>
  <si>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</si>
  <si>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</si>
  <si>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</si>
  <si>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</si>
  <si>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</si>
  <si>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</si>
  <si>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</si>
  <si>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</si>
  <si>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</si>
  <si>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</si>
  <si>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</si>
  <si>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</si>
  <si>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</si>
  <si>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</si>
  <si>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</si>
  <si>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</si>
  <si>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</si>
  <si>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</si>
  <si>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</si>
  <si>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</si>
  <si>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</si>
  <si>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</si>
  <si>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</si>
  <si>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</si>
  <si>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</si>
  <si>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</si>
  <si>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</si>
  <si>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</si>
  <si>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</si>
  <si>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</si>
  <si>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</si>
  <si>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</si>
  <si>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</si>
  <si>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</si>
  <si>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</si>
  <si>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</si>
  <si>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</si>
  <si>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</si>
  <si>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</si>
  <si>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</si>
  <si>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</si>
  <si>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</si>
  <si>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</si>
  <si>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</si>
  <si>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</si>
  <si>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</si>
  <si>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</si>
  <si>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</si>
  <si>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</si>
  <si>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t>2018 Optimal Spend ($)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</si>
  <si>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</si>
  <si>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</si>
  <si>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</si>
  <si>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</si>
  <si>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</si>
  <si>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</si>
  <si>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2018 Planned Spend ($)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</si>
  <si>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</si>
  <si>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</si>
  <si>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</si>
  <si>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</si>
  <si>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</si>
  <si>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</si>
  <si>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</si>
  <si>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</si>
  <si>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</si>
  <si>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</si>
  <si>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</si>
  <si>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</si>
  <si>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</si>
  <si>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</si>
  <si>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</si>
  <si>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</si>
  <si>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</si>
  <si>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</si>
  <si>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</si>
  <si>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</si>
  <si>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</si>
  <si>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</si>
  <si>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</si>
  <si>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</si>
  <si>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</si>
  <si>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</si>
  <si>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</si>
  <si>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</si>
  <si>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</si>
  <si>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</si>
  <si>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</si>
  <si>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</si>
  <si>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</si>
  <si>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</si>
  <si>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</si>
  <si>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</si>
  <si>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</si>
  <si>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</si>
  <si>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</si>
  <si>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</si>
  <si>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</si>
  <si>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</si>
  <si>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</si>
  <si>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</si>
  <si>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</si>
  <si>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</si>
  <si>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</si>
  <si>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</si>
  <si>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</si>
  <si>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</si>
  <si>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</si>
  <si>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</si>
  <si>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</si>
  <si>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</si>
  <si>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</si>
  <si>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</si>
  <si>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</si>
  <si>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</si>
  <si>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</si>
  <si>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</si>
  <si>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</si>
  <si>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</si>
  <si>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</si>
  <si>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</si>
  <si>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</si>
  <si>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</si>
  <si>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</si>
  <si>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</si>
  <si>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</si>
  <si>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</si>
  <si>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</si>
  <si>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</si>
  <si>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</si>
  <si>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</si>
  <si>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</si>
  <si>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</si>
  <si>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</si>
  <si>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</si>
  <si>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</si>
  <si>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</si>
  <si>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</si>
  <si>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</si>
  <si>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</si>
  <si>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</si>
  <si>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</si>
  <si>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</si>
  <si>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</si>
  <si>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2021 Current Baseline ($MM)</t>
  </si>
  <si>
    <t>Δ Pre-tax Revenue w.r.t 2021 Current baseline</t>
  </si>
  <si>
    <t>Current 2021 Baseline</t>
  </si>
  <si>
    <t>Optimal Channel Spend  allowed to vary between  of the 2021 spend</t>
  </si>
  <si>
    <t>Current Optimal ($38MM)</t>
  </si>
  <si>
    <t>10% reduction optimal ($35M)</t>
  </si>
  <si>
    <t>20% reduction optimal ($31M)</t>
  </si>
  <si>
    <t>10% increase optimal ($42M)</t>
  </si>
  <si>
    <t>20% increase optimal ($46M)</t>
  </si>
  <si>
    <t>+$11(6%)</t>
  </si>
  <si>
    <t>+$1(0.4%)</t>
  </si>
  <si>
    <t>-$13(-7%)</t>
  </si>
  <si>
    <t>+$20(11%)</t>
  </si>
  <si>
    <t>+$29(16%)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</si>
  <si>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</si>
  <si>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</si>
  <si>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</si>
  <si>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Δ Pre-tax Revenue w.r.t 2022 Current baseline</t>
  </si>
  <si>
    <t>2022 Current Baseline ($MM)</t>
  </si>
  <si>
    <t>*UPDATED</t>
  </si>
  <si>
    <t>budgets reflect ingoing budget, tv and linear tv remain capped</t>
  </si>
  <si>
    <t>Current Optimal ($34MM)</t>
  </si>
  <si>
    <t>+$2(1.0%)</t>
  </si>
  <si>
    <t>-$6(3%)</t>
  </si>
  <si>
    <t>-$18(-8%)</t>
  </si>
  <si>
    <t>+$14(6%)</t>
  </si>
  <si>
    <t>+$23(10%)</t>
  </si>
  <si>
    <t>3% reduction optimal ($33M)</t>
  </si>
  <si>
    <t>7% reduction optimal ($32M)</t>
  </si>
  <si>
    <t>5% increase optimal ($36M)</t>
  </si>
  <si>
    <t>10% increase optimal ($38M)</t>
  </si>
  <si>
    <t>Gardasil Adult audio. Given a set of X and Y values, a power function (i.e., a smooth continuous curve) is fit for each pair of values</t>
  </si>
  <si>
    <t>HCC audio</t>
  </si>
  <si>
    <t>HCC Audio</t>
  </si>
  <si>
    <t>Gardasil Adults</t>
  </si>
  <si>
    <t>HCC InOffice</t>
  </si>
  <si>
    <t>HCC Linear TV</t>
  </si>
  <si>
    <t>Gardasil Adult Social. Given a set of X and Y values, a power function (i.e., a smooth continuous curve) is fit for each pair of values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</si>
  <si>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</si>
  <si>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</si>
  <si>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 Streaming.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</si>
  <si>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</si>
  <si>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</si>
  <si>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display. Given a set of X and Y values, a power function (i.e., a smooth continuous curve) is fit for each pair of values</t>
  </si>
  <si>
    <t>Gardasil Adult psrch. Given a set of X and Y values, a power function (i.e., a smooth continuous curve) is fit for each pair of values</t>
  </si>
  <si>
    <t>HCC psrch</t>
  </si>
  <si>
    <t>Gardasil Adult linear tv. Given a set of X and Y values, a power function (i.e., a smooth continuous curve) is fit for each pair of values</t>
  </si>
  <si>
    <t>HCC linear tv</t>
  </si>
  <si>
    <t>2022 adt Projected Promotion Efficiency</t>
  </si>
  <si>
    <t>Gardasil Adolescent</t>
  </si>
  <si>
    <t>Gardasil Adult</t>
  </si>
  <si>
    <t>optimal Spends</t>
  </si>
  <si>
    <t>Gardasil Adolescents psrch. Given a set of X and Y values, a power function (i.e., a smooth continuous curve) is fit for each pair of values</t>
  </si>
  <si>
    <t>HCC 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</si>
  <si>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</si>
  <si>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Pharmacy</t>
  </si>
  <si>
    <t>Δ Pre-tax Revenue w.r.t 2023 Current baseline</t>
  </si>
  <si>
    <t>Current 2023 Baseline</t>
  </si>
  <si>
    <t>2023 adol Projected Promotion Efficiency</t>
  </si>
  <si>
    <t>Current Optimal ($92MM)</t>
  </si>
  <si>
    <t>2023 Spend ($MM)</t>
  </si>
  <si>
    <t>2023 Estimated Incr. Doses ('000)</t>
  </si>
  <si>
    <t>2023 Estimated Pre-Tax NPV</t>
  </si>
  <si>
    <t>2023 Estimated Pre-tax ROI</t>
  </si>
  <si>
    <t xml:space="preserve">2023 proj </t>
  </si>
  <si>
    <t>2023  pro adol</t>
  </si>
  <si>
    <t>2023  pro adt</t>
  </si>
  <si>
    <t>GINOFF</t>
  </si>
  <si>
    <t>GMCM</t>
  </si>
  <si>
    <t>GSOC</t>
  </si>
  <si>
    <t>GOLV</t>
  </si>
  <si>
    <t>GSTRV</t>
  </si>
  <si>
    <t>GDISP</t>
  </si>
  <si>
    <t>GSEARCH</t>
  </si>
  <si>
    <t>GRADIO</t>
  </si>
  <si>
    <t>GTV</t>
  </si>
  <si>
    <t>GAUDIO</t>
  </si>
  <si>
    <t>GINOFF_adt</t>
  </si>
  <si>
    <t>GMCM_adt</t>
  </si>
  <si>
    <t>GSOCIAL_adt</t>
  </si>
  <si>
    <t>GOLV_adt</t>
  </si>
  <si>
    <t>GSTRTV_adt</t>
  </si>
  <si>
    <t>GDISP_adt</t>
  </si>
  <si>
    <t>GPDSRCH_adt</t>
  </si>
  <si>
    <t>GLINEARTV_adt</t>
  </si>
  <si>
    <t>GPHRMCY_adt</t>
  </si>
  <si>
    <t>-50% / +200%</t>
  </si>
  <si>
    <t>Indication</t>
  </si>
  <si>
    <t>In-Scope Promotion</t>
  </si>
  <si>
    <t>Gardasil : HCC In Office, HCP MCM, HCC Digital, TV &amp; HCC Print.</t>
  </si>
  <si>
    <t>2024 Current Baseline ($MM)</t>
  </si>
  <si>
    <t>BASE Case: Vary promotion type spend using custom constraints and global spend by + or - 20%.</t>
  </si>
  <si>
    <t>Optimal channel spend allowed to vary based on custom constraints of the 2024 channel spend and Global Spend is allowed to vary by +/-20%</t>
  </si>
  <si>
    <t xml:space="preserve">20M increase in total budget </t>
  </si>
  <si>
    <t>Current optimal Overall vs Individual</t>
  </si>
  <si>
    <t>10M increase Overall vs Individual</t>
  </si>
  <si>
    <t>20M increase Overall vs Individual</t>
  </si>
  <si>
    <t xml:space="preserve">10M increase in total budget </t>
  </si>
  <si>
    <t>+$7(1%)</t>
  </si>
  <si>
    <t>+$52(10%)</t>
  </si>
  <si>
    <t>+$117(23%)</t>
  </si>
  <si>
    <t>Adol Constraints</t>
  </si>
  <si>
    <t>Adult Constraints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</si>
</sst>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_(&quot;$&quot;* #,##0.0_);_(&quot;$&quot;* \(#,##0.0\);_(&quot;$&quot;* &quot;-&quot;?_);_(@_)"/>
    <numFmt numFmtId="174" formatCode="&quot;$&quot;0.0,,\ "/>
    <numFmt numFmtId="175" formatCode="&quot;$&quot;0.0,,\ &quot;M&quot;"/>
  </numFmts>
  <fonts count="4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theme="0"/>
      <name val="Arial"/>
      <family val="2"/>
    </font>
    <font>
      <b/>
      <sz val="11"/>
      <color rgb="FF00B05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633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0" borderId="0" xfId="0" applyNumberFormat="1" applyFont="1" applyBorder="1"/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66" fontId="28" fillId="0" borderId="42" xfId="4" applyNumberFormat="1" applyFont="1" applyBorder="1" applyAlignment="1">
      <alignment horizontal="center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2" fontId="1" fillId="2" borderId="2" xfId="4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3" applyNumberFormat="1" applyFont="1" applyAlignment="1">
      <alignment horizontal="center"/>
    </xf>
    <xf numFmtId="170" fontId="41" fillId="48" borderId="91" xfId="4" applyNumberFormat="1" applyFont="1" applyFill="1" applyBorder="1" applyAlignment="1">
      <alignment horizontal="center" vertical="center" wrapText="1"/>
    </xf>
    <xf numFmtId="173" fontId="0" fillId="0" borderId="0" xfId="0" applyNumberFormat="1"/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0" borderId="37" xfId="0" applyFont="1" applyBorder="1" applyAlignment="1">
      <alignment horizontal="left"/>
    </xf>
    <xf numFmtId="166" fontId="1" fillId="2" borderId="12" xfId="4" applyNumberFormat="1" applyFont="1" applyFill="1" applyBorder="1" applyAlignment="1">
      <alignment horizontal="center"/>
    </xf>
    <xf numFmtId="0" fontId="1" fillId="0" borderId="32" xfId="0" applyFont="1" applyFill="1" applyBorder="1" applyAlignment="1">
      <alignment horizontal="left"/>
    </xf>
    <xf numFmtId="0" fontId="1" fillId="0" borderId="32" xfId="0" applyFont="1" applyFill="1" applyBorder="1" applyAlignment="1">
      <alignment horizontal="left" indent="1"/>
    </xf>
    <xf numFmtId="0" fontId="1" fillId="0" borderId="32" xfId="0" applyFont="1" applyBorder="1"/>
    <xf numFmtId="9" fontId="1" fillId="0" borderId="32" xfId="0" applyNumberFormat="1" applyFont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166" fontId="12" fillId="8" borderId="32" xfId="2" applyNumberFormat="1" applyFont="1" applyFill="1" applyBorder="1" applyAlignment="1">
      <alignment horizontal="center"/>
    </xf>
    <xf numFmtId="3" fontId="1" fillId="9" borderId="32" xfId="0" applyNumberFormat="1" applyFont="1" applyFill="1" applyBorder="1" applyAlignment="1">
      <alignment horizontal="center"/>
    </xf>
    <xf numFmtId="9" fontId="1" fillId="9" borderId="32" xfId="3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43" fontId="1" fillId="2" borderId="9" xfId="2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0" fontId="5" fillId="0" borderId="0" xfId="0" applyFont="1"/>
    <xf numFmtId="3" fontId="1" fillId="2" borderId="25" xfId="2" applyNumberFormat="1" applyFont="1" applyFill="1" applyBorder="1" applyAlignment="1">
      <alignment horizontal="center"/>
    </xf>
    <xf numFmtId="3" fontId="12" fillId="8" borderId="25" xfId="2" applyNumberFormat="1" applyFont="1" applyFill="1" applyBorder="1" applyAlignment="1">
      <alignment horizontal="center"/>
    </xf>
    <xf numFmtId="9" fontId="1" fillId="2" borderId="9" xfId="2" applyNumberFormat="1" applyFont="1" applyFill="1" applyBorder="1" applyAlignment="1">
      <alignment horizontal="center"/>
    </xf>
    <xf numFmtId="0" fontId="1" fillId="0" borderId="32" xfId="0" applyFont="1" applyBorder="1" applyAlignment="1">
      <alignment horizontal="left" indent="1"/>
    </xf>
    <xf numFmtId="164" fontId="1" fillId="0" borderId="32" xfId="4" applyNumberFormat="1" applyFont="1" applyFill="1" applyBorder="1"/>
    <xf numFmtId="3" fontId="1" fillId="0" borderId="32" xfId="2" applyNumberFormat="1" applyFont="1" applyFill="1" applyBorder="1" applyAlignment="1">
      <alignment horizontal="center"/>
    </xf>
    <xf numFmtId="3" fontId="1" fillId="0" borderId="32" xfId="2" applyNumberFormat="1" applyFont="1" applyFill="1" applyBorder="1"/>
    <xf numFmtId="42" fontId="1" fillId="41" borderId="32" xfId="2" applyNumberFormat="1" applyFont="1" applyFill="1" applyBorder="1" applyAlignment="1">
      <alignment horizontal="left"/>
    </xf>
    <xf numFmtId="164" fontId="1" fillId="8" borderId="32" xfId="4" applyNumberFormat="1" applyFont="1" applyFill="1" applyBorder="1"/>
    <xf numFmtId="42" fontId="1" fillId="8" borderId="32" xfId="2" applyNumberFormat="1" applyFont="1" applyFill="1" applyBorder="1" applyAlignment="1">
      <alignment horizontal="left"/>
    </xf>
    <xf numFmtId="9" fontId="1" fillId="0" borderId="32" xfId="3" applyFont="1" applyFill="1" applyBorder="1"/>
    <xf numFmtId="9" fontId="1" fillId="0" borderId="32" xfId="3" applyFont="1" applyFill="1" applyBorder="1" applyAlignment="1">
      <alignment horizontal="left"/>
    </xf>
    <xf numFmtId="0" fontId="1" fillId="0" borderId="37" xfId="0" applyFont="1" applyBorder="1" applyAlignment="1">
      <alignment horizontal="center"/>
    </xf>
    <xf numFmtId="166" fontId="0" fillId="0" borderId="48" xfId="4" applyNumberFormat="1" applyFont="1" applyBorder="1" applyAlignment="1">
      <alignment horizontal="center"/>
    </xf>
    <xf numFmtId="9" fontId="0" fillId="0" borderId="48" xfId="3" applyFont="1" applyBorder="1" applyAlignment="1">
      <alignment horizontal="center"/>
    </xf>
    <xf numFmtId="0" fontId="0" fillId="0" borderId="48" xfId="0" applyBorder="1"/>
    <xf numFmtId="166" fontId="0" fillId="0" borderId="49" xfId="4" applyNumberFormat="1" applyFont="1" applyBorder="1" applyAlignment="1">
      <alignment horizontal="center"/>
    </xf>
    <xf numFmtId="166" fontId="0" fillId="0" borderId="0" xfId="4" applyNumberFormat="1" applyFont="1" applyBorder="1" applyAlignment="1">
      <alignment horizontal="center"/>
    </xf>
    <xf numFmtId="9" fontId="0" fillId="0" borderId="0" xfId="3" applyFont="1" applyBorder="1" applyAlignment="1">
      <alignment horizontal="center"/>
    </xf>
    <xf numFmtId="0" fontId="0" fillId="0" borderId="0" xfId="0" applyBorder="1"/>
    <xf numFmtId="166" fontId="0" fillId="0" borderId="66" xfId="4" applyNumberFormat="1" applyFont="1" applyBorder="1" applyAlignment="1">
      <alignment horizontal="center"/>
    </xf>
    <xf numFmtId="166" fontId="0" fillId="0" borderId="20" xfId="4" applyNumberFormat="1" applyFont="1" applyBorder="1" applyAlignment="1">
      <alignment horizontal="center"/>
    </xf>
    <xf numFmtId="9" fontId="0" fillId="0" borderId="20" xfId="3" applyFont="1" applyBorder="1" applyAlignment="1">
      <alignment horizontal="center"/>
    </xf>
    <xf numFmtId="166" fontId="0" fillId="0" borderId="27" xfId="4" applyNumberFormat="1" applyFont="1" applyBorder="1" applyAlignment="1">
      <alignment horizontal="center"/>
    </xf>
    <xf numFmtId="0" fontId="0" fillId="0" borderId="100" xfId="0" applyBorder="1" applyAlignment="1">
      <alignment horizontal="left" vertical="center" indent="1"/>
    </xf>
    <xf numFmtId="0" fontId="0" fillId="0" borderId="101" xfId="0" applyBorder="1" applyAlignment="1">
      <alignment horizontal="left" vertical="center" indent="1"/>
    </xf>
    <xf numFmtId="0" fontId="0" fillId="0" borderId="102" xfId="0" applyBorder="1" applyAlignment="1">
      <alignment horizontal="left" vertical="center" indent="1"/>
    </xf>
    <xf numFmtId="166" fontId="0" fillId="0" borderId="47" xfId="4" applyNumberFormat="1" applyFont="1" applyBorder="1" applyAlignment="1">
      <alignment horizontal="center"/>
    </xf>
    <xf numFmtId="166" fontId="0" fillId="0" borderId="40" xfId="4" applyNumberFormat="1" applyFont="1" applyBorder="1" applyAlignment="1">
      <alignment horizontal="center"/>
    </xf>
    <xf numFmtId="166" fontId="0" fillId="0" borderId="25" xfId="4" applyNumberFormat="1" applyFont="1" applyBorder="1" applyAlignment="1">
      <alignment horizontal="center"/>
    </xf>
    <xf numFmtId="9" fontId="0" fillId="0" borderId="0" xfId="3" applyFont="1"/>
    <xf numFmtId="0" fontId="0" fillId="0" borderId="103" xfId="0" applyBorder="1" applyAlignment="1">
      <alignment horizontal="left" vertical="center" wrapText="1" indent="1"/>
    </xf>
    <xf numFmtId="0" fontId="0" fillId="0" borderId="13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4" fontId="1" fillId="2" borderId="2" xfId="4" applyNumberFormat="1" applyFont="1" applyFill="1" applyBorder="1"/>
    <xf numFmtId="6" fontId="1" fillId="0" borderId="2" xfId="0" applyNumberFormat="1" applyFont="1" applyFill="1" applyBorder="1"/>
    <xf numFmtId="9" fontId="1" fillId="2" borderId="2" xfId="3" applyFont="1" applyFill="1" applyBorder="1"/>
    <xf numFmtId="0" fontId="2" fillId="8" borderId="4" xfId="0" applyFont="1" applyFill="1" applyBorder="1" applyAlignment="1">
      <alignment horizontal="center" vertical="center" wrapText="1"/>
    </xf>
    <xf numFmtId="0" fontId="2" fillId="8" borderId="7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6" fontId="1" fillId="0" borderId="10" xfId="0" applyNumberFormat="1" applyFont="1" applyFill="1" applyBorder="1"/>
    <xf numFmtId="9" fontId="1" fillId="2" borderId="10" xfId="3" applyFont="1" applyFill="1" applyBorder="1"/>
    <xf numFmtId="0" fontId="1" fillId="6" borderId="2" xfId="0" applyFont="1" applyFill="1" applyBorder="1" applyAlignment="1">
      <alignment horizontal="left"/>
    </xf>
    <xf numFmtId="0" fontId="1" fillId="6" borderId="2" xfId="0" applyFont="1" applyFill="1" applyBorder="1" applyAlignment="1">
      <alignment horizontal="left" indent="1"/>
    </xf>
    <xf numFmtId="9" fontId="1" fillId="6" borderId="2" xfId="0" applyNumberFormat="1" applyFont="1" applyFill="1" applyBorder="1" applyAlignment="1">
      <alignment horizontal="center"/>
    </xf>
    <xf numFmtId="5" fontId="1" fillId="6" borderId="2" xfId="4" applyNumberFormat="1" applyFont="1" applyFill="1" applyBorder="1" applyAlignment="1">
      <alignment horizontal="center"/>
    </xf>
    <xf numFmtId="3" fontId="1" fillId="6" borderId="2" xfId="2" applyNumberFormat="1" applyFont="1" applyFill="1" applyBorder="1" applyAlignment="1">
      <alignment horizontal="center"/>
    </xf>
    <xf numFmtId="166" fontId="1" fillId="6" borderId="2" xfId="4" applyNumberFormat="1" applyFont="1" applyFill="1" applyBorder="1" applyAlignment="1">
      <alignment horizontal="center"/>
    </xf>
    <xf numFmtId="9" fontId="1" fillId="6" borderId="2" xfId="3" applyFont="1" applyFill="1" applyBorder="1" applyAlignment="1">
      <alignment horizontal="center"/>
    </xf>
    <xf numFmtId="0" fontId="1" fillId="42" borderId="2" xfId="0" applyFont="1" applyFill="1" applyBorder="1"/>
    <xf numFmtId="0" fontId="1" fillId="42" borderId="2" xfId="0" applyFont="1" applyFill="1" applyBorder="1" applyAlignment="1">
      <alignment horizontal="center"/>
    </xf>
    <xf numFmtId="5" fontId="1" fillId="42" borderId="2" xfId="0" applyNumberFormat="1" applyFont="1" applyFill="1" applyBorder="1" applyAlignment="1">
      <alignment horizontal="center"/>
    </xf>
    <xf numFmtId="9" fontId="1" fillId="42" borderId="2" xfId="3" applyFont="1" applyFill="1" applyBorder="1" applyAlignment="1">
      <alignment horizontal="center"/>
    </xf>
    <xf numFmtId="6" fontId="1" fillId="0" borderId="8" xfId="0" applyNumberFormat="1" applyFont="1" applyFill="1" applyBorder="1"/>
    <xf numFmtId="6" fontId="1" fillId="0" borderId="11" xfId="0" applyNumberFormat="1" applyFont="1" applyFill="1" applyBorder="1"/>
    <xf numFmtId="3" fontId="1" fillId="42" borderId="2" xfId="2" applyNumberFormat="1" applyFont="1" applyFill="1" applyBorder="1" applyAlignment="1">
      <alignment horizontal="center"/>
    </xf>
    <xf numFmtId="166" fontId="1" fillId="42" borderId="2" xfId="4" applyNumberFormat="1" applyFont="1" applyFill="1" applyBorder="1" applyAlignment="1">
      <alignment horizontal="center"/>
    </xf>
    <xf numFmtId="164" fontId="1" fillId="42" borderId="2" xfId="4" applyNumberFormat="1" applyFont="1" applyFill="1" applyBorder="1"/>
    <xf numFmtId="3" fontId="34" fillId="42" borderId="2" xfId="2" applyNumberFormat="1" applyFont="1" applyFill="1" applyBorder="1" applyAlignment="1">
      <alignment horizontal="center"/>
    </xf>
    <xf numFmtId="165" fontId="1" fillId="42" borderId="2" xfId="2" applyNumberFormat="1" applyFont="1" applyFill="1" applyBorder="1"/>
    <xf numFmtId="9" fontId="1" fillId="42" borderId="2" xfId="3" applyFont="1" applyFill="1" applyBorder="1"/>
    <xf numFmtId="9" fontId="1" fillId="42" borderId="2" xfId="3" applyFont="1" applyFill="1" applyBorder="1" applyAlignment="1">
      <alignment horizontal="left"/>
    </xf>
    <xf numFmtId="164" fontId="1" fillId="6" borderId="2" xfId="4" applyNumberFormat="1" applyFont="1" applyFill="1" applyBorder="1"/>
    <xf numFmtId="3" fontId="1" fillId="6" borderId="32" xfId="2" applyNumberFormat="1" applyFont="1" applyFill="1" applyBorder="1"/>
    <xf numFmtId="42" fontId="1" fillId="6" borderId="32" xfId="2" applyNumberFormat="1" applyFont="1" applyFill="1" applyBorder="1" applyAlignment="1">
      <alignment horizontal="left"/>
    </xf>
    <xf numFmtId="164" fontId="1" fillId="6" borderId="32" xfId="4" applyNumberFormat="1" applyFont="1" applyFill="1" applyBorder="1"/>
    <xf numFmtId="9" fontId="1" fillId="6" borderId="32" xfId="3" applyFont="1" applyFill="1" applyBorder="1"/>
    <xf numFmtId="9" fontId="1" fillId="6" borderId="32" xfId="3" applyFont="1" applyFill="1" applyBorder="1" applyAlignment="1">
      <alignment horizontal="left"/>
    </xf>
    <xf numFmtId="3" fontId="1" fillId="6" borderId="2" xfId="2" applyNumberFormat="1" applyFont="1" applyFill="1" applyBorder="1"/>
    <xf numFmtId="42" fontId="1" fillId="6" borderId="2" xfId="2" applyNumberFormat="1" applyFont="1" applyFill="1" applyBorder="1" applyAlignment="1">
      <alignment horizontal="left"/>
    </xf>
    <xf numFmtId="9" fontId="1" fillId="6" borderId="2" xfId="3" applyFont="1" applyFill="1" applyBorder="1"/>
    <xf numFmtId="9" fontId="1" fillId="6" borderId="2" xfId="3" applyFont="1" applyFill="1" applyBorder="1" applyAlignment="1">
      <alignment horizontal="left"/>
    </xf>
    <xf numFmtId="0" fontId="0" fillId="0" borderId="104" xfId="0" applyBorder="1" applyAlignment="1">
      <alignment horizontal="left" vertical="center" inden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0" fillId="0" borderId="32" xfId="0" applyBorder="1" applyAlignment="1">
      <alignment horizontal="left" vertical="center" indent="1"/>
    </xf>
    <xf numFmtId="9" fontId="0" fillId="0" borderId="48" xfId="3" applyFont="1" applyBorder="1" applyAlignment="1">
      <alignment horizontal="center" vertical="center"/>
    </xf>
    <xf numFmtId="9" fontId="0" fillId="0" borderId="20" xfId="3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166" fontId="0" fillId="0" borderId="41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9" fontId="0" fillId="0" borderId="42" xfId="3" applyFont="1" applyBorder="1" applyAlignment="1">
      <alignment horizontal="center" vertical="center"/>
    </xf>
    <xf numFmtId="0" fontId="42" fillId="0" borderId="47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174" fontId="42" fillId="0" borderId="48" xfId="0" applyNumberFormat="1" applyFont="1" applyBorder="1" applyAlignment="1">
      <alignment horizontal="center" vertical="center"/>
    </xf>
    <xf numFmtId="0" fontId="42" fillId="0" borderId="40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3" fontId="42" fillId="0" borderId="48" xfId="0" applyNumberFormat="1" applyFont="1" applyBorder="1" applyAlignment="1">
      <alignment horizontal="center" vertical="center"/>
    </xf>
    <xf numFmtId="3" fontId="42" fillId="0" borderId="0" xfId="0" applyNumberFormat="1" applyFont="1" applyAlignment="1">
      <alignment horizontal="center" vertical="center"/>
    </xf>
    <xf numFmtId="169" fontId="42" fillId="0" borderId="48" xfId="0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166" fontId="42" fillId="0" borderId="0" xfId="0" applyNumberFormat="1" applyFont="1" applyAlignment="1">
      <alignment horizontal="center" vertical="center"/>
    </xf>
    <xf numFmtId="3" fontId="0" fillId="43" borderId="0" xfId="0" applyNumberFormat="1" applyFill="1"/>
    <xf numFmtId="2" fontId="42" fillId="0" borderId="49" xfId="3" applyNumberFormat="1" applyFont="1" applyBorder="1" applyAlignment="1">
      <alignment horizontal="center" vertical="center"/>
    </xf>
    <xf numFmtId="2" fontId="42" fillId="0" borderId="66" xfId="3" applyNumberFormat="1" applyFont="1" applyBorder="1" applyAlignment="1">
      <alignment horizontal="center" vertical="center"/>
    </xf>
    <xf numFmtId="0" fontId="43" fillId="0" borderId="0" xfId="0" applyFont="1"/>
    <xf numFmtId="175" fontId="42" fillId="0" borderId="0" xfId="0" applyNumberFormat="1" applyFont="1" applyAlignment="1">
      <alignment horizontal="center" vertical="center"/>
    </xf>
    <xf numFmtId="0" fontId="44" fillId="0" borderId="41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175" fontId="41" fillId="0" borderId="42" xfId="0" applyNumberFormat="1" applyFont="1" applyBorder="1" applyAlignment="1">
      <alignment horizontal="center" vertical="center"/>
    </xf>
    <xf numFmtId="3" fontId="41" fillId="0" borderId="42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/>
    </xf>
    <xf numFmtId="169" fontId="41" fillId="0" borderId="42" xfId="0" applyNumberFormat="1" applyFont="1" applyBorder="1" applyAlignment="1">
      <alignment horizontal="center"/>
    </xf>
    <xf numFmtId="0" fontId="42" fillId="0" borderId="0" xfId="0" applyFont="1" applyBorder="1" applyAlignment="1">
      <alignment horizontal="left" vertical="center"/>
    </xf>
    <xf numFmtId="3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/>
    </xf>
    <xf numFmtId="166" fontId="42" fillId="0" borderId="0" xfId="0" applyNumberFormat="1" applyFont="1" applyBorder="1" applyAlignment="1">
      <alignment horizontal="center" vertical="center"/>
    </xf>
    <xf numFmtId="174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 vertical="center"/>
    </xf>
    <xf numFmtId="0" fontId="42" fillId="0" borderId="25" xfId="0" applyFont="1" applyBorder="1" applyAlignment="1">
      <alignment horizontal="left" vertical="center"/>
    </xf>
    <xf numFmtId="0" fontId="42" fillId="0" borderId="20" xfId="0" applyFont="1" applyBorder="1" applyAlignment="1">
      <alignment horizontal="left" vertical="center"/>
    </xf>
    <xf numFmtId="174" fontId="42" fillId="0" borderId="20" xfId="0" applyNumberFormat="1" applyFont="1" applyBorder="1" applyAlignment="1">
      <alignment horizontal="center" vertical="center"/>
    </xf>
    <xf numFmtId="3" fontId="42" fillId="0" borderId="20" xfId="0" applyNumberFormat="1" applyFont="1" applyBorder="1" applyAlignment="1">
      <alignment horizontal="center" vertical="center"/>
    </xf>
    <xf numFmtId="169" fontId="42" fillId="0" borderId="20" xfId="0" applyNumberFormat="1" applyFont="1" applyBorder="1" applyAlignment="1">
      <alignment horizontal="center" vertical="center"/>
    </xf>
    <xf numFmtId="171" fontId="42" fillId="0" borderId="20" xfId="3" applyNumberFormat="1" applyFont="1" applyBorder="1" applyAlignment="1">
      <alignment horizontal="center" vertical="center"/>
    </xf>
    <xf numFmtId="166" fontId="42" fillId="0" borderId="20" xfId="0" applyNumberFormat="1" applyFont="1" applyBorder="1" applyAlignment="1">
      <alignment horizontal="center" vertical="center"/>
    </xf>
    <xf numFmtId="2" fontId="42" fillId="0" borderId="27" xfId="3" applyNumberFormat="1" applyFont="1" applyBorder="1" applyAlignment="1">
      <alignment horizontal="center" vertical="center"/>
    </xf>
    <xf numFmtId="0" fontId="42" fillId="0" borderId="0" xfId="0" applyFont="1"/>
    <xf numFmtId="0" fontId="41" fillId="0" borderId="0" xfId="0" applyFont="1"/>
    <xf numFmtId="0" fontId="45" fillId="0" borderId="0" xfId="0" applyFont="1" applyFill="1" applyAlignment="1">
      <alignment horizontal="center"/>
    </xf>
    <xf numFmtId="0" fontId="42" fillId="0" borderId="70" xfId="0" applyFont="1" applyBorder="1" applyAlignment="1">
      <alignment horizontal="left" vertical="center" wrapText="1" indent="1"/>
    </xf>
    <xf numFmtId="0" fontId="42" fillId="0" borderId="70" xfId="0" applyFont="1" applyBorder="1" applyAlignment="1">
      <alignment horizontal="center" vertical="center"/>
    </xf>
    <xf numFmtId="0" fontId="42" fillId="0" borderId="70" xfId="0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42" fillId="0" borderId="78" xfId="0" applyFont="1" applyBorder="1" applyAlignment="1">
      <alignment horizontal="center" vertical="center" wrapText="1"/>
    </xf>
    <xf numFmtId="0" fontId="42" fillId="0" borderId="79" xfId="0" applyFont="1" applyBorder="1" applyAlignment="1">
      <alignment horizontal="center" vertical="center" wrapText="1"/>
    </xf>
    <xf numFmtId="9" fontId="42" fillId="0" borderId="84" xfId="3" applyFont="1" applyBorder="1" applyAlignment="1">
      <alignment horizontal="center" vertical="center"/>
    </xf>
    <xf numFmtId="170" fontId="41" fillId="48" borderId="89" xfId="0" applyNumberFormat="1" applyFont="1" applyFill="1" applyBorder="1" applyAlignment="1">
      <alignment horizontal="center" vertical="center"/>
    </xf>
    <xf numFmtId="166" fontId="41" fillId="48" borderId="90" xfId="0" applyNumberFormat="1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166" fontId="41" fillId="48" borderId="93" xfId="4" applyNumberFormat="1" applyFont="1" applyFill="1" applyBorder="1" applyAlignment="1">
      <alignment horizontal="center" vertical="center" wrapText="1"/>
    </xf>
    <xf numFmtId="166" fontId="41" fillId="48" borderId="89" xfId="0" applyNumberFormat="1" applyFont="1" applyFill="1" applyBorder="1" applyAlignment="1">
      <alignment horizontal="center" vertical="center"/>
    </xf>
    <xf numFmtId="166" fontId="41" fillId="48" borderId="91" xfId="4" applyNumberFormat="1" applyFont="1" applyFill="1" applyBorder="1" applyAlignment="1">
      <alignment horizontal="center" vertical="center" wrapText="1"/>
    </xf>
    <xf numFmtId="9" fontId="41" fillId="48" borderId="92" xfId="3" applyFont="1" applyFill="1" applyBorder="1" applyAlignment="1">
      <alignment horizontal="center" vertical="center"/>
    </xf>
    <xf numFmtId="170" fontId="41" fillId="48" borderId="90" xfId="0" applyNumberFormat="1" applyFont="1" applyFill="1" applyBorder="1" applyAlignment="1">
      <alignment horizontal="center" vertical="center"/>
    </xf>
    <xf numFmtId="166" fontId="46" fillId="48" borderId="93" xfId="4" quotePrefix="1" applyNumberFormat="1" applyFont="1" applyFill="1" applyBorder="1" applyAlignment="1">
      <alignment horizontal="center" vertical="center" wrapText="1"/>
    </xf>
    <xf numFmtId="0" fontId="47" fillId="0" borderId="71" xfId="0" applyFont="1" applyBorder="1" applyAlignment="1">
      <alignment horizontal="left" vertical="center" indent="1"/>
    </xf>
    <xf numFmtId="170" fontId="47" fillId="0" borderId="80" xfId="4" applyNumberFormat="1" applyFont="1" applyBorder="1" applyAlignment="1">
      <alignment horizontal="center" vertical="center"/>
    </xf>
    <xf numFmtId="166" fontId="47" fillId="0" borderId="81" xfId="4" applyNumberFormat="1" applyFont="1" applyBorder="1" applyAlignment="1">
      <alignment horizontal="center" vertical="center"/>
    </xf>
    <xf numFmtId="166" fontId="47" fillId="0" borderId="0" xfId="4" applyNumberFormat="1" applyFont="1" applyAlignment="1">
      <alignment horizontal="center" vertical="center"/>
    </xf>
    <xf numFmtId="170" fontId="47" fillId="0" borderId="82" xfId="4" applyNumberFormat="1" applyFont="1" applyBorder="1" applyAlignment="1">
      <alignment horizontal="center" vertical="center"/>
    </xf>
    <xf numFmtId="9" fontId="47" fillId="0" borderId="80" xfId="3" applyFont="1" applyBorder="1" applyAlignment="1">
      <alignment horizontal="center" vertical="center"/>
    </xf>
    <xf numFmtId="166" fontId="47" fillId="0" borderId="83" xfId="4" applyNumberFormat="1" applyFont="1" applyBorder="1" applyAlignment="1">
      <alignment horizontal="center" vertical="center"/>
    </xf>
    <xf numFmtId="0" fontId="47" fillId="0" borderId="0" xfId="0" applyFont="1"/>
    <xf numFmtId="170" fontId="47" fillId="0" borderId="83" xfId="4" applyNumberFormat="1" applyFont="1" applyBorder="1" applyAlignment="1">
      <alignment horizontal="center" vertical="center"/>
    </xf>
    <xf numFmtId="170" fontId="47" fillId="0" borderId="84" xfId="4" applyNumberFormat="1" applyFont="1" applyBorder="1" applyAlignment="1">
      <alignment horizontal="center" vertical="center"/>
    </xf>
    <xf numFmtId="166" fontId="47" fillId="0" borderId="85" xfId="4" applyNumberFormat="1" applyFont="1" applyBorder="1" applyAlignment="1">
      <alignment horizontal="center" vertical="center"/>
    </xf>
    <xf numFmtId="170" fontId="47" fillId="0" borderId="86" xfId="4" applyNumberFormat="1" applyFont="1" applyBorder="1" applyAlignment="1">
      <alignment horizontal="center" vertical="center"/>
    </xf>
    <xf numFmtId="9" fontId="47" fillId="0" borderId="84" xfId="3" applyFont="1" applyBorder="1" applyAlignment="1">
      <alignment horizontal="center" vertical="center"/>
    </xf>
    <xf numFmtId="166" fontId="47" fillId="0" borderId="87" xfId="4" applyNumberFormat="1" applyFont="1" applyBorder="1" applyAlignment="1">
      <alignment horizontal="center" vertical="center"/>
    </xf>
    <xf numFmtId="170" fontId="47" fillId="0" borderId="87" xfId="4" applyNumberFormat="1" applyFont="1" applyBorder="1" applyAlignment="1">
      <alignment horizontal="center" vertical="center"/>
    </xf>
    <xf numFmtId="0" fontId="41" fillId="48" borderId="88" xfId="0" applyFont="1" applyFill="1" applyBorder="1" applyAlignment="1">
      <alignment horizontal="left" vertical="center" wrapText="1" indent="1"/>
    </xf>
    <xf numFmtId="0" fontId="2" fillId="3" borderId="2" xfId="0" applyFont="1" applyFill="1" applyBorder="1" applyAlignment="1">
      <alignment horizontal="center" vertical="center" wrapText="1"/>
    </xf>
    <xf numFmtId="164" fontId="1" fillId="0" borderId="0" xfId="4" applyNumberFormat="1" applyFont="1" applyBorder="1"/>
    <xf numFmtId="5" fontId="1" fillId="2" borderId="2" xfId="4" applyNumberFormat="1" applyFont="1" applyFill="1" applyBorder="1" applyAlignment="1">
      <alignment horizontal="center"/>
    </xf>
    <xf numFmtId="166" fontId="0" fillId="43" borderId="0" xfId="4" applyNumberFormat="1" applyFont="1" applyFill="1" applyAlignment="1">
      <alignment horizontal="center"/>
    </xf>
    <xf numFmtId="3" fontId="1" fillId="0" borderId="0" xfId="0" applyNumberFormat="1" applyFont="1"/>
    <xf numFmtId="166" fontId="0" fillId="0" borderId="47" xfId="0" applyNumberFormat="1" applyBorder="1"/>
    <xf numFmtId="166" fontId="0" fillId="0" borderId="40" xfId="0" applyNumberFormat="1" applyBorder="1"/>
    <xf numFmtId="166" fontId="0" fillId="0" borderId="25" xfId="0" applyNumberFormat="1" applyBorder="1"/>
    <xf numFmtId="166" fontId="0" fillId="0" borderId="12" xfId="0" applyNumberFormat="1" applyBorder="1"/>
    <xf numFmtId="166" fontId="0" fillId="0" borderId="37" xfId="0" applyNumberFormat="1" applyBorder="1"/>
    <xf numFmtId="166" fontId="0" fillId="0" borderId="32" xfId="0" applyNumberFormat="1" applyBorder="1"/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horizont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41" fillId="0" borderId="73" xfId="0" applyFont="1" applyBorder="1" applyAlignment="1">
      <alignment horizontal="center" vertical="center" wrapText="1"/>
    </xf>
    <xf numFmtId="0" fontId="41" fillId="0" borderId="74" xfId="0" applyFont="1" applyBorder="1" applyAlignment="1">
      <alignment horizontal="center" vertical="center" wrapText="1"/>
    </xf>
    <xf numFmtId="0" fontId="45" fillId="47" borderId="67" xfId="0" applyFont="1" applyFill="1" applyBorder="1" applyAlignment="1">
      <alignment horizontal="center" vertical="center"/>
    </xf>
    <xf numFmtId="0" fontId="45" fillId="47" borderId="68" xfId="0" applyFont="1" applyFill="1" applyBorder="1" applyAlignment="1">
      <alignment horizontal="center" vertical="center"/>
    </xf>
    <xf numFmtId="0" fontId="45" fillId="47" borderId="69" xfId="0" applyFont="1" applyFill="1" applyBorder="1" applyAlignment="1">
      <alignment horizontal="center" vertical="center"/>
    </xf>
    <xf numFmtId="0" fontId="48" fillId="0" borderId="103" xfId="0" applyFont="1" applyBorder="1" applyAlignment="1">
      <alignment horizontal="left" vertical="center" wrapText="1"/>
    </xf>
    <xf numFmtId="0" fontId="48" fillId="0" borderId="105" xfId="0" applyFont="1" applyBorder="1" applyAlignment="1">
      <alignment horizontal="left" vertical="center" wrapText="1"/>
    </xf>
    <xf numFmtId="0" fontId="48" fillId="0" borderId="106" xfId="0" applyFont="1" applyBorder="1" applyAlignment="1">
      <alignment horizontal="left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4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6.xml"/><Relationship Id="rId47" Type="http://schemas.openxmlformats.org/officeDocument/2006/relationships/externalLink" Target="externalLinks/externalLink11.xml"/><Relationship Id="rId50" Type="http://schemas.openxmlformats.org/officeDocument/2006/relationships/externalLink" Target="externalLinks/externalLink14.xml"/><Relationship Id="rId55" Type="http://schemas.openxmlformats.org/officeDocument/2006/relationships/externalLink" Target="externalLinks/externalLink19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externalLink" Target="externalLinks/externalLink4.xml"/><Relationship Id="rId45" Type="http://schemas.openxmlformats.org/officeDocument/2006/relationships/externalLink" Target="externalLinks/externalLink9.xml"/><Relationship Id="rId53" Type="http://schemas.openxmlformats.org/officeDocument/2006/relationships/externalLink" Target="externalLinks/externalLink17.xml"/><Relationship Id="rId58" Type="http://schemas.openxmlformats.org/officeDocument/2006/relationships/externalLink" Target="externalLinks/externalLink22.xml"/><Relationship Id="rId66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7.xml"/><Relationship Id="rId48" Type="http://schemas.openxmlformats.org/officeDocument/2006/relationships/externalLink" Target="externalLinks/externalLink12.xml"/><Relationship Id="rId56" Type="http://schemas.openxmlformats.org/officeDocument/2006/relationships/externalLink" Target="externalLinks/externalLink20.xml"/><Relationship Id="rId64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2.xml"/><Relationship Id="rId46" Type="http://schemas.openxmlformats.org/officeDocument/2006/relationships/externalLink" Target="externalLinks/externalLink10.xml"/><Relationship Id="rId59" Type="http://schemas.openxmlformats.org/officeDocument/2006/relationships/externalLink" Target="externalLinks/externalLink23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5.xml"/><Relationship Id="rId54" Type="http://schemas.openxmlformats.org/officeDocument/2006/relationships/externalLink" Target="externalLinks/externalLink18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3.xml"/><Relationship Id="rId57" Type="http://schemas.openxmlformats.org/officeDocument/2006/relationships/externalLink" Target="externalLinks/externalLink2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8.xml"/><Relationship Id="rId52" Type="http://schemas.openxmlformats.org/officeDocument/2006/relationships/externalLink" Target="externalLinks/externalLink16.xml"/><Relationship Id="rId60" Type="http://schemas.openxmlformats.org/officeDocument/2006/relationships/externalLink" Target="externalLinks/externalLink24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47642852.399999999</c:v>
                </c:pt>
                <c:pt idx="1">
                  <c:v>43672614.700000003</c:v>
                </c:pt>
                <c:pt idx="2">
                  <c:v>39702377</c:v>
                </c:pt>
                <c:pt idx="3">
                  <c:v>35732139.299999997</c:v>
                </c:pt>
                <c:pt idx="4">
                  <c:v>31761901.600000001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213450965.49504656</c:v>
                </c:pt>
                <c:pt idx="1">
                  <c:v>204849185.54615188</c:v>
                </c:pt>
                <c:pt idx="2">
                  <c:v>195641074.52413151</c:v>
                </c:pt>
                <c:pt idx="3">
                  <c:v>185600061.71028784</c:v>
                </c:pt>
                <c:pt idx="4">
                  <c:v>171847214.96344179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47642852.399999999</c:v>
                </c:pt>
                <c:pt idx="1">
                  <c:v>43672614.700000003</c:v>
                </c:pt>
                <c:pt idx="2">
                  <c:v>39702377</c:v>
                </c:pt>
                <c:pt idx="3">
                  <c:v>35732139.299999997</c:v>
                </c:pt>
                <c:pt idx="4">
                  <c:v>31761901.600000001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2021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39702377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292109708.48154938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250000000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:$34M, Optimal channel spend is allowed to vary within </a:t>
            </a:r>
            <a:r>
              <a:rPr lang="en-US" sz="1000" baseline="0">
                <a:solidFill>
                  <a:srgbClr val="FF0000"/>
                </a:solidFill>
              </a:rPr>
              <a:t>custon constraints </a:t>
            </a:r>
            <a:endParaRPr lang="en-US" sz="10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8216994011141"/>
          <c:y val="0.13128744710201443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600000</c:v>
                </c:pt>
                <c:pt idx="2">
                  <c:v>1200000</c:v>
                </c:pt>
                <c:pt idx="3">
                  <c:v>1800000</c:v>
                </c:pt>
                <c:pt idx="4">
                  <c:v>2400000</c:v>
                </c:pt>
                <c:pt idx="5">
                  <c:v>3000000</c:v>
                </c:pt>
                <c:pt idx="6">
                  <c:v>3600000</c:v>
                </c:pt>
                <c:pt idx="7">
                  <c:v>4200000</c:v>
                </c:pt>
                <c:pt idx="8">
                  <c:v>4800000</c:v>
                </c:pt>
                <c:pt idx="9">
                  <c:v>5400000</c:v>
                </c:pt>
                <c:pt idx="10">
                  <c:v>6000000</c:v>
                </c:pt>
                <c:pt idx="11">
                  <c:v>6600000</c:v>
                </c:pt>
                <c:pt idx="12">
                  <c:v>7200000</c:v>
                </c:pt>
                <c:pt idx="13">
                  <c:v>7800000</c:v>
                </c:pt>
                <c:pt idx="14">
                  <c:v>8400000</c:v>
                </c:pt>
                <c:pt idx="15">
                  <c:v>9000000</c:v>
                </c:pt>
                <c:pt idx="16">
                  <c:v>9600000</c:v>
                </c:pt>
                <c:pt idx="17">
                  <c:v>10200000</c:v>
                </c:pt>
                <c:pt idx="18">
                  <c:v>10800000</c:v>
                </c:pt>
                <c:pt idx="19">
                  <c:v>11400000</c:v>
                </c:pt>
                <c:pt idx="20">
                  <c:v>12000000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42381.419556918554</c:v>
                </c:pt>
                <c:pt idx="2">
                  <c:v>81599.635803586803</c:v>
                </c:pt>
                <c:pt idx="3">
                  <c:v>117862.82305689622</c:v>
                </c:pt>
                <c:pt idx="4">
                  <c:v>151369.78704747837</c:v>
                </c:pt>
                <c:pt idx="5">
                  <c:v>182309.66785994079</c:v>
                </c:pt>
                <c:pt idx="6">
                  <c:v>210861.79804271925</c:v>
                </c:pt>
                <c:pt idx="7">
                  <c:v>237195.69055531267</c:v>
                </c:pt>
                <c:pt idx="8">
                  <c:v>261471.13370743673</c:v>
                </c:pt>
                <c:pt idx="9">
                  <c:v>283838.37274381984</c:v>
                </c:pt>
                <c:pt idx="10">
                  <c:v>304438.36016260181</c:v>
                </c:pt>
                <c:pt idx="11">
                  <c:v>323403.05916970689</c:v>
                </c:pt>
                <c:pt idx="12">
                  <c:v>340855.78682918753</c:v>
                </c:pt>
                <c:pt idx="13">
                  <c:v>356911.58544945624</c:v>
                </c:pt>
                <c:pt idx="14">
                  <c:v>371677.61253666226</c:v>
                </c:pt>
                <c:pt idx="15">
                  <c:v>385253.54124828521</c:v>
                </c:pt>
                <c:pt idx="16">
                  <c:v>397731.96469672117</c:v>
                </c:pt>
                <c:pt idx="17">
                  <c:v>409198.79869342316</c:v>
                </c:pt>
                <c:pt idx="18">
                  <c:v>419733.67860109825</c:v>
                </c:pt>
                <c:pt idx="19">
                  <c:v>429410.3468878204</c:v>
                </c:pt>
                <c:pt idx="20">
                  <c:v>438297.02876725886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4463181915067474E-3"/>
                  <c:y val="-3.411445899208166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9418750078362981E-2"/>
                  <c:y val="-4.824855745157164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0</c:v>
                </c:pt>
                <c:pt idx="1">
                  <c:v>15557.504463624209</c:v>
                </c:pt>
                <c:pt idx="2">
                  <c:v>30210.178954537958</c:v>
                </c:pt>
                <c:pt idx="3">
                  <c:v>44007.733169870451</c:v>
                </c:pt>
                <c:pt idx="4">
                  <c:v>56997.486703637987</c:v>
                </c:pt>
                <c:pt idx="5">
                  <c:v>69224.443148005754</c:v>
                </c:pt>
                <c:pt idx="6">
                  <c:v>80731.367248687893</c:v>
                </c:pt>
                <c:pt idx="7">
                  <c:v>91558.864192372188</c:v>
                </c:pt>
                <c:pt idx="8">
                  <c:v>101745.4602210708</c:v>
                </c:pt>
                <c:pt idx="9">
                  <c:v>111327.68387522176</c:v>
                </c:pt>
                <c:pt idx="10">
                  <c:v>120340.14726417325</c:v>
                </c:pt>
                <c:pt idx="11">
                  <c:v>128815.62685035542</c:v>
                </c:pt>
                <c:pt idx="12">
                  <c:v>136785.1433120314</c:v>
                </c:pt>
                <c:pt idx="13">
                  <c:v>144278.04012008384</c:v>
                </c:pt>
                <c:pt idx="14">
                  <c:v>151322.0605268646</c:v>
                </c:pt>
                <c:pt idx="15">
                  <c:v>157943.42272098549</c:v>
                </c:pt>
                <c:pt idx="16">
                  <c:v>164166.89295089245</c:v>
                </c:pt>
                <c:pt idx="17">
                  <c:v>170015.85646333545</c:v>
                </c:pt>
                <c:pt idx="18">
                  <c:v>175512.38614063896</c:v>
                </c:pt>
                <c:pt idx="19">
                  <c:v>180677.30875347368</c:v>
                </c:pt>
                <c:pt idx="20">
                  <c:v>185530.26877435111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VAC_Optim_Scenario!$D$49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VAC_Optim_Scenario!$F$49</c:f>
              <c:numCache>
                <c:formatCode>#,##0</c:formatCode>
                <c:ptCount val="1"/>
                <c:pt idx="0">
                  <c:v>22310.299479529262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VAC_Optim_Scenario!$H$49</c:f>
              <c:numCache>
                <c:formatCode>_("$"* #,##0_);_("$"* \(#,##0\);_("$"* "-"??_);_(@_)</c:formatCode>
                <c:ptCount val="1"/>
                <c:pt idx="0">
                  <c:v>1286234.2842082002</c:v>
                </c:pt>
              </c:numCache>
            </c:numRef>
          </c:xVal>
          <c:yVal>
            <c:numRef>
              <c:f>VAC_Optim_Scenario!$I$49</c:f>
              <c:numCache>
                <c:formatCode>#,##0</c:formatCode>
                <c:ptCount val="1"/>
                <c:pt idx="0">
                  <c:v>27200.110710306093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VAC_Optim_Scenario!$D$50</c:f>
              <c:numCache>
                <c:formatCode>_("$"* #,##0_);_("$"* \(#,##0\);_("$"* "-"??_);_(@_)</c:formatCode>
                <c:ptCount val="1"/>
                <c:pt idx="0">
                  <c:v>7775778</c:v>
                </c:pt>
              </c:numCache>
            </c:numRef>
          </c:xVal>
          <c:yVal>
            <c:numRef>
              <c:f>VAC_Optim_Scenario!$F$50</c:f>
              <c:numCache>
                <c:formatCode>#,##0</c:formatCode>
                <c:ptCount val="1"/>
                <c:pt idx="0">
                  <c:v>356289.09054759797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VAC_Optim_Scenario!$H$50</c:f>
              <c:numCache>
                <c:formatCode>_("$"* #,##0_);_("$"* \(#,##0\);_("$"* "-"??_);_(@_)</c:formatCode>
                <c:ptCount val="1"/>
                <c:pt idx="0">
                  <c:v>11106528.099963542</c:v>
                </c:pt>
              </c:numCache>
            </c:numRef>
          </c:xVal>
          <c:yVal>
            <c:numRef>
              <c:f>VAC_Optim_Scenario!$I$50</c:f>
              <c:numCache>
                <c:formatCode>#,##0</c:formatCode>
                <c:ptCount val="1"/>
                <c:pt idx="0">
                  <c:v>424780.10427694675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VAC_Optim_Scenario!$D$57</c:f>
              <c:numCache>
                <c:formatCode>_("$"* #,##0_);_("$"* \(#,##0\);_("$"* "-"??_);_(@_)</c:formatCode>
                <c:ptCount val="1"/>
                <c:pt idx="0">
                  <c:v>16888801</c:v>
                </c:pt>
              </c:numCache>
            </c:numRef>
          </c:xVal>
          <c:yVal>
            <c:numRef>
              <c:f>VAC_Optim_Scenario!$F$57</c:f>
              <c:numCache>
                <c:formatCode>#,##0</c:formatCode>
                <c:ptCount val="1"/>
                <c:pt idx="0">
                  <c:v>296690.17284619244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VAC_Optim_Scenario!$H$57</c:f>
              <c:numCache>
                <c:formatCode>_("$"* #,##0_);_("$"* \(#,##0\);_("$"* "-"??_);_(@_)</c:formatCode>
                <c:ptCount val="1"/>
                <c:pt idx="0">
                  <c:v>16888801</c:v>
                </c:pt>
              </c:numCache>
            </c:numRef>
          </c:xVal>
          <c:yVal>
            <c:numRef>
              <c:f>VAC_Optim_Scenario!$I$57</c:f>
              <c:numCache>
                <c:formatCode>#,##0</c:formatCode>
                <c:ptCount val="1"/>
                <c:pt idx="0">
                  <c:v>296690.17284619244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VAC_Optim_Scenario!$D$55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VAC_Optim_Scenario!$F$55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VAC_Optim_Scenario!$H$55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VAC_Optim_Scenario!$I$55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VAC_Optim_Scenario!$D$56</c:f>
              <c:numCache>
                <c:formatCode>_("$"* #,##0_);_("$"* \(#,##0\);_("$"* "-"??_);_(@_)</c:formatCode>
                <c:ptCount val="1"/>
                <c:pt idx="0">
                  <c:v>2220000</c:v>
                </c:pt>
              </c:numCache>
            </c:numRef>
          </c:xVal>
          <c:yVal>
            <c:numRef>
              <c:f>VAC_Optim_Scenario!$F$56</c:f>
              <c:numCache>
                <c:formatCode>#,##0</c:formatCode>
                <c:ptCount val="1"/>
                <c:pt idx="0">
                  <c:v>91610.125423352103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VAC_Optim_Scenario!$H$56</c:f>
              <c:numCache>
                <c:formatCode>_("$"* #,##0_);_("$"* \(#,##0\);_("$"* "-"??_);_(@_)</c:formatCode>
                <c:ptCount val="1"/>
                <c:pt idx="0">
                  <c:v>4800000</c:v>
                </c:pt>
              </c:numCache>
            </c:numRef>
          </c:xVal>
          <c:yVal>
            <c:numRef>
              <c:f>VAC_Optim_Scenario!$I$56</c:f>
              <c:numCache>
                <c:formatCode>#,##0</c:formatCode>
                <c:ptCount val="1"/>
                <c:pt idx="0">
                  <c:v>145504.50354692468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VAC_Optim_Scenario!$D$52</c:f>
              <c:numCache>
                <c:formatCode>_("$"* #,##0_);_("$"* \(#,##0\);_("$"* "-"??_);_(@_)</c:formatCode>
                <c:ptCount val="1"/>
                <c:pt idx="0">
                  <c:v>1220000</c:v>
                </c:pt>
              </c:numCache>
            </c:numRef>
          </c:xVal>
          <c:yVal>
            <c:numRef>
              <c:f>VAC_Optim_Scenario!$F$52</c:f>
              <c:numCache>
                <c:formatCode>#,##0</c:formatCode>
                <c:ptCount val="1"/>
                <c:pt idx="0">
                  <c:v>15022.779470646754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VAC_Optim_Scenario!$H$52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VAC_Optim_Scenario!$I$52</c:f>
              <c:numCache>
                <c:formatCode>#,##0</c:formatCode>
                <c:ptCount val="1"/>
                <c:pt idx="0">
                  <c:v>14861.613123927265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VAC_Optim_Scenario!$D$54</c:f>
              <c:numCache>
                <c:formatCode>_("$"* #,##0_);_("$"* \(#,##0\);_("$"* "-"??_);_(@_)</c:formatCode>
                <c:ptCount val="1"/>
                <c:pt idx="0">
                  <c:v>3540000</c:v>
                </c:pt>
              </c:numCache>
            </c:numRef>
          </c:xVal>
          <c:yVal>
            <c:numRef>
              <c:f>VAC_Optim_Scenario!$F$54</c:f>
              <c:numCache>
                <c:formatCode>#,##0</c:formatCode>
                <c:ptCount val="1"/>
                <c:pt idx="0">
                  <c:v>173899.1701768022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VAC_Optim_Scenario!$H$54</c:f>
              <c:numCache>
                <c:formatCode>_("$"* #,##0_);_("$"* \(#,##0\);_("$"* "-"??_);_(@_)</c:formatCode>
                <c:ptCount val="1"/>
                <c:pt idx="0">
                  <c:v>5208923.3353606053</c:v>
                </c:pt>
              </c:numCache>
            </c:numRef>
          </c:xVal>
          <c:yVal>
            <c:numRef>
              <c:f>VAC_Optim_Scenario!$I$54</c:f>
              <c:numCache>
                <c:formatCode>#,##0</c:formatCode>
                <c:ptCount val="1"/>
                <c:pt idx="0">
                  <c:v>209206.85139871389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9.7533758792331615E-2"/>
                  <c:y val="-8.4105830576903066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1840000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70487.367019183061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4473746.1544590266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120122.23311977911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VAC_Optim_Scenario!$E$23</c:f>
              <c:numCache>
                <c:formatCode>"$"#,##0</c:formatCode>
                <c:ptCount val="1"/>
                <c:pt idx="0">
                  <c:v>4817798</c:v>
                </c:pt>
              </c:numCache>
            </c:numRef>
          </c:xVal>
          <c:yVal>
            <c:numRef>
              <c:f>VAC_Optim_Scenario!$F$23</c:f>
              <c:numCache>
                <c:formatCode>#,##0</c:formatCode>
                <c:ptCount val="1"/>
                <c:pt idx="0">
                  <c:v>121516.7124715425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VAC_Optim_Scenario!$I$23</c:f>
              <c:numCache>
                <c:formatCode>"$"#,##0</c:formatCode>
                <c:ptCount val="1"/>
                <c:pt idx="0">
                  <c:v>6538144.1197205177</c:v>
                </c:pt>
              </c:numCache>
            </c:numRef>
          </c:xVal>
          <c:yVal>
            <c:numRef>
              <c:f>VAC_Optim_Scenario!$J$23</c:f>
              <c:numCache>
                <c:formatCode>#,##0</c:formatCode>
                <c:ptCount val="1"/>
                <c:pt idx="0">
                  <c:v>150473.54176430192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65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1.2862342842082002</c:v>
                </c:pt>
                <c:pt idx="1">
                  <c:v>1.2862342842082002</c:v>
                </c:pt>
                <c:pt idx="2">
                  <c:v>1.2862342842082002</c:v>
                </c:pt>
                <c:pt idx="3">
                  <c:v>1.2862342842082002</c:v>
                </c:pt>
                <c:pt idx="4">
                  <c:v>1.2862342842082002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11.106528099963542</c:v>
                </c:pt>
                <c:pt idx="1">
                  <c:v>11.106528099963542</c:v>
                </c:pt>
                <c:pt idx="2">
                  <c:v>11.106528099963542</c:v>
                </c:pt>
                <c:pt idx="3">
                  <c:v>11.106528099963542</c:v>
                </c:pt>
                <c:pt idx="4">
                  <c:v>11.106528099963542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4.4737461544590262</c:v>
                </c:pt>
                <c:pt idx="1">
                  <c:v>4.4737461544590262</c:v>
                </c:pt>
                <c:pt idx="2">
                  <c:v>4.4737461544590262</c:v>
                </c:pt>
                <c:pt idx="3">
                  <c:v>4.4737461544590262</c:v>
                </c:pt>
                <c:pt idx="4">
                  <c:v>4.4737461544590262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6.5381441197205179</c:v>
                </c:pt>
                <c:pt idx="1">
                  <c:v>6.5381441197205179</c:v>
                </c:pt>
                <c:pt idx="2">
                  <c:v>6.5381441197205179</c:v>
                </c:pt>
                <c:pt idx="3">
                  <c:v>6.5381441197205179</c:v>
                </c:pt>
                <c:pt idx="4">
                  <c:v>6.5381441197205179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5.2089233353606055</c:v>
                </c:pt>
                <c:pt idx="1">
                  <c:v>5.2089233353606055</c:v>
                </c:pt>
                <c:pt idx="2">
                  <c:v>5.2089233353606055</c:v>
                </c:pt>
                <c:pt idx="3">
                  <c:v>5.2089233353606055</c:v>
                </c:pt>
                <c:pt idx="4">
                  <c:v>5.2089233353606055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4.8</c:v>
                </c:pt>
                <c:pt idx="1">
                  <c:v>4.8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adol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ROI'!$F$26</c:f>
              <c:strCache>
                <c:ptCount val="1"/>
                <c:pt idx="0">
                  <c:v>2023 adol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ROI'!$E$27:$E$35</c:f>
              <c:strCache>
                <c:ptCount val="9"/>
                <c:pt idx="0">
                  <c:v>HCC TV</c:v>
                </c:pt>
                <c:pt idx="1">
                  <c:v>HCC In Office</c:v>
                </c:pt>
                <c:pt idx="2">
                  <c:v>HCC Streaming Video</c:v>
                </c:pt>
                <c:pt idx="3">
                  <c:v>HCC Social</c:v>
                </c:pt>
                <c:pt idx="4">
                  <c:v>HCC Online Video</c:v>
                </c:pt>
                <c:pt idx="5">
                  <c:v>HCC Audio</c:v>
                </c:pt>
                <c:pt idx="6">
                  <c:v>HCP MCM</c:v>
                </c:pt>
                <c:pt idx="7">
                  <c:v>HCC Display</c:v>
                </c:pt>
                <c:pt idx="8">
                  <c:v>HCC Paid Search</c:v>
                </c:pt>
              </c:strCache>
            </c:strRef>
          </c:cat>
          <c:val>
            <c:numRef>
              <c:f>'Contribution, promo eff, ROI'!$F$27:$F$35</c:f>
              <c:numCache>
                <c:formatCode>"$"#,##0</c:formatCode>
                <c:ptCount val="9"/>
                <c:pt idx="0">
                  <c:v>56.924032360031511</c:v>
                </c:pt>
                <c:pt idx="1">
                  <c:v>44.822347674783416</c:v>
                </c:pt>
                <c:pt idx="2">
                  <c:v>39.647204915358948</c:v>
                </c:pt>
                <c:pt idx="3">
                  <c:v>26.103968382011573</c:v>
                </c:pt>
                <c:pt idx="4">
                  <c:v>81.210005271246729</c:v>
                </c:pt>
                <c:pt idx="5">
                  <c:v>24.233129140920326</c:v>
                </c:pt>
                <c:pt idx="6">
                  <c:v>21.824350524033811</c:v>
                </c:pt>
                <c:pt idx="7">
                  <c:v>20.356623878083514</c:v>
                </c:pt>
                <c:pt idx="8">
                  <c:v>2.7578911836232054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adt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006930828439083E-2"/>
          <c:y val="0.18495897215937085"/>
          <c:w val="0.94752673244418006"/>
          <c:h val="0.651627745187138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ROI'!$F$46</c:f>
              <c:strCache>
                <c:ptCount val="1"/>
                <c:pt idx="0">
                  <c:v>2022 adt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ROI'!$E$47:$E$56</c:f>
              <c:strCache>
                <c:ptCount val="10"/>
                <c:pt idx="0">
                  <c:v>HCC InOffice</c:v>
                </c:pt>
                <c:pt idx="1">
                  <c:v>HCC Linear TV</c:v>
                </c:pt>
                <c:pt idx="2">
                  <c:v>HCC Streaming Video</c:v>
                </c:pt>
                <c:pt idx="3">
                  <c:v>HCC Pharmacy</c:v>
                </c:pt>
                <c:pt idx="4">
                  <c:v>HCC Social</c:v>
                </c:pt>
                <c:pt idx="5">
                  <c:v>HCC Online Video</c:v>
                </c:pt>
                <c:pt idx="6">
                  <c:v>HCC Display</c:v>
                </c:pt>
                <c:pt idx="7">
                  <c:v>HCP MCM</c:v>
                </c:pt>
                <c:pt idx="8">
                  <c:v>HCC Radio</c:v>
                </c:pt>
                <c:pt idx="9">
                  <c:v>HCC Paid Search</c:v>
                </c:pt>
              </c:strCache>
            </c:strRef>
          </c:cat>
          <c:val>
            <c:numRef>
              <c:f>'Contribution, promo eff, ROI'!$F$47:$F$56</c:f>
              <c:numCache>
                <c:formatCode>"$"#,##0</c:formatCode>
                <c:ptCount val="10"/>
                <c:pt idx="0">
                  <c:v>148.31584469639799</c:v>
                </c:pt>
                <c:pt idx="1">
                  <c:v>157.11001622596055</c:v>
                </c:pt>
                <c:pt idx="2">
                  <c:v>122.84276777540508</c:v>
                </c:pt>
                <c:pt idx="3">
                  <c:v>142.77868187352351</c:v>
                </c:pt>
                <c:pt idx="4">
                  <c:v>80.536294708145277</c:v>
                </c:pt>
                <c:pt idx="5">
                  <c:v>57.011933200722879</c:v>
                </c:pt>
                <c:pt idx="6">
                  <c:v>42.993860984546004</c:v>
                </c:pt>
                <c:pt idx="7">
                  <c:v>41.438268268892379</c:v>
                </c:pt>
                <c:pt idx="8">
                  <c:v>46.487735431938745</c:v>
                </c:pt>
                <c:pt idx="9">
                  <c:v>2.5147277110902859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0A-4495-B849-E4796E677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summary_23_dz'!$G$5</c:f>
              <c:strCache>
                <c:ptCount val="1"/>
                <c:pt idx="0">
                  <c:v>-50% / +200%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8481999866542113E-2"/>
                  <c:y val="5.560365123098511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2E-4325-B514-FDF7676087BC}"/>
                </c:ext>
              </c:extLst>
            </c:dLbl>
            <c:dLbl>
              <c:idx val="1"/>
              <c:layout>
                <c:manualLayout>
                  <c:x val="-0.10728707854352974"/>
                  <c:y val="-5.257831530051549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2E-4325-B514-FDF7676087BC}"/>
                </c:ext>
              </c:extLst>
            </c:dLbl>
            <c:dLbl>
              <c:idx val="2"/>
              <c:layout>
                <c:manualLayout>
                  <c:x val="-2.7922032786155966E-2"/>
                  <c:y val="4.19399728675123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2E-4325-B514-FDF7676087BC}"/>
                </c:ext>
              </c:extLst>
            </c:dLbl>
            <c:dLbl>
              <c:idx val="3"/>
              <c:layout>
                <c:manualLayout>
                  <c:x val="-7.4224136972285248E-2"/>
                  <c:y val="-3.566803261492849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2E-4325-B514-FDF7676087BC}"/>
                </c:ext>
              </c:extLst>
            </c:dLbl>
            <c:dLbl>
              <c:idx val="4"/>
              <c:layout>
                <c:manualLayout>
                  <c:x val="9.903687886471689E-3"/>
                  <c:y val="1.907991962816370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2E-4325-B514-FDF7676087BC}"/>
                </c:ext>
              </c:extLst>
            </c:dLbl>
            <c:dLbl>
              <c:idx val="6"/>
              <c:layout>
                <c:manualLayout>
                  <c:x val="-8.5994984207482569E-2"/>
                  <c:y val="-4.240663300746376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2E-4325-B514-FDF7676087BC}"/>
                </c:ext>
              </c:extLst>
            </c:dLbl>
            <c:dLbl>
              <c:idx val="7"/>
              <c:layout>
                <c:manualLayout>
                  <c:x val="-8.4229447484318709E-2"/>
                  <c:y val="-3.35256383360606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217216080</c:v>
                </c:pt>
                <c:pt idx="1">
                  <c:v>162912060</c:v>
                </c:pt>
                <c:pt idx="2">
                  <c:v>108608040</c:v>
                </c:pt>
              </c:numCache>
            </c:numRef>
          </c:xVal>
          <c:yVal>
            <c:numRef>
              <c:f>'Scenario summary_23_dz'!$G$6:$G$8</c:f>
              <c:numCache>
                <c:formatCode>_("$"* #,##0_);_("$"* \(#,##0\);_("$"* "-"??_);_(@_)</c:formatCode>
                <c:ptCount val="3"/>
                <c:pt idx="0">
                  <c:v>625597145.90766454</c:v>
                </c:pt>
                <c:pt idx="1">
                  <c:v>561074819.48566592</c:v>
                </c:pt>
                <c:pt idx="2">
                  <c:v>515884427.71904558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2E-4325-B514-FDF7676087BC}"/>
            </c:ext>
          </c:extLst>
        </c:ser>
        <c:ser>
          <c:idx val="1"/>
          <c:order val="1"/>
          <c:tx>
            <c:strRef>
              <c:f>'Scenario summary_23_dz'!$H$5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02E-4325-B514-FDF7676087BC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217216080</c:v>
                </c:pt>
                <c:pt idx="1">
                  <c:v>162912060</c:v>
                </c:pt>
                <c:pt idx="2">
                  <c:v>108608040</c:v>
                </c:pt>
              </c:numCache>
            </c:numRef>
          </c:xVal>
          <c:yVal>
            <c:numRef>
              <c:f>'Scenario summary_23_dz'!$H$6:$H$8</c:f>
              <c:numCache>
                <c:formatCode>_("$"* #,##0_);_("$"* \(#,##0\);_("$"* "-"??_);_(@_)</c:formatCode>
                <c:ptCount val="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02E-4325-B514-FDF7676087BC}"/>
            </c:ext>
          </c:extLst>
        </c:ser>
        <c:ser>
          <c:idx val="2"/>
          <c:order val="2"/>
          <c:tx>
            <c:strRef>
              <c:f>'Scenario summary_23_dz'!$F$5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summary_23_dz'!$C$8</c:f>
              <c:numCache>
                <c:formatCode>_("$"* #,##0_);_("$"* \(#,##0\);_("$"* "-"??_);_(@_)</c:formatCode>
                <c:ptCount val="1"/>
                <c:pt idx="0">
                  <c:v>108608040</c:v>
                </c:pt>
              </c:numCache>
            </c:numRef>
          </c:xVal>
          <c:yVal>
            <c:numRef>
              <c:f>'Scenario summary_23_dz'!$F$8</c:f>
              <c:numCache>
                <c:formatCode>_("$"* #,##0_);_("$"* \(#,##0\);_("$"* "-"??_);_(@_)</c:formatCode>
                <c:ptCount val="1"/>
                <c:pt idx="0">
                  <c:v>508783330.62983131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02E-4325-B514-FDF767608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220000000.00000003"/>
          <c:min val="7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750000000"/>
          <c:min val="38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106679</xdr:colOff>
      <xdr:row>5</xdr:row>
      <xdr:rowOff>104775</xdr:rowOff>
    </xdr:from>
    <xdr:to>
      <xdr:col>18</xdr:col>
      <xdr:colOff>561975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486834</xdr:colOff>
      <xdr:row>24</xdr:row>
      <xdr:rowOff>82549</xdr:rowOff>
    </xdr:from>
    <xdr:to>
      <xdr:col>14</xdr:col>
      <xdr:colOff>181117</xdr:colOff>
      <xdr:row>39</xdr:row>
      <xdr:rowOff>124883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45</xdr:row>
      <xdr:rowOff>0</xdr:rowOff>
    </xdr:from>
    <xdr:to>
      <xdr:col>14</xdr:col>
      <xdr:colOff>329283</xdr:colOff>
      <xdr:row>60</xdr:row>
      <xdr:rowOff>42334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F6011C-F32A-4C36-9CDC-D9CDD70A6B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274320</xdr:colOff>
      <xdr:row>8</xdr:row>
      <xdr:rowOff>76200</xdr:rowOff>
    </xdr:from>
    <xdr:to>
      <xdr:col>18</xdr:col>
      <xdr:colOff>523875</xdr:colOff>
      <xdr:row>26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640C77-F4A7-45A0-88E3-7EBCC864B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Optimize/Custom_2/GARD_ADOL_2024_Spend_Alloc_Custom_v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Optimize/Custom_2/GARDADULT_2024_Spend_Alloc_custom2_v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_dz_v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Spend_Alloc_BASE%20v1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Optimize/GARD_ADULT_2024_dz_50_200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OY Curve comparison"/>
      <sheetName val="Scenario summary"/>
      <sheetName val="Chart - Combined"/>
      <sheetName val="Scenario deep dive_2023"/>
      <sheetName val="Senstivity"/>
      <sheetName val="Sensitivity - Template"/>
      <sheetName val="Contribution, promo eff, ROI"/>
      <sheetName val="Scenario deep dive"/>
      <sheetName val="Current Constraints"/>
      <sheetName val="VAC_Optim_Scenario"/>
      <sheetName val="GINOFF"/>
      <sheetName val="GMCM"/>
      <sheetName val="GSOC"/>
      <sheetName val="GOLV"/>
      <sheetName val="GSTRV"/>
      <sheetName val="GDISP"/>
      <sheetName val="GSEARCH"/>
      <sheetName val="GRADIO"/>
      <sheetName val="GTV"/>
      <sheetName val="GPRNT"/>
      <sheetName val="Fn.Templates ==&gt;"/>
      <sheetName val="FT_SCurveEst"/>
      <sheetName val="FT_Equation"/>
      <sheetName val="FT_SCurve3Est"/>
      <sheetName val="FT_Interpo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7">
          <cell r="F7">
            <v>1000000</v>
          </cell>
          <cell r="J7">
            <v>1172914.3259099026</v>
          </cell>
          <cell r="N7">
            <v>1654588.7123287965</v>
          </cell>
        </row>
        <row r="8">
          <cell r="F8">
            <v>8003662.6738821417</v>
          </cell>
          <cell r="J8">
            <v>10781079.800402544</v>
          </cell>
          <cell r="N8">
            <v>12000000</v>
          </cell>
        </row>
        <row r="9">
          <cell r="F9">
            <v>1599500</v>
          </cell>
          <cell r="J9">
            <v>3987918.0972265243</v>
          </cell>
          <cell r="N9">
            <v>6500000</v>
          </cell>
        </row>
        <row r="10">
          <cell r="F10">
            <v>1000000</v>
          </cell>
          <cell r="J10">
            <v>1000000</v>
          </cell>
          <cell r="N10">
            <v>999999.99999999988</v>
          </cell>
        </row>
        <row r="11">
          <cell r="F11">
            <v>4817798</v>
          </cell>
          <cell r="J11">
            <v>5609041.4509816822</v>
          </cell>
          <cell r="N11">
            <v>10772356.891532868</v>
          </cell>
        </row>
        <row r="12">
          <cell r="F12">
            <v>3811839.4251255072</v>
          </cell>
          <cell r="J12">
            <v>5062622.3862681137</v>
          </cell>
          <cell r="N12">
            <v>5686630.4364398532</v>
          </cell>
        </row>
        <row r="13">
          <cell r="F13">
            <v>400000</v>
          </cell>
          <cell r="J13">
            <v>400000</v>
          </cell>
          <cell r="N13">
            <v>400000</v>
          </cell>
        </row>
        <row r="14">
          <cell r="F14">
            <v>2180775.9009923507</v>
          </cell>
          <cell r="J14">
            <v>4800000</v>
          </cell>
          <cell r="N14">
            <v>4800000</v>
          </cell>
        </row>
        <row r="15">
          <cell r="F15">
            <v>16888801</v>
          </cell>
          <cell r="J15">
            <v>16888801</v>
          </cell>
          <cell r="N15">
            <v>16888801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Scenario summary_incr_doses"/>
      <sheetName val="Chart - Combined"/>
      <sheetName val="Sensitivity"/>
      <sheetName val="Contribution, promo eff, ROI"/>
      <sheetName val="Scenario deep dive"/>
      <sheetName val="doses_contrib"/>
      <sheetName val="VAC_Optim_Scenario"/>
      <sheetName val="Current Constraints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F7">
            <v>900000</v>
          </cell>
          <cell r="J7">
            <v>900000</v>
          </cell>
          <cell r="N7">
            <v>1026598.0761272227</v>
          </cell>
        </row>
        <row r="8">
          <cell r="F8">
            <v>20332726.78651882</v>
          </cell>
          <cell r="J8">
            <v>21000000</v>
          </cell>
          <cell r="N8">
            <v>21000000</v>
          </cell>
        </row>
        <row r="9">
          <cell r="F9">
            <v>1800000</v>
          </cell>
          <cell r="J9">
            <v>4586515.2321627252</v>
          </cell>
          <cell r="N9">
            <v>6733228.4705905961</v>
          </cell>
        </row>
        <row r="10">
          <cell r="F10">
            <v>1103611.8378162181</v>
          </cell>
          <cell r="J10">
            <v>2538608.3579298854</v>
          </cell>
          <cell r="N10">
            <v>2784148.583448194</v>
          </cell>
        </row>
        <row r="11">
          <cell r="F11">
            <v>8306901</v>
          </cell>
          <cell r="J11">
            <v>11191328.353730984</v>
          </cell>
          <cell r="N11">
            <v>18672476.905886736</v>
          </cell>
        </row>
        <row r="12">
          <cell r="F12">
            <v>4273086.2126840986</v>
          </cell>
          <cell r="J12">
            <v>5000000</v>
          </cell>
          <cell r="N12">
            <v>5000000</v>
          </cell>
        </row>
        <row r="13">
          <cell r="F13">
            <v>200000</v>
          </cell>
          <cell r="J13">
            <v>200000</v>
          </cell>
          <cell r="N13">
            <v>200000</v>
          </cell>
        </row>
        <row r="14">
          <cell r="F14">
            <v>700126.17650413048</v>
          </cell>
          <cell r="J14">
            <v>2200000</v>
          </cell>
          <cell r="N14">
            <v>2200000</v>
          </cell>
        </row>
        <row r="15">
          <cell r="F15">
            <v>28089211</v>
          </cell>
          <cell r="J15">
            <v>28089211</v>
          </cell>
          <cell r="N15">
            <v>28089211</v>
          </cell>
        </row>
        <row r="16">
          <cell r="F16">
            <v>3200000</v>
          </cell>
          <cell r="J16">
            <v>3200000</v>
          </cell>
          <cell r="N16">
            <v>3200000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  <sheetName val="GINOFF_adt"/>
      <sheetName val="GMCM_adt"/>
      <sheetName val="GSOCIAL_adt"/>
      <sheetName val="GOLV_adt"/>
      <sheetName val="GSTRTV_adt"/>
      <sheetName val="GDISP_adt"/>
      <sheetName val="GPDSRCH_adt"/>
      <sheetName val="GLINEARTV_ad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1.5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Chart - Combined"/>
      <sheetName val="Sensitivity"/>
      <sheetName val="Contribution, promo eff, ROI"/>
      <sheetName val="Scenario deep dive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24">
          <cell r="D24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2</v>
          </cell>
        </row>
        <row r="26">
          <cell r="D26">
            <v>1</v>
          </cell>
        </row>
        <row r="33">
          <cell r="D33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63"/>
  <sheetViews>
    <sheetView workbookViewId="0">
      <selection activeCell="C8" sqref="C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5.28515625" style="97" customWidth="1"/>
    <col min="6" max="6" width="13.7109375" style="97" bestFit="1" customWidth="1"/>
    <col min="7" max="7" width="18.85546875" style="97" customWidth="1"/>
    <col min="8" max="8" width="17.85546875" style="97" customWidth="1"/>
    <col min="9" max="9" width="13.7109375" style="97" customWidth="1"/>
    <col min="10" max="10" width="14.28515625" style="97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535" t="s">
        <v>201</v>
      </c>
      <c r="H4" s="535"/>
      <c r="I4" s="536" t="s">
        <v>202</v>
      </c>
      <c r="J4" s="536"/>
      <c r="K4" s="537" t="s">
        <v>203</v>
      </c>
      <c r="L4" s="537"/>
    </row>
    <row r="5" spans="2:13" ht="38.65" customHeight="1" x14ac:dyDescent="0.25">
      <c r="B5" s="183"/>
      <c r="C5" s="258" t="s">
        <v>204</v>
      </c>
      <c r="D5" s="258" t="s">
        <v>205</v>
      </c>
      <c r="E5" s="167" t="s">
        <v>206</v>
      </c>
      <c r="F5" s="258" t="s">
        <v>253</v>
      </c>
      <c r="G5" s="275" t="s">
        <v>248</v>
      </c>
      <c r="H5" s="275"/>
      <c r="I5" s="275" t="s">
        <v>248</v>
      </c>
      <c r="J5" s="275"/>
      <c r="K5" s="275" t="s">
        <v>248</v>
      </c>
      <c r="L5" s="275"/>
      <c r="M5" s="276"/>
    </row>
    <row r="6" spans="2:13" x14ac:dyDescent="0.25">
      <c r="C6" s="169">
        <f>$C$8+E6</f>
        <v>47642852.399999999</v>
      </c>
      <c r="D6" s="170">
        <v>0.2</v>
      </c>
      <c r="E6" s="171">
        <f>D6*$C$8</f>
        <v>7940475.4000000004</v>
      </c>
      <c r="F6" s="169"/>
      <c r="G6" s="169">
        <f>'Scenario deep dive'!X16</f>
        <v>213450965.49504656</v>
      </c>
      <c r="H6" s="169"/>
      <c r="I6" s="169">
        <f t="shared" ref="I6:J10" si="0">G6-$F$8</f>
        <v>-78658742.986502826</v>
      </c>
      <c r="J6" s="169">
        <f t="shared" si="0"/>
        <v>-292109708.48154938</v>
      </c>
      <c r="K6" s="172">
        <f t="shared" ref="K6:L10" si="1">G6/$C6</f>
        <v>4.4802306063237847</v>
      </c>
      <c r="L6" s="172">
        <f t="shared" si="1"/>
        <v>0</v>
      </c>
    </row>
    <row r="7" spans="2:13" x14ac:dyDescent="0.25">
      <c r="C7" s="169">
        <f>$C$8+E7</f>
        <v>43672614.700000003</v>
      </c>
      <c r="D7" s="170">
        <v>0.1</v>
      </c>
      <c r="E7" s="171">
        <f>D7*$C$8</f>
        <v>3970237.7</v>
      </c>
      <c r="F7" s="169"/>
      <c r="G7" s="169">
        <f>'Scenario deep dive'!T16</f>
        <v>204849185.54615188</v>
      </c>
      <c r="H7" s="173"/>
      <c r="I7" s="169">
        <f t="shared" si="0"/>
        <v>-87260522.935397506</v>
      </c>
      <c r="J7" s="169">
        <f t="shared" si="0"/>
        <v>-292109708.48154938</v>
      </c>
      <c r="K7" s="172">
        <f t="shared" si="1"/>
        <v>4.6905637996103735</v>
      </c>
      <c r="L7" s="172">
        <f t="shared" si="1"/>
        <v>0</v>
      </c>
    </row>
    <row r="8" spans="2:13" x14ac:dyDescent="0.25">
      <c r="B8" s="174">
        <f>F8/C8</f>
        <v>7.3574866432191044</v>
      </c>
      <c r="C8" s="169">
        <f>'Scenario deep dive'!C16</f>
        <v>39702377</v>
      </c>
      <c r="D8" s="170">
        <v>0</v>
      </c>
      <c r="E8" s="171">
        <f>D8*$C$8</f>
        <v>0</v>
      </c>
      <c r="F8" s="169">
        <f>'Scenario deep dive'!D16</f>
        <v>292109708.48154938</v>
      </c>
      <c r="G8" s="169">
        <f>'Scenario deep dive'!H16</f>
        <v>195641074.52413151</v>
      </c>
      <c r="H8" s="169"/>
      <c r="I8" s="169">
        <f t="shared" si="0"/>
        <v>-96468633.957417876</v>
      </c>
      <c r="J8" s="169">
        <f t="shared" si="0"/>
        <v>-292109708.48154938</v>
      </c>
      <c r="K8" s="172">
        <f t="shared" si="1"/>
        <v>4.9276917229447372</v>
      </c>
      <c r="L8" s="172">
        <f t="shared" si="1"/>
        <v>0</v>
      </c>
    </row>
    <row r="9" spans="2:13" x14ac:dyDescent="0.25">
      <c r="C9" s="169">
        <f>$C$8+E9</f>
        <v>35732139.299999997</v>
      </c>
      <c r="D9" s="170">
        <v>-0.1</v>
      </c>
      <c r="E9" s="171">
        <f>D9*$C$8</f>
        <v>-3970237.7</v>
      </c>
      <c r="F9" s="169"/>
      <c r="G9" s="169">
        <f>'Scenario deep dive'!L16</f>
        <v>185600061.71028784</v>
      </c>
      <c r="H9" s="169"/>
      <c r="I9" s="169">
        <f t="shared" si="0"/>
        <v>-106509646.77126154</v>
      </c>
      <c r="J9" s="169">
        <f t="shared" si="0"/>
        <v>-292109708.48154938</v>
      </c>
      <c r="K9" s="172">
        <f t="shared" si="1"/>
        <v>5.1942051426595626</v>
      </c>
      <c r="L9" s="172">
        <f t="shared" si="1"/>
        <v>0</v>
      </c>
    </row>
    <row r="10" spans="2:13" x14ac:dyDescent="0.25">
      <c r="C10" s="169">
        <f>$C$8+E10</f>
        <v>31761901.600000001</v>
      </c>
      <c r="D10" s="170">
        <v>-0.2</v>
      </c>
      <c r="E10" s="171">
        <f>D10*$C$8</f>
        <v>-7940475.4000000004</v>
      </c>
      <c r="F10" s="169"/>
      <c r="G10" s="169">
        <f>'Scenario deep dive'!P16</f>
        <v>171847214.96344179</v>
      </c>
      <c r="H10" s="169"/>
      <c r="I10" s="169">
        <f t="shared" si="0"/>
        <v>-120262493.51810759</v>
      </c>
      <c r="J10" s="169">
        <f t="shared" si="0"/>
        <v>-292109708.48154938</v>
      </c>
      <c r="K10" s="172">
        <f t="shared" si="1"/>
        <v>5.4104825689480061</v>
      </c>
      <c r="L10" s="172">
        <f t="shared" si="1"/>
        <v>0</v>
      </c>
    </row>
    <row r="11" spans="2:13" x14ac:dyDescent="0.25">
      <c r="D11" s="175"/>
      <c r="E11" s="175"/>
      <c r="F11" s="169"/>
    </row>
    <row r="12" spans="2:13" x14ac:dyDescent="0.25">
      <c r="D12" s="175"/>
      <c r="E12" s="175"/>
    </row>
    <row r="13" spans="2:13" x14ac:dyDescent="0.25">
      <c r="F13" s="538" t="s">
        <v>207</v>
      </c>
      <c r="G13" s="538"/>
      <c r="H13" s="538" t="s">
        <v>208</v>
      </c>
      <c r="I13" s="538"/>
    </row>
    <row r="14" spans="2:13" x14ac:dyDescent="0.25">
      <c r="C14" s="166" t="s">
        <v>204</v>
      </c>
      <c r="D14" s="166" t="s">
        <v>205</v>
      </c>
      <c r="E14" s="97" t="s">
        <v>209</v>
      </c>
      <c r="F14" s="275" t="s">
        <v>248</v>
      </c>
      <c r="G14" s="168"/>
      <c r="H14" s="275" t="s">
        <v>248</v>
      </c>
      <c r="I14" s="168"/>
    </row>
    <row r="15" spans="2:13" x14ac:dyDescent="0.25">
      <c r="C15" s="176">
        <f t="shared" ref="C15:D19" si="2">C6</f>
        <v>47642852.399999999</v>
      </c>
      <c r="D15" s="177">
        <f t="shared" si="2"/>
        <v>0.2</v>
      </c>
      <c r="E15" s="176">
        <f>C15-C16</f>
        <v>3970237.6999999955</v>
      </c>
      <c r="F15" s="178">
        <f t="shared" ref="F15:G18" si="3">G6-G7</f>
        <v>8601779.9488946795</v>
      </c>
      <c r="G15" s="178">
        <f>H6-H7</f>
        <v>0</v>
      </c>
      <c r="H15" s="172">
        <f t="shared" ref="H15:I18" si="4">F15/$E15</f>
        <v>2.1665654801712977</v>
      </c>
      <c r="I15" s="172">
        <f t="shared" si="4"/>
        <v>0</v>
      </c>
    </row>
    <row r="16" spans="2:13" x14ac:dyDescent="0.25">
      <c r="C16" s="176">
        <f t="shared" si="2"/>
        <v>43672614.700000003</v>
      </c>
      <c r="D16" s="177">
        <f t="shared" si="2"/>
        <v>0.1</v>
      </c>
      <c r="E16" s="176">
        <f>C16-C17</f>
        <v>3970237.700000003</v>
      </c>
      <c r="F16" s="178">
        <f>G7-G8</f>
        <v>9208111.0220203698</v>
      </c>
      <c r="G16" s="178">
        <f t="shared" si="3"/>
        <v>0</v>
      </c>
      <c r="H16" s="172">
        <f>F16/$E16</f>
        <v>2.3192845662667407</v>
      </c>
      <c r="I16" s="172">
        <f t="shared" si="4"/>
        <v>0</v>
      </c>
    </row>
    <row r="17" spans="3:9" x14ac:dyDescent="0.25">
      <c r="C17" s="176">
        <f t="shared" si="2"/>
        <v>39702377</v>
      </c>
      <c r="D17" s="177">
        <f t="shared" si="2"/>
        <v>0</v>
      </c>
      <c r="E17" s="176">
        <f>C17-C18</f>
        <v>3970237.700000003</v>
      </c>
      <c r="F17" s="178">
        <f>G8-G9</f>
        <v>10041012.813843668</v>
      </c>
      <c r="G17" s="178">
        <f t="shared" si="3"/>
        <v>0</v>
      </c>
      <c r="H17" s="172">
        <f>F17/$E17</f>
        <v>2.5290709455113127</v>
      </c>
      <c r="I17" s="172">
        <f t="shared" si="4"/>
        <v>0</v>
      </c>
    </row>
    <row r="18" spans="3:9" x14ac:dyDescent="0.25">
      <c r="C18" s="176">
        <f t="shared" si="2"/>
        <v>35732139.299999997</v>
      </c>
      <c r="D18" s="177">
        <f t="shared" si="2"/>
        <v>-0.1</v>
      </c>
      <c r="E18" s="176">
        <f>C18-C19</f>
        <v>3970237.6999999955</v>
      </c>
      <c r="F18" s="178">
        <f t="shared" si="3"/>
        <v>13752846.74684605</v>
      </c>
      <c r="G18" s="178">
        <f t="shared" si="3"/>
        <v>0</v>
      </c>
      <c r="H18" s="172">
        <f t="shared" si="4"/>
        <v>3.4639857323520116</v>
      </c>
      <c r="I18" s="172">
        <f t="shared" si="4"/>
        <v>0</v>
      </c>
    </row>
    <row r="19" spans="3:9" x14ac:dyDescent="0.25">
      <c r="C19" s="176">
        <f t="shared" si="2"/>
        <v>31761901.600000001</v>
      </c>
      <c r="D19" s="177">
        <f t="shared" si="2"/>
        <v>-0.2</v>
      </c>
      <c r="E19" s="176"/>
      <c r="F19" s="178"/>
      <c r="G19" s="178"/>
      <c r="H19" s="172"/>
    </row>
    <row r="20" spans="3:9" x14ac:dyDescent="0.25">
      <c r="H20" s="172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  <row r="61" spans="21:22" x14ac:dyDescent="0.25">
      <c r="U61" s="179"/>
      <c r="V61" s="179"/>
    </row>
    <row r="62" spans="21:22" x14ac:dyDescent="0.25">
      <c r="U62" s="179"/>
      <c r="V62" s="179"/>
    </row>
    <row r="63" spans="21:22" x14ac:dyDescent="0.25">
      <c r="U63" s="179"/>
      <c r="V63" s="179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topLeftCell="B10" zoomScale="75" zoomScaleNormal="75" workbookViewId="0">
      <selection activeCell="V26" sqref="V26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A3:AB67"/>
  <sheetViews>
    <sheetView showGridLines="0" topLeftCell="A4" zoomScale="80" zoomScaleNormal="80" workbookViewId="0">
      <selection activeCell="T16" sqref="T16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547" t="s">
        <v>250</v>
      </c>
      <c r="G4" s="547"/>
      <c r="H4" s="547"/>
      <c r="I4" s="547"/>
      <c r="J4" s="547"/>
      <c r="K4" s="547"/>
      <c r="L4" s="547"/>
      <c r="M4" s="547"/>
      <c r="N4" s="547"/>
      <c r="O4" s="547"/>
      <c r="P4" s="547"/>
    </row>
    <row r="5" spans="1:28" x14ac:dyDescent="0.25">
      <c r="F5" s="541" t="s">
        <v>255</v>
      </c>
      <c r="G5" s="542"/>
      <c r="H5" s="543"/>
      <c r="I5" s="181"/>
      <c r="J5" s="541" t="s">
        <v>256</v>
      </c>
      <c r="K5" s="542"/>
      <c r="L5" s="543"/>
      <c r="M5" s="181"/>
      <c r="N5" s="541" t="s">
        <v>257</v>
      </c>
      <c r="O5" s="542"/>
      <c r="P5" s="543"/>
      <c r="R5" s="541" t="s">
        <v>258</v>
      </c>
      <c r="S5" s="542"/>
      <c r="T5" s="543"/>
      <c r="V5" s="541" t="s">
        <v>259</v>
      </c>
      <c r="W5" s="542"/>
      <c r="X5" s="543"/>
      <c r="Z5" s="97" t="s">
        <v>249</v>
      </c>
    </row>
    <row r="6" spans="1:28" ht="38.1" customHeight="1" x14ac:dyDescent="0.25">
      <c r="B6" s="182" t="s">
        <v>212</v>
      </c>
      <c r="C6" s="97" t="s">
        <v>213</v>
      </c>
      <c r="D6" s="183" t="s">
        <v>214</v>
      </c>
      <c r="E6" s="183"/>
      <c r="F6" s="183" t="s">
        <v>222</v>
      </c>
      <c r="G6" s="183" t="s">
        <v>215</v>
      </c>
      <c r="H6" s="183" t="s">
        <v>216</v>
      </c>
      <c r="I6" s="183"/>
      <c r="J6" s="183" t="s">
        <v>222</v>
      </c>
      <c r="K6" s="183" t="s">
        <v>215</v>
      </c>
      <c r="L6" s="183" t="s">
        <v>216</v>
      </c>
      <c r="N6" s="183" t="s">
        <v>222</v>
      </c>
      <c r="O6" s="183" t="s">
        <v>215</v>
      </c>
      <c r="P6" s="183" t="s">
        <v>216</v>
      </c>
      <c r="R6" s="183" t="s">
        <v>222</v>
      </c>
      <c r="S6" s="183" t="s">
        <v>215</v>
      </c>
      <c r="T6" s="183" t="s">
        <v>216</v>
      </c>
      <c r="V6" s="183" t="s">
        <v>222</v>
      </c>
      <c r="W6" s="183" t="s">
        <v>215</v>
      </c>
      <c r="X6" s="183" t="s">
        <v>216</v>
      </c>
      <c r="Z6" s="183" t="s">
        <v>222</v>
      </c>
      <c r="AA6" s="183" t="s">
        <v>215</v>
      </c>
      <c r="AB6" s="183" t="s">
        <v>216</v>
      </c>
    </row>
    <row r="7" spans="1:28" x14ac:dyDescent="0.25">
      <c r="A7" s="180"/>
      <c r="B7" s="184" t="str">
        <f>VAC_Optim_Scenario!B19</f>
        <v>HCC In Office</v>
      </c>
      <c r="C7" s="185">
        <f>VAC_Optim_Scenario!E19</f>
        <v>1000000</v>
      </c>
      <c r="D7" s="185">
        <f>VAC_Optim_Scenario!G49</f>
        <v>5040789.0644048415</v>
      </c>
      <c r="E7" s="185"/>
      <c r="F7" s="185">
        <v>3081000</v>
      </c>
      <c r="G7" s="177">
        <v>0.3</v>
      </c>
      <c r="H7" s="185">
        <v>15505097.624899359</v>
      </c>
      <c r="I7" s="185"/>
      <c r="J7" s="185">
        <v>3029899.4181336327</v>
      </c>
      <c r="K7" s="177">
        <v>0.27843857305216574</v>
      </c>
      <c r="L7" s="185">
        <v>15366448.565486765</v>
      </c>
      <c r="N7" s="185">
        <v>1659000</v>
      </c>
      <c r="O7" s="177">
        <v>-0.3</v>
      </c>
      <c r="P7" s="185">
        <v>10462940.418460475</v>
      </c>
      <c r="R7" s="185">
        <v>3081000</v>
      </c>
      <c r="S7" s="177">
        <v>0.3</v>
      </c>
      <c r="T7" s="185">
        <v>15505097.624899359</v>
      </c>
      <c r="V7" s="185">
        <v>3081000</v>
      </c>
      <c r="W7" s="177">
        <v>0.3</v>
      </c>
      <c r="X7" s="185">
        <v>15505097.624899359</v>
      </c>
      <c r="Z7" s="185">
        <f>VAC_Optim_Scenario!$H49</f>
        <v>1286234.2842082002</v>
      </c>
      <c r="AA7" s="177">
        <f>(Z7-$C7)/$C7</f>
        <v>0.28623428420820018</v>
      </c>
      <c r="AB7" s="185">
        <f>VAC_Optim_Scenario!$J49</f>
        <v>6145593.0138865588</v>
      </c>
    </row>
    <row r="8" spans="1:28" x14ac:dyDescent="0.25">
      <c r="A8" s="180"/>
      <c r="B8" s="184" t="str">
        <f>VAC_Optim_Scenario!B20</f>
        <v>HCP MCM</v>
      </c>
      <c r="C8" s="185">
        <f>VAC_Optim_Scenario!E20</f>
        <v>7775778</v>
      </c>
      <c r="D8" s="185">
        <f>VAC_Optim_Scenario!G50</f>
        <v>80499957.11832428</v>
      </c>
      <c r="E8" s="185"/>
      <c r="F8" s="185">
        <v>7913750</v>
      </c>
      <c r="G8" s="177">
        <v>0.3</v>
      </c>
      <c r="H8" s="185">
        <v>57060597.381979063</v>
      </c>
      <c r="I8" s="185"/>
      <c r="J8" s="185">
        <v>7913750</v>
      </c>
      <c r="K8" s="177">
        <v>0.3</v>
      </c>
      <c r="L8" s="185">
        <v>57060597.381979063</v>
      </c>
      <c r="N8" s="185">
        <v>7209926.481508065</v>
      </c>
      <c r="O8" s="177">
        <v>0.18438217355368625</v>
      </c>
      <c r="P8" s="185">
        <v>53405020.704021804</v>
      </c>
      <c r="R8" s="185">
        <v>7913750</v>
      </c>
      <c r="S8" s="177">
        <v>0.3</v>
      </c>
      <c r="T8" s="185">
        <v>57060597.381979063</v>
      </c>
      <c r="V8" s="185">
        <v>7913750</v>
      </c>
      <c r="W8" s="177">
        <v>0.3</v>
      </c>
      <c r="X8" s="185">
        <v>57060597.381979063</v>
      </c>
      <c r="Z8" s="185">
        <f>VAC_Optim_Scenario!$H50</f>
        <v>11106528.099963542</v>
      </c>
      <c r="AA8" s="177">
        <f t="shared" ref="AA8:AA15" si="0">(Z8-$C8)/$C8</f>
        <v>0.42834943332532671</v>
      </c>
      <c r="AB8" s="185">
        <f>VAC_Optim_Scenario!$J50</f>
        <v>95974816.760333344</v>
      </c>
    </row>
    <row r="9" spans="1:28" x14ac:dyDescent="0.25">
      <c r="A9" s="180"/>
      <c r="B9" s="184" t="str">
        <f>VAC_Optim_Scenario!B21</f>
        <v>HCC Social</v>
      </c>
      <c r="C9" s="185">
        <f>VAC_Optim_Scenario!E21</f>
        <v>1840000</v>
      </c>
      <c r="D9" s="185">
        <f>VAC_Optim_Scenario!G51</f>
        <v>15925915.704314221</v>
      </c>
      <c r="E9" s="185"/>
      <c r="F9" s="185">
        <v>2938000</v>
      </c>
      <c r="G9" s="177">
        <v>0.3</v>
      </c>
      <c r="H9" s="185">
        <v>12484947.958885178</v>
      </c>
      <c r="I9" s="185"/>
      <c r="J9" s="185">
        <v>2455721.2256736076</v>
      </c>
      <c r="K9" s="177">
        <v>8.6602312244959095E-2</v>
      </c>
      <c r="L9" s="185">
        <v>11211483.960590508</v>
      </c>
      <c r="N9" s="185">
        <v>1582000</v>
      </c>
      <c r="O9" s="177">
        <v>-0.3</v>
      </c>
      <c r="P9" s="185">
        <v>8611514.7351030298</v>
      </c>
      <c r="R9" s="185">
        <v>2938000</v>
      </c>
      <c r="S9" s="177">
        <v>0.3</v>
      </c>
      <c r="T9" s="185">
        <v>12484947.958885178</v>
      </c>
      <c r="V9" s="185">
        <v>2938000</v>
      </c>
      <c r="W9" s="177">
        <v>0.3</v>
      </c>
      <c r="X9" s="185">
        <v>12484947.958885178</v>
      </c>
      <c r="Z9" s="185">
        <f>VAC_Optim_Scenario!$H51</f>
        <v>4473746.1544590266</v>
      </c>
      <c r="AA9" s="177">
        <f t="shared" si="0"/>
        <v>1.431383779597297</v>
      </c>
      <c r="AB9" s="185">
        <f>VAC_Optim_Scenario!$J51</f>
        <v>27140417.351082891</v>
      </c>
    </row>
    <row r="10" spans="1:28" x14ac:dyDescent="0.25">
      <c r="A10" s="180"/>
      <c r="B10" s="184" t="str">
        <f>VAC_Optim_Scenario!B22</f>
        <v>HCC Online Video</v>
      </c>
      <c r="C10" s="185">
        <f>VAC_Optim_Scenario!E22</f>
        <v>1220000</v>
      </c>
      <c r="D10" s="185">
        <f>VAC_Optim_Scenario!G52</f>
        <v>3394246.7935979273</v>
      </c>
      <c r="E10" s="185"/>
      <c r="F10" s="185">
        <v>693000</v>
      </c>
      <c r="G10" s="177">
        <v>-0.3</v>
      </c>
      <c r="H10" s="185">
        <v>1393371.6974633737</v>
      </c>
      <c r="I10" s="185"/>
      <c r="J10" s="185">
        <v>693000</v>
      </c>
      <c r="K10" s="177">
        <v>-0.3</v>
      </c>
      <c r="L10" s="185">
        <v>1393371.6974633737</v>
      </c>
      <c r="N10" s="185">
        <v>693000</v>
      </c>
      <c r="O10" s="177">
        <v>-0.3</v>
      </c>
      <c r="P10" s="185">
        <v>1393371.6974633737</v>
      </c>
      <c r="R10" s="185">
        <v>693000</v>
      </c>
      <c r="S10" s="177">
        <v>-0.3</v>
      </c>
      <c r="T10" s="185">
        <v>1393371.6974633737</v>
      </c>
      <c r="V10" s="185">
        <v>693000</v>
      </c>
      <c r="W10" s="177">
        <v>-0.3</v>
      </c>
      <c r="X10" s="185">
        <v>1393371.6974633737</v>
      </c>
      <c r="Z10" s="185">
        <f>VAC_Optim_Scenario!$H52</f>
        <v>1000000</v>
      </c>
      <c r="AA10" s="177">
        <f t="shared" si="0"/>
        <v>-0.18032786885245902</v>
      </c>
      <c r="AB10" s="185">
        <f>VAC_Optim_Scenario!$J52</f>
        <v>3357832.8692201264</v>
      </c>
    </row>
    <row r="11" spans="1:28" x14ac:dyDescent="0.25">
      <c r="A11" s="180"/>
      <c r="B11" s="184" t="str">
        <f>VAC_Optim_Scenario!B23</f>
        <v>HCC Streaming Video</v>
      </c>
      <c r="C11" s="185">
        <f>VAC_Optim_Scenario!E23</f>
        <v>4817798</v>
      </c>
      <c r="D11" s="185">
        <f>VAC_Optim_Scenario!G53</f>
        <v>27455486.015820313</v>
      </c>
      <c r="E11" s="185"/>
      <c r="F11" s="185">
        <v>3941643.9999999995</v>
      </c>
      <c r="G11" s="177">
        <v>-0.3000000000000001</v>
      </c>
      <c r="H11" s="185">
        <v>16046723.043048661</v>
      </c>
      <c r="I11" s="185"/>
      <c r="J11" s="185">
        <v>3941643.9999999995</v>
      </c>
      <c r="K11" s="177">
        <v>-0.3000000000000001</v>
      </c>
      <c r="L11" s="185">
        <v>16046723.043048661</v>
      </c>
      <c r="N11" s="185">
        <v>3941643.9999999995</v>
      </c>
      <c r="O11" s="177">
        <v>-0.3000000000000001</v>
      </c>
      <c r="P11" s="185">
        <v>16046723.043048661</v>
      </c>
      <c r="R11" s="185">
        <v>4506297.4444227098</v>
      </c>
      <c r="S11" s="177">
        <v>-0.19972270172143988</v>
      </c>
      <c r="T11" s="185">
        <v>17388888.846481122</v>
      </c>
      <c r="V11" s="185">
        <v>5267222.9195587309</v>
      </c>
      <c r="W11" s="177">
        <v>-6.4589282113982988E-2</v>
      </c>
      <c r="X11" s="185">
        <v>19095407.820782721</v>
      </c>
      <c r="Z11" s="185">
        <f>VAC_Optim_Scenario!$H53</f>
        <v>6538144.1197205177</v>
      </c>
      <c r="AA11" s="177">
        <f t="shared" si="0"/>
        <v>0.35708141348402689</v>
      </c>
      <c r="AB11" s="185">
        <f>VAC_Optim_Scenario!$J53</f>
        <v>33997992.026226372</v>
      </c>
    </row>
    <row r="12" spans="1:28" x14ac:dyDescent="0.25">
      <c r="A12" s="180"/>
      <c r="B12" s="184" t="str">
        <f>VAC_Optim_Scenario!B24</f>
        <v>HCC Display</v>
      </c>
      <c r="C12" s="185">
        <f>VAC_Optim_Scenario!E24</f>
        <v>3540000</v>
      </c>
      <c r="D12" s="185">
        <f>VAC_Optim_Scenario!G54</f>
        <v>39290778.509746693</v>
      </c>
      <c r="E12" s="185"/>
      <c r="F12" s="185">
        <v>1921400</v>
      </c>
      <c r="G12" s="177">
        <v>0.3</v>
      </c>
      <c r="H12" s="185">
        <v>18796150.349974733</v>
      </c>
      <c r="I12" s="185"/>
      <c r="J12" s="185">
        <v>1921400</v>
      </c>
      <c r="K12" s="177">
        <v>0.3</v>
      </c>
      <c r="L12" s="185">
        <v>18796150.349974733</v>
      </c>
      <c r="N12" s="185">
        <v>1921400</v>
      </c>
      <c r="O12" s="177">
        <v>0.3</v>
      </c>
      <c r="P12" s="185">
        <v>18796150.349974733</v>
      </c>
      <c r="R12" s="185">
        <v>1921400</v>
      </c>
      <c r="S12" s="177">
        <v>0.3</v>
      </c>
      <c r="T12" s="185">
        <v>18796150.349974733</v>
      </c>
      <c r="V12" s="185">
        <v>1921400</v>
      </c>
      <c r="W12" s="177">
        <v>0.3</v>
      </c>
      <c r="X12" s="185">
        <v>18796150.349974733</v>
      </c>
      <c r="Z12" s="185">
        <f>VAC_Optim_Scenario!$H54</f>
        <v>5208923.3353606053</v>
      </c>
      <c r="AA12" s="177">
        <f t="shared" si="0"/>
        <v>0.47144726987587721</v>
      </c>
      <c r="AB12" s="185">
        <f>VAC_Optim_Scenario!$J54</f>
        <v>47268196.005025417</v>
      </c>
    </row>
    <row r="13" spans="1:28" x14ac:dyDescent="0.25">
      <c r="A13" s="180"/>
      <c r="B13" s="184" t="str">
        <f>VAC_Optim_Scenario!B25</f>
        <v>HCC Paid Search</v>
      </c>
      <c r="C13" s="185">
        <f>VAC_Optim_Scenario!E25</f>
        <v>400000</v>
      </c>
      <c r="D13" s="185">
        <f>VAC_Optim_Scenario!G55</f>
        <v>32769965.884320233</v>
      </c>
      <c r="E13" s="185"/>
      <c r="F13" s="185">
        <v>1232000</v>
      </c>
      <c r="G13" s="177">
        <v>-0.3</v>
      </c>
      <c r="H13" s="185">
        <v>1724376.7699591145</v>
      </c>
      <c r="I13" s="185"/>
      <c r="J13" s="185">
        <v>1232000</v>
      </c>
      <c r="K13" s="177">
        <v>-0.3</v>
      </c>
      <c r="L13" s="185">
        <v>1724376.7699591145</v>
      </c>
      <c r="N13" s="185">
        <v>1232000</v>
      </c>
      <c r="O13" s="177">
        <v>-0.3</v>
      </c>
      <c r="P13" s="185">
        <v>1724376.7699591145</v>
      </c>
      <c r="R13" s="185">
        <v>1232000</v>
      </c>
      <c r="S13" s="177">
        <v>-0.3</v>
      </c>
      <c r="T13" s="185">
        <v>1724376.7699591145</v>
      </c>
      <c r="V13" s="185">
        <v>1232000</v>
      </c>
      <c r="W13" s="177">
        <v>-0.3</v>
      </c>
      <c r="X13" s="185">
        <v>1724376.7699591145</v>
      </c>
      <c r="Z13" s="185">
        <f>VAC_Optim_Scenario!$H55</f>
        <v>400000</v>
      </c>
      <c r="AA13" s="177">
        <f t="shared" si="0"/>
        <v>0</v>
      </c>
      <c r="AB13" s="185">
        <f>VAC_Optim_Scenario!$J55</f>
        <v>32769965.884320233</v>
      </c>
    </row>
    <row r="14" spans="1:28" x14ac:dyDescent="0.25">
      <c r="A14" s="180"/>
      <c r="B14" s="184" t="str">
        <f>VAC_Optim_Scenario!B26</f>
        <v>HCC Audio</v>
      </c>
      <c r="C14" s="185">
        <f>VAC_Optim_Scenario!E26</f>
        <v>2220000</v>
      </c>
      <c r="D14" s="185">
        <f>VAC_Optim_Scenario!G56</f>
        <v>20698391.738152172</v>
      </c>
      <c r="E14" s="185"/>
      <c r="F14" s="185">
        <v>1599670.8943365675</v>
      </c>
      <c r="G14" s="177">
        <v>0.22552253957265472</v>
      </c>
      <c r="H14" s="185">
        <v>9996422.054763034</v>
      </c>
      <c r="I14" s="185"/>
      <c r="J14" s="185">
        <v>1373287.8145490468</v>
      </c>
      <c r="K14" s="177">
        <v>5.2088386435460127E-2</v>
      </c>
      <c r="L14" s="185">
        <v>9404526.9087361041</v>
      </c>
      <c r="N14" s="185">
        <v>913707.89999999991</v>
      </c>
      <c r="O14" s="177">
        <v>-0.30000000000000004</v>
      </c>
      <c r="P14" s="185">
        <v>7990156.3714912347</v>
      </c>
      <c r="R14" s="185">
        <v>1696886.1</v>
      </c>
      <c r="S14" s="177">
        <v>0.30000000000000004</v>
      </c>
      <c r="T14" s="185">
        <v>10235130.95496013</v>
      </c>
      <c r="V14" s="185">
        <v>1696886.1</v>
      </c>
      <c r="W14" s="177">
        <v>0.30000000000000004</v>
      </c>
      <c r="X14" s="185">
        <v>10235130.95496013</v>
      </c>
      <c r="Z14" s="185">
        <f>VAC_Optim_Scenario!$H56</f>
        <v>4800000</v>
      </c>
      <c r="AA14" s="177">
        <f t="shared" si="0"/>
        <v>1.1621621621621621</v>
      </c>
      <c r="AB14" s="185">
        <f>VAC_Optim_Scenario!$J56</f>
        <v>32875287.531392161</v>
      </c>
    </row>
    <row r="15" spans="1:28" x14ac:dyDescent="0.25">
      <c r="A15" s="180"/>
      <c r="B15" s="184" t="str">
        <f>VAC_Optim_Scenario!B27</f>
        <v>HCC TV</v>
      </c>
      <c r="C15" s="185">
        <f>VAC_Optim_Scenario!E27</f>
        <v>16888801</v>
      </c>
      <c r="D15" s="185">
        <f>VAC_Optim_Scenario!G57</f>
        <v>67034177.652868718</v>
      </c>
      <c r="E15" s="185"/>
      <c r="F15" s="185">
        <v>15034299.955663437</v>
      </c>
      <c r="G15" s="177">
        <v>-8.7339507991325518E-2</v>
      </c>
      <c r="H15" s="185">
        <v>62633387.643158987</v>
      </c>
      <c r="I15" s="185"/>
      <c r="J15" s="185">
        <v>11958585.90120472</v>
      </c>
      <c r="K15" s="177">
        <v>-0.27405140748105578</v>
      </c>
      <c r="L15" s="185">
        <v>54596383.033049487</v>
      </c>
      <c r="N15" s="185">
        <v>11531133.494999999</v>
      </c>
      <c r="O15" s="177">
        <v>-0.30000000000000004</v>
      </c>
      <c r="P15" s="185">
        <v>53416960.87391936</v>
      </c>
      <c r="R15" s="185">
        <v>18207907.763062701</v>
      </c>
      <c r="S15" s="177">
        <v>0.10531505334410238</v>
      </c>
      <c r="T15" s="185">
        <v>70260623.961549804</v>
      </c>
      <c r="V15" s="185">
        <v>21282458.837850466</v>
      </c>
      <c r="W15" s="177">
        <v>0.29195635389661462</v>
      </c>
      <c r="X15" s="185">
        <v>77155884.936142847</v>
      </c>
      <c r="Z15" s="185">
        <f>VAC_Optim_Scenario!$H57</f>
        <v>16888801</v>
      </c>
      <c r="AA15" s="177">
        <f t="shared" si="0"/>
        <v>0</v>
      </c>
      <c r="AB15" s="185">
        <f>VAC_Optim_Scenario!$J57</f>
        <v>67034177.652868718</v>
      </c>
    </row>
    <row r="16" spans="1:28" ht="34.35" customHeight="1" x14ac:dyDescent="0.25">
      <c r="B16" s="187" t="s">
        <v>218</v>
      </c>
      <c r="C16" s="188">
        <f>SUM(C7:C15)</f>
        <v>39702377</v>
      </c>
      <c r="D16" s="188">
        <f>SUM(D7:D15)</f>
        <v>292109708.48154938</v>
      </c>
      <c r="E16" s="179"/>
      <c r="F16" s="188">
        <f>SUM(F7:F15)</f>
        <v>38354764.850000001</v>
      </c>
      <c r="G16" s="189">
        <f>(F16-$C$16)/$C$16</f>
        <v>-3.3942858131642814E-2</v>
      </c>
      <c r="H16" s="188">
        <f>SUM(H7:H15)</f>
        <v>195641074.52413151</v>
      </c>
      <c r="I16" s="179"/>
      <c r="J16" s="188">
        <f>SUM(J7:J15)</f>
        <v>34519288.359561011</v>
      </c>
      <c r="K16" s="189">
        <f>(J16-$C$16)/$C$16</f>
        <v>-0.13054857245547261</v>
      </c>
      <c r="L16" s="188">
        <f>SUM(L7:L15)</f>
        <v>185600061.71028784</v>
      </c>
      <c r="M16" s="179"/>
      <c r="N16" s="188">
        <f>SUM(N7:N15)</f>
        <v>30683811.876508065</v>
      </c>
      <c r="O16" s="189">
        <f>(N16-$C$16)/$C$16</f>
        <v>-0.22715428659326709</v>
      </c>
      <c r="P16" s="188">
        <f>SUM(P7:P15)</f>
        <v>171847214.96344179</v>
      </c>
      <c r="Q16" s="179"/>
      <c r="R16" s="188">
        <f>SUM(R7:R15)</f>
        <v>42190241.307485417</v>
      </c>
      <c r="S16" s="189">
        <f>(R16-$C$16)/$C$16</f>
        <v>6.266285536217181E-2</v>
      </c>
      <c r="T16" s="188">
        <f>SUM(T7:T15)</f>
        <v>204849185.54615188</v>
      </c>
      <c r="V16" s="188">
        <f>SUM(V7:V15)</f>
        <v>46025717.857409194</v>
      </c>
      <c r="W16" s="189">
        <f>(V16-$C$16)/$C$16</f>
        <v>0.15926857118426924</v>
      </c>
      <c r="X16" s="188">
        <f>SUM(X7:X15)</f>
        <v>213450965.49504656</v>
      </c>
      <c r="Z16" s="188">
        <f>SUM(Z7:Z15)</f>
        <v>51702376.993711889</v>
      </c>
      <c r="AA16" s="189">
        <f>(Z16-$C$16)/$C$16</f>
        <v>0.30224890549278421</v>
      </c>
      <c r="AB16" s="188">
        <f>SUM(AB7:AB15)</f>
        <v>346564279.09435582</v>
      </c>
    </row>
    <row r="17" spans="1:24" x14ac:dyDescent="0.25">
      <c r="D17" s="97">
        <f>D16/C16</f>
        <v>7.3574866432191044</v>
      </c>
    </row>
    <row r="19" spans="1:24" ht="26.85" customHeight="1" x14ac:dyDescent="0.25">
      <c r="F19" s="547" t="str">
        <f>F4</f>
        <v>Optimal channel spend allowed to vary between +/- 30% of the 2021 channel spend</v>
      </c>
      <c r="G19" s="547"/>
      <c r="H19" s="547"/>
      <c r="I19" s="547"/>
      <c r="J19" s="547"/>
      <c r="K19" s="547"/>
      <c r="L19" s="547"/>
      <c r="M19" s="547"/>
      <c r="N19" s="547"/>
      <c r="O19" s="547"/>
      <c r="P19" s="547"/>
    </row>
    <row r="20" spans="1:24" ht="30.4" customHeight="1" x14ac:dyDescent="0.25">
      <c r="C20" s="539" t="s">
        <v>251</v>
      </c>
      <c r="D20" s="540"/>
      <c r="E20" s="190"/>
      <c r="F20" s="541" t="str">
        <f>F5</f>
        <v>Current Optimal ($38MM)</v>
      </c>
      <c r="G20" s="542"/>
      <c r="H20" s="543"/>
      <c r="I20" s="191"/>
      <c r="J20" s="541" t="str">
        <f>J5</f>
        <v>10% reduction optimal ($35M)</v>
      </c>
      <c r="K20" s="542"/>
      <c r="L20" s="543"/>
      <c r="M20" s="191"/>
      <c r="N20" s="541" t="str">
        <f>N5</f>
        <v>20% reduction optimal ($31M)</v>
      </c>
      <c r="O20" s="542"/>
      <c r="P20" s="543"/>
      <c r="R20" s="541" t="str">
        <f>R5</f>
        <v>10% increase optimal ($42M)</v>
      </c>
      <c r="S20" s="542"/>
      <c r="T20" s="543"/>
      <c r="V20" s="541" t="str">
        <f>V5</f>
        <v>20% increase optimal ($46M)</v>
      </c>
      <c r="W20" s="542"/>
      <c r="X20" s="543"/>
    </row>
    <row r="21" spans="1:24" ht="45" x14ac:dyDescent="0.25">
      <c r="B21" s="182" t="s">
        <v>212</v>
      </c>
      <c r="C21" s="192" t="s">
        <v>219</v>
      </c>
      <c r="D21" s="193" t="s">
        <v>220</v>
      </c>
      <c r="E21" s="194"/>
      <c r="F21" s="217" t="s">
        <v>222</v>
      </c>
      <c r="G21" s="193" t="s">
        <v>215</v>
      </c>
      <c r="H21" s="195" t="s">
        <v>216</v>
      </c>
      <c r="I21" s="194"/>
      <c r="J21" s="217" t="s">
        <v>222</v>
      </c>
      <c r="K21" s="193" t="s">
        <v>215</v>
      </c>
      <c r="L21" s="195" t="s">
        <v>216</v>
      </c>
      <c r="M21" s="179"/>
      <c r="N21" s="217" t="s">
        <v>222</v>
      </c>
      <c r="O21" s="193" t="s">
        <v>215</v>
      </c>
      <c r="P21" s="195" t="s">
        <v>216</v>
      </c>
      <c r="R21" s="217" t="s">
        <v>222</v>
      </c>
      <c r="S21" s="193" t="s">
        <v>215</v>
      </c>
      <c r="T21" s="195" t="s">
        <v>216</v>
      </c>
      <c r="V21" s="217" t="s">
        <v>222</v>
      </c>
      <c r="W21" s="193" t="s">
        <v>215</v>
      </c>
      <c r="X21" s="195" t="s">
        <v>216</v>
      </c>
    </row>
    <row r="22" spans="1:24" x14ac:dyDescent="0.25">
      <c r="A22" s="172">
        <f>D22/C22</f>
        <v>5.0407890644048416</v>
      </c>
      <c r="B22" s="184" t="str">
        <f>B7</f>
        <v>HCC In Office</v>
      </c>
      <c r="C22" s="196">
        <f>C7/1000000</f>
        <v>1</v>
      </c>
      <c r="D22" s="282">
        <f>D7/1000000</f>
        <v>5.0407890644048416</v>
      </c>
      <c r="E22" s="198"/>
      <c r="F22" s="199">
        <f>F7/1000000</f>
        <v>3.081</v>
      </c>
      <c r="G22" s="200">
        <f>G7</f>
        <v>0.3</v>
      </c>
      <c r="H22" s="277">
        <f>H7/1000000</f>
        <v>15.50509762489936</v>
      </c>
      <c r="I22" s="198"/>
      <c r="J22" s="199">
        <f>J7/1000000</f>
        <v>3.0298994181336329</v>
      </c>
      <c r="K22" s="200">
        <f>K7</f>
        <v>0.27843857305216574</v>
      </c>
      <c r="L22" s="277">
        <f>L7/1000000</f>
        <v>15.366448565486765</v>
      </c>
      <c r="M22" s="179"/>
      <c r="N22" s="199">
        <f>N7/1000000</f>
        <v>1.659</v>
      </c>
      <c r="O22" s="200">
        <f>O7</f>
        <v>-0.3</v>
      </c>
      <c r="P22" s="277">
        <f>P7/1000000</f>
        <v>10.462940418460475</v>
      </c>
      <c r="Q22" s="179"/>
      <c r="R22" s="199">
        <f>R7/1000000</f>
        <v>3.081</v>
      </c>
      <c r="S22" s="200">
        <f>S7</f>
        <v>0.3</v>
      </c>
      <c r="T22" s="277">
        <f>T7/1000000</f>
        <v>15.50509762489936</v>
      </c>
      <c r="V22" s="199">
        <f>V7/1000000</f>
        <v>3.081</v>
      </c>
      <c r="W22" s="200">
        <f>W7</f>
        <v>0.3</v>
      </c>
      <c r="X22" s="201">
        <f>X7/1000000</f>
        <v>15.50509762489936</v>
      </c>
    </row>
    <row r="23" spans="1:24" x14ac:dyDescent="0.25">
      <c r="A23" s="172">
        <f t="shared" ref="A23:A30" si="1">D23/C23</f>
        <v>10.352656302472148</v>
      </c>
      <c r="B23" s="184" t="str">
        <f t="shared" ref="B23:B30" si="2">B8</f>
        <v>HCP MCM</v>
      </c>
      <c r="C23" s="202">
        <f t="shared" ref="C23:D23" si="3">C8/1000000</f>
        <v>7.7757779999999999</v>
      </c>
      <c r="D23" s="283">
        <f t="shared" si="3"/>
        <v>80.499957118324275</v>
      </c>
      <c r="E23" s="198"/>
      <c r="F23" s="204">
        <f t="shared" ref="F23:F30" si="4">F8/1000000</f>
        <v>7.9137500000000003</v>
      </c>
      <c r="G23" s="205">
        <f t="shared" ref="G23:G30" si="5">G8</f>
        <v>0.3</v>
      </c>
      <c r="H23" s="278">
        <f t="shared" ref="H23:H30" si="6">H8/1000000</f>
        <v>57.060597381979065</v>
      </c>
      <c r="I23" s="198"/>
      <c r="J23" s="204">
        <f t="shared" ref="J23:J30" si="7">J8/1000000</f>
        <v>7.9137500000000003</v>
      </c>
      <c r="K23" s="205">
        <f t="shared" ref="K23:K30" si="8">K8</f>
        <v>0.3</v>
      </c>
      <c r="L23" s="278">
        <f t="shared" ref="L23:L30" si="9">L8/1000000</f>
        <v>57.060597381979065</v>
      </c>
      <c r="M23" s="179"/>
      <c r="N23" s="204">
        <f t="shared" ref="N23:N30" si="10">N8/1000000</f>
        <v>7.2099264815080648</v>
      </c>
      <c r="O23" s="205">
        <f t="shared" ref="O23:O30" si="11">O8</f>
        <v>0.18438217355368625</v>
      </c>
      <c r="P23" s="278">
        <f t="shared" ref="P23:P30" si="12">P8/1000000</f>
        <v>53.405020704021801</v>
      </c>
      <c r="Q23" s="179"/>
      <c r="R23" s="204">
        <f t="shared" ref="R23:R30" si="13">R8/1000000</f>
        <v>7.9137500000000003</v>
      </c>
      <c r="S23" s="200">
        <f t="shared" ref="S23:S30" si="14">S8</f>
        <v>0.3</v>
      </c>
      <c r="T23" s="278">
        <f t="shared" ref="T23:T30" si="15">T8/1000000</f>
        <v>57.060597381979065</v>
      </c>
      <c r="V23" s="204">
        <f t="shared" ref="V23:V30" si="16">V8/1000000</f>
        <v>7.9137500000000003</v>
      </c>
      <c r="W23" s="200">
        <f t="shared" ref="W23:W30" si="17">W8</f>
        <v>0.3</v>
      </c>
      <c r="X23" s="206">
        <f t="shared" ref="X23:X30" si="18">X8/1000000</f>
        <v>57.060597381979065</v>
      </c>
    </row>
    <row r="24" spans="1:24" x14ac:dyDescent="0.25">
      <c r="A24" s="172">
        <f t="shared" si="1"/>
        <v>8.6553889697359896</v>
      </c>
      <c r="B24" s="184" t="str">
        <f t="shared" si="2"/>
        <v>HCC Social</v>
      </c>
      <c r="C24" s="202">
        <f t="shared" ref="C24:D24" si="19">C9/1000000</f>
        <v>1.84</v>
      </c>
      <c r="D24" s="283">
        <f t="shared" si="19"/>
        <v>15.925915704314221</v>
      </c>
      <c r="E24" s="198"/>
      <c r="F24" s="204">
        <f t="shared" si="4"/>
        <v>2.9380000000000002</v>
      </c>
      <c r="G24" s="205">
        <f t="shared" si="5"/>
        <v>0.3</v>
      </c>
      <c r="H24" s="278">
        <f t="shared" si="6"/>
        <v>12.484947958885177</v>
      </c>
      <c r="I24" s="198"/>
      <c r="J24" s="204">
        <f t="shared" si="7"/>
        <v>2.4557212256736074</v>
      </c>
      <c r="K24" s="205">
        <f t="shared" si="8"/>
        <v>8.6602312244959095E-2</v>
      </c>
      <c r="L24" s="278">
        <f t="shared" si="9"/>
        <v>11.211483960590508</v>
      </c>
      <c r="M24" s="179"/>
      <c r="N24" s="204">
        <f t="shared" si="10"/>
        <v>1.5820000000000001</v>
      </c>
      <c r="O24" s="205">
        <f t="shared" si="11"/>
        <v>-0.3</v>
      </c>
      <c r="P24" s="278">
        <f t="shared" si="12"/>
        <v>8.6115147351030306</v>
      </c>
      <c r="Q24" s="179"/>
      <c r="R24" s="204">
        <f t="shared" si="13"/>
        <v>2.9380000000000002</v>
      </c>
      <c r="S24" s="200">
        <f t="shared" si="14"/>
        <v>0.3</v>
      </c>
      <c r="T24" s="278">
        <f t="shared" si="15"/>
        <v>12.484947958885177</v>
      </c>
      <c r="V24" s="204">
        <f t="shared" si="16"/>
        <v>2.9380000000000002</v>
      </c>
      <c r="W24" s="200">
        <f t="shared" si="17"/>
        <v>0.3</v>
      </c>
      <c r="X24" s="206">
        <f t="shared" si="18"/>
        <v>12.484947958885177</v>
      </c>
    </row>
    <row r="25" spans="1:24" x14ac:dyDescent="0.25">
      <c r="A25" s="172">
        <f t="shared" si="1"/>
        <v>2.7821695029491207</v>
      </c>
      <c r="B25" s="184" t="str">
        <f t="shared" si="2"/>
        <v>HCC Online Video</v>
      </c>
      <c r="C25" s="202">
        <f t="shared" ref="C25:D25" si="20">C10/1000000</f>
        <v>1.22</v>
      </c>
      <c r="D25" s="283">
        <f t="shared" si="20"/>
        <v>3.3942467935979272</v>
      </c>
      <c r="E25" s="198"/>
      <c r="F25" s="204">
        <f t="shared" si="4"/>
        <v>0.69299999999999995</v>
      </c>
      <c r="G25" s="205">
        <f t="shared" si="5"/>
        <v>-0.3</v>
      </c>
      <c r="H25" s="278">
        <f t="shared" si="6"/>
        <v>1.3933716974633736</v>
      </c>
      <c r="I25" s="198"/>
      <c r="J25" s="204">
        <f t="shared" si="7"/>
        <v>0.69299999999999995</v>
      </c>
      <c r="K25" s="205">
        <f t="shared" si="8"/>
        <v>-0.3</v>
      </c>
      <c r="L25" s="278">
        <f t="shared" si="9"/>
        <v>1.3933716974633736</v>
      </c>
      <c r="M25" s="179"/>
      <c r="N25" s="204">
        <f t="shared" si="10"/>
        <v>0.69299999999999995</v>
      </c>
      <c r="O25" s="205">
        <f t="shared" si="11"/>
        <v>-0.3</v>
      </c>
      <c r="P25" s="278">
        <f t="shared" si="12"/>
        <v>1.3933716974633736</v>
      </c>
      <c r="Q25" s="179"/>
      <c r="R25" s="204">
        <f t="shared" si="13"/>
        <v>0.69299999999999995</v>
      </c>
      <c r="S25" s="200">
        <f t="shared" si="14"/>
        <v>-0.3</v>
      </c>
      <c r="T25" s="278">
        <f t="shared" si="15"/>
        <v>1.3933716974633736</v>
      </c>
      <c r="V25" s="204">
        <f t="shared" si="16"/>
        <v>0.69299999999999995</v>
      </c>
      <c r="W25" s="200">
        <f t="shared" si="17"/>
        <v>-0.3</v>
      </c>
      <c r="X25" s="206">
        <f t="shared" si="18"/>
        <v>1.3933716974633736</v>
      </c>
    </row>
    <row r="26" spans="1:24" x14ac:dyDescent="0.25">
      <c r="A26" s="172">
        <f t="shared" si="1"/>
        <v>5.6987623839397816</v>
      </c>
      <c r="B26" s="184" t="str">
        <f t="shared" si="2"/>
        <v>HCC Streaming Video</v>
      </c>
      <c r="C26" s="202">
        <f t="shared" ref="C26:D26" si="21">C11/1000000</f>
        <v>4.8177979999999998</v>
      </c>
      <c r="D26" s="283">
        <f t="shared" si="21"/>
        <v>27.455486015820313</v>
      </c>
      <c r="E26" s="198"/>
      <c r="F26" s="204">
        <f t="shared" si="4"/>
        <v>3.9416439999999997</v>
      </c>
      <c r="G26" s="205">
        <f t="shared" si="5"/>
        <v>-0.3000000000000001</v>
      </c>
      <c r="H26" s="278">
        <f t="shared" si="6"/>
        <v>16.046723043048662</v>
      </c>
      <c r="I26" s="198"/>
      <c r="J26" s="204">
        <f t="shared" si="7"/>
        <v>3.9416439999999997</v>
      </c>
      <c r="K26" s="205">
        <f t="shared" si="8"/>
        <v>-0.3000000000000001</v>
      </c>
      <c r="L26" s="278">
        <f t="shared" si="9"/>
        <v>16.046723043048662</v>
      </c>
      <c r="M26" s="179"/>
      <c r="N26" s="204">
        <f t="shared" si="10"/>
        <v>3.9416439999999997</v>
      </c>
      <c r="O26" s="205">
        <f t="shared" si="11"/>
        <v>-0.3000000000000001</v>
      </c>
      <c r="P26" s="278">
        <f t="shared" si="12"/>
        <v>16.046723043048662</v>
      </c>
      <c r="Q26" s="179"/>
      <c r="R26" s="204">
        <f t="shared" si="13"/>
        <v>4.5062974444227102</v>
      </c>
      <c r="S26" s="200">
        <f t="shared" si="14"/>
        <v>-0.19972270172143988</v>
      </c>
      <c r="T26" s="278">
        <f t="shared" si="15"/>
        <v>17.388888846481123</v>
      </c>
      <c r="V26" s="204">
        <f t="shared" si="16"/>
        <v>5.2672229195587308</v>
      </c>
      <c r="W26" s="200">
        <f t="shared" si="17"/>
        <v>-6.4589282113982988E-2</v>
      </c>
      <c r="X26" s="206">
        <f t="shared" si="18"/>
        <v>19.095407820782722</v>
      </c>
    </row>
    <row r="27" spans="1:24" x14ac:dyDescent="0.25">
      <c r="A27" s="172">
        <f t="shared" si="1"/>
        <v>11.099089974504716</v>
      </c>
      <c r="B27" s="184" t="str">
        <f t="shared" si="2"/>
        <v>HCC Display</v>
      </c>
      <c r="C27" s="202">
        <f t="shared" ref="C27:D27" si="22">C12/1000000</f>
        <v>3.54</v>
      </c>
      <c r="D27" s="283">
        <f t="shared" si="22"/>
        <v>39.290778509746694</v>
      </c>
      <c r="E27" s="198"/>
      <c r="F27" s="204">
        <f t="shared" si="4"/>
        <v>1.9214</v>
      </c>
      <c r="G27" s="205">
        <f t="shared" si="5"/>
        <v>0.3</v>
      </c>
      <c r="H27" s="278">
        <f t="shared" si="6"/>
        <v>18.796150349974734</v>
      </c>
      <c r="I27" s="198"/>
      <c r="J27" s="204">
        <f t="shared" si="7"/>
        <v>1.9214</v>
      </c>
      <c r="K27" s="205">
        <f t="shared" si="8"/>
        <v>0.3</v>
      </c>
      <c r="L27" s="278">
        <f t="shared" si="9"/>
        <v>18.796150349974734</v>
      </c>
      <c r="M27" s="179"/>
      <c r="N27" s="204">
        <f t="shared" si="10"/>
        <v>1.9214</v>
      </c>
      <c r="O27" s="205">
        <f t="shared" si="11"/>
        <v>0.3</v>
      </c>
      <c r="P27" s="278">
        <f t="shared" si="12"/>
        <v>18.796150349974734</v>
      </c>
      <c r="Q27" s="179"/>
      <c r="R27" s="204">
        <f t="shared" si="13"/>
        <v>1.9214</v>
      </c>
      <c r="S27" s="200">
        <f t="shared" si="14"/>
        <v>0.3</v>
      </c>
      <c r="T27" s="278">
        <f t="shared" si="15"/>
        <v>18.796150349974734</v>
      </c>
      <c r="V27" s="204">
        <f t="shared" si="16"/>
        <v>1.9214</v>
      </c>
      <c r="W27" s="200">
        <f t="shared" si="17"/>
        <v>0.3</v>
      </c>
      <c r="X27" s="206">
        <f t="shared" si="18"/>
        <v>18.796150349974734</v>
      </c>
    </row>
    <row r="28" spans="1:24" x14ac:dyDescent="0.25">
      <c r="A28" s="172">
        <f t="shared" si="1"/>
        <v>81.924914710800579</v>
      </c>
      <c r="B28" s="184" t="str">
        <f t="shared" si="2"/>
        <v>HCC Paid Search</v>
      </c>
      <c r="C28" s="202">
        <f t="shared" ref="C28:D28" si="23">C13/1000000</f>
        <v>0.4</v>
      </c>
      <c r="D28" s="283">
        <f t="shared" si="23"/>
        <v>32.769965884320236</v>
      </c>
      <c r="E28" s="198"/>
      <c r="F28" s="204">
        <f t="shared" si="4"/>
        <v>1.232</v>
      </c>
      <c r="G28" s="205">
        <f t="shared" si="5"/>
        <v>-0.3</v>
      </c>
      <c r="H28" s="278">
        <f t="shared" si="6"/>
        <v>1.7243767699591146</v>
      </c>
      <c r="I28" s="198"/>
      <c r="J28" s="204">
        <f t="shared" si="7"/>
        <v>1.232</v>
      </c>
      <c r="K28" s="205">
        <f t="shared" si="8"/>
        <v>-0.3</v>
      </c>
      <c r="L28" s="278">
        <f t="shared" si="9"/>
        <v>1.7243767699591146</v>
      </c>
      <c r="M28" s="179"/>
      <c r="N28" s="204">
        <f t="shared" si="10"/>
        <v>1.232</v>
      </c>
      <c r="O28" s="205">
        <f t="shared" si="11"/>
        <v>-0.3</v>
      </c>
      <c r="P28" s="278">
        <f t="shared" si="12"/>
        <v>1.7243767699591146</v>
      </c>
      <c r="Q28" s="179"/>
      <c r="R28" s="204">
        <f t="shared" si="13"/>
        <v>1.232</v>
      </c>
      <c r="S28" s="200">
        <f t="shared" si="14"/>
        <v>-0.3</v>
      </c>
      <c r="T28" s="278">
        <f t="shared" si="15"/>
        <v>1.7243767699591146</v>
      </c>
      <c r="V28" s="204">
        <f t="shared" si="16"/>
        <v>1.232</v>
      </c>
      <c r="W28" s="200">
        <f t="shared" si="17"/>
        <v>-0.3</v>
      </c>
      <c r="X28" s="206">
        <f t="shared" si="18"/>
        <v>1.7243767699591146</v>
      </c>
    </row>
    <row r="29" spans="1:24" x14ac:dyDescent="0.25">
      <c r="A29" s="172">
        <f t="shared" si="1"/>
        <v>9.3235998820505266</v>
      </c>
      <c r="B29" s="184" t="str">
        <f t="shared" si="2"/>
        <v>HCC Audio</v>
      </c>
      <c r="C29" s="202">
        <f t="shared" ref="C29:D29" si="24">C14/1000000</f>
        <v>2.2200000000000002</v>
      </c>
      <c r="D29" s="283">
        <f t="shared" si="24"/>
        <v>20.698391738152171</v>
      </c>
      <c r="E29" s="198"/>
      <c r="F29" s="204">
        <f t="shared" si="4"/>
        <v>1.5996708943365674</v>
      </c>
      <c r="G29" s="205">
        <f t="shared" si="5"/>
        <v>0.22552253957265472</v>
      </c>
      <c r="H29" s="278">
        <f t="shared" si="6"/>
        <v>9.996422054763034</v>
      </c>
      <c r="I29" s="198"/>
      <c r="J29" s="204">
        <f t="shared" si="7"/>
        <v>1.3732878145490468</v>
      </c>
      <c r="K29" s="205">
        <f t="shared" si="8"/>
        <v>5.2088386435460127E-2</v>
      </c>
      <c r="L29" s="278">
        <f t="shared" si="9"/>
        <v>9.4045269087361039</v>
      </c>
      <c r="M29" s="179"/>
      <c r="N29" s="204">
        <f t="shared" si="10"/>
        <v>0.91370789999999991</v>
      </c>
      <c r="O29" s="205">
        <f t="shared" si="11"/>
        <v>-0.30000000000000004</v>
      </c>
      <c r="P29" s="278">
        <f t="shared" si="12"/>
        <v>7.9901563714912349</v>
      </c>
      <c r="Q29" s="179"/>
      <c r="R29" s="204">
        <f t="shared" si="13"/>
        <v>1.6968861000000002</v>
      </c>
      <c r="S29" s="200">
        <f t="shared" si="14"/>
        <v>0.30000000000000004</v>
      </c>
      <c r="T29" s="278">
        <f t="shared" si="15"/>
        <v>10.23513095496013</v>
      </c>
      <c r="V29" s="204">
        <f t="shared" si="16"/>
        <v>1.6968861000000002</v>
      </c>
      <c r="W29" s="200">
        <f t="shared" si="17"/>
        <v>0.30000000000000004</v>
      </c>
      <c r="X29" s="206">
        <f t="shared" si="18"/>
        <v>10.23513095496013</v>
      </c>
    </row>
    <row r="30" spans="1:24" x14ac:dyDescent="0.25">
      <c r="A30" s="172">
        <f t="shared" si="1"/>
        <v>3.9691495952180809</v>
      </c>
      <c r="B30" s="184" t="str">
        <f t="shared" si="2"/>
        <v>HCC TV</v>
      </c>
      <c r="C30" s="202">
        <f t="shared" ref="C30:D30" si="25">C15/1000000</f>
        <v>16.888801000000001</v>
      </c>
      <c r="D30" s="283">
        <f t="shared" si="25"/>
        <v>67.034177652868721</v>
      </c>
      <c r="E30" s="198"/>
      <c r="F30" s="204">
        <f t="shared" si="4"/>
        <v>15.034299955663437</v>
      </c>
      <c r="G30" s="205">
        <f t="shared" si="5"/>
        <v>-8.7339507991325518E-2</v>
      </c>
      <c r="H30" s="278">
        <f t="shared" si="6"/>
        <v>62.63338764315899</v>
      </c>
      <c r="I30" s="198"/>
      <c r="J30" s="204">
        <f t="shared" si="7"/>
        <v>11.958585901204721</v>
      </c>
      <c r="K30" s="205">
        <f t="shared" si="8"/>
        <v>-0.27405140748105578</v>
      </c>
      <c r="L30" s="278">
        <f t="shared" si="9"/>
        <v>54.596383033049484</v>
      </c>
      <c r="M30" s="179"/>
      <c r="N30" s="204">
        <f t="shared" si="10"/>
        <v>11.531133494999999</v>
      </c>
      <c r="O30" s="205">
        <f t="shared" si="11"/>
        <v>-0.30000000000000004</v>
      </c>
      <c r="P30" s="278">
        <f t="shared" si="12"/>
        <v>53.416960873919358</v>
      </c>
      <c r="Q30" s="179"/>
      <c r="R30" s="204">
        <f t="shared" si="13"/>
        <v>18.2079077630627</v>
      </c>
      <c r="S30" s="200">
        <f t="shared" si="14"/>
        <v>0.10531505334410238</v>
      </c>
      <c r="T30" s="278">
        <f t="shared" si="15"/>
        <v>70.260623961549797</v>
      </c>
      <c r="V30" s="204">
        <f t="shared" si="16"/>
        <v>21.282458837850466</v>
      </c>
      <c r="W30" s="200">
        <f t="shared" si="17"/>
        <v>0.29195635389661462</v>
      </c>
      <c r="X30" s="206">
        <f t="shared" si="18"/>
        <v>77.15588493614284</v>
      </c>
    </row>
    <row r="31" spans="1:24" ht="29.65" customHeight="1" x14ac:dyDescent="0.25">
      <c r="B31" s="207" t="s">
        <v>218</v>
      </c>
      <c r="C31" s="208">
        <f>C16/1000000</f>
        <v>39.702376999999998</v>
      </c>
      <c r="D31" s="284">
        <f>D16/1000000</f>
        <v>292.10970848154938</v>
      </c>
      <c r="E31" s="210"/>
      <c r="F31" s="211">
        <f>F16/1000000</f>
        <v>38.354764850000002</v>
      </c>
      <c r="G31" s="212">
        <f>G16</f>
        <v>-3.3942858131642814E-2</v>
      </c>
      <c r="H31" s="216">
        <f>H16/1000000</f>
        <v>195.64107452413151</v>
      </c>
      <c r="I31" s="210"/>
      <c r="J31" s="211">
        <f>J16/1000000</f>
        <v>34.51928835956101</v>
      </c>
      <c r="K31" s="212">
        <f>K16</f>
        <v>-0.13054857245547261</v>
      </c>
      <c r="L31" s="216">
        <f>L16/1000000</f>
        <v>185.60006171028783</v>
      </c>
      <c r="M31" s="210"/>
      <c r="N31" s="211">
        <f>N16/1000000</f>
        <v>30.683811876508063</v>
      </c>
      <c r="O31" s="212">
        <f>O16</f>
        <v>-0.22715428659326709</v>
      </c>
      <c r="P31" s="216">
        <f>P16/1000000</f>
        <v>171.84721496344179</v>
      </c>
      <c r="R31" s="211">
        <f>R16/1000000</f>
        <v>42.190241307485415</v>
      </c>
      <c r="S31" s="212">
        <f>S16</f>
        <v>6.266285536217181E-2</v>
      </c>
      <c r="T31" s="216">
        <f>T16/1000000</f>
        <v>204.84918554615189</v>
      </c>
      <c r="V31" s="211">
        <f>V16/1000000</f>
        <v>46.025717857409191</v>
      </c>
      <c r="W31" s="212">
        <f>W16</f>
        <v>0.15926857118426924</v>
      </c>
      <c r="X31" s="213">
        <f>X16/1000000</f>
        <v>213.45096549504655</v>
      </c>
    </row>
    <row r="32" spans="1:24" ht="45" x14ac:dyDescent="0.25">
      <c r="B32" s="279" t="s">
        <v>252</v>
      </c>
      <c r="C32" s="208"/>
      <c r="D32" s="209"/>
      <c r="E32" s="210"/>
      <c r="F32" s="211"/>
      <c r="G32" s="212"/>
      <c r="H32" s="281" t="s">
        <v>260</v>
      </c>
      <c r="I32" s="210"/>
      <c r="J32" s="211"/>
      <c r="K32" s="212"/>
      <c r="L32" s="281" t="s">
        <v>261</v>
      </c>
      <c r="M32" s="210"/>
      <c r="N32" s="211"/>
      <c r="O32" s="212"/>
      <c r="P32" s="215" t="s">
        <v>262</v>
      </c>
      <c r="R32" s="211"/>
      <c r="S32" s="212"/>
      <c r="T32" s="281" t="s">
        <v>263</v>
      </c>
      <c r="V32" s="211"/>
      <c r="W32" s="212"/>
      <c r="X32" s="281" t="s">
        <v>264</v>
      </c>
    </row>
    <row r="33" spans="2:24" x14ac:dyDescent="0.25">
      <c r="H33" s="216">
        <f>(H31-$D$31)</f>
        <v>-96.468633957417865</v>
      </c>
      <c r="L33" s="216">
        <f>(L31-$D$31)</f>
        <v>-106.50964677126154</v>
      </c>
      <c r="P33" s="216">
        <f>(P31-$D$31)</f>
        <v>-120.26249351810759</v>
      </c>
      <c r="T33" s="216">
        <f>(T31-$D$31)</f>
        <v>-87.260522935397489</v>
      </c>
      <c r="X33" s="216">
        <f>(X31-$D$31)</f>
        <v>-78.65874298650283</v>
      </c>
    </row>
    <row r="34" spans="2:24" x14ac:dyDescent="0.25">
      <c r="H34" s="280">
        <f>H33/$D$31</f>
        <v>-0.33024795532775364</v>
      </c>
      <c r="L34" s="280">
        <f>L33/$D$31</f>
        <v>-0.36462207067653502</v>
      </c>
      <c r="P34" s="280">
        <f>P33/$D$31</f>
        <v>-0.41170317187764327</v>
      </c>
      <c r="T34" s="280">
        <f>T33/$D$31</f>
        <v>-0.29872517209029753</v>
      </c>
      <c r="X34" s="280">
        <f>X33/$D$31</f>
        <v>-0.26927808526251423</v>
      </c>
    </row>
    <row r="36" spans="2:24" x14ac:dyDescent="0.25">
      <c r="B36" s="548" t="s">
        <v>254</v>
      </c>
      <c r="C36" s="548"/>
      <c r="D36" s="548"/>
      <c r="E36" s="548"/>
      <c r="F36" s="548"/>
      <c r="G36" s="548"/>
      <c r="H36" s="548"/>
      <c r="I36" s="548"/>
      <c r="J36" s="548"/>
      <c r="K36" s="548"/>
      <c r="L36" s="548"/>
      <c r="M36" s="548"/>
      <c r="N36" s="548"/>
      <c r="O36" s="548"/>
      <c r="P36" s="548"/>
      <c r="Q36" s="548"/>
      <c r="R36" s="548"/>
      <c r="S36" s="548"/>
      <c r="T36" s="548"/>
    </row>
    <row r="37" spans="2:24" x14ac:dyDescent="0.25">
      <c r="B37" s="548"/>
      <c r="C37" s="548"/>
      <c r="D37" s="548"/>
      <c r="E37" s="548"/>
      <c r="F37" s="548"/>
      <c r="G37" s="548"/>
      <c r="H37" s="548"/>
      <c r="I37" s="548"/>
      <c r="J37" s="548"/>
      <c r="K37" s="548"/>
      <c r="L37" s="548"/>
      <c r="M37" s="548"/>
      <c r="N37" s="548"/>
      <c r="O37" s="548"/>
      <c r="P37" s="548"/>
      <c r="Q37" s="548"/>
      <c r="R37" s="548"/>
      <c r="S37" s="548"/>
      <c r="T37" s="548"/>
    </row>
    <row r="39" spans="2:24" x14ac:dyDescent="0.25">
      <c r="F39" s="541" t="s">
        <v>243</v>
      </c>
      <c r="G39" s="542"/>
      <c r="H39" s="543"/>
      <c r="I39" s="181"/>
      <c r="J39" s="541" t="s">
        <v>210</v>
      </c>
      <c r="K39" s="542"/>
      <c r="L39" s="543"/>
      <c r="M39" s="181"/>
      <c r="N39" s="541" t="s">
        <v>211</v>
      </c>
      <c r="O39" s="542"/>
      <c r="P39" s="543"/>
      <c r="R39" s="549"/>
      <c r="S39" s="550"/>
      <c r="T39" s="551"/>
    </row>
    <row r="40" spans="2:24" ht="45" x14ac:dyDescent="0.25">
      <c r="B40" s="182" t="s">
        <v>212</v>
      </c>
      <c r="C40" s="97" t="s">
        <v>213</v>
      </c>
      <c r="D40" s="183" t="s">
        <v>214</v>
      </c>
      <c r="E40" s="183"/>
      <c r="F40" s="97" t="s">
        <v>213</v>
      </c>
      <c r="G40" s="183" t="s">
        <v>215</v>
      </c>
      <c r="H40" s="183" t="s">
        <v>216</v>
      </c>
      <c r="I40" s="183"/>
      <c r="J40" s="97" t="s">
        <v>213</v>
      </c>
      <c r="K40" s="183" t="s">
        <v>215</v>
      </c>
      <c r="L40" s="183" t="s">
        <v>216</v>
      </c>
      <c r="N40" s="97" t="s">
        <v>213</v>
      </c>
      <c r="O40" s="183" t="s">
        <v>215</v>
      </c>
      <c r="P40" s="183" t="s">
        <v>216</v>
      </c>
      <c r="R40" s="97" t="s">
        <v>213</v>
      </c>
      <c r="S40" s="183" t="s">
        <v>215</v>
      </c>
      <c r="T40" s="183" t="s">
        <v>216</v>
      </c>
    </row>
    <row r="41" spans="2:24" x14ac:dyDescent="0.25">
      <c r="B41" s="184" t="s">
        <v>225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226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227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238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228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229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230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218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552" t="str">
        <f>B36</f>
        <v>Optimal Channel Spend  allowed to vary between  of the 2021 spend</v>
      </c>
      <c r="G53" s="552"/>
      <c r="H53" s="552"/>
      <c r="I53" s="552"/>
      <c r="J53" s="552"/>
      <c r="K53" s="552"/>
      <c r="L53" s="552"/>
      <c r="M53" s="552"/>
      <c r="N53" s="552"/>
      <c r="O53" s="552"/>
      <c r="P53" s="552"/>
    </row>
    <row r="54" spans="2:20" x14ac:dyDescent="0.25">
      <c r="C54" s="539" t="s">
        <v>244</v>
      </c>
      <c r="D54" s="540"/>
      <c r="E54" s="190"/>
      <c r="F54" s="541" t="str">
        <f>F39</f>
        <v>Current Optimal ($MM)</v>
      </c>
      <c r="G54" s="542"/>
      <c r="H54" s="543"/>
      <c r="I54" s="191"/>
      <c r="J54" s="541" t="str">
        <f>J39</f>
        <v>10% reduction optimal ($)</v>
      </c>
      <c r="K54" s="542"/>
      <c r="L54" s="543"/>
      <c r="M54" s="191"/>
      <c r="N54" s="541" t="str">
        <f>N39</f>
        <v>20% reduction optimal ()</v>
      </c>
      <c r="O54" s="542"/>
      <c r="P54" s="543"/>
      <c r="R54" s="544"/>
      <c r="S54" s="545"/>
      <c r="T54" s="546"/>
    </row>
    <row r="55" spans="2:20" ht="45" x14ac:dyDescent="0.25">
      <c r="B55" s="182" t="s">
        <v>212</v>
      </c>
      <c r="C55" s="193" t="s">
        <v>222</v>
      </c>
      <c r="D55" s="193" t="s">
        <v>220</v>
      </c>
      <c r="E55" s="194"/>
      <c r="F55" s="217" t="s">
        <v>222</v>
      </c>
      <c r="G55" s="193" t="s">
        <v>215</v>
      </c>
      <c r="H55" s="195" t="s">
        <v>216</v>
      </c>
      <c r="I55" s="194"/>
      <c r="J55" s="217" t="s">
        <v>222</v>
      </c>
      <c r="K55" s="193" t="s">
        <v>215</v>
      </c>
      <c r="L55" s="195" t="s">
        <v>216</v>
      </c>
      <c r="M55" s="179"/>
      <c r="N55" s="217" t="s">
        <v>222</v>
      </c>
      <c r="O55" s="193" t="s">
        <v>215</v>
      </c>
      <c r="P55" s="195" t="s">
        <v>216</v>
      </c>
      <c r="R55" s="217" t="s">
        <v>222</v>
      </c>
      <c r="S55" s="193" t="s">
        <v>215</v>
      </c>
      <c r="T55" s="195" t="s">
        <v>216</v>
      </c>
    </row>
    <row r="56" spans="2:20" x14ac:dyDescent="0.25">
      <c r="B56" s="184" t="s">
        <v>155</v>
      </c>
      <c r="C56" s="196">
        <f t="shared" ref="C56:D62" si="26">C41/1000000</f>
        <v>0</v>
      </c>
      <c r="D56" s="197">
        <f t="shared" si="26"/>
        <v>0</v>
      </c>
      <c r="E56" s="198"/>
      <c r="F56" s="199">
        <f t="shared" ref="F56:F62" si="27">F41/1000000</f>
        <v>0</v>
      </c>
      <c r="G56" s="200">
        <f t="shared" ref="G56:G62" si="28">G41</f>
        <v>0</v>
      </c>
      <c r="H56" s="201">
        <f t="shared" ref="H56:H62" si="29">H41/1000000</f>
        <v>0</v>
      </c>
      <c r="I56" s="198"/>
      <c r="J56" s="199">
        <f t="shared" ref="J56:J62" si="30">J41/1000000</f>
        <v>0</v>
      </c>
      <c r="K56" s="200">
        <f t="shared" ref="K56:K62" si="31">K41</f>
        <v>0</v>
      </c>
      <c r="L56" s="201">
        <f t="shared" ref="L56:L62" si="32">L41/1000000</f>
        <v>0</v>
      </c>
      <c r="M56" s="179"/>
      <c r="N56" s="199">
        <f t="shared" ref="N56:N62" si="33">N41/1000000</f>
        <v>0</v>
      </c>
      <c r="O56" s="200">
        <f t="shared" ref="O56:O62" si="34">O41</f>
        <v>0</v>
      </c>
      <c r="P56" s="201">
        <f t="shared" ref="P56:P62" si="35">P41/1000000</f>
        <v>0</v>
      </c>
      <c r="Q56" s="179"/>
      <c r="R56" s="199">
        <f t="shared" ref="R56:R62" si="36">R41/1000000</f>
        <v>0</v>
      </c>
      <c r="S56" s="200">
        <f t="shared" ref="S56:S62" si="37">S41</f>
        <v>0</v>
      </c>
      <c r="T56" s="201">
        <f t="shared" ref="T56:T62" si="38">T41/1000000</f>
        <v>0</v>
      </c>
    </row>
    <row r="57" spans="2:20" x14ac:dyDescent="0.25">
      <c r="B57" s="186" t="s">
        <v>93</v>
      </c>
      <c r="C57" s="202">
        <f t="shared" si="26"/>
        <v>0</v>
      </c>
      <c r="D57" s="203">
        <f t="shared" si="26"/>
        <v>0</v>
      </c>
      <c r="E57" s="198"/>
      <c r="F57" s="204">
        <f t="shared" si="27"/>
        <v>0</v>
      </c>
      <c r="G57" s="205">
        <f t="shared" si="28"/>
        <v>0</v>
      </c>
      <c r="H57" s="206">
        <f t="shared" si="29"/>
        <v>0</v>
      </c>
      <c r="I57" s="198"/>
      <c r="J57" s="204">
        <f t="shared" si="30"/>
        <v>0</v>
      </c>
      <c r="K57" s="205">
        <f t="shared" si="31"/>
        <v>0</v>
      </c>
      <c r="L57" s="206">
        <f t="shared" si="32"/>
        <v>0</v>
      </c>
      <c r="M57" s="179"/>
      <c r="N57" s="204">
        <f t="shared" si="33"/>
        <v>0</v>
      </c>
      <c r="O57" s="205">
        <f t="shared" si="34"/>
        <v>0</v>
      </c>
      <c r="P57" s="206">
        <f t="shared" si="35"/>
        <v>0</v>
      </c>
      <c r="Q57" s="179"/>
      <c r="R57" s="204">
        <f t="shared" si="36"/>
        <v>0</v>
      </c>
      <c r="S57" s="200">
        <f t="shared" si="37"/>
        <v>0</v>
      </c>
      <c r="T57" s="206">
        <f t="shared" si="38"/>
        <v>0</v>
      </c>
    </row>
    <row r="58" spans="2:20" x14ac:dyDescent="0.25">
      <c r="B58" s="186" t="s">
        <v>164</v>
      </c>
      <c r="C58" s="202">
        <f t="shared" si="26"/>
        <v>0</v>
      </c>
      <c r="D58" s="203">
        <f t="shared" si="26"/>
        <v>0</v>
      </c>
      <c r="E58" s="198"/>
      <c r="F58" s="204">
        <f t="shared" si="27"/>
        <v>0</v>
      </c>
      <c r="G58" s="205">
        <f t="shared" si="28"/>
        <v>0</v>
      </c>
      <c r="H58" s="206">
        <f t="shared" si="29"/>
        <v>0</v>
      </c>
      <c r="I58" s="198"/>
      <c r="J58" s="204">
        <f t="shared" si="30"/>
        <v>0</v>
      </c>
      <c r="K58" s="205">
        <f t="shared" si="31"/>
        <v>0</v>
      </c>
      <c r="L58" s="206">
        <f t="shared" si="32"/>
        <v>0</v>
      </c>
      <c r="M58" s="179"/>
      <c r="N58" s="204">
        <f t="shared" si="33"/>
        <v>0</v>
      </c>
      <c r="O58" s="205">
        <f t="shared" si="34"/>
        <v>0</v>
      </c>
      <c r="P58" s="206">
        <f t="shared" si="35"/>
        <v>0</v>
      </c>
      <c r="Q58" s="179"/>
      <c r="R58" s="204">
        <f t="shared" si="36"/>
        <v>0</v>
      </c>
      <c r="S58" s="200">
        <f t="shared" si="37"/>
        <v>0</v>
      </c>
      <c r="T58" s="206">
        <f t="shared" si="38"/>
        <v>0</v>
      </c>
    </row>
    <row r="59" spans="2:20" x14ac:dyDescent="0.25">
      <c r="B59" s="186" t="s">
        <v>165</v>
      </c>
      <c r="C59" s="202">
        <f t="shared" si="26"/>
        <v>0</v>
      </c>
      <c r="D59" s="203">
        <f t="shared" si="26"/>
        <v>0</v>
      </c>
      <c r="E59" s="198"/>
      <c r="F59" s="204">
        <f t="shared" si="27"/>
        <v>0</v>
      </c>
      <c r="G59" s="205">
        <f t="shared" si="28"/>
        <v>0</v>
      </c>
      <c r="H59" s="206">
        <f t="shared" si="29"/>
        <v>0</v>
      </c>
      <c r="I59" s="198"/>
      <c r="J59" s="204">
        <f t="shared" si="30"/>
        <v>0</v>
      </c>
      <c r="K59" s="205">
        <f t="shared" si="31"/>
        <v>0</v>
      </c>
      <c r="L59" s="206">
        <f t="shared" si="32"/>
        <v>0</v>
      </c>
      <c r="M59" s="179"/>
      <c r="N59" s="204">
        <f t="shared" si="33"/>
        <v>0</v>
      </c>
      <c r="O59" s="205">
        <f t="shared" si="34"/>
        <v>0</v>
      </c>
      <c r="P59" s="206">
        <f t="shared" si="35"/>
        <v>0</v>
      </c>
      <c r="Q59" s="179"/>
      <c r="R59" s="204">
        <f t="shared" si="36"/>
        <v>0</v>
      </c>
      <c r="S59" s="200">
        <f t="shared" si="37"/>
        <v>0</v>
      </c>
      <c r="T59" s="206">
        <f t="shared" si="38"/>
        <v>0</v>
      </c>
    </row>
    <row r="60" spans="2:20" x14ac:dyDescent="0.25">
      <c r="B60" s="186" t="s">
        <v>167</v>
      </c>
      <c r="C60" s="202">
        <f t="shared" si="26"/>
        <v>0</v>
      </c>
      <c r="D60" s="203">
        <f t="shared" si="26"/>
        <v>0</v>
      </c>
      <c r="E60" s="198"/>
      <c r="F60" s="204">
        <f t="shared" si="27"/>
        <v>0</v>
      </c>
      <c r="G60" s="205">
        <f t="shared" si="28"/>
        <v>0</v>
      </c>
      <c r="H60" s="206">
        <f t="shared" si="29"/>
        <v>0</v>
      </c>
      <c r="I60" s="198"/>
      <c r="J60" s="204">
        <f t="shared" si="30"/>
        <v>0</v>
      </c>
      <c r="K60" s="205">
        <f t="shared" si="31"/>
        <v>0</v>
      </c>
      <c r="L60" s="206">
        <f t="shared" si="32"/>
        <v>0</v>
      </c>
      <c r="M60" s="179"/>
      <c r="N60" s="204">
        <f t="shared" si="33"/>
        <v>0</v>
      </c>
      <c r="O60" s="205">
        <f t="shared" si="34"/>
        <v>0</v>
      </c>
      <c r="P60" s="206">
        <f t="shared" si="35"/>
        <v>0</v>
      </c>
      <c r="Q60" s="179"/>
      <c r="R60" s="204">
        <f t="shared" si="36"/>
        <v>0</v>
      </c>
      <c r="S60" s="200">
        <f t="shared" si="37"/>
        <v>0</v>
      </c>
      <c r="T60" s="206">
        <f t="shared" si="38"/>
        <v>0</v>
      </c>
    </row>
    <row r="61" spans="2:20" x14ac:dyDescent="0.25">
      <c r="B61" s="186" t="s">
        <v>166</v>
      </c>
      <c r="C61" s="202">
        <f t="shared" si="26"/>
        <v>0</v>
      </c>
      <c r="D61" s="203">
        <f t="shared" si="26"/>
        <v>0</v>
      </c>
      <c r="E61" s="198"/>
      <c r="F61" s="204">
        <f t="shared" si="27"/>
        <v>0</v>
      </c>
      <c r="G61" s="205">
        <f t="shared" si="28"/>
        <v>0</v>
      </c>
      <c r="H61" s="206">
        <f t="shared" si="29"/>
        <v>0</v>
      </c>
      <c r="I61" s="198"/>
      <c r="J61" s="204">
        <f t="shared" si="30"/>
        <v>0</v>
      </c>
      <c r="K61" s="205">
        <f t="shared" si="31"/>
        <v>0</v>
      </c>
      <c r="L61" s="206">
        <f t="shared" si="32"/>
        <v>0</v>
      </c>
      <c r="M61" s="179"/>
      <c r="N61" s="204">
        <f t="shared" si="33"/>
        <v>0</v>
      </c>
      <c r="O61" s="205">
        <f t="shared" si="34"/>
        <v>0</v>
      </c>
      <c r="P61" s="206">
        <f t="shared" si="35"/>
        <v>0</v>
      </c>
      <c r="Q61" s="179"/>
      <c r="R61" s="204">
        <f t="shared" si="36"/>
        <v>0</v>
      </c>
      <c r="S61" s="200">
        <f t="shared" si="37"/>
        <v>0</v>
      </c>
      <c r="T61" s="206">
        <f t="shared" si="38"/>
        <v>0</v>
      </c>
    </row>
    <row r="62" spans="2:20" x14ac:dyDescent="0.25">
      <c r="B62" s="186" t="s">
        <v>162</v>
      </c>
      <c r="C62" s="202">
        <f t="shared" si="26"/>
        <v>0</v>
      </c>
      <c r="D62" s="203">
        <f t="shared" si="26"/>
        <v>0</v>
      </c>
      <c r="E62" s="198"/>
      <c r="F62" s="204">
        <f t="shared" si="27"/>
        <v>0</v>
      </c>
      <c r="G62" s="205">
        <f t="shared" si="28"/>
        <v>0</v>
      </c>
      <c r="H62" s="206">
        <f t="shared" si="29"/>
        <v>0</v>
      </c>
      <c r="I62" s="198"/>
      <c r="J62" s="204">
        <f t="shared" si="30"/>
        <v>0</v>
      </c>
      <c r="K62" s="205">
        <f t="shared" si="31"/>
        <v>0</v>
      </c>
      <c r="L62" s="206">
        <f t="shared" si="32"/>
        <v>0</v>
      </c>
      <c r="M62" s="179"/>
      <c r="N62" s="204">
        <f t="shared" si="33"/>
        <v>0</v>
      </c>
      <c r="O62" s="205">
        <f t="shared" si="34"/>
        <v>0</v>
      </c>
      <c r="P62" s="206">
        <f t="shared" si="35"/>
        <v>0</v>
      </c>
      <c r="Q62" s="179"/>
      <c r="R62" s="204">
        <f t="shared" si="36"/>
        <v>0</v>
      </c>
      <c r="S62" s="200">
        <f t="shared" si="37"/>
        <v>0</v>
      </c>
      <c r="T62" s="206">
        <f t="shared" si="38"/>
        <v>0</v>
      </c>
    </row>
    <row r="63" spans="2:20" x14ac:dyDescent="0.25">
      <c r="B63" s="186" t="s">
        <v>217</v>
      </c>
      <c r="C63" s="202">
        <f t="shared" ref="C63:D64" si="39">C49/1000000</f>
        <v>0</v>
      </c>
      <c r="D63" s="203">
        <f t="shared" si="39"/>
        <v>0</v>
      </c>
      <c r="E63" s="198"/>
      <c r="F63" s="204">
        <f t="shared" ref="F63:F64" si="40">F49/1000000</f>
        <v>0</v>
      </c>
      <c r="G63" s="205">
        <f t="shared" ref="G63" si="41">G49</f>
        <v>0</v>
      </c>
      <c r="H63" s="206">
        <f t="shared" ref="H63:H64" si="42">H49/1000000</f>
        <v>0</v>
      </c>
      <c r="I63" s="198"/>
      <c r="J63" s="204">
        <f t="shared" ref="J63:J64" si="43">J49/1000000</f>
        <v>0</v>
      </c>
      <c r="K63" s="205">
        <f t="shared" ref="K63" si="44">K49</f>
        <v>0</v>
      </c>
      <c r="L63" s="206">
        <f t="shared" ref="L63:L64" si="45">L49/1000000</f>
        <v>0</v>
      </c>
      <c r="M63" s="179"/>
      <c r="N63" s="204">
        <f t="shared" ref="N63:N64" si="46">N49/1000000</f>
        <v>0</v>
      </c>
      <c r="O63" s="205">
        <f t="shared" ref="O63" si="47">O49</f>
        <v>0</v>
      </c>
      <c r="P63" s="206">
        <f t="shared" ref="P63:P64" si="48">P49/1000000</f>
        <v>0</v>
      </c>
      <c r="Q63" s="179"/>
      <c r="R63" s="204">
        <f t="shared" ref="R63:R64" si="49">R49/1000000</f>
        <v>0</v>
      </c>
      <c r="S63" s="200">
        <f t="shared" ref="S63" si="50">S49</f>
        <v>0</v>
      </c>
      <c r="T63" s="206">
        <f t="shared" ref="T63:T64" si="51">T49/1000000</f>
        <v>0</v>
      </c>
    </row>
    <row r="64" spans="2:20" x14ac:dyDescent="0.25">
      <c r="B64" s="207" t="s">
        <v>218</v>
      </c>
      <c r="C64" s="208">
        <f t="shared" si="39"/>
        <v>0</v>
      </c>
      <c r="D64" s="209">
        <f t="shared" si="39"/>
        <v>0</v>
      </c>
      <c r="E64" s="210"/>
      <c r="F64" s="211">
        <f t="shared" si="40"/>
        <v>0</v>
      </c>
      <c r="G64" s="212">
        <f>G50</f>
        <v>-1</v>
      </c>
      <c r="H64" s="213">
        <f t="shared" si="42"/>
        <v>0</v>
      </c>
      <c r="I64" s="210"/>
      <c r="J64" s="211">
        <f t="shared" si="43"/>
        <v>0</v>
      </c>
      <c r="K64" s="212">
        <f>K50</f>
        <v>-1</v>
      </c>
      <c r="L64" s="213">
        <f t="shared" si="45"/>
        <v>0</v>
      </c>
      <c r="M64" s="210"/>
      <c r="N64" s="211">
        <f t="shared" si="46"/>
        <v>0</v>
      </c>
      <c r="O64" s="212">
        <f>O50</f>
        <v>-1</v>
      </c>
      <c r="P64" s="213">
        <f t="shared" si="48"/>
        <v>0</v>
      </c>
      <c r="R64" s="211">
        <f t="shared" si="49"/>
        <v>0</v>
      </c>
      <c r="S64" s="212" t="e">
        <v>#REF!</v>
      </c>
      <c r="T64" s="213">
        <f t="shared" si="51"/>
        <v>0</v>
      </c>
    </row>
    <row r="65" spans="2:20" x14ac:dyDescent="0.25">
      <c r="B65" s="207" t="s">
        <v>221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175"/>
      <c r="J67" s="175"/>
      <c r="K67" s="175"/>
      <c r="L67" s="177" t="e">
        <f>L66/$D$64</f>
        <v>#DIV/0!</v>
      </c>
      <c r="M67" s="175"/>
      <c r="N67" s="175"/>
      <c r="O67" s="175"/>
      <c r="P67" s="177" t="e">
        <f>P66/$D$64</f>
        <v>#DIV/0!</v>
      </c>
      <c r="Q67" s="175"/>
      <c r="R67" s="175"/>
      <c r="S67" s="175"/>
    </row>
  </sheetData>
  <mergeCells count="24"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  <mergeCell ref="F4:P4"/>
    <mergeCell ref="B36:T37"/>
    <mergeCell ref="F39:H39"/>
    <mergeCell ref="J39:L39"/>
    <mergeCell ref="N39:P39"/>
    <mergeCell ref="R39:T39"/>
    <mergeCell ref="C20:D20"/>
    <mergeCell ref="C54:D54"/>
    <mergeCell ref="F54:H54"/>
    <mergeCell ref="J54:L54"/>
    <mergeCell ref="N54:P54"/>
    <mergeCell ref="R54:T54"/>
  </mergeCells>
  <conditionalFormatting sqref="G22:G30">
    <cfRule type="cellIs" dxfId="47" priority="17" operator="lessThan">
      <formula>0</formula>
    </cfRule>
    <cfRule type="cellIs" dxfId="46" priority="18" operator="greaterThan">
      <formula>0</formula>
    </cfRule>
  </conditionalFormatting>
  <conditionalFormatting sqref="K22:K30">
    <cfRule type="cellIs" dxfId="45" priority="15" operator="lessThan">
      <formula>0</formula>
    </cfRule>
    <cfRule type="cellIs" dxfId="44" priority="16" operator="greaterThan">
      <formula>0</formula>
    </cfRule>
  </conditionalFormatting>
  <conditionalFormatting sqref="O22:O30">
    <cfRule type="cellIs" dxfId="43" priority="13" operator="lessThan">
      <formula>0</formula>
    </cfRule>
    <cfRule type="cellIs" dxfId="42" priority="14" operator="greaterThan">
      <formula>0</formula>
    </cfRule>
  </conditionalFormatting>
  <conditionalFormatting sqref="S22:S30">
    <cfRule type="cellIs" dxfId="41" priority="11" operator="lessThan">
      <formula>0</formula>
    </cfRule>
    <cfRule type="cellIs" dxfId="40" priority="12" operator="greaterThan">
      <formula>0</formula>
    </cfRule>
  </conditionalFormatting>
  <conditionalFormatting sqref="G56:G63">
    <cfRule type="cellIs" dxfId="39" priority="9" operator="lessThan">
      <formula>0</formula>
    </cfRule>
    <cfRule type="cellIs" dxfId="38" priority="10" operator="greaterThan">
      <formula>0</formula>
    </cfRule>
  </conditionalFormatting>
  <conditionalFormatting sqref="K56:K63">
    <cfRule type="cellIs" dxfId="37" priority="7" operator="lessThan">
      <formula>0</formula>
    </cfRule>
    <cfRule type="cellIs" dxfId="36" priority="8" operator="greaterThan">
      <formula>0</formula>
    </cfRule>
  </conditionalFormatting>
  <conditionalFormatting sqref="O56:O63">
    <cfRule type="cellIs" dxfId="35" priority="5" operator="lessThan">
      <formula>0</formula>
    </cfRule>
    <cfRule type="cellIs" dxfId="34" priority="6" operator="greaterThan">
      <formula>0</formula>
    </cfRule>
  </conditionalFormatting>
  <conditionalFormatting sqref="S56:S63">
    <cfRule type="cellIs" dxfId="33" priority="3" operator="lessThan">
      <formula>0</formula>
    </cfRule>
    <cfRule type="cellIs" dxfId="32" priority="4" operator="greaterThan">
      <formula>0</formula>
    </cfRule>
  </conditionalFormatting>
  <conditionalFormatting sqref="W22:W30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C7" sqref="C7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10204392</v>
      </c>
      <c r="C3" s="180">
        <f>SUM(D9:D13)</f>
        <v>50133606.969785728</v>
      </c>
    </row>
    <row r="4" spans="1:28" x14ac:dyDescent="0.25">
      <c r="F4" s="547" t="s">
        <v>250</v>
      </c>
      <c r="G4" s="547"/>
      <c r="H4" s="547"/>
      <c r="I4" s="547"/>
      <c r="J4" s="547"/>
      <c r="K4" s="547"/>
      <c r="L4" s="547"/>
      <c r="M4" s="547"/>
      <c r="N4" s="547"/>
      <c r="O4" s="547"/>
      <c r="P4" s="547"/>
    </row>
    <row r="5" spans="1:28" x14ac:dyDescent="0.25">
      <c r="F5" s="541" t="s">
        <v>272</v>
      </c>
      <c r="G5" s="542"/>
      <c r="H5" s="543"/>
      <c r="I5" s="181"/>
      <c r="J5" s="541" t="s">
        <v>278</v>
      </c>
      <c r="K5" s="542"/>
      <c r="L5" s="543"/>
      <c r="M5" s="181"/>
      <c r="N5" s="541" t="s">
        <v>279</v>
      </c>
      <c r="O5" s="542"/>
      <c r="P5" s="543"/>
      <c r="R5" s="541" t="s">
        <v>280</v>
      </c>
      <c r="S5" s="542"/>
      <c r="T5" s="543"/>
      <c r="V5" s="541" t="s">
        <v>281</v>
      </c>
      <c r="W5" s="542"/>
      <c r="X5" s="543"/>
      <c r="Z5" s="97" t="s">
        <v>249</v>
      </c>
    </row>
    <row r="6" spans="1:28" ht="38.1" customHeight="1" x14ac:dyDescent="0.25">
      <c r="B6" s="182" t="s">
        <v>212</v>
      </c>
      <c r="C6" s="97" t="s">
        <v>213</v>
      </c>
      <c r="D6" s="183" t="s">
        <v>214</v>
      </c>
      <c r="E6" s="183"/>
      <c r="F6" s="183" t="s">
        <v>222</v>
      </c>
      <c r="G6" s="183" t="s">
        <v>215</v>
      </c>
      <c r="H6" s="183" t="s">
        <v>216</v>
      </c>
      <c r="I6" s="183"/>
      <c r="J6" s="183" t="s">
        <v>222</v>
      </c>
      <c r="K6" s="183" t="s">
        <v>215</v>
      </c>
      <c r="L6" s="183" t="s">
        <v>216</v>
      </c>
      <c r="N6" s="183" t="s">
        <v>222</v>
      </c>
      <c r="O6" s="183" t="s">
        <v>215</v>
      </c>
      <c r="P6" s="183" t="s">
        <v>216</v>
      </c>
      <c r="R6" s="183" t="s">
        <v>222</v>
      </c>
      <c r="S6" s="183" t="s">
        <v>215</v>
      </c>
      <c r="T6" s="183" t="s">
        <v>216</v>
      </c>
      <c r="V6" s="183" t="s">
        <v>222</v>
      </c>
      <c r="W6" s="183" t="s">
        <v>215</v>
      </c>
      <c r="X6" s="183" t="s">
        <v>216</v>
      </c>
      <c r="Z6" s="183" t="s">
        <v>222</v>
      </c>
      <c r="AA6" s="183" t="s">
        <v>215</v>
      </c>
      <c r="AB6" s="183" t="s">
        <v>216</v>
      </c>
    </row>
    <row r="7" spans="1:28" x14ac:dyDescent="0.25">
      <c r="A7" s="180"/>
      <c r="B7" s="184" t="str">
        <f>VAC_Optim_Scenario!B19</f>
        <v>HCC In Office</v>
      </c>
      <c r="C7" s="185">
        <v>1700000</v>
      </c>
      <c r="D7" s="185">
        <v>11948893.689698888</v>
      </c>
      <c r="E7" s="185"/>
      <c r="F7" s="185">
        <v>1500000</v>
      </c>
      <c r="G7" s="177">
        <v>-0.11764705882352899</v>
      </c>
      <c r="H7" s="185">
        <v>10876906.2138291</v>
      </c>
      <c r="I7" s="185"/>
      <c r="J7" s="185">
        <v>1500000</v>
      </c>
      <c r="K7" s="177">
        <v>-0.11764705882352899</v>
      </c>
      <c r="L7" s="185">
        <v>10876906.2138291</v>
      </c>
      <c r="N7" s="185">
        <v>1500000</v>
      </c>
      <c r="O7" s="177">
        <v>-0.11764705882352899</v>
      </c>
      <c r="P7" s="185">
        <v>10876906.2138291</v>
      </c>
      <c r="R7" s="185">
        <v>1500000</v>
      </c>
      <c r="S7" s="177">
        <v>-0.11764705882352899</v>
      </c>
      <c r="T7" s="185">
        <v>10876906.2138291</v>
      </c>
      <c r="V7" s="185">
        <v>1999999.9999999001</v>
      </c>
      <c r="W7" s="177">
        <v>0.17647058823523601</v>
      </c>
      <c r="X7" s="185">
        <v>13424538.4613891</v>
      </c>
      <c r="Z7" s="185">
        <f>VAC_Optim_Scenario!$H49</f>
        <v>1286234.2842082002</v>
      </c>
      <c r="AA7" s="177">
        <f>(Z7-$C7)/$C7</f>
        <v>-0.24339159752458814</v>
      </c>
      <c r="AB7" s="185">
        <f>VAC_Optim_Scenario!$J49</f>
        <v>6145593.0138865588</v>
      </c>
    </row>
    <row r="8" spans="1:28" x14ac:dyDescent="0.25">
      <c r="A8" s="180"/>
      <c r="B8" s="184" t="str">
        <f>VAC_Optim_Scenario!B20</f>
        <v>HCP MCM</v>
      </c>
      <c r="C8" s="185">
        <v>5743880</v>
      </c>
      <c r="D8" s="185">
        <v>80807593.323891282</v>
      </c>
      <c r="E8" s="185"/>
      <c r="F8" s="185">
        <v>5717757.3654969297</v>
      </c>
      <c r="G8" s="177">
        <v>-4.5479074254800803E-3</v>
      </c>
      <c r="H8" s="185">
        <v>80610921.475562394</v>
      </c>
      <c r="I8" s="185"/>
      <c r="J8" s="185">
        <v>5383977.6643618997</v>
      </c>
      <c r="K8" s="177">
        <v>-6.26584008785184E-2</v>
      </c>
      <c r="L8" s="185">
        <v>78003621.173606202</v>
      </c>
      <c r="N8" s="185">
        <v>4239909.8</v>
      </c>
      <c r="O8" s="177">
        <v>-0.26183872225742899</v>
      </c>
      <c r="P8" s="185">
        <v>67599734.874740198</v>
      </c>
      <c r="R8" s="185">
        <v>6459284.8343797699</v>
      </c>
      <c r="S8" s="177">
        <v>0.12455079743653701</v>
      </c>
      <c r="T8" s="185">
        <v>85805345.146057501</v>
      </c>
      <c r="V8" s="185">
        <v>6700000</v>
      </c>
      <c r="W8" s="177">
        <v>0.16645890930869001</v>
      </c>
      <c r="X8" s="185">
        <v>87328998.526596501</v>
      </c>
      <c r="Z8" s="185">
        <f>VAC_Optim_Scenario!$H50</f>
        <v>11106528.099963542</v>
      </c>
      <c r="AA8" s="177">
        <f t="shared" ref="AA8:AA15" si="0">(Z8-$C8)/$C8</f>
        <v>0.93362815726713333</v>
      </c>
      <c r="AB8" s="185">
        <f>VAC_Optim_Scenario!$J50</f>
        <v>95974816.760333344</v>
      </c>
    </row>
    <row r="9" spans="1:28" x14ac:dyDescent="0.25">
      <c r="A9" s="180"/>
      <c r="B9" s="184" t="str">
        <f>VAC_Optim_Scenario!B21</f>
        <v>HCC Social</v>
      </c>
      <c r="C9" s="185">
        <v>1700000</v>
      </c>
      <c r="D9" s="185">
        <v>13043399.570972564</v>
      </c>
      <c r="E9" s="185"/>
      <c r="F9" s="185">
        <v>1540000</v>
      </c>
      <c r="G9" s="177">
        <v>-9.41176470588235E-2</v>
      </c>
      <c r="H9" s="185">
        <v>12292320.588962801</v>
      </c>
      <c r="I9" s="185"/>
      <c r="J9" s="185">
        <v>1540000</v>
      </c>
      <c r="K9" s="177">
        <v>-9.41176470588235E-2</v>
      </c>
      <c r="L9" s="185">
        <v>12292320.588962801</v>
      </c>
      <c r="N9" s="185">
        <v>1540000</v>
      </c>
      <c r="O9" s="177">
        <v>-9.41176470588235E-2</v>
      </c>
      <c r="P9" s="185">
        <v>12292320.588962801</v>
      </c>
      <c r="R9" s="185">
        <v>1540000</v>
      </c>
      <c r="S9" s="177">
        <v>-9.41176470588235E-2</v>
      </c>
      <c r="T9" s="185">
        <v>12292320.588962801</v>
      </c>
      <c r="V9" s="185">
        <v>2276766.2000001301</v>
      </c>
      <c r="W9" s="177">
        <v>0.33927423529419198</v>
      </c>
      <c r="X9" s="185">
        <v>15542200.4946498</v>
      </c>
      <c r="Z9" s="185">
        <f>VAC_Optim_Scenario!$H51</f>
        <v>4473746.1544590266</v>
      </c>
      <c r="AA9" s="177">
        <f t="shared" si="0"/>
        <v>1.6316153849758981</v>
      </c>
      <c r="AB9" s="185">
        <f>VAC_Optim_Scenario!$J51</f>
        <v>27140417.351082891</v>
      </c>
    </row>
    <row r="10" spans="1:28" x14ac:dyDescent="0.25">
      <c r="A10" s="180"/>
      <c r="B10" s="184" t="str">
        <f>VAC_Optim_Scenario!B22</f>
        <v>HCC Online Video</v>
      </c>
      <c r="C10" s="185">
        <v>500000</v>
      </c>
      <c r="D10" s="185">
        <v>4153892.1957701114</v>
      </c>
      <c r="E10" s="185"/>
      <c r="F10" s="185">
        <v>522669.64779516403</v>
      </c>
      <c r="G10" s="177">
        <v>4.5339295590327698E-2</v>
      </c>
      <c r="H10" s="185">
        <v>4325697.6449485198</v>
      </c>
      <c r="I10" s="185"/>
      <c r="J10" s="185">
        <v>400000</v>
      </c>
      <c r="K10" s="177">
        <v>-0.2</v>
      </c>
      <c r="L10" s="185">
        <v>3379679.64757735</v>
      </c>
      <c r="N10" s="185">
        <v>400000</v>
      </c>
      <c r="O10" s="177">
        <v>-0.2</v>
      </c>
      <c r="P10" s="185">
        <v>3379679.64757735</v>
      </c>
      <c r="R10" s="185">
        <v>958286.18466166104</v>
      </c>
      <c r="S10" s="177">
        <v>0.91657236932332198</v>
      </c>
      <c r="T10" s="185">
        <v>7377156.6047256002</v>
      </c>
      <c r="V10" s="185">
        <v>1199999.99999998</v>
      </c>
      <c r="W10" s="177">
        <v>1.3999999999999599</v>
      </c>
      <c r="X10" s="185">
        <v>8880915.4732986707</v>
      </c>
      <c r="Z10" s="185">
        <f>VAC_Optim_Scenario!$H52</f>
        <v>1000000</v>
      </c>
      <c r="AA10" s="177">
        <f t="shared" si="0"/>
        <v>1</v>
      </c>
      <c r="AB10" s="185">
        <f>VAC_Optim_Scenario!$J52</f>
        <v>3357832.8692201264</v>
      </c>
    </row>
    <row r="11" spans="1:28" x14ac:dyDescent="0.25">
      <c r="A11" s="180"/>
      <c r="B11" s="184" t="str">
        <f>VAC_Optim_Scenario!B23</f>
        <v>HCC Streaming Video</v>
      </c>
      <c r="C11" s="185">
        <v>6089896</v>
      </c>
      <c r="D11" s="185">
        <v>20251248.243479468</v>
      </c>
      <c r="E11" s="185"/>
      <c r="F11" s="185">
        <v>6089895.3063839599</v>
      </c>
      <c r="G11" s="177">
        <v>-1.13896204016787E-7</v>
      </c>
      <c r="H11" s="185">
        <v>20251246.628901199</v>
      </c>
      <c r="I11" s="185"/>
      <c r="J11" s="185">
        <v>6089895.3623382999</v>
      </c>
      <c r="K11" s="177">
        <v>-1.04708142668715E-7</v>
      </c>
      <c r="L11" s="185">
        <v>20251246.759149998</v>
      </c>
      <c r="N11" s="185">
        <v>6089895</v>
      </c>
      <c r="O11" s="177">
        <v>-1.6420641666130301E-7</v>
      </c>
      <c r="P11" s="185">
        <v>20251245.915709998</v>
      </c>
      <c r="R11" s="185">
        <v>6089895.4336254699</v>
      </c>
      <c r="S11" s="177">
        <v>-9.3002332838039298E-8</v>
      </c>
      <c r="T11" s="185">
        <v>20251246.925090101</v>
      </c>
      <c r="V11" s="185">
        <v>6089895</v>
      </c>
      <c r="W11" s="177">
        <v>-1.6420641666130301E-7</v>
      </c>
      <c r="X11" s="185">
        <v>20251245.915709998</v>
      </c>
      <c r="Z11" s="185">
        <f>VAC_Optim_Scenario!$H53</f>
        <v>6538144.1197205177</v>
      </c>
      <c r="AA11" s="177">
        <f t="shared" si="0"/>
        <v>7.3605217514472771E-2</v>
      </c>
      <c r="AB11" s="185">
        <f>VAC_Optim_Scenario!$J53</f>
        <v>33997992.026226372</v>
      </c>
    </row>
    <row r="12" spans="1:28" x14ac:dyDescent="0.25">
      <c r="A12" s="180"/>
      <c r="B12" s="184" t="str">
        <f>VAC_Optim_Scenario!B24</f>
        <v>HCC Display</v>
      </c>
      <c r="C12" s="185">
        <v>1314496</v>
      </c>
      <c r="D12" s="185">
        <v>12154827.131415794</v>
      </c>
      <c r="E12" s="185"/>
      <c r="F12" s="185">
        <v>1486857.76053572</v>
      </c>
      <c r="G12" s="177">
        <v>0.13112383798483901</v>
      </c>
      <c r="H12" s="185">
        <v>13483325.2911082</v>
      </c>
      <c r="I12" s="185"/>
      <c r="J12" s="185">
        <v>1204199.7439526799</v>
      </c>
      <c r="K12" s="177">
        <v>-8.3907639161561798E-2</v>
      </c>
      <c r="L12" s="185">
        <v>11275357.081743199</v>
      </c>
      <c r="N12" s="185">
        <v>1051596.8</v>
      </c>
      <c r="O12" s="177">
        <v>-0.2</v>
      </c>
      <c r="P12" s="185">
        <v>10019492.349713501</v>
      </c>
      <c r="R12" s="185">
        <v>1900000</v>
      </c>
      <c r="S12" s="177">
        <v>0.44542090656799299</v>
      </c>
      <c r="T12" s="185">
        <v>16451797.4520192</v>
      </c>
      <c r="V12" s="185">
        <v>1899999.99999999</v>
      </c>
      <c r="W12" s="177">
        <v>0.445420906567982</v>
      </c>
      <c r="X12" s="185">
        <v>16451797.4520192</v>
      </c>
      <c r="Z12" s="185">
        <f>VAC_Optim_Scenario!$H54</f>
        <v>5208923.3353606053</v>
      </c>
      <c r="AA12" s="177">
        <f t="shared" si="0"/>
        <v>2.9626772050737356</v>
      </c>
      <c r="AB12" s="185">
        <f>VAC_Optim_Scenario!$J54</f>
        <v>47268196.005025417</v>
      </c>
    </row>
    <row r="13" spans="1:28" x14ac:dyDescent="0.25">
      <c r="A13" s="180"/>
      <c r="B13" s="184" t="str">
        <f>VAC_Optim_Scenario!B25</f>
        <v>HCC Paid Search</v>
      </c>
      <c r="C13" s="185">
        <v>600000</v>
      </c>
      <c r="D13" s="185">
        <v>530239.82814778807</v>
      </c>
      <c r="E13" s="185"/>
      <c r="F13" s="185">
        <v>420000</v>
      </c>
      <c r="G13" s="177">
        <v>-0.3</v>
      </c>
      <c r="H13" s="185">
        <v>413086.47325189703</v>
      </c>
      <c r="I13" s="185"/>
      <c r="J13" s="185">
        <v>420000</v>
      </c>
      <c r="K13" s="177">
        <v>-0.3</v>
      </c>
      <c r="L13" s="185">
        <v>413086.47325189703</v>
      </c>
      <c r="N13" s="185">
        <v>420000</v>
      </c>
      <c r="O13" s="177">
        <v>-0.3</v>
      </c>
      <c r="P13" s="185">
        <v>413086.47325189703</v>
      </c>
      <c r="R13" s="185">
        <v>420000</v>
      </c>
      <c r="S13" s="177">
        <v>-0.3</v>
      </c>
      <c r="T13" s="185">
        <v>413086.47325189703</v>
      </c>
      <c r="V13" s="185">
        <v>420000</v>
      </c>
      <c r="W13" s="177">
        <v>-0.3</v>
      </c>
      <c r="X13" s="185">
        <v>413086.47325189703</v>
      </c>
      <c r="Z13" s="185">
        <f>VAC_Optim_Scenario!$H55</f>
        <v>400000</v>
      </c>
      <c r="AA13" s="177">
        <f t="shared" si="0"/>
        <v>-0.33333333333333331</v>
      </c>
      <c r="AB13" s="185">
        <f>VAC_Optim_Scenario!$J55</f>
        <v>32769965.884320233</v>
      </c>
    </row>
    <row r="14" spans="1:28" x14ac:dyDescent="0.25">
      <c r="A14" s="180"/>
      <c r="B14" s="184" t="str">
        <f>VAC_Optim_Scenario!B26</f>
        <v>HCC Audio</v>
      </c>
      <c r="C14" s="185">
        <v>1500000</v>
      </c>
      <c r="D14" s="185">
        <v>20616887.753370155</v>
      </c>
      <c r="E14" s="185"/>
      <c r="F14" s="185">
        <v>1871092.8703598899</v>
      </c>
      <c r="G14" s="177">
        <v>0.24739524690659501</v>
      </c>
      <c r="H14" s="185">
        <v>23541035.236405302</v>
      </c>
      <c r="I14" s="185"/>
      <c r="J14" s="185">
        <v>1578683.73716889</v>
      </c>
      <c r="K14" s="177">
        <v>5.2455824779258003E-2</v>
      </c>
      <c r="L14" s="185">
        <v>21259127.279598299</v>
      </c>
      <c r="N14" s="185">
        <v>1500000</v>
      </c>
      <c r="O14" s="177">
        <v>0</v>
      </c>
      <c r="P14" s="185">
        <v>20616887.753370199</v>
      </c>
      <c r="R14" s="185">
        <v>2000000</v>
      </c>
      <c r="S14" s="177">
        <v>0.33333333333333298</v>
      </c>
      <c r="T14" s="185">
        <v>24501143.189844601</v>
      </c>
      <c r="V14" s="185">
        <v>2000000</v>
      </c>
      <c r="W14" s="177">
        <v>0.33333333333333298</v>
      </c>
      <c r="X14" s="185">
        <v>24501143.189844601</v>
      </c>
      <c r="Z14" s="185">
        <f>VAC_Optim_Scenario!$H56</f>
        <v>4800000</v>
      </c>
      <c r="AA14" s="177">
        <f t="shared" si="0"/>
        <v>2.2000000000000002</v>
      </c>
      <c r="AB14" s="185">
        <f>VAC_Optim_Scenario!$J56</f>
        <v>32875287.531392161</v>
      </c>
    </row>
    <row r="15" spans="1:28" x14ac:dyDescent="0.25">
      <c r="A15" s="180"/>
      <c r="B15" s="184" t="str">
        <f>VAC_Optim_Scenario!B27</f>
        <v>HCC TV</v>
      </c>
      <c r="C15" s="185">
        <v>15235607.800000001</v>
      </c>
      <c r="D15" s="185">
        <v>62768371.376101136</v>
      </c>
      <c r="E15" s="185"/>
      <c r="F15" s="185">
        <v>15235607.049428299</v>
      </c>
      <c r="G15" s="177">
        <v>-4.92643077799188E-8</v>
      </c>
      <c r="H15" s="185">
        <v>62768369.211532898</v>
      </c>
      <c r="I15" s="185"/>
      <c r="J15" s="185">
        <v>15235607.092178199</v>
      </c>
      <c r="K15" s="177">
        <v>-4.6458387412666901E-8</v>
      </c>
      <c r="L15" s="185">
        <v>62768369.334818996</v>
      </c>
      <c r="N15" s="185">
        <v>15235606.800000001</v>
      </c>
      <c r="O15" s="177">
        <v>-6.5635714250927397E-8</v>
      </c>
      <c r="P15" s="185">
        <v>62768368.492208302</v>
      </c>
      <c r="R15" s="185">
        <v>15235607.547333101</v>
      </c>
      <c r="S15" s="177">
        <v>-1.6583972689274701E-8</v>
      </c>
      <c r="T15" s="185">
        <v>62768370.647436902</v>
      </c>
      <c r="V15" s="185">
        <v>15235606.800000001</v>
      </c>
      <c r="W15" s="177">
        <v>-6.5635714250927397E-8</v>
      </c>
      <c r="X15" s="185">
        <v>62768368.492208302</v>
      </c>
      <c r="Z15" s="185">
        <f>VAC_Optim_Scenario!$H57</f>
        <v>16888801</v>
      </c>
      <c r="AA15" s="177">
        <f t="shared" si="0"/>
        <v>0.10850851647677615</v>
      </c>
      <c r="AB15" s="185">
        <f>VAC_Optim_Scenario!$J57</f>
        <v>67034177.652868718</v>
      </c>
    </row>
    <row r="16" spans="1:28" ht="34.35" customHeight="1" x14ac:dyDescent="0.25">
      <c r="B16" s="187" t="s">
        <v>218</v>
      </c>
      <c r="C16" s="188">
        <f>SUM(C7:C15)</f>
        <v>34383879.799999997</v>
      </c>
      <c r="D16" s="188">
        <f>SUM(D7:D15)</f>
        <v>226275353.11284721</v>
      </c>
      <c r="E16" s="179"/>
      <c r="F16" s="188">
        <f>SUM(F7:F15)</f>
        <v>34383879.999999963</v>
      </c>
      <c r="G16" s="189">
        <f>(F16-$C$16)/$C$16</f>
        <v>5.8166782483729267E-9</v>
      </c>
      <c r="H16" s="188">
        <f>SUM(H7:H15)</f>
        <v>228562908.76450232</v>
      </c>
      <c r="I16" s="179"/>
      <c r="J16" s="188">
        <f>SUM(J7:J15)</f>
        <v>33352363.599999968</v>
      </c>
      <c r="K16" s="189">
        <f>(J16-$C$16)/$C$16</f>
        <v>-2.9999994357821979E-2</v>
      </c>
      <c r="L16" s="188">
        <f>SUM(L7:L15)</f>
        <v>220519714.55253786</v>
      </c>
      <c r="M16" s="179"/>
      <c r="N16" s="188">
        <f>SUM(N7:N15)</f>
        <v>31977008.400000002</v>
      </c>
      <c r="O16" s="189">
        <f>(N16-$C$16)/$C$16</f>
        <v>-6.9999994590488154E-2</v>
      </c>
      <c r="P16" s="188">
        <f>SUM(P7:P15)</f>
        <v>208217722.30936337</v>
      </c>
      <c r="Q16" s="179"/>
      <c r="R16" s="188">
        <f>SUM(R7:R15)</f>
        <v>36103074</v>
      </c>
      <c r="S16" s="189">
        <f>(R16-$C$16)/$C$16</f>
        <v>5.0000006107513296E-2</v>
      </c>
      <c r="T16" s="188">
        <f>SUM(T7:T15)</f>
        <v>240737373.24121773</v>
      </c>
      <c r="V16" s="188">
        <f>SUM(V7:V15)</f>
        <v>37822268</v>
      </c>
      <c r="W16" s="189">
        <f>(V16-$C$16)/$C$16</f>
        <v>0.10000000639834726</v>
      </c>
      <c r="X16" s="188">
        <f>SUM(X7:X15)</f>
        <v>249562294.47896805</v>
      </c>
      <c r="Z16" s="188">
        <f>SUM(Z7:Z15)</f>
        <v>51702376.993711889</v>
      </c>
      <c r="AA16" s="189">
        <f>(Z16-$C$16)/$C$16</f>
        <v>0.50368071591827435</v>
      </c>
      <c r="AB16" s="188">
        <f>SUM(AB7:AB15)</f>
        <v>346564279.09435582</v>
      </c>
    </row>
    <row r="17" spans="1:28" x14ac:dyDescent="0.25">
      <c r="D17" s="97">
        <f>D16/C16</f>
        <v>6.58085575068952</v>
      </c>
    </row>
    <row r="19" spans="1:28" ht="26.85" customHeight="1" x14ac:dyDescent="0.25">
      <c r="F19" s="547" t="str">
        <f>F4</f>
        <v>Optimal channel spend allowed to vary between +/- 30% of the 2021 channel spend</v>
      </c>
      <c r="G19" s="547"/>
      <c r="H19" s="547"/>
      <c r="I19" s="547"/>
      <c r="J19" s="547"/>
      <c r="K19" s="547"/>
      <c r="L19" s="547"/>
      <c r="M19" s="547"/>
      <c r="N19" s="547"/>
      <c r="O19" s="547"/>
      <c r="P19" s="547"/>
    </row>
    <row r="20" spans="1:28" ht="30.4" customHeight="1" x14ac:dyDescent="0.25">
      <c r="C20" s="539" t="s">
        <v>269</v>
      </c>
      <c r="D20" s="540"/>
      <c r="E20" s="190"/>
      <c r="F20" s="541" t="str">
        <f>F5</f>
        <v>Current Optimal ($34MM)</v>
      </c>
      <c r="G20" s="542"/>
      <c r="H20" s="543"/>
      <c r="I20" s="191"/>
      <c r="J20" s="541" t="str">
        <f>J5</f>
        <v>3% reduction optimal ($33M)</v>
      </c>
      <c r="K20" s="542"/>
      <c r="L20" s="543"/>
      <c r="M20" s="191"/>
      <c r="N20" s="541" t="str">
        <f>N5</f>
        <v>7% reduction optimal ($32M)</v>
      </c>
      <c r="O20" s="542"/>
      <c r="P20" s="543"/>
      <c r="R20" s="541" t="str">
        <f>R5</f>
        <v>5% increase optimal ($36M)</v>
      </c>
      <c r="S20" s="542"/>
      <c r="T20" s="543"/>
      <c r="V20" s="541" t="str">
        <f>V5</f>
        <v>10% increase optimal ($38M)</v>
      </c>
      <c r="W20" s="542"/>
      <c r="X20" s="543"/>
    </row>
    <row r="21" spans="1:28" ht="45" x14ac:dyDescent="0.25">
      <c r="B21" s="182" t="s">
        <v>212</v>
      </c>
      <c r="C21" s="192" t="s">
        <v>219</v>
      </c>
      <c r="D21" s="193" t="s">
        <v>220</v>
      </c>
      <c r="E21" s="194"/>
      <c r="F21" s="217" t="s">
        <v>222</v>
      </c>
      <c r="G21" s="193" t="s">
        <v>215</v>
      </c>
      <c r="H21" s="195" t="s">
        <v>216</v>
      </c>
      <c r="I21" s="194"/>
      <c r="J21" s="217" t="s">
        <v>222</v>
      </c>
      <c r="K21" s="193" t="s">
        <v>215</v>
      </c>
      <c r="L21" s="195" t="s">
        <v>216</v>
      </c>
      <c r="M21" s="179"/>
      <c r="N21" s="217" t="s">
        <v>222</v>
      </c>
      <c r="O21" s="193" t="s">
        <v>215</v>
      </c>
      <c r="P21" s="195" t="s">
        <v>216</v>
      </c>
      <c r="R21" s="217" t="s">
        <v>222</v>
      </c>
      <c r="S21" s="193" t="s">
        <v>215</v>
      </c>
      <c r="T21" s="195" t="s">
        <v>216</v>
      </c>
      <c r="V21" s="217" t="s">
        <v>222</v>
      </c>
      <c r="W21" s="193" t="s">
        <v>215</v>
      </c>
      <c r="X21" s="195" t="s">
        <v>216</v>
      </c>
    </row>
    <row r="22" spans="1:28" x14ac:dyDescent="0.25">
      <c r="A22" s="172">
        <f>D22/C22</f>
        <v>7.0287609939405229</v>
      </c>
      <c r="B22" s="184" t="str">
        <f>B7</f>
        <v>HCC In Office</v>
      </c>
      <c r="C22" s="196">
        <f>C7/1000000</f>
        <v>1.7</v>
      </c>
      <c r="D22" s="282">
        <f>D7/1000000</f>
        <v>11.948893689698888</v>
      </c>
      <c r="E22" s="198"/>
      <c r="F22" s="199">
        <f>F7/1000000</f>
        <v>1.5</v>
      </c>
      <c r="G22" s="200">
        <f>G7</f>
        <v>-0.11764705882352899</v>
      </c>
      <c r="H22" s="277">
        <f>H7/1000000</f>
        <v>10.8769062138291</v>
      </c>
      <c r="I22" s="198"/>
      <c r="J22" s="199">
        <f>J7/1000000</f>
        <v>1.5</v>
      </c>
      <c r="K22" s="200">
        <f>K7</f>
        <v>-0.11764705882352899</v>
      </c>
      <c r="L22" s="277">
        <f>L7/1000000</f>
        <v>10.8769062138291</v>
      </c>
      <c r="M22" s="179"/>
      <c r="N22" s="199">
        <f>N7/1000000</f>
        <v>1.5</v>
      </c>
      <c r="O22" s="200">
        <f>O7</f>
        <v>-0.11764705882352899</v>
      </c>
      <c r="P22" s="277">
        <f>P7/1000000</f>
        <v>10.8769062138291</v>
      </c>
      <c r="Q22" s="179"/>
      <c r="R22" s="199">
        <f>R7/1000000</f>
        <v>1.5</v>
      </c>
      <c r="S22" s="200">
        <f>S7</f>
        <v>-0.11764705882352899</v>
      </c>
      <c r="T22" s="277">
        <f>T7/1000000</f>
        <v>10.8769062138291</v>
      </c>
      <c r="V22" s="199">
        <f>V7/1000000</f>
        <v>1.9999999999999001</v>
      </c>
      <c r="W22" s="200">
        <f>W7</f>
        <v>0.17647058823523601</v>
      </c>
      <c r="X22" s="201">
        <f>X7/1000000</f>
        <v>13.424538461389099</v>
      </c>
    </row>
    <row r="23" spans="1:28" x14ac:dyDescent="0.25">
      <c r="A23" s="172">
        <f t="shared" ref="A23:A30" si="1">D23/C23</f>
        <v>14.068468234693498</v>
      </c>
      <c r="B23" s="184" t="str">
        <f t="shared" ref="B23:B30" si="2">B8</f>
        <v>HCP MCM</v>
      </c>
      <c r="C23" s="202">
        <f t="shared" ref="C23:D30" si="3">C8/1000000</f>
        <v>5.7438799999999999</v>
      </c>
      <c r="D23" s="283">
        <f t="shared" si="3"/>
        <v>80.807593323891282</v>
      </c>
      <c r="E23" s="198"/>
      <c r="F23" s="204">
        <f t="shared" ref="F23:F30" si="4">F8/1000000</f>
        <v>5.7177573654969294</v>
      </c>
      <c r="G23" s="205">
        <f t="shared" ref="G23:G30" si="5">G8</f>
        <v>-4.5479074254800803E-3</v>
      </c>
      <c r="H23" s="278">
        <f t="shared" ref="H23:H30" si="6">H8/1000000</f>
        <v>80.610921475562392</v>
      </c>
      <c r="I23" s="198"/>
      <c r="J23" s="204">
        <f t="shared" ref="J23:J30" si="7">J8/1000000</f>
        <v>5.3839776643618995</v>
      </c>
      <c r="K23" s="205">
        <f t="shared" ref="K23:K30" si="8">K8</f>
        <v>-6.26584008785184E-2</v>
      </c>
      <c r="L23" s="278">
        <f t="shared" ref="L23:L30" si="9">L8/1000000</f>
        <v>78.003621173606206</v>
      </c>
      <c r="M23" s="179"/>
      <c r="N23" s="204">
        <f t="shared" ref="N23:N30" si="10">N8/1000000</f>
        <v>4.2399097999999995</v>
      </c>
      <c r="O23" s="205">
        <f t="shared" ref="O23:O30" si="11">O8</f>
        <v>-0.26183872225742899</v>
      </c>
      <c r="P23" s="278">
        <f t="shared" ref="P23:P30" si="12">P8/1000000</f>
        <v>67.599734874740193</v>
      </c>
      <c r="Q23" s="179"/>
      <c r="R23" s="204">
        <f t="shared" ref="R23:R30" si="13">R8/1000000</f>
        <v>6.45928483437977</v>
      </c>
      <c r="S23" s="200">
        <f t="shared" ref="S23:S30" si="14">S8</f>
        <v>0.12455079743653701</v>
      </c>
      <c r="T23" s="278">
        <f t="shared" ref="T23:T30" si="15">T8/1000000</f>
        <v>85.805345146057505</v>
      </c>
      <c r="V23" s="204">
        <f t="shared" ref="V23:V30" si="16">V8/1000000</f>
        <v>6.7</v>
      </c>
      <c r="W23" s="200">
        <f t="shared" ref="W23:W30" si="17">W8</f>
        <v>0.16645890930869001</v>
      </c>
      <c r="X23" s="206">
        <f t="shared" ref="X23:X30" si="18">X8/1000000</f>
        <v>87.328998526596507</v>
      </c>
      <c r="AB23" s="97">
        <f>29/11</f>
        <v>2.6363636363636362</v>
      </c>
    </row>
    <row r="24" spans="1:28" x14ac:dyDescent="0.25">
      <c r="A24" s="172">
        <f t="shared" si="1"/>
        <v>7.6725879829250383</v>
      </c>
      <c r="B24" s="184" t="str">
        <f t="shared" si="2"/>
        <v>HCC Social</v>
      </c>
      <c r="C24" s="202">
        <f t="shared" si="3"/>
        <v>1.7</v>
      </c>
      <c r="D24" s="283">
        <f t="shared" si="3"/>
        <v>13.043399570972564</v>
      </c>
      <c r="E24" s="198"/>
      <c r="F24" s="204">
        <f t="shared" si="4"/>
        <v>1.54</v>
      </c>
      <c r="G24" s="205">
        <f t="shared" si="5"/>
        <v>-9.41176470588235E-2</v>
      </c>
      <c r="H24" s="278">
        <f t="shared" si="6"/>
        <v>12.2923205889628</v>
      </c>
      <c r="I24" s="198"/>
      <c r="J24" s="204">
        <f t="shared" si="7"/>
        <v>1.54</v>
      </c>
      <c r="K24" s="205">
        <f t="shared" si="8"/>
        <v>-9.41176470588235E-2</v>
      </c>
      <c r="L24" s="278">
        <f t="shared" si="9"/>
        <v>12.2923205889628</v>
      </c>
      <c r="M24" s="179"/>
      <c r="N24" s="204">
        <f t="shared" si="10"/>
        <v>1.54</v>
      </c>
      <c r="O24" s="205">
        <f t="shared" si="11"/>
        <v>-9.41176470588235E-2</v>
      </c>
      <c r="P24" s="278">
        <f t="shared" si="12"/>
        <v>12.2923205889628</v>
      </c>
      <c r="Q24" s="179"/>
      <c r="R24" s="204">
        <f t="shared" si="13"/>
        <v>1.54</v>
      </c>
      <c r="S24" s="200">
        <f t="shared" si="14"/>
        <v>-9.41176470588235E-2</v>
      </c>
      <c r="T24" s="278">
        <f t="shared" si="15"/>
        <v>12.2923205889628</v>
      </c>
      <c r="V24" s="204">
        <f t="shared" si="16"/>
        <v>2.2767662000001301</v>
      </c>
      <c r="W24" s="200">
        <f t="shared" si="17"/>
        <v>0.33927423529419198</v>
      </c>
      <c r="X24" s="206">
        <f t="shared" si="18"/>
        <v>15.5422004946498</v>
      </c>
      <c r="AB24" s="97">
        <f>14.8/8.3</f>
        <v>1.7831325301204819</v>
      </c>
    </row>
    <row r="25" spans="1:28" x14ac:dyDescent="0.25">
      <c r="A25" s="172">
        <f t="shared" si="1"/>
        <v>8.3077843915402223</v>
      </c>
      <c r="B25" s="184" t="str">
        <f t="shared" si="2"/>
        <v>HCC Online Video</v>
      </c>
      <c r="C25" s="202">
        <f t="shared" si="3"/>
        <v>0.5</v>
      </c>
      <c r="D25" s="283">
        <f t="shared" si="3"/>
        <v>4.1538921957701112</v>
      </c>
      <c r="E25" s="198"/>
      <c r="F25" s="204">
        <f t="shared" si="4"/>
        <v>0.52266964779516401</v>
      </c>
      <c r="G25" s="205">
        <f t="shared" si="5"/>
        <v>4.5339295590327698E-2</v>
      </c>
      <c r="H25" s="278">
        <f t="shared" si="6"/>
        <v>4.3256976449485194</v>
      </c>
      <c r="I25" s="198"/>
      <c r="J25" s="204">
        <f t="shared" si="7"/>
        <v>0.4</v>
      </c>
      <c r="K25" s="205">
        <f t="shared" si="8"/>
        <v>-0.2</v>
      </c>
      <c r="L25" s="278">
        <f t="shared" si="9"/>
        <v>3.3796796475773498</v>
      </c>
      <c r="M25" s="179"/>
      <c r="N25" s="204">
        <f t="shared" si="10"/>
        <v>0.4</v>
      </c>
      <c r="O25" s="205">
        <f t="shared" si="11"/>
        <v>-0.2</v>
      </c>
      <c r="P25" s="278">
        <f t="shared" si="12"/>
        <v>3.3796796475773498</v>
      </c>
      <c r="Q25" s="179"/>
      <c r="R25" s="204">
        <f t="shared" si="13"/>
        <v>0.95828618466166104</v>
      </c>
      <c r="S25" s="200">
        <f t="shared" si="14"/>
        <v>0.91657236932332198</v>
      </c>
      <c r="T25" s="278">
        <f t="shared" si="15"/>
        <v>7.3771566047256005</v>
      </c>
      <c r="V25" s="204">
        <f t="shared" si="16"/>
        <v>1.19999999999998</v>
      </c>
      <c r="W25" s="200">
        <f t="shared" si="17"/>
        <v>1.3999999999999599</v>
      </c>
      <c r="X25" s="206">
        <f t="shared" si="18"/>
        <v>8.8809154732986713</v>
      </c>
    </row>
    <row r="26" spans="1:28" x14ac:dyDescent="0.25">
      <c r="A26" s="172">
        <f t="shared" si="1"/>
        <v>3.3253849069802612</v>
      </c>
      <c r="B26" s="184" t="str">
        <f t="shared" si="2"/>
        <v>HCC Streaming Video</v>
      </c>
      <c r="C26" s="202">
        <f t="shared" si="3"/>
        <v>6.0898960000000004</v>
      </c>
      <c r="D26" s="283">
        <f t="shared" si="3"/>
        <v>20.251248243479466</v>
      </c>
      <c r="E26" s="198"/>
      <c r="F26" s="204">
        <f t="shared" si="4"/>
        <v>6.0898953063839603</v>
      </c>
      <c r="G26" s="205">
        <f t="shared" si="5"/>
        <v>-1.13896204016787E-7</v>
      </c>
      <c r="H26" s="278">
        <f t="shared" si="6"/>
        <v>20.2512466289012</v>
      </c>
      <c r="I26" s="198"/>
      <c r="J26" s="204">
        <f t="shared" si="7"/>
        <v>6.0898953623383001</v>
      </c>
      <c r="K26" s="205">
        <f t="shared" si="8"/>
        <v>-1.04708142668715E-7</v>
      </c>
      <c r="L26" s="278">
        <f t="shared" si="9"/>
        <v>20.25124675915</v>
      </c>
      <c r="M26" s="179"/>
      <c r="N26" s="204">
        <f t="shared" si="10"/>
        <v>6.0898950000000003</v>
      </c>
      <c r="O26" s="205">
        <f t="shared" si="11"/>
        <v>-1.6420641666130301E-7</v>
      </c>
      <c r="P26" s="278">
        <f t="shared" si="12"/>
        <v>20.251245915709998</v>
      </c>
      <c r="Q26" s="179"/>
      <c r="R26" s="204">
        <f t="shared" si="13"/>
        <v>6.08989543362547</v>
      </c>
      <c r="S26" s="200">
        <f t="shared" si="14"/>
        <v>-9.3002332838039298E-8</v>
      </c>
      <c r="T26" s="278">
        <f t="shared" si="15"/>
        <v>20.251246925090101</v>
      </c>
      <c r="V26" s="204">
        <f t="shared" si="16"/>
        <v>6.0898950000000003</v>
      </c>
      <c r="W26" s="200">
        <f t="shared" si="17"/>
        <v>-1.6420641666130301E-7</v>
      </c>
      <c r="X26" s="206">
        <f t="shared" si="18"/>
        <v>20.251245915709998</v>
      </c>
    </row>
    <row r="27" spans="1:28" x14ac:dyDescent="0.25">
      <c r="A27" s="172">
        <f t="shared" si="1"/>
        <v>9.2467585534043408</v>
      </c>
      <c r="B27" s="184" t="str">
        <f t="shared" si="2"/>
        <v>HCC Display</v>
      </c>
      <c r="C27" s="202">
        <f t="shared" si="3"/>
        <v>1.3144960000000001</v>
      </c>
      <c r="D27" s="283">
        <f t="shared" si="3"/>
        <v>12.154827131415793</v>
      </c>
      <c r="E27" s="198"/>
      <c r="F27" s="204">
        <f t="shared" si="4"/>
        <v>1.4868577605357201</v>
      </c>
      <c r="G27" s="205">
        <f t="shared" si="5"/>
        <v>0.13112383798483901</v>
      </c>
      <c r="H27" s="278">
        <f t="shared" si="6"/>
        <v>13.4833252911082</v>
      </c>
      <c r="I27" s="198"/>
      <c r="J27" s="204">
        <f t="shared" si="7"/>
        <v>1.2041997439526799</v>
      </c>
      <c r="K27" s="205">
        <f t="shared" si="8"/>
        <v>-8.3907639161561798E-2</v>
      </c>
      <c r="L27" s="278">
        <f t="shared" si="9"/>
        <v>11.275357081743199</v>
      </c>
      <c r="M27" s="179"/>
      <c r="N27" s="204">
        <f t="shared" si="10"/>
        <v>1.0515968</v>
      </c>
      <c r="O27" s="205">
        <f t="shared" si="11"/>
        <v>-0.2</v>
      </c>
      <c r="P27" s="278">
        <f t="shared" si="12"/>
        <v>10.0194923497135</v>
      </c>
      <c r="Q27" s="179"/>
      <c r="R27" s="204">
        <f t="shared" si="13"/>
        <v>1.9</v>
      </c>
      <c r="S27" s="200">
        <f t="shared" si="14"/>
        <v>0.44542090656799299</v>
      </c>
      <c r="T27" s="278">
        <f t="shared" si="15"/>
        <v>16.4517974520192</v>
      </c>
      <c r="V27" s="204">
        <f t="shared" si="16"/>
        <v>1.8999999999999899</v>
      </c>
      <c r="W27" s="200">
        <f t="shared" si="17"/>
        <v>0.445420906567982</v>
      </c>
      <c r="X27" s="206">
        <f t="shared" si="18"/>
        <v>16.4517974520192</v>
      </c>
    </row>
    <row r="28" spans="1:28" x14ac:dyDescent="0.25">
      <c r="A28" s="172">
        <f t="shared" si="1"/>
        <v>0.88373304691298005</v>
      </c>
      <c r="B28" s="184" t="str">
        <f t="shared" si="2"/>
        <v>HCC Paid Search</v>
      </c>
      <c r="C28" s="202">
        <f t="shared" si="3"/>
        <v>0.6</v>
      </c>
      <c r="D28" s="283">
        <f t="shared" si="3"/>
        <v>0.53023982814778803</v>
      </c>
      <c r="E28" s="198"/>
      <c r="F28" s="204">
        <f t="shared" si="4"/>
        <v>0.42</v>
      </c>
      <c r="G28" s="205">
        <f t="shared" si="5"/>
        <v>-0.3</v>
      </c>
      <c r="H28" s="278">
        <f t="shared" si="6"/>
        <v>0.41308647325189701</v>
      </c>
      <c r="I28" s="198"/>
      <c r="J28" s="204">
        <f t="shared" si="7"/>
        <v>0.42</v>
      </c>
      <c r="K28" s="205">
        <f t="shared" si="8"/>
        <v>-0.3</v>
      </c>
      <c r="L28" s="278">
        <f t="shared" si="9"/>
        <v>0.41308647325189701</v>
      </c>
      <c r="M28" s="179"/>
      <c r="N28" s="204">
        <f t="shared" si="10"/>
        <v>0.42</v>
      </c>
      <c r="O28" s="205">
        <f t="shared" si="11"/>
        <v>-0.3</v>
      </c>
      <c r="P28" s="278">
        <f t="shared" si="12"/>
        <v>0.41308647325189701</v>
      </c>
      <c r="Q28" s="179"/>
      <c r="R28" s="204">
        <f t="shared" si="13"/>
        <v>0.42</v>
      </c>
      <c r="S28" s="200">
        <f t="shared" si="14"/>
        <v>-0.3</v>
      </c>
      <c r="T28" s="278">
        <f t="shared" si="15"/>
        <v>0.41308647325189701</v>
      </c>
      <c r="V28" s="204">
        <f t="shared" si="16"/>
        <v>0.42</v>
      </c>
      <c r="W28" s="200">
        <f t="shared" si="17"/>
        <v>-0.3</v>
      </c>
      <c r="X28" s="206">
        <f t="shared" si="18"/>
        <v>0.41308647325189701</v>
      </c>
    </row>
    <row r="29" spans="1:28" x14ac:dyDescent="0.25">
      <c r="A29" s="172">
        <f t="shared" si="1"/>
        <v>13.744591835580103</v>
      </c>
      <c r="B29" s="184" t="str">
        <f t="shared" si="2"/>
        <v>HCC Audio</v>
      </c>
      <c r="C29" s="202">
        <f t="shared" si="3"/>
        <v>1.5</v>
      </c>
      <c r="D29" s="283">
        <f t="shared" si="3"/>
        <v>20.616887753370154</v>
      </c>
      <c r="E29" s="198"/>
      <c r="F29" s="204">
        <f t="shared" si="4"/>
        <v>1.8710928703598899</v>
      </c>
      <c r="G29" s="205">
        <f t="shared" si="5"/>
        <v>0.24739524690659501</v>
      </c>
      <c r="H29" s="278">
        <f t="shared" si="6"/>
        <v>23.541035236405303</v>
      </c>
      <c r="I29" s="198"/>
      <c r="J29" s="204">
        <f t="shared" si="7"/>
        <v>1.57868373716889</v>
      </c>
      <c r="K29" s="205">
        <f t="shared" si="8"/>
        <v>5.2455824779258003E-2</v>
      </c>
      <c r="L29" s="278">
        <f t="shared" si="9"/>
        <v>21.2591272795983</v>
      </c>
      <c r="M29" s="179"/>
      <c r="N29" s="204">
        <f t="shared" si="10"/>
        <v>1.5</v>
      </c>
      <c r="O29" s="205">
        <f t="shared" si="11"/>
        <v>0</v>
      </c>
      <c r="P29" s="278">
        <f t="shared" si="12"/>
        <v>20.6168877533702</v>
      </c>
      <c r="Q29" s="179"/>
      <c r="R29" s="204">
        <f t="shared" si="13"/>
        <v>2</v>
      </c>
      <c r="S29" s="200">
        <f t="shared" si="14"/>
        <v>0.33333333333333298</v>
      </c>
      <c r="T29" s="278">
        <f t="shared" si="15"/>
        <v>24.501143189844601</v>
      </c>
      <c r="V29" s="204">
        <f t="shared" si="16"/>
        <v>2</v>
      </c>
      <c r="W29" s="200">
        <f t="shared" si="17"/>
        <v>0.33333333333333298</v>
      </c>
      <c r="X29" s="206">
        <f t="shared" si="18"/>
        <v>24.501143189844601</v>
      </c>
    </row>
    <row r="30" spans="1:28" x14ac:dyDescent="0.25">
      <c r="A30" s="172">
        <f t="shared" si="1"/>
        <v>4.1198468876378618</v>
      </c>
      <c r="B30" s="184" t="str">
        <f t="shared" si="2"/>
        <v>HCC TV</v>
      </c>
      <c r="C30" s="202">
        <f t="shared" si="3"/>
        <v>15.2356078</v>
      </c>
      <c r="D30" s="283">
        <f t="shared" si="3"/>
        <v>62.768371376101136</v>
      </c>
      <c r="E30" s="198"/>
      <c r="F30" s="204">
        <f t="shared" si="4"/>
        <v>15.2356070494283</v>
      </c>
      <c r="G30" s="205">
        <f t="shared" si="5"/>
        <v>-4.92643077799188E-8</v>
      </c>
      <c r="H30" s="278">
        <f t="shared" si="6"/>
        <v>62.768369211532899</v>
      </c>
      <c r="I30" s="198"/>
      <c r="J30" s="204">
        <f t="shared" si="7"/>
        <v>15.235607092178199</v>
      </c>
      <c r="K30" s="205">
        <f t="shared" si="8"/>
        <v>-4.6458387412666901E-8</v>
      </c>
      <c r="L30" s="278">
        <f t="shared" si="9"/>
        <v>62.768369334818999</v>
      </c>
      <c r="M30" s="179"/>
      <c r="N30" s="204">
        <f t="shared" si="10"/>
        <v>15.235606800000001</v>
      </c>
      <c r="O30" s="205">
        <f t="shared" si="11"/>
        <v>-6.5635714250927397E-8</v>
      </c>
      <c r="P30" s="278">
        <f t="shared" si="12"/>
        <v>62.768368492208303</v>
      </c>
      <c r="Q30" s="179"/>
      <c r="R30" s="204">
        <f t="shared" si="13"/>
        <v>15.235607547333101</v>
      </c>
      <c r="S30" s="200">
        <f t="shared" si="14"/>
        <v>-1.6583972689274701E-8</v>
      </c>
      <c r="T30" s="278">
        <f t="shared" si="15"/>
        <v>62.768370647436903</v>
      </c>
      <c r="V30" s="204">
        <f t="shared" si="16"/>
        <v>15.235606800000001</v>
      </c>
      <c r="W30" s="200">
        <f t="shared" si="17"/>
        <v>-6.5635714250927397E-8</v>
      </c>
      <c r="X30" s="206">
        <f t="shared" si="18"/>
        <v>62.768368492208303</v>
      </c>
    </row>
    <row r="31" spans="1:28" ht="29.65" customHeight="1" x14ac:dyDescent="0.25">
      <c r="B31" s="207" t="s">
        <v>218</v>
      </c>
      <c r="C31" s="208">
        <f>C16/1000000</f>
        <v>34.383879799999995</v>
      </c>
      <c r="D31" s="284">
        <f>D16/1000000</f>
        <v>226.2753531128472</v>
      </c>
      <c r="E31" s="210"/>
      <c r="F31" s="211">
        <f>F16/1000000</f>
        <v>34.383879999999962</v>
      </c>
      <c r="G31" s="212">
        <f>G16</f>
        <v>5.8166782483729267E-9</v>
      </c>
      <c r="H31" s="216">
        <f>H16/1000000</f>
        <v>228.56290876450231</v>
      </c>
      <c r="I31" s="210"/>
      <c r="J31" s="211">
        <f>J16/1000000</f>
        <v>33.352363599999968</v>
      </c>
      <c r="K31" s="212">
        <f>K16</f>
        <v>-2.9999994357821979E-2</v>
      </c>
      <c r="L31" s="216">
        <f>L16/1000000</f>
        <v>220.51971455253786</v>
      </c>
      <c r="M31" s="210"/>
      <c r="N31" s="211">
        <f>N16/1000000</f>
        <v>31.977008400000003</v>
      </c>
      <c r="O31" s="212">
        <f>O16</f>
        <v>-6.9999994590488154E-2</v>
      </c>
      <c r="P31" s="216">
        <f>P16/1000000</f>
        <v>208.21772230936335</v>
      </c>
      <c r="R31" s="211">
        <f>R16/1000000</f>
        <v>36.103073999999999</v>
      </c>
      <c r="S31" s="212">
        <f>S16</f>
        <v>5.0000006107513296E-2</v>
      </c>
      <c r="T31" s="216">
        <f>T16/1000000</f>
        <v>240.73737324121774</v>
      </c>
      <c r="V31" s="211">
        <f>V16/1000000</f>
        <v>37.822268000000001</v>
      </c>
      <c r="W31" s="212">
        <f>W16</f>
        <v>0.10000000639834726</v>
      </c>
      <c r="X31" s="213">
        <f>X16/1000000</f>
        <v>249.56229447896806</v>
      </c>
    </row>
    <row r="32" spans="1:28" ht="45" x14ac:dyDescent="0.25">
      <c r="B32" s="279" t="s">
        <v>268</v>
      </c>
      <c r="C32" s="208"/>
      <c r="D32" s="209"/>
      <c r="E32" s="210"/>
      <c r="F32" s="211"/>
      <c r="G32" s="212"/>
      <c r="H32" s="281" t="s">
        <v>273</v>
      </c>
      <c r="I32" s="210"/>
      <c r="J32" s="211"/>
      <c r="K32" s="212"/>
      <c r="L32" s="215" t="s">
        <v>274</v>
      </c>
      <c r="M32" s="210"/>
      <c r="N32" s="211"/>
      <c r="O32" s="212"/>
      <c r="P32" s="215" t="s">
        <v>275</v>
      </c>
      <c r="R32" s="211"/>
      <c r="S32" s="212"/>
      <c r="T32" s="281" t="s">
        <v>276</v>
      </c>
      <c r="V32" s="211"/>
      <c r="W32" s="212"/>
      <c r="X32" s="281" t="s">
        <v>277</v>
      </c>
    </row>
    <row r="33" spans="2:24" x14ac:dyDescent="0.25">
      <c r="H33" s="216">
        <f>(H31-$D$31)</f>
        <v>2.2875556516551114</v>
      </c>
      <c r="L33" s="216">
        <f>(L31-$D$31)</f>
        <v>-5.7556385603093361</v>
      </c>
      <c r="P33" s="216">
        <f>(P31-$D$31)</f>
        <v>-18.057630803483846</v>
      </c>
      <c r="T33" s="216">
        <f>(T31-$D$31)</f>
        <v>14.46202012837054</v>
      </c>
      <c r="X33" s="216">
        <f>(X31-$D$31)</f>
        <v>23.286941366120857</v>
      </c>
    </row>
    <row r="34" spans="2:24" x14ac:dyDescent="0.25">
      <c r="H34" s="280">
        <f>H33/$D$31</f>
        <v>1.010961034945008E-2</v>
      </c>
      <c r="L34" s="280">
        <f>L33/$D$31</f>
        <v>-2.5436436099334714E-2</v>
      </c>
      <c r="P34" s="280">
        <f>P33/$D$31</f>
        <v>-7.9803790183362186E-2</v>
      </c>
      <c r="T34" s="280">
        <f>T33/$D$31</f>
        <v>6.3913368952552674E-2</v>
      </c>
      <c r="X34" s="280">
        <f>X33/$D$31</f>
        <v>0.10291417534329195</v>
      </c>
    </row>
    <row r="36" spans="2:24" x14ac:dyDescent="0.25">
      <c r="B36" s="548" t="s">
        <v>254</v>
      </c>
      <c r="C36" s="548"/>
      <c r="D36" s="548"/>
      <c r="E36" s="548"/>
      <c r="F36" s="548"/>
      <c r="G36" s="548"/>
      <c r="H36" s="548"/>
      <c r="I36" s="548"/>
      <c r="J36" s="548"/>
      <c r="K36" s="548"/>
      <c r="L36" s="548"/>
      <c r="M36" s="548"/>
      <c r="N36" s="548"/>
      <c r="O36" s="548"/>
      <c r="P36" s="548"/>
      <c r="Q36" s="548"/>
      <c r="R36" s="548"/>
      <c r="S36" s="548"/>
      <c r="T36" s="548"/>
    </row>
    <row r="37" spans="2:24" x14ac:dyDescent="0.25">
      <c r="B37" s="548"/>
      <c r="C37" s="548"/>
      <c r="D37" s="548"/>
      <c r="E37" s="548"/>
      <c r="F37" s="548"/>
      <c r="G37" s="548"/>
      <c r="H37" s="548"/>
      <c r="I37" s="548"/>
      <c r="J37" s="548"/>
      <c r="K37" s="548"/>
      <c r="L37" s="548"/>
      <c r="M37" s="548"/>
      <c r="N37" s="548"/>
      <c r="O37" s="548"/>
      <c r="P37" s="548"/>
      <c r="Q37" s="548"/>
      <c r="R37" s="548"/>
      <c r="S37" s="548"/>
      <c r="T37" s="548"/>
    </row>
    <row r="39" spans="2:24" x14ac:dyDescent="0.25">
      <c r="F39" s="541" t="s">
        <v>243</v>
      </c>
      <c r="G39" s="542"/>
      <c r="H39" s="543"/>
      <c r="I39" s="181"/>
      <c r="J39" s="541" t="s">
        <v>210</v>
      </c>
      <c r="K39" s="542"/>
      <c r="L39" s="543"/>
      <c r="M39" s="181"/>
      <c r="N39" s="541" t="s">
        <v>211</v>
      </c>
      <c r="O39" s="542"/>
      <c r="P39" s="543"/>
      <c r="R39" s="549"/>
      <c r="S39" s="550"/>
      <c r="T39" s="551"/>
    </row>
    <row r="40" spans="2:24" ht="45" x14ac:dyDescent="0.25">
      <c r="B40" s="182" t="s">
        <v>212</v>
      </c>
      <c r="C40" s="97" t="s">
        <v>213</v>
      </c>
      <c r="D40" s="183" t="s">
        <v>214</v>
      </c>
      <c r="E40" s="183"/>
      <c r="F40" s="97" t="s">
        <v>213</v>
      </c>
      <c r="G40" s="183" t="s">
        <v>215</v>
      </c>
      <c r="H40" s="183" t="s">
        <v>216</v>
      </c>
      <c r="I40" s="183"/>
      <c r="J40" s="97" t="s">
        <v>213</v>
      </c>
      <c r="K40" s="183" t="s">
        <v>215</v>
      </c>
      <c r="L40" s="183" t="s">
        <v>216</v>
      </c>
      <c r="N40" s="97" t="s">
        <v>213</v>
      </c>
      <c r="O40" s="183" t="s">
        <v>215</v>
      </c>
      <c r="P40" s="183" t="s">
        <v>216</v>
      </c>
      <c r="R40" s="97" t="s">
        <v>213</v>
      </c>
      <c r="S40" s="183" t="s">
        <v>215</v>
      </c>
      <c r="T40" s="183" t="s">
        <v>216</v>
      </c>
    </row>
    <row r="41" spans="2:24" x14ac:dyDescent="0.25">
      <c r="B41" s="184" t="s">
        <v>225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226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227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238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228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229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230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218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552" t="str">
        <f>B36</f>
        <v>Optimal Channel Spend  allowed to vary between  of the 2021 spend</v>
      </c>
      <c r="G53" s="552"/>
      <c r="H53" s="552"/>
      <c r="I53" s="552"/>
      <c r="J53" s="552"/>
      <c r="K53" s="552"/>
      <c r="L53" s="552"/>
      <c r="M53" s="552"/>
      <c r="N53" s="552"/>
      <c r="O53" s="552"/>
      <c r="P53" s="552"/>
    </row>
    <row r="54" spans="2:20" x14ac:dyDescent="0.25">
      <c r="C54" s="539" t="s">
        <v>244</v>
      </c>
      <c r="D54" s="540"/>
      <c r="E54" s="190"/>
      <c r="F54" s="541" t="str">
        <f>F39</f>
        <v>Current Optimal ($MM)</v>
      </c>
      <c r="G54" s="542"/>
      <c r="H54" s="543"/>
      <c r="I54" s="191"/>
      <c r="J54" s="541" t="str">
        <f>J39</f>
        <v>10% reduction optimal ($)</v>
      </c>
      <c r="K54" s="542"/>
      <c r="L54" s="543"/>
      <c r="M54" s="191"/>
      <c r="N54" s="541" t="str">
        <f>N39</f>
        <v>20% reduction optimal ()</v>
      </c>
      <c r="O54" s="542"/>
      <c r="P54" s="543"/>
      <c r="R54" s="544"/>
      <c r="S54" s="545"/>
      <c r="T54" s="546"/>
    </row>
    <row r="55" spans="2:20" ht="45" x14ac:dyDescent="0.25">
      <c r="B55" s="182" t="s">
        <v>212</v>
      </c>
      <c r="C55" s="193" t="s">
        <v>222</v>
      </c>
      <c r="D55" s="193" t="s">
        <v>220</v>
      </c>
      <c r="E55" s="194"/>
      <c r="F55" s="217" t="s">
        <v>222</v>
      </c>
      <c r="G55" s="193" t="s">
        <v>215</v>
      </c>
      <c r="H55" s="195" t="s">
        <v>216</v>
      </c>
      <c r="I55" s="194"/>
      <c r="J55" s="217" t="s">
        <v>222</v>
      </c>
      <c r="K55" s="193" t="s">
        <v>215</v>
      </c>
      <c r="L55" s="195" t="s">
        <v>216</v>
      </c>
      <c r="M55" s="179"/>
      <c r="N55" s="217" t="s">
        <v>222</v>
      </c>
      <c r="O55" s="193" t="s">
        <v>215</v>
      </c>
      <c r="P55" s="195" t="s">
        <v>216</v>
      </c>
      <c r="R55" s="217" t="s">
        <v>222</v>
      </c>
      <c r="S55" s="193" t="s">
        <v>215</v>
      </c>
      <c r="T55" s="195" t="s">
        <v>216</v>
      </c>
    </row>
    <row r="56" spans="2:20" x14ac:dyDescent="0.25">
      <c r="B56" s="184" t="s">
        <v>155</v>
      </c>
      <c r="C56" s="196">
        <f t="shared" ref="C56:D62" si="19">C41/1000000</f>
        <v>0</v>
      </c>
      <c r="D56" s="197">
        <f t="shared" si="19"/>
        <v>0</v>
      </c>
      <c r="E56" s="198"/>
      <c r="F56" s="199">
        <f t="shared" ref="F56:F62" si="20">F41/1000000</f>
        <v>0</v>
      </c>
      <c r="G56" s="200">
        <f t="shared" ref="G56:G62" si="21">G41</f>
        <v>0</v>
      </c>
      <c r="H56" s="201">
        <f t="shared" ref="H56:H62" si="22">H41/1000000</f>
        <v>0</v>
      </c>
      <c r="I56" s="198"/>
      <c r="J56" s="199">
        <f t="shared" ref="J56:J62" si="23">J41/1000000</f>
        <v>0</v>
      </c>
      <c r="K56" s="200">
        <f t="shared" ref="K56:K62" si="24">K41</f>
        <v>0</v>
      </c>
      <c r="L56" s="201">
        <f t="shared" ref="L56:L62" si="25">L41/1000000</f>
        <v>0</v>
      </c>
      <c r="M56" s="179"/>
      <c r="N56" s="199">
        <f t="shared" ref="N56:N62" si="26">N41/1000000</f>
        <v>0</v>
      </c>
      <c r="O56" s="200">
        <f t="shared" ref="O56:O62" si="27">O41</f>
        <v>0</v>
      </c>
      <c r="P56" s="201">
        <f t="shared" ref="P56:P62" si="28">P41/1000000</f>
        <v>0</v>
      </c>
      <c r="Q56" s="179"/>
      <c r="R56" s="199">
        <f t="shared" ref="R56:R62" si="29">R41/1000000</f>
        <v>0</v>
      </c>
      <c r="S56" s="200">
        <f t="shared" ref="S56:S62" si="30">S41</f>
        <v>0</v>
      </c>
      <c r="T56" s="201">
        <f t="shared" ref="T56:T62" si="31">T41/1000000</f>
        <v>0</v>
      </c>
    </row>
    <row r="57" spans="2:20" x14ac:dyDescent="0.25">
      <c r="B57" s="186" t="s">
        <v>93</v>
      </c>
      <c r="C57" s="202">
        <f t="shared" si="19"/>
        <v>0</v>
      </c>
      <c r="D57" s="203">
        <f t="shared" si="19"/>
        <v>0</v>
      </c>
      <c r="E57" s="198"/>
      <c r="F57" s="204">
        <f t="shared" si="20"/>
        <v>0</v>
      </c>
      <c r="G57" s="205">
        <f t="shared" si="21"/>
        <v>0</v>
      </c>
      <c r="H57" s="206">
        <f t="shared" si="22"/>
        <v>0</v>
      </c>
      <c r="I57" s="198"/>
      <c r="J57" s="204">
        <f t="shared" si="23"/>
        <v>0</v>
      </c>
      <c r="K57" s="205">
        <f t="shared" si="24"/>
        <v>0</v>
      </c>
      <c r="L57" s="206">
        <f t="shared" si="25"/>
        <v>0</v>
      </c>
      <c r="M57" s="179"/>
      <c r="N57" s="204">
        <f t="shared" si="26"/>
        <v>0</v>
      </c>
      <c r="O57" s="205">
        <f t="shared" si="27"/>
        <v>0</v>
      </c>
      <c r="P57" s="206">
        <f t="shared" si="28"/>
        <v>0</v>
      </c>
      <c r="Q57" s="179"/>
      <c r="R57" s="204">
        <f t="shared" si="29"/>
        <v>0</v>
      </c>
      <c r="S57" s="200">
        <f t="shared" si="30"/>
        <v>0</v>
      </c>
      <c r="T57" s="206">
        <f t="shared" si="31"/>
        <v>0</v>
      </c>
    </row>
    <row r="58" spans="2:20" x14ac:dyDescent="0.25">
      <c r="B58" s="186" t="s">
        <v>164</v>
      </c>
      <c r="C58" s="202">
        <f t="shared" si="19"/>
        <v>0</v>
      </c>
      <c r="D58" s="203">
        <f t="shared" si="19"/>
        <v>0</v>
      </c>
      <c r="E58" s="198"/>
      <c r="F58" s="204">
        <f t="shared" si="20"/>
        <v>0</v>
      </c>
      <c r="G58" s="205">
        <f t="shared" si="21"/>
        <v>0</v>
      </c>
      <c r="H58" s="206">
        <f t="shared" si="22"/>
        <v>0</v>
      </c>
      <c r="I58" s="198"/>
      <c r="J58" s="204">
        <f t="shared" si="23"/>
        <v>0</v>
      </c>
      <c r="K58" s="205">
        <f t="shared" si="24"/>
        <v>0</v>
      </c>
      <c r="L58" s="206">
        <f t="shared" si="25"/>
        <v>0</v>
      </c>
      <c r="M58" s="179"/>
      <c r="N58" s="204">
        <f t="shared" si="26"/>
        <v>0</v>
      </c>
      <c r="O58" s="205">
        <f t="shared" si="27"/>
        <v>0</v>
      </c>
      <c r="P58" s="206">
        <f t="shared" si="28"/>
        <v>0</v>
      </c>
      <c r="Q58" s="179"/>
      <c r="R58" s="204">
        <f t="shared" si="29"/>
        <v>0</v>
      </c>
      <c r="S58" s="200">
        <f t="shared" si="30"/>
        <v>0</v>
      </c>
      <c r="T58" s="206">
        <f t="shared" si="31"/>
        <v>0</v>
      </c>
    </row>
    <row r="59" spans="2:20" x14ac:dyDescent="0.25">
      <c r="B59" s="186" t="s">
        <v>165</v>
      </c>
      <c r="C59" s="202">
        <f t="shared" si="19"/>
        <v>0</v>
      </c>
      <c r="D59" s="203">
        <f t="shared" si="19"/>
        <v>0</v>
      </c>
      <c r="E59" s="198"/>
      <c r="F59" s="204">
        <f t="shared" si="20"/>
        <v>0</v>
      </c>
      <c r="G59" s="205">
        <f t="shared" si="21"/>
        <v>0</v>
      </c>
      <c r="H59" s="206">
        <f t="shared" si="22"/>
        <v>0</v>
      </c>
      <c r="I59" s="198"/>
      <c r="J59" s="204">
        <f t="shared" si="23"/>
        <v>0</v>
      </c>
      <c r="K59" s="205">
        <f t="shared" si="24"/>
        <v>0</v>
      </c>
      <c r="L59" s="206">
        <f t="shared" si="25"/>
        <v>0</v>
      </c>
      <c r="M59" s="179"/>
      <c r="N59" s="204">
        <f t="shared" si="26"/>
        <v>0</v>
      </c>
      <c r="O59" s="205">
        <f t="shared" si="27"/>
        <v>0</v>
      </c>
      <c r="P59" s="206">
        <f t="shared" si="28"/>
        <v>0</v>
      </c>
      <c r="Q59" s="179"/>
      <c r="R59" s="204">
        <f t="shared" si="29"/>
        <v>0</v>
      </c>
      <c r="S59" s="200">
        <f t="shared" si="30"/>
        <v>0</v>
      </c>
      <c r="T59" s="206">
        <f t="shared" si="31"/>
        <v>0</v>
      </c>
    </row>
    <row r="60" spans="2:20" x14ac:dyDescent="0.25">
      <c r="B60" s="186" t="s">
        <v>167</v>
      </c>
      <c r="C60" s="202">
        <f t="shared" si="19"/>
        <v>0</v>
      </c>
      <c r="D60" s="203">
        <f t="shared" si="19"/>
        <v>0</v>
      </c>
      <c r="E60" s="198"/>
      <c r="F60" s="204">
        <f t="shared" si="20"/>
        <v>0</v>
      </c>
      <c r="G60" s="205">
        <f t="shared" si="21"/>
        <v>0</v>
      </c>
      <c r="H60" s="206">
        <f t="shared" si="22"/>
        <v>0</v>
      </c>
      <c r="I60" s="198"/>
      <c r="J60" s="204">
        <f t="shared" si="23"/>
        <v>0</v>
      </c>
      <c r="K60" s="205">
        <f t="shared" si="24"/>
        <v>0</v>
      </c>
      <c r="L60" s="206">
        <f t="shared" si="25"/>
        <v>0</v>
      </c>
      <c r="M60" s="179"/>
      <c r="N60" s="204">
        <f t="shared" si="26"/>
        <v>0</v>
      </c>
      <c r="O60" s="205">
        <f t="shared" si="27"/>
        <v>0</v>
      </c>
      <c r="P60" s="206">
        <f t="shared" si="28"/>
        <v>0</v>
      </c>
      <c r="Q60" s="179"/>
      <c r="R60" s="204">
        <f t="shared" si="29"/>
        <v>0</v>
      </c>
      <c r="S60" s="200">
        <f t="shared" si="30"/>
        <v>0</v>
      </c>
      <c r="T60" s="206">
        <f t="shared" si="31"/>
        <v>0</v>
      </c>
    </row>
    <row r="61" spans="2:20" x14ac:dyDescent="0.25">
      <c r="B61" s="186" t="s">
        <v>166</v>
      </c>
      <c r="C61" s="202">
        <f t="shared" si="19"/>
        <v>0</v>
      </c>
      <c r="D61" s="203">
        <f t="shared" si="19"/>
        <v>0</v>
      </c>
      <c r="E61" s="198"/>
      <c r="F61" s="204">
        <f t="shared" si="20"/>
        <v>0</v>
      </c>
      <c r="G61" s="205">
        <f t="shared" si="21"/>
        <v>0</v>
      </c>
      <c r="H61" s="206">
        <f t="shared" si="22"/>
        <v>0</v>
      </c>
      <c r="I61" s="198"/>
      <c r="J61" s="204">
        <f t="shared" si="23"/>
        <v>0</v>
      </c>
      <c r="K61" s="205">
        <f t="shared" si="24"/>
        <v>0</v>
      </c>
      <c r="L61" s="206">
        <f t="shared" si="25"/>
        <v>0</v>
      </c>
      <c r="M61" s="179"/>
      <c r="N61" s="204">
        <f t="shared" si="26"/>
        <v>0</v>
      </c>
      <c r="O61" s="205">
        <f t="shared" si="27"/>
        <v>0</v>
      </c>
      <c r="P61" s="206">
        <f t="shared" si="28"/>
        <v>0</v>
      </c>
      <c r="Q61" s="179"/>
      <c r="R61" s="204">
        <f t="shared" si="29"/>
        <v>0</v>
      </c>
      <c r="S61" s="200">
        <f t="shared" si="30"/>
        <v>0</v>
      </c>
      <c r="T61" s="206">
        <f t="shared" si="31"/>
        <v>0</v>
      </c>
    </row>
    <row r="62" spans="2:20" x14ac:dyDescent="0.25">
      <c r="B62" s="186" t="s">
        <v>162</v>
      </c>
      <c r="C62" s="202">
        <f t="shared" si="19"/>
        <v>0</v>
      </c>
      <c r="D62" s="203">
        <f t="shared" si="19"/>
        <v>0</v>
      </c>
      <c r="E62" s="198"/>
      <c r="F62" s="204">
        <f t="shared" si="20"/>
        <v>0</v>
      </c>
      <c r="G62" s="205">
        <f t="shared" si="21"/>
        <v>0</v>
      </c>
      <c r="H62" s="206">
        <f t="shared" si="22"/>
        <v>0</v>
      </c>
      <c r="I62" s="198"/>
      <c r="J62" s="204">
        <f t="shared" si="23"/>
        <v>0</v>
      </c>
      <c r="K62" s="205">
        <f t="shared" si="24"/>
        <v>0</v>
      </c>
      <c r="L62" s="206">
        <f t="shared" si="25"/>
        <v>0</v>
      </c>
      <c r="M62" s="179"/>
      <c r="N62" s="204">
        <f t="shared" si="26"/>
        <v>0</v>
      </c>
      <c r="O62" s="205">
        <f t="shared" si="27"/>
        <v>0</v>
      </c>
      <c r="P62" s="206">
        <f t="shared" si="28"/>
        <v>0</v>
      </c>
      <c r="Q62" s="179"/>
      <c r="R62" s="204">
        <f t="shared" si="29"/>
        <v>0</v>
      </c>
      <c r="S62" s="200">
        <f t="shared" si="30"/>
        <v>0</v>
      </c>
      <c r="T62" s="206">
        <f t="shared" si="31"/>
        <v>0</v>
      </c>
    </row>
    <row r="63" spans="2:20" x14ac:dyDescent="0.25">
      <c r="B63" s="186" t="s">
        <v>217</v>
      </c>
      <c r="C63" s="202">
        <f t="shared" ref="C63:D64" si="32">C49/1000000</f>
        <v>0</v>
      </c>
      <c r="D63" s="203">
        <f t="shared" si="32"/>
        <v>0</v>
      </c>
      <c r="E63" s="198"/>
      <c r="F63" s="204">
        <f t="shared" ref="F63:F64" si="33">F49/1000000</f>
        <v>0</v>
      </c>
      <c r="G63" s="205">
        <f t="shared" ref="G63" si="34">G49</f>
        <v>0</v>
      </c>
      <c r="H63" s="206">
        <f t="shared" ref="H63:H64" si="35">H49/1000000</f>
        <v>0</v>
      </c>
      <c r="I63" s="198"/>
      <c r="J63" s="204">
        <f t="shared" ref="J63:J64" si="36">J49/1000000</f>
        <v>0</v>
      </c>
      <c r="K63" s="205">
        <f t="shared" ref="K63" si="37">K49</f>
        <v>0</v>
      </c>
      <c r="L63" s="206">
        <f t="shared" ref="L63:L64" si="38">L49/1000000</f>
        <v>0</v>
      </c>
      <c r="M63" s="179"/>
      <c r="N63" s="204">
        <f t="shared" ref="N63:N64" si="39">N49/1000000</f>
        <v>0</v>
      </c>
      <c r="O63" s="205">
        <f t="shared" ref="O63" si="40">O49</f>
        <v>0</v>
      </c>
      <c r="P63" s="206">
        <f t="shared" ref="P63:P64" si="41">P49/1000000</f>
        <v>0</v>
      </c>
      <c r="Q63" s="179"/>
      <c r="R63" s="204">
        <f t="shared" ref="R63:R64" si="42">R49/1000000</f>
        <v>0</v>
      </c>
      <c r="S63" s="200">
        <f t="shared" ref="S63" si="43">S49</f>
        <v>0</v>
      </c>
      <c r="T63" s="206">
        <f t="shared" ref="T63:T64" si="44">T49/1000000</f>
        <v>0</v>
      </c>
    </row>
    <row r="64" spans="2:20" x14ac:dyDescent="0.25">
      <c r="B64" s="207" t="s">
        <v>218</v>
      </c>
      <c r="C64" s="208">
        <f t="shared" si="32"/>
        <v>0</v>
      </c>
      <c r="D64" s="209">
        <f t="shared" si="32"/>
        <v>0</v>
      </c>
      <c r="E64" s="210"/>
      <c r="F64" s="211">
        <f t="shared" si="33"/>
        <v>0</v>
      </c>
      <c r="G64" s="212">
        <f>G50</f>
        <v>-1</v>
      </c>
      <c r="H64" s="213">
        <f t="shared" si="35"/>
        <v>0</v>
      </c>
      <c r="I64" s="210"/>
      <c r="J64" s="211">
        <f t="shared" si="36"/>
        <v>0</v>
      </c>
      <c r="K64" s="212">
        <f>K50</f>
        <v>-1</v>
      </c>
      <c r="L64" s="213">
        <f t="shared" si="38"/>
        <v>0</v>
      </c>
      <c r="M64" s="210"/>
      <c r="N64" s="211">
        <f t="shared" si="39"/>
        <v>0</v>
      </c>
      <c r="O64" s="212">
        <f>O50</f>
        <v>-1</v>
      </c>
      <c r="P64" s="213">
        <f t="shared" si="41"/>
        <v>0</v>
      </c>
      <c r="R64" s="211">
        <f t="shared" si="42"/>
        <v>0</v>
      </c>
      <c r="S64" s="212" t="e">
        <v>#REF!</v>
      </c>
      <c r="T64" s="213">
        <f t="shared" si="44"/>
        <v>0</v>
      </c>
    </row>
    <row r="65" spans="2:20" x14ac:dyDescent="0.25">
      <c r="B65" s="207" t="s">
        <v>221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324"/>
      <c r="J67" s="324"/>
      <c r="K67" s="324"/>
      <c r="L67" s="177" t="e">
        <f>L66/$D$64</f>
        <v>#DIV/0!</v>
      </c>
      <c r="M67" s="324"/>
      <c r="N67" s="324"/>
      <c r="O67" s="324"/>
      <c r="P67" s="177" t="e">
        <f>P66/$D$64</f>
        <v>#DIV/0!</v>
      </c>
      <c r="Q67" s="324"/>
      <c r="R67" s="324"/>
      <c r="S67" s="324"/>
    </row>
  </sheetData>
  <mergeCells count="24">
    <mergeCell ref="V5:X5"/>
    <mergeCell ref="F4:P4"/>
    <mergeCell ref="F5:H5"/>
    <mergeCell ref="J5:L5"/>
    <mergeCell ref="N5:P5"/>
    <mergeCell ref="R5:T5"/>
    <mergeCell ref="F19:P19"/>
    <mergeCell ref="C20:D20"/>
    <mergeCell ref="F20:H20"/>
    <mergeCell ref="J20:L20"/>
    <mergeCell ref="N20:P20"/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</mergeCells>
  <conditionalFormatting sqref="G22:G30">
    <cfRule type="cellIs" dxfId="29" priority="17" operator="lessThan">
      <formula>0</formula>
    </cfRule>
    <cfRule type="cellIs" dxfId="28" priority="18" operator="greaterThan">
      <formula>0</formula>
    </cfRule>
  </conditionalFormatting>
  <conditionalFormatting sqref="K22:K30">
    <cfRule type="cellIs" dxfId="27" priority="15" operator="lessThan">
      <formula>0</formula>
    </cfRule>
    <cfRule type="cellIs" dxfId="26" priority="16" operator="greaterThan">
      <formula>0</formula>
    </cfRule>
  </conditionalFormatting>
  <conditionalFormatting sqref="O22:O30">
    <cfRule type="cellIs" dxfId="25" priority="13" operator="lessThan">
      <formula>0</formula>
    </cfRule>
    <cfRule type="cellIs" dxfId="24" priority="14" operator="greaterThan">
      <formula>0</formula>
    </cfRule>
  </conditionalFormatting>
  <conditionalFormatting sqref="S22:S30">
    <cfRule type="cellIs" dxfId="23" priority="11" operator="lessThan">
      <formula>0</formula>
    </cfRule>
    <cfRule type="cellIs" dxfId="22" priority="12" operator="greaterThan">
      <formula>0</formula>
    </cfRule>
  </conditionalFormatting>
  <conditionalFormatting sqref="G56:G63">
    <cfRule type="cellIs" dxfId="21" priority="9" operator="lessThan">
      <formula>0</formula>
    </cfRule>
    <cfRule type="cellIs" dxfId="20" priority="10" operator="greaterThan">
      <formula>0</formula>
    </cfRule>
  </conditionalFormatting>
  <conditionalFormatting sqref="K56:K63">
    <cfRule type="cellIs" dxfId="19" priority="7" operator="lessThan">
      <formula>0</formula>
    </cfRule>
    <cfRule type="cellIs" dxfId="18" priority="8" operator="greaterThan">
      <formula>0</formula>
    </cfRule>
  </conditionalFormatting>
  <conditionalFormatting sqref="O56:O63">
    <cfRule type="cellIs" dxfId="17" priority="5" operator="lessThan">
      <formula>0</formula>
    </cfRule>
    <cfRule type="cellIs" dxfId="16" priority="6" operator="greaterThan">
      <formula>0</formula>
    </cfRule>
  </conditionalFormatting>
  <conditionalFormatting sqref="S56:S63">
    <cfRule type="cellIs" dxfId="15" priority="3" operator="lessThan">
      <formula>0</formula>
    </cfRule>
    <cfRule type="cellIs" dxfId="14" priority="4" operator="greaterThan">
      <formula>0</formula>
    </cfRule>
  </conditionalFormatting>
  <conditionalFormatting sqref="W22:W30">
    <cfRule type="cellIs" dxfId="13" priority="1" operator="lessThan">
      <formula>0</formula>
    </cfRule>
    <cfRule type="cellIs" dxfId="12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topLeftCell="B1" zoomScale="80" zoomScaleNormal="80" workbookViewId="0">
      <selection activeCell="H5" sqref="H5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4.57031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232</v>
      </c>
    </row>
    <row r="2" spans="2:20" ht="15.75" thickBot="1" x14ac:dyDescent="0.3"/>
    <row r="3" spans="2:20" ht="30.2" customHeight="1" x14ac:dyDescent="0.25">
      <c r="B3" s="557" t="s">
        <v>2</v>
      </c>
      <c r="C3" s="555" t="s">
        <v>3</v>
      </c>
      <c r="D3" s="553" t="s">
        <v>233</v>
      </c>
      <c r="E3" s="554"/>
      <c r="F3" s="553" t="s">
        <v>234</v>
      </c>
      <c r="G3" s="554"/>
      <c r="H3" s="553" t="s">
        <v>235</v>
      </c>
      <c r="I3" s="554"/>
      <c r="K3" s="557" t="s">
        <v>2</v>
      </c>
      <c r="L3" s="555" t="s">
        <v>3</v>
      </c>
      <c r="M3" s="553" t="s">
        <v>233</v>
      </c>
      <c r="N3" s="554"/>
      <c r="O3" s="553" t="s">
        <v>234</v>
      </c>
      <c r="P3" s="554"/>
      <c r="Q3" s="553" t="s">
        <v>235</v>
      </c>
      <c r="R3" s="554"/>
    </row>
    <row r="4" spans="2:20" ht="25.5" x14ac:dyDescent="0.25">
      <c r="B4" s="556"/>
      <c r="C4" s="556"/>
      <c r="D4" s="229" t="s">
        <v>236</v>
      </c>
      <c r="E4" s="230" t="s">
        <v>237</v>
      </c>
      <c r="F4" s="229" t="s">
        <v>236</v>
      </c>
      <c r="G4" s="230" t="s">
        <v>237</v>
      </c>
      <c r="H4" s="229" t="s">
        <v>236</v>
      </c>
      <c r="I4" s="230" t="s">
        <v>237</v>
      </c>
      <c r="K4" s="556"/>
      <c r="L4" s="556"/>
      <c r="M4" s="229" t="s">
        <v>236</v>
      </c>
      <c r="N4" s="230" t="s">
        <v>237</v>
      </c>
      <c r="O4" s="229" t="s">
        <v>236</v>
      </c>
      <c r="P4" s="230" t="s">
        <v>237</v>
      </c>
      <c r="Q4" s="229" t="s">
        <v>236</v>
      </c>
      <c r="R4" s="230" t="s">
        <v>237</v>
      </c>
    </row>
    <row r="5" spans="2:20" x14ac:dyDescent="0.25">
      <c r="B5" s="53" t="s">
        <v>154</v>
      </c>
      <c r="C5" s="231" t="str">
        <f>VAC_Optim_Scenario!B19</f>
        <v>HCC In Office</v>
      </c>
      <c r="D5" s="232">
        <v>3081000</v>
      </c>
      <c r="E5" s="233">
        <v>15505097.624899359</v>
      </c>
      <c r="F5" s="232">
        <v>1659000</v>
      </c>
      <c r="G5" s="233">
        <v>5231470.2092302376</v>
      </c>
      <c r="H5" s="232">
        <v>3081000</v>
      </c>
      <c r="I5" s="233">
        <v>31010195.249798719</v>
      </c>
      <c r="J5" s="234"/>
      <c r="K5" s="53" t="s">
        <v>154</v>
      </c>
      <c r="L5" s="53" t="str">
        <f>VAC_Optim_Scenario!B19</f>
        <v>HCC In Office</v>
      </c>
      <c r="M5" s="235">
        <f>D5/1000000</f>
        <v>3.081</v>
      </c>
      <c r="N5" s="236">
        <f t="shared" ref="N5:R13" si="0">E5/1000000</f>
        <v>15.50509762489936</v>
      </c>
      <c r="O5" s="235">
        <f t="shared" si="0"/>
        <v>1.659</v>
      </c>
      <c r="P5" s="236">
        <f t="shared" si="0"/>
        <v>5.2314702092302374</v>
      </c>
      <c r="Q5" s="235">
        <f t="shared" si="0"/>
        <v>3.081</v>
      </c>
      <c r="R5" s="236">
        <f t="shared" si="0"/>
        <v>31.01019524979872</v>
      </c>
    </row>
    <row r="6" spans="2:20" x14ac:dyDescent="0.25">
      <c r="B6" s="54" t="s">
        <v>154</v>
      </c>
      <c r="C6" s="237" t="str">
        <f>VAC_Optim_Scenario!B20</f>
        <v>HCP MCM</v>
      </c>
      <c r="D6" s="238">
        <v>7913749.9886468202</v>
      </c>
      <c r="E6" s="239">
        <v>57060597.324814886</v>
      </c>
      <c r="F6" s="238">
        <v>7913749.9886468202</v>
      </c>
      <c r="G6" s="239">
        <v>28530298.662407443</v>
      </c>
      <c r="H6" s="238">
        <v>7913749.9886468202</v>
      </c>
      <c r="I6" s="239">
        <v>114121194.64962977</v>
      </c>
      <c r="J6" s="234"/>
      <c r="K6" s="54" t="s">
        <v>154</v>
      </c>
      <c r="L6" s="54" t="str">
        <f>VAC_Optim_Scenario!B20</f>
        <v>HCP MCM</v>
      </c>
      <c r="M6" s="240">
        <f t="shared" ref="M6:M13" si="1">D6/1000000</f>
        <v>7.9137499886468206</v>
      </c>
      <c r="N6" s="241">
        <f t="shared" si="0"/>
        <v>57.060597324814886</v>
      </c>
      <c r="O6" s="240">
        <f t="shared" si="0"/>
        <v>7.9137499886468206</v>
      </c>
      <c r="P6" s="241">
        <f t="shared" si="0"/>
        <v>28.530298662407443</v>
      </c>
      <c r="Q6" s="240">
        <f t="shared" si="0"/>
        <v>7.9137499886468206</v>
      </c>
      <c r="R6" s="241">
        <f t="shared" si="0"/>
        <v>114.12119464962977</v>
      </c>
    </row>
    <row r="7" spans="2:20" x14ac:dyDescent="0.25">
      <c r="B7" s="54" t="s">
        <v>154</v>
      </c>
      <c r="C7" s="237" t="str">
        <f>VAC_Optim_Scenario!B21</f>
        <v>HCC Social</v>
      </c>
      <c r="D7" s="238">
        <v>2938000</v>
      </c>
      <c r="E7" s="239">
        <v>12484947.958885178</v>
      </c>
      <c r="F7" s="238">
        <v>1582000</v>
      </c>
      <c r="G7" s="239">
        <v>4305757.3675515149</v>
      </c>
      <c r="H7" s="238">
        <v>2938000</v>
      </c>
      <c r="I7" s="239">
        <v>24969895.917770356</v>
      </c>
      <c r="J7" s="242"/>
      <c r="K7" s="54" t="s">
        <v>154</v>
      </c>
      <c r="L7" s="54" t="str">
        <f>VAC_Optim_Scenario!B21</f>
        <v>HCC Social</v>
      </c>
      <c r="M7" s="240">
        <f t="shared" si="1"/>
        <v>2.9380000000000002</v>
      </c>
      <c r="N7" s="241">
        <f t="shared" si="0"/>
        <v>12.484947958885177</v>
      </c>
      <c r="O7" s="240">
        <f t="shared" si="0"/>
        <v>1.5820000000000001</v>
      </c>
      <c r="P7" s="241">
        <f t="shared" si="0"/>
        <v>4.3057573675515153</v>
      </c>
      <c r="Q7" s="240">
        <f t="shared" si="0"/>
        <v>2.9380000000000002</v>
      </c>
      <c r="R7" s="241">
        <f t="shared" si="0"/>
        <v>24.969895917770355</v>
      </c>
    </row>
    <row r="8" spans="2:20" x14ac:dyDescent="0.25">
      <c r="B8" s="54" t="s">
        <v>154</v>
      </c>
      <c r="C8" s="237" t="str">
        <f>VAC_Optim_Scenario!B22</f>
        <v>HCC Online Video</v>
      </c>
      <c r="D8" s="238">
        <v>693000</v>
      </c>
      <c r="E8" s="239">
        <v>1393371.6974633737</v>
      </c>
      <c r="F8" s="238">
        <v>693000</v>
      </c>
      <c r="G8" s="239">
        <v>696685.84873168683</v>
      </c>
      <c r="H8" s="238">
        <v>1287000</v>
      </c>
      <c r="I8" s="239">
        <v>5072075.9622077979</v>
      </c>
      <c r="J8" s="234"/>
      <c r="K8" s="54" t="s">
        <v>154</v>
      </c>
      <c r="L8" s="54" t="str">
        <f>VAC_Optim_Scenario!B22</f>
        <v>HCC Online Video</v>
      </c>
      <c r="M8" s="240">
        <f t="shared" si="1"/>
        <v>0.69299999999999995</v>
      </c>
      <c r="N8" s="241">
        <f t="shared" si="0"/>
        <v>1.3933716974633736</v>
      </c>
      <c r="O8" s="240">
        <f t="shared" si="0"/>
        <v>0.69299999999999995</v>
      </c>
      <c r="P8" s="241">
        <f t="shared" si="0"/>
        <v>0.69668584873168682</v>
      </c>
      <c r="Q8" s="240">
        <f t="shared" si="0"/>
        <v>1.2869999999999999</v>
      </c>
      <c r="R8" s="241">
        <f t="shared" si="0"/>
        <v>5.0720759622077978</v>
      </c>
    </row>
    <row r="9" spans="2:20" x14ac:dyDescent="0.25">
      <c r="B9" s="54" t="s">
        <v>154</v>
      </c>
      <c r="C9" s="237" t="str">
        <f>VAC_Optim_Scenario!B23</f>
        <v>HCC Streaming Video</v>
      </c>
      <c r="D9" s="238">
        <v>3941643.9999999995</v>
      </c>
      <c r="E9" s="239">
        <v>16046723.043048661</v>
      </c>
      <c r="F9" s="238">
        <v>3941643.9999999995</v>
      </c>
      <c r="G9" s="239">
        <v>8023361.5215243306</v>
      </c>
      <c r="H9" s="238">
        <v>7320196</v>
      </c>
      <c r="I9" s="239">
        <v>46528980.850825705</v>
      </c>
      <c r="J9" s="242"/>
      <c r="K9" s="54" t="s">
        <v>154</v>
      </c>
      <c r="L9" s="54" t="str">
        <f>VAC_Optim_Scenario!B23</f>
        <v>HCC Streaming Video</v>
      </c>
      <c r="M9" s="240">
        <f t="shared" si="1"/>
        <v>3.9416439999999997</v>
      </c>
      <c r="N9" s="241">
        <f t="shared" si="0"/>
        <v>16.046723043048662</v>
      </c>
      <c r="O9" s="240">
        <f t="shared" si="0"/>
        <v>3.9416439999999997</v>
      </c>
      <c r="P9" s="241">
        <f t="shared" si="0"/>
        <v>8.0233615215243308</v>
      </c>
      <c r="Q9" s="240">
        <f t="shared" si="0"/>
        <v>7.3201960000000001</v>
      </c>
      <c r="R9" s="241">
        <f t="shared" si="0"/>
        <v>46.528980850825704</v>
      </c>
    </row>
    <row r="10" spans="2:20" x14ac:dyDescent="0.25">
      <c r="B10" s="54" t="s">
        <v>154</v>
      </c>
      <c r="C10" s="237" t="str">
        <f>VAC_Optim_Scenario!B24</f>
        <v>HCC Display</v>
      </c>
      <c r="D10" s="238">
        <v>1921400</v>
      </c>
      <c r="E10" s="239">
        <v>18796150.349974733</v>
      </c>
      <c r="F10" s="238">
        <v>1921400</v>
      </c>
      <c r="G10" s="239">
        <v>9398075.1749873664</v>
      </c>
      <c r="H10" s="238">
        <v>1921400</v>
      </c>
      <c r="I10" s="239">
        <v>37592300.699949466</v>
      </c>
      <c r="J10" s="242"/>
      <c r="K10" s="54" t="s">
        <v>154</v>
      </c>
      <c r="L10" s="54" t="str">
        <f>VAC_Optim_Scenario!B24</f>
        <v>HCC Display</v>
      </c>
      <c r="M10" s="240">
        <f t="shared" si="1"/>
        <v>1.9214</v>
      </c>
      <c r="N10" s="241">
        <f t="shared" si="0"/>
        <v>18.796150349974734</v>
      </c>
      <c r="O10" s="240">
        <f t="shared" si="0"/>
        <v>1.9214</v>
      </c>
      <c r="P10" s="241">
        <f t="shared" si="0"/>
        <v>9.3980751749873672</v>
      </c>
      <c r="Q10" s="240">
        <f t="shared" si="0"/>
        <v>1.9214</v>
      </c>
      <c r="R10" s="241">
        <f t="shared" si="0"/>
        <v>37.592300699949469</v>
      </c>
    </row>
    <row r="11" spans="2:20" x14ac:dyDescent="0.25">
      <c r="B11" s="54" t="s">
        <v>154</v>
      </c>
      <c r="C11" s="237" t="str">
        <f>VAC_Optim_Scenario!B25</f>
        <v>HCC Paid Search</v>
      </c>
      <c r="D11" s="238">
        <v>1232000</v>
      </c>
      <c r="E11" s="239">
        <v>1724376.7699591145</v>
      </c>
      <c r="F11" s="238">
        <v>1232000</v>
      </c>
      <c r="G11" s="239">
        <v>862188.38497955725</v>
      </c>
      <c r="H11" s="238">
        <v>1232000</v>
      </c>
      <c r="I11" s="239">
        <v>3448753.539918229</v>
      </c>
      <c r="J11" s="234"/>
      <c r="K11" s="54" t="s">
        <v>154</v>
      </c>
      <c r="L11" s="54" t="str">
        <f>VAC_Optim_Scenario!B25</f>
        <v>HCC Paid Search</v>
      </c>
      <c r="M11" s="240">
        <f t="shared" si="1"/>
        <v>1.232</v>
      </c>
      <c r="N11" s="241">
        <f t="shared" si="0"/>
        <v>1.7243767699591146</v>
      </c>
      <c r="O11" s="240">
        <f t="shared" si="0"/>
        <v>1.232</v>
      </c>
      <c r="P11" s="241">
        <f t="shared" si="0"/>
        <v>0.8621883849795573</v>
      </c>
      <c r="Q11" s="240">
        <f t="shared" si="0"/>
        <v>1.232</v>
      </c>
      <c r="R11" s="241">
        <f t="shared" si="0"/>
        <v>3.4487535399182292</v>
      </c>
    </row>
    <row r="12" spans="2:20" x14ac:dyDescent="0.25">
      <c r="B12" s="54" t="s">
        <v>154</v>
      </c>
      <c r="C12" s="237" t="str">
        <f>VAC_Optim_Scenario!B26</f>
        <v>HCC Audio</v>
      </c>
      <c r="D12" s="238">
        <v>1599670.8676800225</v>
      </c>
      <c r="E12" s="239">
        <v>9996421.98813181</v>
      </c>
      <c r="F12" s="238">
        <v>913707.9</v>
      </c>
      <c r="G12" s="239">
        <v>3995078.1857456174</v>
      </c>
      <c r="H12" s="238">
        <v>1696886.1</v>
      </c>
      <c r="I12" s="239">
        <v>20470261.90992026</v>
      </c>
      <c r="J12" s="234"/>
      <c r="K12" s="54" t="s">
        <v>154</v>
      </c>
      <c r="L12" s="54" t="str">
        <f>VAC_Optim_Scenario!B26</f>
        <v>HCC Audio</v>
      </c>
      <c r="M12" s="240">
        <f t="shared" si="1"/>
        <v>1.5996708676800224</v>
      </c>
      <c r="N12" s="241">
        <f t="shared" si="0"/>
        <v>9.9964219881318108</v>
      </c>
      <c r="O12" s="240">
        <f t="shared" si="0"/>
        <v>0.91370790000000002</v>
      </c>
      <c r="P12" s="241">
        <f t="shared" si="0"/>
        <v>3.9950781857456175</v>
      </c>
      <c r="Q12" s="240">
        <f t="shared" si="0"/>
        <v>1.6968861000000002</v>
      </c>
      <c r="R12" s="241">
        <f t="shared" si="0"/>
        <v>20.470261909920261</v>
      </c>
    </row>
    <row r="13" spans="2:20" x14ac:dyDescent="0.25">
      <c r="B13" s="251" t="s">
        <v>154</v>
      </c>
      <c r="C13" s="223" t="str">
        <f>VAC_Optim_Scenario!B27</f>
        <v>HCC TV</v>
      </c>
      <c r="D13" s="252">
        <v>15034299.993673161</v>
      </c>
      <c r="E13" s="252">
        <v>62633387.738168843</v>
      </c>
      <c r="F13" s="252">
        <v>11531133.494999999</v>
      </c>
      <c r="G13" s="252">
        <v>26708480.43695968</v>
      </c>
      <c r="H13" s="252">
        <v>18498262.961353183</v>
      </c>
      <c r="I13" s="252">
        <v>141861497.65733996</v>
      </c>
      <c r="J13" s="234"/>
      <c r="K13" s="251" t="s">
        <v>154</v>
      </c>
      <c r="L13" s="251" t="str">
        <f>VAC_Optim_Scenario!B27</f>
        <v>HCC TV</v>
      </c>
      <c r="M13" s="245">
        <f t="shared" si="1"/>
        <v>15.034299993673161</v>
      </c>
      <c r="N13" s="245">
        <f t="shared" si="0"/>
        <v>62.633387738168842</v>
      </c>
      <c r="O13" s="245">
        <f t="shared" si="0"/>
        <v>11.531133494999999</v>
      </c>
      <c r="P13" s="245">
        <f t="shared" si="0"/>
        <v>26.708480436959679</v>
      </c>
      <c r="Q13" s="245">
        <f t="shared" si="0"/>
        <v>18.498262961353184</v>
      </c>
      <c r="R13" s="245">
        <f t="shared" si="0"/>
        <v>141.86149765733995</v>
      </c>
    </row>
    <row r="14" spans="2:20" x14ac:dyDescent="0.25">
      <c r="T14" s="291"/>
    </row>
    <row r="15" spans="2:20" x14ac:dyDescent="0.25">
      <c r="C15" s="228" t="s">
        <v>239</v>
      </c>
    </row>
    <row r="16" spans="2:20" x14ac:dyDescent="0.25">
      <c r="F16" s="333"/>
      <c r="G16" s="333"/>
    </row>
    <row r="17" spans="2:19" ht="37.9" customHeight="1" x14ac:dyDescent="0.25">
      <c r="C17" s="555" t="s">
        <v>3</v>
      </c>
      <c r="D17" s="553" t="s">
        <v>233</v>
      </c>
      <c r="E17" s="554"/>
      <c r="F17" s="553" t="s">
        <v>240</v>
      </c>
      <c r="G17" s="554"/>
      <c r="H17" s="553" t="s">
        <v>241</v>
      </c>
      <c r="I17" s="554"/>
      <c r="L17" s="555" t="s">
        <v>3</v>
      </c>
      <c r="M17" s="553" t="s">
        <v>233</v>
      </c>
      <c r="N17" s="554"/>
      <c r="O17" s="553" t="s">
        <v>240</v>
      </c>
      <c r="P17" s="554"/>
      <c r="Q17" s="553" t="s">
        <v>241</v>
      </c>
      <c r="R17" s="554"/>
    </row>
    <row r="18" spans="2:19" ht="25.5" x14ac:dyDescent="0.25">
      <c r="C18" s="556"/>
      <c r="D18" s="55" t="s">
        <v>236</v>
      </c>
      <c r="E18" s="55" t="s">
        <v>237</v>
      </c>
      <c r="F18" s="55" t="s">
        <v>236</v>
      </c>
      <c r="G18" s="55" t="s">
        <v>237</v>
      </c>
      <c r="H18" s="55" t="s">
        <v>236</v>
      </c>
      <c r="I18" s="55" t="s">
        <v>237</v>
      </c>
      <c r="L18" s="556"/>
      <c r="M18" s="55" t="s">
        <v>236</v>
      </c>
      <c r="N18" s="55" t="s">
        <v>237</v>
      </c>
      <c r="O18" s="55" t="s">
        <v>236</v>
      </c>
      <c r="P18" s="55" t="s">
        <v>237</v>
      </c>
      <c r="Q18" s="55" t="s">
        <v>236</v>
      </c>
      <c r="R18" s="55" t="s">
        <v>237</v>
      </c>
    </row>
    <row r="19" spans="2:19" x14ac:dyDescent="0.25">
      <c r="B19" s="53" t="s">
        <v>154</v>
      </c>
      <c r="C19" s="231" t="str">
        <f>VAC_Optim_Scenario!B19</f>
        <v>HCC In Office</v>
      </c>
      <c r="D19" s="232">
        <v>3081000</v>
      </c>
      <c r="E19" s="233">
        <v>15505097.624899359</v>
      </c>
      <c r="F19" s="232">
        <v>1976029.1300433497</v>
      </c>
      <c r="G19" s="233">
        <v>7097337.0795079041</v>
      </c>
      <c r="H19" s="232">
        <v>3081000</v>
      </c>
      <c r="I19" s="233">
        <v>21707136.674859103</v>
      </c>
      <c r="J19" s="234"/>
      <c r="K19" s="53" t="s">
        <v>154</v>
      </c>
      <c r="L19" s="231" t="str">
        <f>VAC_Optim_Scenario!B19</f>
        <v>HCC In Office</v>
      </c>
      <c r="M19" s="235">
        <f>D19/1000000</f>
        <v>3.081</v>
      </c>
      <c r="N19" s="236">
        <f t="shared" ref="N19:R27" si="2">E19/1000000</f>
        <v>15.50509762489936</v>
      </c>
      <c r="O19" s="235">
        <f t="shared" si="2"/>
        <v>1.9760291300433497</v>
      </c>
      <c r="P19" s="236">
        <f t="shared" si="2"/>
        <v>7.0973370795079038</v>
      </c>
      <c r="Q19" s="235">
        <f t="shared" si="2"/>
        <v>3.081</v>
      </c>
      <c r="R19" s="236">
        <f t="shared" si="2"/>
        <v>21.707136674859104</v>
      </c>
    </row>
    <row r="20" spans="2:19" x14ac:dyDescent="0.25">
      <c r="B20" s="54" t="s">
        <v>154</v>
      </c>
      <c r="C20" s="237" t="str">
        <f>VAC_Optim_Scenario!B20</f>
        <v>HCP MCM</v>
      </c>
      <c r="D20" s="238">
        <v>7913749.9886468202</v>
      </c>
      <c r="E20" s="239">
        <v>57060597.324814886</v>
      </c>
      <c r="F20" s="238">
        <v>7913749.9886468202</v>
      </c>
      <c r="G20" s="239">
        <v>34236358.39488893</v>
      </c>
      <c r="H20" s="238">
        <v>7913749.9886468202</v>
      </c>
      <c r="I20" s="239">
        <v>79884836.254740834</v>
      </c>
      <c r="J20" s="234"/>
      <c r="K20" s="54" t="s">
        <v>154</v>
      </c>
      <c r="L20" s="237" t="str">
        <f>VAC_Optim_Scenario!B20</f>
        <v>HCP MCM</v>
      </c>
      <c r="M20" s="240">
        <f t="shared" ref="M20:M27" si="3">D20/1000000</f>
        <v>7.9137499886468206</v>
      </c>
      <c r="N20" s="241">
        <f t="shared" si="2"/>
        <v>57.060597324814886</v>
      </c>
      <c r="O20" s="240">
        <f t="shared" si="2"/>
        <v>7.9137499886468206</v>
      </c>
      <c r="P20" s="241">
        <f t="shared" si="2"/>
        <v>34.236358394888931</v>
      </c>
      <c r="Q20" s="240">
        <f t="shared" si="2"/>
        <v>7.9137499886468206</v>
      </c>
      <c r="R20" s="241">
        <f t="shared" si="2"/>
        <v>79.884836254740833</v>
      </c>
    </row>
    <row r="21" spans="2:19" x14ac:dyDescent="0.25">
      <c r="B21" s="54" t="s">
        <v>154</v>
      </c>
      <c r="C21" s="237" t="str">
        <f>VAC_Optim_Scenario!B21</f>
        <v>HCC Social</v>
      </c>
      <c r="D21" s="238">
        <v>2938000</v>
      </c>
      <c r="E21" s="239">
        <v>12484947.958885178</v>
      </c>
      <c r="F21" s="238">
        <v>1582000</v>
      </c>
      <c r="G21" s="239">
        <v>5166908.8410618175</v>
      </c>
      <c r="H21" s="238">
        <v>2938000</v>
      </c>
      <c r="I21" s="239">
        <v>17478927.142439246</v>
      </c>
      <c r="J21" s="242"/>
      <c r="K21" s="54" t="s">
        <v>154</v>
      </c>
      <c r="L21" s="237" t="str">
        <f>VAC_Optim_Scenario!B21</f>
        <v>HCC Social</v>
      </c>
      <c r="M21" s="240">
        <f t="shared" si="3"/>
        <v>2.9380000000000002</v>
      </c>
      <c r="N21" s="241">
        <f t="shared" si="2"/>
        <v>12.484947958885177</v>
      </c>
      <c r="O21" s="240">
        <f t="shared" si="2"/>
        <v>1.5820000000000001</v>
      </c>
      <c r="P21" s="241">
        <f t="shared" si="2"/>
        <v>5.1669088410618178</v>
      </c>
      <c r="Q21" s="240">
        <f t="shared" si="2"/>
        <v>2.9380000000000002</v>
      </c>
      <c r="R21" s="241">
        <f t="shared" si="2"/>
        <v>17.478927142439247</v>
      </c>
    </row>
    <row r="22" spans="2:19" x14ac:dyDescent="0.25">
      <c r="B22" s="54" t="s">
        <v>154</v>
      </c>
      <c r="C22" s="237" t="str">
        <f>VAC_Optim_Scenario!B22</f>
        <v>HCC Online Video</v>
      </c>
      <c r="D22" s="238">
        <v>693000</v>
      </c>
      <c r="E22" s="239">
        <v>1393371.6974633737</v>
      </c>
      <c r="F22" s="238">
        <v>693000</v>
      </c>
      <c r="G22" s="239">
        <v>836023.01847802405</v>
      </c>
      <c r="H22" s="238">
        <v>1287000</v>
      </c>
      <c r="I22" s="239">
        <v>3550453.1735454584</v>
      </c>
      <c r="J22" s="234"/>
      <c r="K22" s="54" t="s">
        <v>154</v>
      </c>
      <c r="L22" s="237" t="str">
        <f>VAC_Optim_Scenario!B22</f>
        <v>HCC Online Video</v>
      </c>
      <c r="M22" s="240">
        <f t="shared" si="3"/>
        <v>0.69299999999999995</v>
      </c>
      <c r="N22" s="241">
        <f t="shared" si="2"/>
        <v>1.3933716974633736</v>
      </c>
      <c r="O22" s="240">
        <f t="shared" si="2"/>
        <v>0.69299999999999995</v>
      </c>
      <c r="P22" s="241">
        <f t="shared" si="2"/>
        <v>0.83602301847802407</v>
      </c>
      <c r="Q22" s="240">
        <f t="shared" si="2"/>
        <v>1.2869999999999999</v>
      </c>
      <c r="R22" s="241">
        <f t="shared" si="2"/>
        <v>3.5504531735454585</v>
      </c>
    </row>
    <row r="23" spans="2:19" x14ac:dyDescent="0.25">
      <c r="B23" s="54" t="s">
        <v>154</v>
      </c>
      <c r="C23" s="237" t="str">
        <f>VAC_Optim_Scenario!B23</f>
        <v>HCC Streaming Video</v>
      </c>
      <c r="D23" s="238">
        <v>3941643.9999999995</v>
      </c>
      <c r="E23" s="239">
        <v>16046723.043048661</v>
      </c>
      <c r="F23" s="238">
        <v>3941643.9999999995</v>
      </c>
      <c r="G23" s="239">
        <v>9628033.8258291967</v>
      </c>
      <c r="H23" s="238">
        <v>7133528.9098028336</v>
      </c>
      <c r="I23" s="239">
        <v>32069383.393545374</v>
      </c>
      <c r="J23" s="242"/>
      <c r="K23" s="54" t="s">
        <v>154</v>
      </c>
      <c r="L23" s="237" t="str">
        <f>VAC_Optim_Scenario!B23</f>
        <v>HCC Streaming Video</v>
      </c>
      <c r="M23" s="240">
        <f t="shared" si="3"/>
        <v>3.9416439999999997</v>
      </c>
      <c r="N23" s="241">
        <f t="shared" si="2"/>
        <v>16.046723043048662</v>
      </c>
      <c r="O23" s="240">
        <f t="shared" si="2"/>
        <v>3.9416439999999997</v>
      </c>
      <c r="P23" s="241">
        <f t="shared" si="2"/>
        <v>9.6280338258291973</v>
      </c>
      <c r="Q23" s="240">
        <f t="shared" si="2"/>
        <v>7.1335289098028332</v>
      </c>
      <c r="R23" s="241">
        <f t="shared" si="2"/>
        <v>32.069383393545372</v>
      </c>
    </row>
    <row r="24" spans="2:19" x14ac:dyDescent="0.25">
      <c r="B24" s="54" t="s">
        <v>154</v>
      </c>
      <c r="C24" s="237" t="str">
        <f>VAC_Optim_Scenario!B24</f>
        <v>HCC Display</v>
      </c>
      <c r="D24" s="238">
        <v>1921400</v>
      </c>
      <c r="E24" s="239">
        <v>18796150.349974733</v>
      </c>
      <c r="F24" s="238">
        <v>1921400</v>
      </c>
      <c r="G24" s="239">
        <v>11277690.209984839</v>
      </c>
      <c r="H24" s="238">
        <v>1921400</v>
      </c>
      <c r="I24" s="239">
        <v>26314610.489964623</v>
      </c>
      <c r="J24" s="242"/>
      <c r="K24" s="54" t="s">
        <v>154</v>
      </c>
      <c r="L24" s="237" t="str">
        <f>VAC_Optim_Scenario!B24</f>
        <v>HCC Display</v>
      </c>
      <c r="M24" s="240">
        <f t="shared" si="3"/>
        <v>1.9214</v>
      </c>
      <c r="N24" s="241">
        <f t="shared" si="2"/>
        <v>18.796150349974734</v>
      </c>
      <c r="O24" s="240">
        <f t="shared" si="2"/>
        <v>1.9214</v>
      </c>
      <c r="P24" s="241">
        <f t="shared" si="2"/>
        <v>11.277690209984838</v>
      </c>
      <c r="Q24" s="240">
        <f t="shared" si="2"/>
        <v>1.9214</v>
      </c>
      <c r="R24" s="241">
        <f t="shared" si="2"/>
        <v>26.314610489964622</v>
      </c>
    </row>
    <row r="25" spans="2:19" x14ac:dyDescent="0.25">
      <c r="B25" s="54" t="s">
        <v>154</v>
      </c>
      <c r="C25" s="237" t="str">
        <f>VAC_Optim_Scenario!B25</f>
        <v>HCC Paid Search</v>
      </c>
      <c r="D25" s="238">
        <v>1232000</v>
      </c>
      <c r="E25" s="239">
        <v>1724376.7699591145</v>
      </c>
      <c r="F25" s="238">
        <v>1232000</v>
      </c>
      <c r="G25" s="239">
        <v>1034626.0619754686</v>
      </c>
      <c r="H25" s="238">
        <v>1232000</v>
      </c>
      <c r="I25" s="239">
        <v>2414127.4779427601</v>
      </c>
      <c r="J25" s="242"/>
      <c r="K25" s="54" t="s">
        <v>154</v>
      </c>
      <c r="L25" s="237" t="str">
        <f>VAC_Optim_Scenario!B25</f>
        <v>HCC Paid Search</v>
      </c>
      <c r="M25" s="240">
        <f t="shared" si="3"/>
        <v>1.232</v>
      </c>
      <c r="N25" s="241">
        <f t="shared" si="2"/>
        <v>1.7243767699591146</v>
      </c>
      <c r="O25" s="240">
        <f t="shared" si="2"/>
        <v>1.232</v>
      </c>
      <c r="P25" s="241">
        <f t="shared" si="2"/>
        <v>1.0346260619754686</v>
      </c>
      <c r="Q25" s="240">
        <f t="shared" si="2"/>
        <v>1.232</v>
      </c>
      <c r="R25" s="241">
        <f t="shared" si="2"/>
        <v>2.4141274779427602</v>
      </c>
    </row>
    <row r="26" spans="2:19" x14ac:dyDescent="0.25">
      <c r="B26" s="54" t="s">
        <v>154</v>
      </c>
      <c r="C26" s="237" t="str">
        <f>VAC_Optim_Scenario!B26</f>
        <v>HCC Audio</v>
      </c>
      <c r="D26" s="238">
        <v>1599670.7428443772</v>
      </c>
      <c r="E26" s="239">
        <v>9996421.676090166</v>
      </c>
      <c r="F26" s="238">
        <v>913707.89999999991</v>
      </c>
      <c r="G26" s="239">
        <v>4794093.8228947408</v>
      </c>
      <c r="H26" s="238">
        <v>1696886.1</v>
      </c>
      <c r="I26" s="239">
        <v>14329183.336944181</v>
      </c>
      <c r="J26" s="242"/>
      <c r="K26" s="54" t="s">
        <v>154</v>
      </c>
      <c r="L26" s="237" t="str">
        <f>VAC_Optim_Scenario!B26</f>
        <v>HCC Audio</v>
      </c>
      <c r="M26" s="240">
        <f t="shared" si="3"/>
        <v>1.5996707428443773</v>
      </c>
      <c r="N26" s="241">
        <f t="shared" si="2"/>
        <v>9.9964216760901667</v>
      </c>
      <c r="O26" s="240">
        <f t="shared" si="2"/>
        <v>0.91370789999999991</v>
      </c>
      <c r="P26" s="241">
        <f t="shared" si="2"/>
        <v>4.794093822894741</v>
      </c>
      <c r="Q26" s="240">
        <f t="shared" si="2"/>
        <v>1.6968861000000002</v>
      </c>
      <c r="R26" s="241">
        <f t="shared" si="2"/>
        <v>14.329183336944181</v>
      </c>
    </row>
    <row r="27" spans="2:19" x14ac:dyDescent="0.25">
      <c r="B27" s="251" t="s">
        <v>154</v>
      </c>
      <c r="C27" s="223" t="str">
        <f>VAC_Optim_Scenario!B27</f>
        <v>HCC TV</v>
      </c>
      <c r="D27" s="252">
        <v>15034300.118508808</v>
      </c>
      <c r="E27" s="252">
        <v>62633388.050210491</v>
      </c>
      <c r="F27" s="252">
        <v>11531133.494999999</v>
      </c>
      <c r="G27" s="252">
        <v>32050176.524351615</v>
      </c>
      <c r="H27" s="252">
        <v>17521435.993065551</v>
      </c>
      <c r="I27" s="252">
        <v>96122670.742821991</v>
      </c>
      <c r="J27" s="242"/>
      <c r="K27" s="251" t="s">
        <v>154</v>
      </c>
      <c r="L27" s="223" t="str">
        <f>VAC_Optim_Scenario!B27</f>
        <v>HCC TV</v>
      </c>
      <c r="M27" s="245">
        <f t="shared" si="3"/>
        <v>15.034300118508808</v>
      </c>
      <c r="N27" s="245">
        <f t="shared" si="2"/>
        <v>62.633388050210492</v>
      </c>
      <c r="O27" s="245">
        <f t="shared" si="2"/>
        <v>11.531133494999999</v>
      </c>
      <c r="P27" s="245">
        <f t="shared" si="2"/>
        <v>32.050176524351613</v>
      </c>
      <c r="Q27" s="245">
        <f t="shared" si="2"/>
        <v>17.521435993065552</v>
      </c>
      <c r="R27" s="245">
        <f t="shared" si="2"/>
        <v>96.122670742821995</v>
      </c>
    </row>
    <row r="30" spans="2:19" ht="34.35" customHeight="1" x14ac:dyDescent="0.25">
      <c r="C30" s="310" t="s">
        <v>3</v>
      </c>
      <c r="D30" s="311" t="s">
        <v>242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225</v>
      </c>
      <c r="L30" s="97" t="s">
        <v>226</v>
      </c>
      <c r="M30" s="97" t="s">
        <v>227</v>
      </c>
      <c r="N30" s="97" t="s">
        <v>245</v>
      </c>
      <c r="O30" s="97" t="s">
        <v>247</v>
      </c>
      <c r="P30" s="97" t="s">
        <v>228</v>
      </c>
      <c r="Q30" s="97" t="s">
        <v>229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2" t="str">
        <f>VAC_Optim_Scenario!B19</f>
        <v>HCC In Office</v>
      </c>
      <c r="D31" s="312">
        <f>M19</f>
        <v>3.081</v>
      </c>
      <c r="E31" s="312">
        <f>O5</f>
        <v>1.659</v>
      </c>
      <c r="F31" s="312">
        <f>Q5</f>
        <v>3.081</v>
      </c>
      <c r="G31" s="312">
        <f>O19</f>
        <v>1.9760291300433497</v>
      </c>
      <c r="H31" s="312">
        <f>Q19</f>
        <v>3.081</v>
      </c>
      <c r="J31" s="244">
        <v>-0.5</v>
      </c>
      <c r="K31" s="245">
        <f>E$31</f>
        <v>1.659</v>
      </c>
      <c r="L31" s="245">
        <f>E$32</f>
        <v>7.9137499886468206</v>
      </c>
      <c r="M31" s="245">
        <f>E$33</f>
        <v>1.5820000000000001</v>
      </c>
      <c r="N31" s="245">
        <f>E$34</f>
        <v>0.69299999999999995</v>
      </c>
      <c r="O31" s="245">
        <f>E$35</f>
        <v>3.9416439999999997</v>
      </c>
      <c r="P31" s="245">
        <f>E$36</f>
        <v>1.9214</v>
      </c>
      <c r="Q31" s="245">
        <f>E$37</f>
        <v>1.232</v>
      </c>
      <c r="R31" s="245">
        <f>E$38</f>
        <v>0.91370790000000002</v>
      </c>
      <c r="S31" s="245">
        <f>E$39</f>
        <v>11.531133494999999</v>
      </c>
    </row>
    <row r="32" spans="2:19" x14ac:dyDescent="0.25">
      <c r="B32" s="54" t="s">
        <v>154</v>
      </c>
      <c r="C32" s="293" t="str">
        <f>VAC_Optim_Scenario!B20</f>
        <v>HCP MCM</v>
      </c>
      <c r="D32" s="313">
        <f t="shared" ref="D32:D39" si="4">M20</f>
        <v>7.9137499886468206</v>
      </c>
      <c r="E32" s="313">
        <f t="shared" ref="E32:E39" si="5">O6</f>
        <v>7.9137499886468206</v>
      </c>
      <c r="F32" s="313">
        <f t="shared" ref="F32:F39" si="6">Q6</f>
        <v>7.9137499886468206</v>
      </c>
      <c r="G32" s="313">
        <f t="shared" ref="G32:G39" si="7">O20</f>
        <v>7.9137499886468206</v>
      </c>
      <c r="H32" s="313">
        <f t="shared" ref="H32:H39" si="8">Q20</f>
        <v>7.9137499886468206</v>
      </c>
      <c r="J32" s="244">
        <v>-0.4</v>
      </c>
      <c r="K32" s="245">
        <f>G$31</f>
        <v>1.9760291300433497</v>
      </c>
      <c r="L32" s="245">
        <f>G$32</f>
        <v>7.9137499886468206</v>
      </c>
      <c r="M32" s="245">
        <f>G$33</f>
        <v>1.5820000000000001</v>
      </c>
      <c r="N32" s="245">
        <f>G$34</f>
        <v>0.69299999999999995</v>
      </c>
      <c r="O32" s="245">
        <f>G$35</f>
        <v>3.9416439999999997</v>
      </c>
      <c r="P32" s="245">
        <f>G$36</f>
        <v>1.9214</v>
      </c>
      <c r="Q32" s="245">
        <f>G$37</f>
        <v>1.232</v>
      </c>
      <c r="R32" s="245">
        <f>G$38</f>
        <v>0.91370789999999991</v>
      </c>
      <c r="S32" s="245">
        <f>G$39</f>
        <v>11.531133494999999</v>
      </c>
    </row>
    <row r="33" spans="2:22" x14ac:dyDescent="0.25">
      <c r="B33" s="54" t="s">
        <v>154</v>
      </c>
      <c r="C33" s="293" t="str">
        <f>VAC_Optim_Scenario!B21</f>
        <v>HCC Social</v>
      </c>
      <c r="D33" s="313">
        <f t="shared" si="4"/>
        <v>2.9380000000000002</v>
      </c>
      <c r="E33" s="313">
        <f t="shared" si="5"/>
        <v>1.5820000000000001</v>
      </c>
      <c r="F33" s="313">
        <f t="shared" si="6"/>
        <v>2.9380000000000002</v>
      </c>
      <c r="G33" s="313">
        <f t="shared" si="7"/>
        <v>1.5820000000000001</v>
      </c>
      <c r="H33" s="313">
        <f t="shared" si="8"/>
        <v>2.9380000000000002</v>
      </c>
      <c r="J33" s="244" t="s">
        <v>242</v>
      </c>
      <c r="K33" s="245">
        <f>D$31</f>
        <v>3.081</v>
      </c>
      <c r="L33" s="245">
        <f>D$32</f>
        <v>7.9137499886468206</v>
      </c>
      <c r="M33" s="245">
        <f>D$33</f>
        <v>2.9380000000000002</v>
      </c>
      <c r="N33" s="245">
        <f>D$34</f>
        <v>0.69299999999999995</v>
      </c>
      <c r="O33" s="245">
        <f>D$35</f>
        <v>3.9416439999999997</v>
      </c>
      <c r="P33" s="245">
        <f>D$36</f>
        <v>1.9214</v>
      </c>
      <c r="Q33" s="245">
        <f>D$37</f>
        <v>1.232</v>
      </c>
      <c r="R33" s="245">
        <f>D$38</f>
        <v>1.5996707428443773</v>
      </c>
      <c r="S33" s="245">
        <f>D$39</f>
        <v>15.034300118508808</v>
      </c>
    </row>
    <row r="34" spans="2:22" x14ac:dyDescent="0.25">
      <c r="B34" s="54" t="s">
        <v>154</v>
      </c>
      <c r="C34" s="293" t="str">
        <f>VAC_Optim_Scenario!B22</f>
        <v>HCC Online Video</v>
      </c>
      <c r="D34" s="313">
        <f t="shared" si="4"/>
        <v>0.69299999999999995</v>
      </c>
      <c r="E34" s="313">
        <f t="shared" si="5"/>
        <v>0.69299999999999995</v>
      </c>
      <c r="F34" s="313">
        <f t="shared" si="6"/>
        <v>1.2869999999999999</v>
      </c>
      <c r="G34" s="313">
        <f t="shared" si="7"/>
        <v>0.69299999999999995</v>
      </c>
      <c r="H34" s="313">
        <f t="shared" si="8"/>
        <v>1.2869999999999999</v>
      </c>
      <c r="J34" s="244">
        <v>0.4</v>
      </c>
      <c r="K34" s="245">
        <f>H$31</f>
        <v>3.081</v>
      </c>
      <c r="L34" s="245">
        <f>H$32</f>
        <v>7.9137499886468206</v>
      </c>
      <c r="M34" s="245">
        <f>H$33</f>
        <v>2.9380000000000002</v>
      </c>
      <c r="N34" s="245">
        <f>H$34</f>
        <v>1.2869999999999999</v>
      </c>
      <c r="O34" s="245">
        <f>H$35</f>
        <v>7.1335289098028332</v>
      </c>
      <c r="P34" s="245">
        <f>H$36</f>
        <v>1.9214</v>
      </c>
      <c r="Q34" s="245">
        <f>H$37</f>
        <v>1.232</v>
      </c>
      <c r="R34" s="245">
        <f>H$38</f>
        <v>1.6968861000000002</v>
      </c>
      <c r="S34" s="245">
        <f>H$39</f>
        <v>17.521435993065552</v>
      </c>
    </row>
    <row r="35" spans="2:22" x14ac:dyDescent="0.25">
      <c r="B35" s="54" t="s">
        <v>154</v>
      </c>
      <c r="C35" s="293" t="str">
        <f>VAC_Optim_Scenario!B23</f>
        <v>HCC Streaming Video</v>
      </c>
      <c r="D35" s="313">
        <f t="shared" si="4"/>
        <v>3.9416439999999997</v>
      </c>
      <c r="E35" s="313">
        <f t="shared" si="5"/>
        <v>3.9416439999999997</v>
      </c>
      <c r="F35" s="313">
        <f t="shared" si="6"/>
        <v>7.3201960000000001</v>
      </c>
      <c r="G35" s="313">
        <f t="shared" si="7"/>
        <v>3.9416439999999997</v>
      </c>
      <c r="H35" s="313">
        <f t="shared" si="8"/>
        <v>7.1335289098028332</v>
      </c>
      <c r="J35" s="243">
        <v>2</v>
      </c>
      <c r="K35" s="245">
        <f>F$31</f>
        <v>3.081</v>
      </c>
      <c r="L35" s="245">
        <f>F$32</f>
        <v>7.9137499886468206</v>
      </c>
      <c r="M35" s="245">
        <f>F$33</f>
        <v>2.9380000000000002</v>
      </c>
      <c r="N35" s="245">
        <f>F$34</f>
        <v>1.2869999999999999</v>
      </c>
      <c r="O35" s="245">
        <f>F$35</f>
        <v>7.3201960000000001</v>
      </c>
      <c r="P35" s="245">
        <f>F$36</f>
        <v>1.9214</v>
      </c>
      <c r="Q35" s="245">
        <f>F$37</f>
        <v>1.232</v>
      </c>
      <c r="R35" s="245">
        <f>F$38</f>
        <v>1.6968861000000002</v>
      </c>
      <c r="S35" s="245">
        <f>F$39</f>
        <v>18.498262961353184</v>
      </c>
    </row>
    <row r="36" spans="2:22" x14ac:dyDescent="0.25">
      <c r="B36" s="54" t="s">
        <v>154</v>
      </c>
      <c r="C36" s="293" t="str">
        <f>VAC_Optim_Scenario!B24</f>
        <v>HCC Display</v>
      </c>
      <c r="D36" s="313">
        <f t="shared" si="4"/>
        <v>1.9214</v>
      </c>
      <c r="E36" s="313">
        <f t="shared" si="5"/>
        <v>1.9214</v>
      </c>
      <c r="F36" s="313">
        <f t="shared" si="6"/>
        <v>1.9214</v>
      </c>
      <c r="G36" s="313">
        <f t="shared" si="7"/>
        <v>1.9214</v>
      </c>
      <c r="H36" s="313">
        <f t="shared" si="8"/>
        <v>1.9214</v>
      </c>
    </row>
    <row r="37" spans="2:22" x14ac:dyDescent="0.25">
      <c r="B37" s="54" t="s">
        <v>154</v>
      </c>
      <c r="C37" s="293" t="str">
        <f>VAC_Optim_Scenario!B25</f>
        <v>HCC Paid Search</v>
      </c>
      <c r="D37" s="313">
        <f t="shared" si="4"/>
        <v>1.232</v>
      </c>
      <c r="E37" s="313">
        <f t="shared" si="5"/>
        <v>1.232</v>
      </c>
      <c r="F37" s="313">
        <f t="shared" si="6"/>
        <v>1.232</v>
      </c>
      <c r="G37" s="313">
        <f t="shared" si="7"/>
        <v>1.232</v>
      </c>
      <c r="H37" s="313">
        <f t="shared" si="8"/>
        <v>1.232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3" t="str">
        <f>VAC_Optim_Scenario!B26</f>
        <v>HCC Audio</v>
      </c>
      <c r="D38" s="313">
        <f t="shared" si="4"/>
        <v>1.5996707428443773</v>
      </c>
      <c r="E38" s="313">
        <f t="shared" si="5"/>
        <v>0.91370790000000002</v>
      </c>
      <c r="F38" s="313">
        <f t="shared" si="6"/>
        <v>1.6968861000000002</v>
      </c>
      <c r="G38" s="313">
        <f t="shared" si="7"/>
        <v>0.91370789999999991</v>
      </c>
      <c r="H38" s="313">
        <f t="shared" si="8"/>
        <v>1.6968861000000002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4" t="str">
        <f>VAC_Optim_Scenario!B27</f>
        <v>HCC TV</v>
      </c>
      <c r="D39" s="313">
        <f t="shared" si="4"/>
        <v>15.034300118508808</v>
      </c>
      <c r="E39" s="313">
        <f t="shared" si="5"/>
        <v>11.531133494999999</v>
      </c>
      <c r="F39" s="313">
        <f t="shared" si="6"/>
        <v>18.498262961353184</v>
      </c>
      <c r="G39" s="313">
        <f t="shared" si="7"/>
        <v>11.531133494999999</v>
      </c>
      <c r="H39" s="313">
        <f t="shared" si="8"/>
        <v>17.521435993065552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D40" s="180"/>
      <c r="E40" s="180"/>
      <c r="F40" s="180"/>
      <c r="G40" s="180"/>
      <c r="H40" s="180"/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232</v>
      </c>
    </row>
    <row r="2" spans="2:20" ht="15.75" thickBot="1" x14ac:dyDescent="0.3"/>
    <row r="3" spans="2:20" ht="30.2" customHeight="1" x14ac:dyDescent="0.25">
      <c r="B3" s="557" t="s">
        <v>2</v>
      </c>
      <c r="C3" s="555" t="s">
        <v>3</v>
      </c>
      <c r="D3" s="553" t="s">
        <v>233</v>
      </c>
      <c r="E3" s="554"/>
      <c r="F3" s="553" t="s">
        <v>234</v>
      </c>
      <c r="G3" s="554"/>
      <c r="H3" s="553" t="s">
        <v>235</v>
      </c>
      <c r="I3" s="554"/>
      <c r="K3" s="557" t="s">
        <v>2</v>
      </c>
      <c r="L3" s="555" t="s">
        <v>3</v>
      </c>
      <c r="M3" s="553" t="s">
        <v>233</v>
      </c>
      <c r="N3" s="554"/>
      <c r="O3" s="553" t="s">
        <v>234</v>
      </c>
      <c r="P3" s="554"/>
      <c r="Q3" s="553" t="s">
        <v>235</v>
      </c>
      <c r="R3" s="554"/>
    </row>
    <row r="4" spans="2:20" ht="25.5" x14ac:dyDescent="0.25">
      <c r="B4" s="556"/>
      <c r="C4" s="556"/>
      <c r="D4" s="229" t="s">
        <v>236</v>
      </c>
      <c r="E4" s="230" t="s">
        <v>237</v>
      </c>
      <c r="F4" s="229" t="s">
        <v>236</v>
      </c>
      <c r="G4" s="230" t="s">
        <v>237</v>
      </c>
      <c r="H4" s="229" t="s">
        <v>236</v>
      </c>
      <c r="I4" s="230" t="s">
        <v>237</v>
      </c>
      <c r="K4" s="556"/>
      <c r="L4" s="556"/>
      <c r="M4" s="229" t="s">
        <v>236</v>
      </c>
      <c r="N4" s="230" t="s">
        <v>237</v>
      </c>
      <c r="O4" s="229" t="s">
        <v>236</v>
      </c>
      <c r="P4" s="230" t="s">
        <v>237</v>
      </c>
      <c r="Q4" s="229" t="s">
        <v>236</v>
      </c>
      <c r="R4" s="230" t="s">
        <v>237</v>
      </c>
    </row>
    <row r="5" spans="2:20" x14ac:dyDescent="0.25">
      <c r="B5" s="53" t="s">
        <v>154</v>
      </c>
      <c r="C5" s="231" t="str">
        <f>VAC_Optim_Scenario!B19</f>
        <v>HCC In Office</v>
      </c>
      <c r="D5" s="232">
        <f>VAC_Optim_Scenario!$H49</f>
        <v>1286234.2842082002</v>
      </c>
      <c r="E5" s="233">
        <f>VAC_Optim_Scenario!$J49</f>
        <v>6145593.0138865588</v>
      </c>
      <c r="F5" s="232">
        <f>VAC_Optim_Scenario!$H49</f>
        <v>1286234.2842082002</v>
      </c>
      <c r="G5" s="233">
        <f>VAC_Optim_Scenario!$J49</f>
        <v>6145593.0138865588</v>
      </c>
      <c r="H5" s="232">
        <f>VAC_Optim_Scenario!$H49</f>
        <v>1286234.2842082002</v>
      </c>
      <c r="I5" s="233">
        <f>VAC_Optim_Scenario!$J49</f>
        <v>6145593.0138865588</v>
      </c>
      <c r="J5" s="234"/>
      <c r="K5" s="53" t="s">
        <v>154</v>
      </c>
      <c r="L5" s="53" t="str">
        <f>VAC_Optim_Scenario!B19</f>
        <v>HCC In Office</v>
      </c>
      <c r="M5" s="235">
        <f>D5/1000000</f>
        <v>1.2862342842082002</v>
      </c>
      <c r="N5" s="236">
        <f t="shared" ref="N5:R13" si="0">E5/1000000</f>
        <v>6.1455930138865584</v>
      </c>
      <c r="O5" s="235">
        <f t="shared" si="0"/>
        <v>1.2862342842082002</v>
      </c>
      <c r="P5" s="236">
        <f t="shared" si="0"/>
        <v>6.1455930138865584</v>
      </c>
      <c r="Q5" s="235">
        <f t="shared" si="0"/>
        <v>1.2862342842082002</v>
      </c>
      <c r="R5" s="236">
        <f t="shared" si="0"/>
        <v>6.1455930138865584</v>
      </c>
    </row>
    <row r="6" spans="2:20" x14ac:dyDescent="0.25">
      <c r="B6" s="54" t="s">
        <v>154</v>
      </c>
      <c r="C6" s="237" t="str">
        <f>VAC_Optim_Scenario!B20</f>
        <v>HCP MCM</v>
      </c>
      <c r="D6" s="238">
        <f>VAC_Optim_Scenario!$H50</f>
        <v>11106528.099963542</v>
      </c>
      <c r="E6" s="239">
        <f>VAC_Optim_Scenario!$J50</f>
        <v>95974816.760333344</v>
      </c>
      <c r="F6" s="238">
        <f>VAC_Optim_Scenario!$H50</f>
        <v>11106528.099963542</v>
      </c>
      <c r="G6" s="239">
        <f>VAC_Optim_Scenario!$J50</f>
        <v>95974816.760333344</v>
      </c>
      <c r="H6" s="238">
        <f>VAC_Optim_Scenario!$H50</f>
        <v>11106528.099963542</v>
      </c>
      <c r="I6" s="239">
        <f>VAC_Optim_Scenario!$J50</f>
        <v>95974816.760333344</v>
      </c>
      <c r="J6" s="234"/>
      <c r="K6" s="54" t="s">
        <v>154</v>
      </c>
      <c r="L6" s="54" t="str">
        <f>VAC_Optim_Scenario!B20</f>
        <v>HCP MCM</v>
      </c>
      <c r="M6" s="240">
        <f t="shared" ref="M6:M13" si="1">D6/1000000</f>
        <v>11.106528099963542</v>
      </c>
      <c r="N6" s="241">
        <f t="shared" si="0"/>
        <v>95.97481676033334</v>
      </c>
      <c r="O6" s="240">
        <f t="shared" si="0"/>
        <v>11.106528099963542</v>
      </c>
      <c r="P6" s="241">
        <f t="shared" si="0"/>
        <v>95.97481676033334</v>
      </c>
      <c r="Q6" s="240">
        <f t="shared" si="0"/>
        <v>11.106528099963542</v>
      </c>
      <c r="R6" s="241">
        <f t="shared" si="0"/>
        <v>95.97481676033334</v>
      </c>
    </row>
    <row r="7" spans="2:20" x14ac:dyDescent="0.25">
      <c r="B7" s="54" t="s">
        <v>154</v>
      </c>
      <c r="C7" s="237" t="str">
        <f>VAC_Optim_Scenario!B21</f>
        <v>HCC Social</v>
      </c>
      <c r="D7" s="238">
        <f>VAC_Optim_Scenario!$H51</f>
        <v>4473746.1544590266</v>
      </c>
      <c r="E7" s="239">
        <f>VAC_Optim_Scenario!$J51</f>
        <v>27140417.351082891</v>
      </c>
      <c r="F7" s="238">
        <f>VAC_Optim_Scenario!$H51</f>
        <v>4473746.1544590266</v>
      </c>
      <c r="G7" s="239">
        <f>VAC_Optim_Scenario!$J51</f>
        <v>27140417.351082891</v>
      </c>
      <c r="H7" s="238">
        <f>VAC_Optim_Scenario!$H51</f>
        <v>4473746.1544590266</v>
      </c>
      <c r="I7" s="239">
        <f>VAC_Optim_Scenario!$J51</f>
        <v>27140417.351082891</v>
      </c>
      <c r="J7" s="242"/>
      <c r="K7" s="54" t="s">
        <v>154</v>
      </c>
      <c r="L7" s="54" t="str">
        <f>VAC_Optim_Scenario!B21</f>
        <v>HCC Social</v>
      </c>
      <c r="M7" s="240">
        <f t="shared" si="1"/>
        <v>4.4737461544590262</v>
      </c>
      <c r="N7" s="241">
        <f t="shared" si="0"/>
        <v>27.140417351082892</v>
      </c>
      <c r="O7" s="240">
        <f t="shared" si="0"/>
        <v>4.4737461544590262</v>
      </c>
      <c r="P7" s="241">
        <f t="shared" si="0"/>
        <v>27.140417351082892</v>
      </c>
      <c r="Q7" s="240">
        <f t="shared" si="0"/>
        <v>4.4737461544590262</v>
      </c>
      <c r="R7" s="241">
        <f t="shared" si="0"/>
        <v>27.140417351082892</v>
      </c>
    </row>
    <row r="8" spans="2:20" x14ac:dyDescent="0.25">
      <c r="B8" s="54" t="s">
        <v>154</v>
      </c>
      <c r="C8" s="237" t="str">
        <f>VAC_Optim_Scenario!B22</f>
        <v>HCC Online Video</v>
      </c>
      <c r="D8" s="238">
        <f>VAC_Optim_Scenario!$H52</f>
        <v>1000000</v>
      </c>
      <c r="E8" s="239">
        <f>VAC_Optim_Scenario!$J52</f>
        <v>3357832.8692201264</v>
      </c>
      <c r="F8" s="238">
        <f>VAC_Optim_Scenario!$H52</f>
        <v>1000000</v>
      </c>
      <c r="G8" s="239">
        <f>VAC_Optim_Scenario!$J52</f>
        <v>3357832.8692201264</v>
      </c>
      <c r="H8" s="238">
        <f>VAC_Optim_Scenario!$H52</f>
        <v>1000000</v>
      </c>
      <c r="I8" s="239">
        <f>VAC_Optim_Scenario!$J52</f>
        <v>3357832.8692201264</v>
      </c>
      <c r="J8" s="234"/>
      <c r="K8" s="54" t="s">
        <v>154</v>
      </c>
      <c r="L8" s="54" t="str">
        <f>VAC_Optim_Scenario!B22</f>
        <v>HCC Online Video</v>
      </c>
      <c r="M8" s="240">
        <f t="shared" si="1"/>
        <v>1</v>
      </c>
      <c r="N8" s="241">
        <f t="shared" si="0"/>
        <v>3.3578328692201262</v>
      </c>
      <c r="O8" s="240">
        <f t="shared" si="0"/>
        <v>1</v>
      </c>
      <c r="P8" s="241">
        <f t="shared" si="0"/>
        <v>3.3578328692201262</v>
      </c>
      <c r="Q8" s="240">
        <f t="shared" si="0"/>
        <v>1</v>
      </c>
      <c r="R8" s="241">
        <f t="shared" si="0"/>
        <v>3.3578328692201262</v>
      </c>
    </row>
    <row r="9" spans="2:20" x14ac:dyDescent="0.25">
      <c r="B9" s="54" t="s">
        <v>154</v>
      </c>
      <c r="C9" s="237" t="str">
        <f>VAC_Optim_Scenario!B23</f>
        <v>HCC Streaming Video</v>
      </c>
      <c r="D9" s="238">
        <f>VAC_Optim_Scenario!$H53</f>
        <v>6538144.1197205177</v>
      </c>
      <c r="E9" s="239">
        <f>VAC_Optim_Scenario!$J53</f>
        <v>33997992.026226372</v>
      </c>
      <c r="F9" s="238">
        <f>VAC_Optim_Scenario!$H53</f>
        <v>6538144.1197205177</v>
      </c>
      <c r="G9" s="239">
        <f>VAC_Optim_Scenario!$J53</f>
        <v>33997992.026226372</v>
      </c>
      <c r="H9" s="238">
        <f>VAC_Optim_Scenario!$H53</f>
        <v>6538144.1197205177</v>
      </c>
      <c r="I9" s="239">
        <f>VAC_Optim_Scenario!$J53</f>
        <v>33997992.026226372</v>
      </c>
      <c r="J9" s="242"/>
      <c r="K9" s="54" t="s">
        <v>154</v>
      </c>
      <c r="L9" s="54" t="str">
        <f>VAC_Optim_Scenario!B23</f>
        <v>HCC Streaming Video</v>
      </c>
      <c r="M9" s="240">
        <f t="shared" si="1"/>
        <v>6.5381441197205179</v>
      </c>
      <c r="N9" s="241">
        <f t="shared" si="0"/>
        <v>33.99799202622637</v>
      </c>
      <c r="O9" s="240">
        <f t="shared" si="0"/>
        <v>6.5381441197205179</v>
      </c>
      <c r="P9" s="241">
        <f t="shared" si="0"/>
        <v>33.99799202622637</v>
      </c>
      <c r="Q9" s="240">
        <f t="shared" si="0"/>
        <v>6.5381441197205179</v>
      </c>
      <c r="R9" s="241">
        <f t="shared" si="0"/>
        <v>33.99799202622637</v>
      </c>
    </row>
    <row r="10" spans="2:20" x14ac:dyDescent="0.25">
      <c r="B10" s="54" t="s">
        <v>154</v>
      </c>
      <c r="C10" s="237" t="str">
        <f>VAC_Optim_Scenario!B24</f>
        <v>HCC Display</v>
      </c>
      <c r="D10" s="238">
        <f>VAC_Optim_Scenario!$H54</f>
        <v>5208923.3353606053</v>
      </c>
      <c r="E10" s="239">
        <f>VAC_Optim_Scenario!$J54</f>
        <v>47268196.005025417</v>
      </c>
      <c r="F10" s="238">
        <f>VAC_Optim_Scenario!$H54</f>
        <v>5208923.3353606053</v>
      </c>
      <c r="G10" s="239">
        <f>VAC_Optim_Scenario!$J54</f>
        <v>47268196.005025417</v>
      </c>
      <c r="H10" s="238">
        <f>VAC_Optim_Scenario!$H54</f>
        <v>5208923.3353606053</v>
      </c>
      <c r="I10" s="239">
        <f>VAC_Optim_Scenario!$J54</f>
        <v>47268196.005025417</v>
      </c>
      <c r="J10" s="242"/>
      <c r="K10" s="54" t="s">
        <v>154</v>
      </c>
      <c r="L10" s="54" t="str">
        <f>VAC_Optim_Scenario!B24</f>
        <v>HCC Display</v>
      </c>
      <c r="M10" s="240">
        <f t="shared" si="1"/>
        <v>5.2089233353606055</v>
      </c>
      <c r="N10" s="241">
        <f t="shared" si="0"/>
        <v>47.268196005025416</v>
      </c>
      <c r="O10" s="240">
        <f t="shared" si="0"/>
        <v>5.2089233353606055</v>
      </c>
      <c r="P10" s="241">
        <f t="shared" si="0"/>
        <v>47.268196005025416</v>
      </c>
      <c r="Q10" s="240">
        <f t="shared" si="0"/>
        <v>5.2089233353606055</v>
      </c>
      <c r="R10" s="241">
        <f t="shared" si="0"/>
        <v>47.268196005025416</v>
      </c>
    </row>
    <row r="11" spans="2:20" x14ac:dyDescent="0.25">
      <c r="B11" s="54" t="s">
        <v>154</v>
      </c>
      <c r="C11" s="237" t="str">
        <f>VAC_Optim_Scenario!B25</f>
        <v>HCC Paid Search</v>
      </c>
      <c r="D11" s="238">
        <f>VAC_Optim_Scenario!$H55</f>
        <v>400000</v>
      </c>
      <c r="E11" s="239">
        <f>VAC_Optim_Scenario!$J55</f>
        <v>32769965.884320233</v>
      </c>
      <c r="F11" s="238">
        <f>VAC_Optim_Scenario!$H55</f>
        <v>400000</v>
      </c>
      <c r="G11" s="239">
        <f>VAC_Optim_Scenario!$J55</f>
        <v>32769965.884320233</v>
      </c>
      <c r="H11" s="238">
        <f>VAC_Optim_Scenario!$H55</f>
        <v>400000</v>
      </c>
      <c r="I11" s="239">
        <f>VAC_Optim_Scenario!$J55</f>
        <v>32769965.884320233</v>
      </c>
      <c r="J11" s="234"/>
      <c r="K11" s="54" t="s">
        <v>154</v>
      </c>
      <c r="L11" s="54" t="str">
        <f>VAC_Optim_Scenario!B25</f>
        <v>HCC Paid Search</v>
      </c>
      <c r="M11" s="240">
        <f t="shared" si="1"/>
        <v>0.4</v>
      </c>
      <c r="N11" s="241">
        <f t="shared" si="0"/>
        <v>32.769965884320236</v>
      </c>
      <c r="O11" s="240">
        <f t="shared" si="0"/>
        <v>0.4</v>
      </c>
      <c r="P11" s="241">
        <f t="shared" si="0"/>
        <v>32.769965884320236</v>
      </c>
      <c r="Q11" s="240">
        <f t="shared" si="0"/>
        <v>0.4</v>
      </c>
      <c r="R11" s="241">
        <f t="shared" si="0"/>
        <v>32.769965884320236</v>
      </c>
    </row>
    <row r="12" spans="2:20" x14ac:dyDescent="0.25">
      <c r="B12" s="54" t="s">
        <v>154</v>
      </c>
      <c r="C12" s="237" t="str">
        <f>VAC_Optim_Scenario!B26</f>
        <v>HCC Audio</v>
      </c>
      <c r="D12" s="238">
        <f>VAC_Optim_Scenario!$H56</f>
        <v>4800000</v>
      </c>
      <c r="E12" s="239">
        <f>VAC_Optim_Scenario!$J56</f>
        <v>32875287.531392161</v>
      </c>
      <c r="F12" s="238">
        <f>VAC_Optim_Scenario!$H56</f>
        <v>4800000</v>
      </c>
      <c r="G12" s="239">
        <f>VAC_Optim_Scenario!$J56</f>
        <v>32875287.531392161</v>
      </c>
      <c r="H12" s="238">
        <f>VAC_Optim_Scenario!$H56</f>
        <v>4800000</v>
      </c>
      <c r="I12" s="239">
        <f>VAC_Optim_Scenario!$J56</f>
        <v>32875287.531392161</v>
      </c>
      <c r="J12" s="234"/>
      <c r="K12" s="54" t="s">
        <v>154</v>
      </c>
      <c r="L12" s="54" t="str">
        <f>VAC_Optim_Scenario!B26</f>
        <v>HCC Audio</v>
      </c>
      <c r="M12" s="240">
        <f t="shared" si="1"/>
        <v>4.8</v>
      </c>
      <c r="N12" s="241">
        <f t="shared" si="0"/>
        <v>32.875287531392161</v>
      </c>
      <c r="O12" s="240">
        <f t="shared" si="0"/>
        <v>4.8</v>
      </c>
      <c r="P12" s="241">
        <f t="shared" si="0"/>
        <v>32.875287531392161</v>
      </c>
      <c r="Q12" s="240">
        <f t="shared" si="0"/>
        <v>4.8</v>
      </c>
      <c r="R12" s="241">
        <f t="shared" si="0"/>
        <v>32.875287531392161</v>
      </c>
    </row>
    <row r="13" spans="2:20" x14ac:dyDescent="0.25">
      <c r="B13" s="251" t="s">
        <v>154</v>
      </c>
      <c r="C13" s="223" t="str">
        <f>VAC_Optim_Scenario!B27</f>
        <v>HCC TV</v>
      </c>
      <c r="D13" s="252">
        <f>VAC_Optim_Scenario!$H57</f>
        <v>16888801</v>
      </c>
      <c r="E13" s="252">
        <f>VAC_Optim_Scenario!$J57</f>
        <v>67034177.652868718</v>
      </c>
      <c r="F13" s="252">
        <f>VAC_Optim_Scenario!$H57</f>
        <v>16888801</v>
      </c>
      <c r="G13" s="252">
        <f>VAC_Optim_Scenario!$J57</f>
        <v>67034177.652868718</v>
      </c>
      <c r="H13" s="252">
        <f>VAC_Optim_Scenario!$H57</f>
        <v>16888801</v>
      </c>
      <c r="I13" s="252">
        <f>VAC_Optim_Scenario!$J57</f>
        <v>67034177.652868718</v>
      </c>
      <c r="J13" s="234"/>
      <c r="K13" s="251" t="s">
        <v>154</v>
      </c>
      <c r="L13" s="251" t="str">
        <f>VAC_Optim_Scenario!B27</f>
        <v>HCC TV</v>
      </c>
      <c r="M13" s="245">
        <f t="shared" si="1"/>
        <v>16.888801000000001</v>
      </c>
      <c r="N13" s="245">
        <f t="shared" si="0"/>
        <v>67.034177652868721</v>
      </c>
      <c r="O13" s="245">
        <f t="shared" si="0"/>
        <v>16.888801000000001</v>
      </c>
      <c r="P13" s="245">
        <f t="shared" si="0"/>
        <v>67.034177652868721</v>
      </c>
      <c r="Q13" s="245">
        <f t="shared" si="0"/>
        <v>16.888801000000001</v>
      </c>
      <c r="R13" s="245">
        <f t="shared" si="0"/>
        <v>67.034177652868721</v>
      </c>
    </row>
    <row r="14" spans="2:20" x14ac:dyDescent="0.25">
      <c r="T14" s="291"/>
    </row>
    <row r="15" spans="2:20" x14ac:dyDescent="0.25">
      <c r="C15" s="228" t="s">
        <v>239</v>
      </c>
    </row>
    <row r="17" spans="2:19" ht="37.9" customHeight="1" x14ac:dyDescent="0.25">
      <c r="C17" s="555" t="s">
        <v>3</v>
      </c>
      <c r="D17" s="553" t="s">
        <v>233</v>
      </c>
      <c r="E17" s="554"/>
      <c r="F17" s="553" t="s">
        <v>240</v>
      </c>
      <c r="G17" s="554"/>
      <c r="H17" s="553" t="s">
        <v>241</v>
      </c>
      <c r="I17" s="554"/>
      <c r="L17" s="555" t="s">
        <v>3</v>
      </c>
      <c r="M17" s="553" t="s">
        <v>233</v>
      </c>
      <c r="N17" s="554"/>
      <c r="O17" s="553" t="s">
        <v>240</v>
      </c>
      <c r="P17" s="554"/>
      <c r="Q17" s="553" t="s">
        <v>241</v>
      </c>
      <c r="R17" s="554"/>
    </row>
    <row r="18" spans="2:19" ht="25.5" x14ac:dyDescent="0.25">
      <c r="C18" s="556"/>
      <c r="D18" s="55" t="s">
        <v>236</v>
      </c>
      <c r="E18" s="55" t="s">
        <v>237</v>
      </c>
      <c r="F18" s="55" t="s">
        <v>236</v>
      </c>
      <c r="G18" s="55" t="s">
        <v>237</v>
      </c>
      <c r="H18" s="55" t="s">
        <v>236</v>
      </c>
      <c r="I18" s="55" t="s">
        <v>237</v>
      </c>
      <c r="L18" s="556"/>
      <c r="M18" s="55" t="s">
        <v>236</v>
      </c>
      <c r="N18" s="55" t="s">
        <v>237</v>
      </c>
      <c r="O18" s="55" t="s">
        <v>236</v>
      </c>
      <c r="P18" s="55" t="s">
        <v>237</v>
      </c>
      <c r="Q18" s="55" t="s">
        <v>236</v>
      </c>
      <c r="R18" s="55" t="s">
        <v>237</v>
      </c>
    </row>
    <row r="19" spans="2:19" x14ac:dyDescent="0.25">
      <c r="B19" s="53" t="s">
        <v>154</v>
      </c>
      <c r="C19" s="231" t="str">
        <f>VAC_Optim_Scenario!B19</f>
        <v>HCC In Office</v>
      </c>
      <c r="D19" s="232">
        <f>VAC_Optim_Scenario!$H49</f>
        <v>1286234.2842082002</v>
      </c>
      <c r="E19" s="233">
        <f>VAC_Optim_Scenario!$J49</f>
        <v>6145593.0138865588</v>
      </c>
      <c r="F19" s="232">
        <f>VAC_Optim_Scenario!$H49</f>
        <v>1286234.2842082002</v>
      </c>
      <c r="G19" s="233">
        <f>VAC_Optim_Scenario!$J49</f>
        <v>6145593.0138865588</v>
      </c>
      <c r="H19" s="232">
        <f>VAC_Optim_Scenario!$H49</f>
        <v>1286234.2842082002</v>
      </c>
      <c r="I19" s="233">
        <f>VAC_Optim_Scenario!$J49</f>
        <v>6145593.0138865588</v>
      </c>
      <c r="J19" s="234"/>
      <c r="K19" s="53" t="s">
        <v>154</v>
      </c>
      <c r="L19" s="231" t="str">
        <f>VAC_Optim_Scenario!B19</f>
        <v>HCC In Office</v>
      </c>
      <c r="M19" s="235">
        <f>D19/1000000</f>
        <v>1.2862342842082002</v>
      </c>
      <c r="N19" s="236">
        <f t="shared" ref="N19:R27" si="2">E19/1000000</f>
        <v>6.1455930138865584</v>
      </c>
      <c r="O19" s="235">
        <f t="shared" si="2"/>
        <v>1.2862342842082002</v>
      </c>
      <c r="P19" s="236">
        <f t="shared" si="2"/>
        <v>6.1455930138865584</v>
      </c>
      <c r="Q19" s="235">
        <f t="shared" si="2"/>
        <v>1.2862342842082002</v>
      </c>
      <c r="R19" s="236">
        <f t="shared" si="2"/>
        <v>6.1455930138865584</v>
      </c>
    </row>
    <row r="20" spans="2:19" x14ac:dyDescent="0.25">
      <c r="B20" s="54" t="s">
        <v>154</v>
      </c>
      <c r="C20" s="237" t="str">
        <f>VAC_Optim_Scenario!B20</f>
        <v>HCP MCM</v>
      </c>
      <c r="D20" s="238">
        <f>VAC_Optim_Scenario!$H50</f>
        <v>11106528.099963542</v>
      </c>
      <c r="E20" s="239">
        <f>VAC_Optim_Scenario!$J50</f>
        <v>95974816.760333344</v>
      </c>
      <c r="F20" s="238">
        <f>VAC_Optim_Scenario!$H50</f>
        <v>11106528.099963542</v>
      </c>
      <c r="G20" s="239">
        <f>VAC_Optim_Scenario!$J50</f>
        <v>95974816.760333344</v>
      </c>
      <c r="H20" s="238">
        <f>VAC_Optim_Scenario!$H50</f>
        <v>11106528.099963542</v>
      </c>
      <c r="I20" s="239">
        <f>VAC_Optim_Scenario!$J50</f>
        <v>95974816.760333344</v>
      </c>
      <c r="J20" s="234"/>
      <c r="K20" s="54" t="s">
        <v>154</v>
      </c>
      <c r="L20" s="237" t="str">
        <f>VAC_Optim_Scenario!B20</f>
        <v>HCP MCM</v>
      </c>
      <c r="M20" s="240">
        <f t="shared" ref="M20:M27" si="3">D20/1000000</f>
        <v>11.106528099963542</v>
      </c>
      <c r="N20" s="241">
        <f t="shared" si="2"/>
        <v>95.97481676033334</v>
      </c>
      <c r="O20" s="240">
        <f t="shared" si="2"/>
        <v>11.106528099963542</v>
      </c>
      <c r="P20" s="241">
        <f t="shared" si="2"/>
        <v>95.97481676033334</v>
      </c>
      <c r="Q20" s="240">
        <f t="shared" si="2"/>
        <v>11.106528099963542</v>
      </c>
      <c r="R20" s="241">
        <f t="shared" si="2"/>
        <v>95.97481676033334</v>
      </c>
    </row>
    <row r="21" spans="2:19" x14ac:dyDescent="0.25">
      <c r="B21" s="54" t="s">
        <v>154</v>
      </c>
      <c r="C21" s="237" t="str">
        <f>VAC_Optim_Scenario!B21</f>
        <v>HCC Social</v>
      </c>
      <c r="D21" s="238">
        <f>VAC_Optim_Scenario!$H51</f>
        <v>4473746.1544590266</v>
      </c>
      <c r="E21" s="239">
        <f>VAC_Optim_Scenario!$J51</f>
        <v>27140417.351082891</v>
      </c>
      <c r="F21" s="238">
        <f>VAC_Optim_Scenario!$H51</f>
        <v>4473746.1544590266</v>
      </c>
      <c r="G21" s="239">
        <f>VAC_Optim_Scenario!$J51</f>
        <v>27140417.351082891</v>
      </c>
      <c r="H21" s="238">
        <f>VAC_Optim_Scenario!$H51</f>
        <v>4473746.1544590266</v>
      </c>
      <c r="I21" s="239">
        <f>VAC_Optim_Scenario!$J51</f>
        <v>27140417.351082891</v>
      </c>
      <c r="J21" s="242"/>
      <c r="K21" s="54" t="s">
        <v>154</v>
      </c>
      <c r="L21" s="237" t="str">
        <f>VAC_Optim_Scenario!B21</f>
        <v>HCC Social</v>
      </c>
      <c r="M21" s="240">
        <f t="shared" si="3"/>
        <v>4.4737461544590262</v>
      </c>
      <c r="N21" s="241">
        <f t="shared" si="2"/>
        <v>27.140417351082892</v>
      </c>
      <c r="O21" s="240">
        <f t="shared" si="2"/>
        <v>4.4737461544590262</v>
      </c>
      <c r="P21" s="241">
        <f t="shared" si="2"/>
        <v>27.140417351082892</v>
      </c>
      <c r="Q21" s="240">
        <f t="shared" si="2"/>
        <v>4.4737461544590262</v>
      </c>
      <c r="R21" s="241">
        <f t="shared" si="2"/>
        <v>27.140417351082892</v>
      </c>
    </row>
    <row r="22" spans="2:19" x14ac:dyDescent="0.25">
      <c r="B22" s="54" t="s">
        <v>154</v>
      </c>
      <c r="C22" s="237" t="str">
        <f>VAC_Optim_Scenario!B22</f>
        <v>HCC Online Video</v>
      </c>
      <c r="D22" s="238">
        <f>VAC_Optim_Scenario!$H52</f>
        <v>1000000</v>
      </c>
      <c r="E22" s="239">
        <f>VAC_Optim_Scenario!$J52</f>
        <v>3357832.8692201264</v>
      </c>
      <c r="F22" s="238">
        <f>VAC_Optim_Scenario!$H52</f>
        <v>1000000</v>
      </c>
      <c r="G22" s="239">
        <f>VAC_Optim_Scenario!$J52</f>
        <v>3357832.8692201264</v>
      </c>
      <c r="H22" s="238">
        <f>VAC_Optim_Scenario!$H52</f>
        <v>1000000</v>
      </c>
      <c r="I22" s="239">
        <f>VAC_Optim_Scenario!$J52</f>
        <v>3357832.8692201264</v>
      </c>
      <c r="J22" s="234"/>
      <c r="K22" s="54" t="s">
        <v>154</v>
      </c>
      <c r="L22" s="237" t="str">
        <f>VAC_Optim_Scenario!B22</f>
        <v>HCC Online Video</v>
      </c>
      <c r="M22" s="240">
        <f t="shared" si="3"/>
        <v>1</v>
      </c>
      <c r="N22" s="241">
        <f t="shared" si="2"/>
        <v>3.3578328692201262</v>
      </c>
      <c r="O22" s="240">
        <f t="shared" si="2"/>
        <v>1</v>
      </c>
      <c r="P22" s="241">
        <f t="shared" si="2"/>
        <v>3.3578328692201262</v>
      </c>
      <c r="Q22" s="240">
        <f t="shared" si="2"/>
        <v>1</v>
      </c>
      <c r="R22" s="241">
        <f t="shared" si="2"/>
        <v>3.3578328692201262</v>
      </c>
    </row>
    <row r="23" spans="2:19" x14ac:dyDescent="0.25">
      <c r="B23" s="54" t="s">
        <v>154</v>
      </c>
      <c r="C23" s="237" t="str">
        <f>VAC_Optim_Scenario!B23</f>
        <v>HCC Streaming Video</v>
      </c>
      <c r="D23" s="238">
        <f>VAC_Optim_Scenario!$H53</f>
        <v>6538144.1197205177</v>
      </c>
      <c r="E23" s="239">
        <f>VAC_Optim_Scenario!$J53</f>
        <v>33997992.026226372</v>
      </c>
      <c r="F23" s="238">
        <f>VAC_Optim_Scenario!$H53</f>
        <v>6538144.1197205177</v>
      </c>
      <c r="G23" s="239">
        <f>VAC_Optim_Scenario!$J53</f>
        <v>33997992.026226372</v>
      </c>
      <c r="H23" s="238">
        <f>VAC_Optim_Scenario!$H53</f>
        <v>6538144.1197205177</v>
      </c>
      <c r="I23" s="239">
        <f>VAC_Optim_Scenario!$J53</f>
        <v>33997992.026226372</v>
      </c>
      <c r="J23" s="242"/>
      <c r="K23" s="54" t="s">
        <v>154</v>
      </c>
      <c r="L23" s="237" t="str">
        <f>VAC_Optim_Scenario!B23</f>
        <v>HCC Streaming Video</v>
      </c>
      <c r="M23" s="240">
        <f t="shared" si="3"/>
        <v>6.5381441197205179</v>
      </c>
      <c r="N23" s="241">
        <f t="shared" si="2"/>
        <v>33.99799202622637</v>
      </c>
      <c r="O23" s="240">
        <f t="shared" si="2"/>
        <v>6.5381441197205179</v>
      </c>
      <c r="P23" s="241">
        <f t="shared" si="2"/>
        <v>33.99799202622637</v>
      </c>
      <c r="Q23" s="240">
        <f t="shared" si="2"/>
        <v>6.5381441197205179</v>
      </c>
      <c r="R23" s="241">
        <f t="shared" si="2"/>
        <v>33.99799202622637</v>
      </c>
    </row>
    <row r="24" spans="2:19" x14ac:dyDescent="0.25">
      <c r="B24" s="54" t="s">
        <v>154</v>
      </c>
      <c r="C24" s="237" t="str">
        <f>VAC_Optim_Scenario!B24</f>
        <v>HCC Display</v>
      </c>
      <c r="D24" s="238">
        <f>VAC_Optim_Scenario!$H54</f>
        <v>5208923.3353606053</v>
      </c>
      <c r="E24" s="239">
        <f>VAC_Optim_Scenario!$J54</f>
        <v>47268196.005025417</v>
      </c>
      <c r="F24" s="238">
        <f>VAC_Optim_Scenario!$H54</f>
        <v>5208923.3353606053</v>
      </c>
      <c r="G24" s="239">
        <f>VAC_Optim_Scenario!$J54</f>
        <v>47268196.005025417</v>
      </c>
      <c r="H24" s="238">
        <f>VAC_Optim_Scenario!$H54</f>
        <v>5208923.3353606053</v>
      </c>
      <c r="I24" s="239">
        <f>VAC_Optim_Scenario!$J54</f>
        <v>47268196.005025417</v>
      </c>
      <c r="J24" s="242"/>
      <c r="K24" s="54" t="s">
        <v>154</v>
      </c>
      <c r="L24" s="237" t="str">
        <f>VAC_Optim_Scenario!B24</f>
        <v>HCC Display</v>
      </c>
      <c r="M24" s="240">
        <f t="shared" si="3"/>
        <v>5.2089233353606055</v>
      </c>
      <c r="N24" s="241">
        <f t="shared" si="2"/>
        <v>47.268196005025416</v>
      </c>
      <c r="O24" s="240">
        <f t="shared" si="2"/>
        <v>5.2089233353606055</v>
      </c>
      <c r="P24" s="241">
        <f t="shared" si="2"/>
        <v>47.268196005025416</v>
      </c>
      <c r="Q24" s="240">
        <f t="shared" si="2"/>
        <v>5.2089233353606055</v>
      </c>
      <c r="R24" s="241">
        <f t="shared" si="2"/>
        <v>47.268196005025416</v>
      </c>
    </row>
    <row r="25" spans="2:19" x14ac:dyDescent="0.25">
      <c r="B25" s="54" t="s">
        <v>154</v>
      </c>
      <c r="C25" s="237" t="str">
        <f>VAC_Optim_Scenario!B25</f>
        <v>HCC Paid Search</v>
      </c>
      <c r="D25" s="238">
        <f>VAC_Optim_Scenario!$H55</f>
        <v>400000</v>
      </c>
      <c r="E25" s="239">
        <f>VAC_Optim_Scenario!$J55</f>
        <v>32769965.884320233</v>
      </c>
      <c r="F25" s="238">
        <f>VAC_Optim_Scenario!$H55</f>
        <v>400000</v>
      </c>
      <c r="G25" s="239">
        <f>VAC_Optim_Scenario!$J55</f>
        <v>32769965.884320233</v>
      </c>
      <c r="H25" s="238">
        <f>VAC_Optim_Scenario!$H55</f>
        <v>400000</v>
      </c>
      <c r="I25" s="239">
        <f>VAC_Optim_Scenario!$J55</f>
        <v>32769965.884320233</v>
      </c>
      <c r="J25" s="242"/>
      <c r="K25" s="54" t="s">
        <v>154</v>
      </c>
      <c r="L25" s="237" t="str">
        <f>VAC_Optim_Scenario!B25</f>
        <v>HCC Paid Search</v>
      </c>
      <c r="M25" s="240">
        <f t="shared" si="3"/>
        <v>0.4</v>
      </c>
      <c r="N25" s="241">
        <f t="shared" si="2"/>
        <v>32.769965884320236</v>
      </c>
      <c r="O25" s="240">
        <f t="shared" si="2"/>
        <v>0.4</v>
      </c>
      <c r="P25" s="241">
        <f t="shared" si="2"/>
        <v>32.769965884320236</v>
      </c>
      <c r="Q25" s="240">
        <f t="shared" si="2"/>
        <v>0.4</v>
      </c>
      <c r="R25" s="241">
        <f t="shared" si="2"/>
        <v>32.769965884320236</v>
      </c>
    </row>
    <row r="26" spans="2:19" x14ac:dyDescent="0.25">
      <c r="B26" s="54" t="s">
        <v>154</v>
      </c>
      <c r="C26" s="237" t="str">
        <f>VAC_Optim_Scenario!B26</f>
        <v>HCC Audio</v>
      </c>
      <c r="D26" s="238">
        <f>VAC_Optim_Scenario!$H56</f>
        <v>4800000</v>
      </c>
      <c r="E26" s="239">
        <f>VAC_Optim_Scenario!$J56</f>
        <v>32875287.531392161</v>
      </c>
      <c r="F26" s="238">
        <f>VAC_Optim_Scenario!$H56</f>
        <v>4800000</v>
      </c>
      <c r="G26" s="239">
        <f>VAC_Optim_Scenario!$J56</f>
        <v>32875287.531392161</v>
      </c>
      <c r="H26" s="238">
        <f>VAC_Optim_Scenario!$H56</f>
        <v>4800000</v>
      </c>
      <c r="I26" s="239">
        <f>VAC_Optim_Scenario!$J56</f>
        <v>32875287.531392161</v>
      </c>
      <c r="J26" s="242"/>
      <c r="K26" s="54" t="s">
        <v>154</v>
      </c>
      <c r="L26" s="237" t="str">
        <f>VAC_Optim_Scenario!B26</f>
        <v>HCC Audio</v>
      </c>
      <c r="M26" s="240">
        <f t="shared" si="3"/>
        <v>4.8</v>
      </c>
      <c r="N26" s="241">
        <f t="shared" si="2"/>
        <v>32.875287531392161</v>
      </c>
      <c r="O26" s="240">
        <f t="shared" si="2"/>
        <v>4.8</v>
      </c>
      <c r="P26" s="241">
        <f t="shared" si="2"/>
        <v>32.875287531392161</v>
      </c>
      <c r="Q26" s="240">
        <f t="shared" si="2"/>
        <v>4.8</v>
      </c>
      <c r="R26" s="241">
        <f t="shared" si="2"/>
        <v>32.875287531392161</v>
      </c>
    </row>
    <row r="27" spans="2:19" x14ac:dyDescent="0.25">
      <c r="B27" s="251" t="s">
        <v>154</v>
      </c>
      <c r="C27" s="223" t="str">
        <f>VAC_Optim_Scenario!B27</f>
        <v>HCC TV</v>
      </c>
      <c r="D27" s="252">
        <f>VAC_Optim_Scenario!$H57</f>
        <v>16888801</v>
      </c>
      <c r="E27" s="252">
        <f>VAC_Optim_Scenario!$J57</f>
        <v>67034177.652868718</v>
      </c>
      <c r="F27" s="252">
        <f>VAC_Optim_Scenario!$H57</f>
        <v>16888801</v>
      </c>
      <c r="G27" s="252">
        <f>VAC_Optim_Scenario!$J57</f>
        <v>67034177.652868718</v>
      </c>
      <c r="H27" s="252">
        <f>VAC_Optim_Scenario!$H57</f>
        <v>16888801</v>
      </c>
      <c r="I27" s="252">
        <f>VAC_Optim_Scenario!$J57</f>
        <v>67034177.652868718</v>
      </c>
      <c r="J27" s="242"/>
      <c r="K27" s="251" t="s">
        <v>154</v>
      </c>
      <c r="L27" s="223" t="str">
        <f>VAC_Optim_Scenario!B27</f>
        <v>HCC TV</v>
      </c>
      <c r="M27" s="245">
        <f t="shared" si="3"/>
        <v>16.888801000000001</v>
      </c>
      <c r="N27" s="245">
        <f t="shared" si="2"/>
        <v>67.034177652868721</v>
      </c>
      <c r="O27" s="245">
        <f t="shared" si="2"/>
        <v>16.888801000000001</v>
      </c>
      <c r="P27" s="245">
        <f t="shared" si="2"/>
        <v>67.034177652868721</v>
      </c>
      <c r="Q27" s="245">
        <f t="shared" si="2"/>
        <v>16.888801000000001</v>
      </c>
      <c r="R27" s="245">
        <f t="shared" si="2"/>
        <v>67.034177652868721</v>
      </c>
    </row>
    <row r="30" spans="2:19" ht="34.35" customHeight="1" x14ac:dyDescent="0.25">
      <c r="C30" s="272" t="s">
        <v>3</v>
      </c>
      <c r="D30" s="273" t="s">
        <v>242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225</v>
      </c>
      <c r="L30" s="97" t="s">
        <v>226</v>
      </c>
      <c r="M30" s="97" t="s">
        <v>227</v>
      </c>
      <c r="N30" s="97" t="s">
        <v>245</v>
      </c>
      <c r="O30" s="97" t="s">
        <v>247</v>
      </c>
      <c r="P30" s="97" t="s">
        <v>228</v>
      </c>
      <c r="Q30" s="97" t="s">
        <v>229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2" t="str">
        <f>VAC_Optim_Scenario!B19</f>
        <v>HCC In Office</v>
      </c>
      <c r="D31" s="235">
        <f>M19</f>
        <v>1.2862342842082002</v>
      </c>
      <c r="E31" s="235">
        <f>O5</f>
        <v>1.2862342842082002</v>
      </c>
      <c r="F31" s="235">
        <f>Q5</f>
        <v>1.2862342842082002</v>
      </c>
      <c r="G31" s="235">
        <f>O19</f>
        <v>1.2862342842082002</v>
      </c>
      <c r="H31" s="235">
        <f>Q19</f>
        <v>1.2862342842082002</v>
      </c>
      <c r="J31" s="244">
        <v>-0.5</v>
      </c>
      <c r="K31" s="245">
        <f>E$31</f>
        <v>1.2862342842082002</v>
      </c>
      <c r="L31" s="245">
        <f>E$32</f>
        <v>11.106528099963542</v>
      </c>
      <c r="M31" s="245">
        <f>E$33</f>
        <v>4.4737461544590262</v>
      </c>
      <c r="N31" s="245">
        <f>E$34</f>
        <v>1</v>
      </c>
      <c r="O31" s="245">
        <f>E$35</f>
        <v>6.5381441197205179</v>
      </c>
      <c r="P31" s="245">
        <f>E$36</f>
        <v>5.2089233353606055</v>
      </c>
      <c r="Q31" s="245">
        <f>E$37</f>
        <v>0.4</v>
      </c>
      <c r="R31" s="245">
        <f>E$38</f>
        <v>4.8</v>
      </c>
      <c r="S31" s="245">
        <f>E$39</f>
        <v>16.888801000000001</v>
      </c>
    </row>
    <row r="32" spans="2:19" x14ac:dyDescent="0.25">
      <c r="B32" s="54" t="s">
        <v>154</v>
      </c>
      <c r="C32" s="293" t="str">
        <f>VAC_Optim_Scenario!B20</f>
        <v>HCP MCM</v>
      </c>
      <c r="D32" s="240">
        <f t="shared" ref="D32:D39" si="4">M20</f>
        <v>11.106528099963542</v>
      </c>
      <c r="E32" s="240">
        <f t="shared" ref="E32:E39" si="5">O6</f>
        <v>11.106528099963542</v>
      </c>
      <c r="F32" s="240">
        <f t="shared" ref="F32:F39" si="6">Q6</f>
        <v>11.106528099963542</v>
      </c>
      <c r="G32" s="240">
        <f t="shared" ref="G32:G39" si="7">O20</f>
        <v>11.106528099963542</v>
      </c>
      <c r="H32" s="240">
        <f t="shared" ref="H32:H39" si="8">Q20</f>
        <v>11.106528099963542</v>
      </c>
      <c r="J32" s="244">
        <v>-0.4</v>
      </c>
      <c r="K32" s="245">
        <f>G$31</f>
        <v>1.2862342842082002</v>
      </c>
      <c r="L32" s="245">
        <f>G$32</f>
        <v>11.106528099963542</v>
      </c>
      <c r="M32" s="245">
        <f>G$33</f>
        <v>4.4737461544590262</v>
      </c>
      <c r="N32" s="245">
        <f>G$34</f>
        <v>1</v>
      </c>
      <c r="O32" s="245">
        <f>G$35</f>
        <v>6.5381441197205179</v>
      </c>
      <c r="P32" s="245">
        <f>G$36</f>
        <v>5.2089233353606055</v>
      </c>
      <c r="Q32" s="245">
        <f>G$37</f>
        <v>0.4</v>
      </c>
      <c r="R32" s="245">
        <f>G$38</f>
        <v>4.8</v>
      </c>
      <c r="S32" s="245">
        <f>G$39</f>
        <v>16.888801000000001</v>
      </c>
    </row>
    <row r="33" spans="2:22" x14ac:dyDescent="0.25">
      <c r="B33" s="54" t="s">
        <v>154</v>
      </c>
      <c r="C33" s="293" t="str">
        <f>VAC_Optim_Scenario!B21</f>
        <v>HCC Social</v>
      </c>
      <c r="D33" s="240">
        <f t="shared" si="4"/>
        <v>4.4737461544590262</v>
      </c>
      <c r="E33" s="240">
        <f t="shared" si="5"/>
        <v>4.4737461544590262</v>
      </c>
      <c r="F33" s="240">
        <f t="shared" si="6"/>
        <v>4.4737461544590262</v>
      </c>
      <c r="G33" s="240">
        <f t="shared" si="7"/>
        <v>4.4737461544590262</v>
      </c>
      <c r="H33" s="240">
        <f t="shared" si="8"/>
        <v>4.4737461544590262</v>
      </c>
      <c r="J33" s="244" t="s">
        <v>242</v>
      </c>
      <c r="K33" s="245">
        <f>D$31</f>
        <v>1.2862342842082002</v>
      </c>
      <c r="L33" s="245">
        <f>D$32</f>
        <v>11.106528099963542</v>
      </c>
      <c r="M33" s="245">
        <f>D$33</f>
        <v>4.4737461544590262</v>
      </c>
      <c r="N33" s="245">
        <f>D$34</f>
        <v>1</v>
      </c>
      <c r="O33" s="245">
        <f>D$35</f>
        <v>6.5381441197205179</v>
      </c>
      <c r="P33" s="245">
        <f>D$36</f>
        <v>5.2089233353606055</v>
      </c>
      <c r="Q33" s="245">
        <f>D$37</f>
        <v>0.4</v>
      </c>
      <c r="R33" s="245">
        <f>D$38</f>
        <v>4.8</v>
      </c>
      <c r="S33" s="245">
        <f>D$39</f>
        <v>16.888801000000001</v>
      </c>
    </row>
    <row r="34" spans="2:22" x14ac:dyDescent="0.25">
      <c r="B34" s="54" t="s">
        <v>154</v>
      </c>
      <c r="C34" s="293" t="str">
        <f>VAC_Optim_Scenario!B22</f>
        <v>HCC Online Video</v>
      </c>
      <c r="D34" s="240">
        <f t="shared" si="4"/>
        <v>1</v>
      </c>
      <c r="E34" s="240">
        <f t="shared" si="5"/>
        <v>1</v>
      </c>
      <c r="F34" s="240">
        <f t="shared" si="6"/>
        <v>1</v>
      </c>
      <c r="G34" s="240">
        <f t="shared" si="7"/>
        <v>1</v>
      </c>
      <c r="H34" s="240">
        <f t="shared" si="8"/>
        <v>1</v>
      </c>
      <c r="J34" s="244">
        <v>0.4</v>
      </c>
      <c r="K34" s="245">
        <f>H$31</f>
        <v>1.2862342842082002</v>
      </c>
      <c r="L34" s="245">
        <f>H$32</f>
        <v>11.106528099963542</v>
      </c>
      <c r="M34" s="245">
        <f>H$33</f>
        <v>4.4737461544590262</v>
      </c>
      <c r="N34" s="245">
        <f>H$34</f>
        <v>1</v>
      </c>
      <c r="O34" s="245">
        <f>H$35</f>
        <v>6.5381441197205179</v>
      </c>
      <c r="P34" s="245">
        <f>H$36</f>
        <v>5.2089233353606055</v>
      </c>
      <c r="Q34" s="245">
        <f>H$37</f>
        <v>0.4</v>
      </c>
      <c r="R34" s="245">
        <f>H$38</f>
        <v>4.8</v>
      </c>
      <c r="S34" s="245">
        <f>H$39</f>
        <v>16.888801000000001</v>
      </c>
    </row>
    <row r="35" spans="2:22" x14ac:dyDescent="0.25">
      <c r="B35" s="54" t="s">
        <v>154</v>
      </c>
      <c r="C35" s="293" t="str">
        <f>VAC_Optim_Scenario!B23</f>
        <v>HCC Streaming Video</v>
      </c>
      <c r="D35" s="240">
        <f t="shared" si="4"/>
        <v>6.5381441197205179</v>
      </c>
      <c r="E35" s="240">
        <f t="shared" si="5"/>
        <v>6.5381441197205179</v>
      </c>
      <c r="F35" s="240">
        <f t="shared" si="6"/>
        <v>6.5381441197205179</v>
      </c>
      <c r="G35" s="240">
        <f t="shared" si="7"/>
        <v>6.5381441197205179</v>
      </c>
      <c r="H35" s="240">
        <f t="shared" si="8"/>
        <v>6.5381441197205179</v>
      </c>
      <c r="J35" s="243">
        <v>2</v>
      </c>
      <c r="K35" s="245">
        <f>F$31</f>
        <v>1.2862342842082002</v>
      </c>
      <c r="L35" s="245">
        <f>F$32</f>
        <v>11.106528099963542</v>
      </c>
      <c r="M35" s="245">
        <f>F$33</f>
        <v>4.4737461544590262</v>
      </c>
      <c r="N35" s="245">
        <f>F$34</f>
        <v>1</v>
      </c>
      <c r="O35" s="245">
        <f>F$35</f>
        <v>6.5381441197205179</v>
      </c>
      <c r="P35" s="245">
        <f>F$36</f>
        <v>5.2089233353606055</v>
      </c>
      <c r="Q35" s="245">
        <f>F$37</f>
        <v>0.4</v>
      </c>
      <c r="R35" s="245">
        <f>F$38</f>
        <v>4.8</v>
      </c>
      <c r="S35" s="245">
        <f>F$39</f>
        <v>16.888801000000001</v>
      </c>
    </row>
    <row r="36" spans="2:22" x14ac:dyDescent="0.25">
      <c r="B36" s="54" t="s">
        <v>154</v>
      </c>
      <c r="C36" s="293" t="str">
        <f>VAC_Optim_Scenario!B24</f>
        <v>HCC Display</v>
      </c>
      <c r="D36" s="240">
        <f t="shared" si="4"/>
        <v>5.2089233353606055</v>
      </c>
      <c r="E36" s="240">
        <f t="shared" si="5"/>
        <v>5.2089233353606055</v>
      </c>
      <c r="F36" s="240">
        <f t="shared" si="6"/>
        <v>5.2089233353606055</v>
      </c>
      <c r="G36" s="240">
        <f t="shared" si="7"/>
        <v>5.2089233353606055</v>
      </c>
      <c r="H36" s="240">
        <f t="shared" si="8"/>
        <v>5.2089233353606055</v>
      </c>
    </row>
    <row r="37" spans="2:22" x14ac:dyDescent="0.25">
      <c r="B37" s="54" t="s">
        <v>154</v>
      </c>
      <c r="C37" s="293" t="str">
        <f>VAC_Optim_Scenario!B25</f>
        <v>HCC Paid Search</v>
      </c>
      <c r="D37" s="240">
        <f t="shared" si="4"/>
        <v>0.4</v>
      </c>
      <c r="E37" s="240">
        <f t="shared" si="5"/>
        <v>0.4</v>
      </c>
      <c r="F37" s="240">
        <f t="shared" si="6"/>
        <v>0.4</v>
      </c>
      <c r="G37" s="240">
        <f t="shared" si="7"/>
        <v>0.4</v>
      </c>
      <c r="H37" s="240">
        <f t="shared" si="8"/>
        <v>0.4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3" t="str">
        <f>VAC_Optim_Scenario!B26</f>
        <v>HCC Audio</v>
      </c>
      <c r="D38" s="240">
        <f t="shared" si="4"/>
        <v>4.8</v>
      </c>
      <c r="E38" s="240">
        <f t="shared" si="5"/>
        <v>4.8</v>
      </c>
      <c r="F38" s="240">
        <f t="shared" si="6"/>
        <v>4.8</v>
      </c>
      <c r="G38" s="240">
        <f t="shared" si="7"/>
        <v>4.8</v>
      </c>
      <c r="H38" s="240">
        <f t="shared" si="8"/>
        <v>4.8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4" t="str">
        <f>VAC_Optim_Scenario!B27</f>
        <v>HCC TV</v>
      </c>
      <c r="D39" s="240">
        <f t="shared" si="4"/>
        <v>16.888801000000001</v>
      </c>
      <c r="E39" s="240">
        <f t="shared" si="5"/>
        <v>16.888801000000001</v>
      </c>
      <c r="F39" s="240">
        <f t="shared" si="6"/>
        <v>16.888801000000001</v>
      </c>
      <c r="G39" s="240">
        <f t="shared" si="7"/>
        <v>16.888801000000001</v>
      </c>
      <c r="H39" s="240">
        <f t="shared" si="8"/>
        <v>16.888801000000001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56"/>
  <sheetViews>
    <sheetView zoomScale="75" zoomScaleNormal="75" workbookViewId="0">
      <selection activeCell="E16" sqref="E16"/>
    </sheetView>
  </sheetViews>
  <sheetFormatPr defaultColWidth="8.7109375" defaultRowHeight="15" x14ac:dyDescent="0.25"/>
  <cols>
    <col min="1" max="1" width="14.85546875" style="97" bestFit="1" customWidth="1"/>
    <col min="2" max="2" width="21.140625" style="97" bestFit="1" customWidth="1"/>
    <col min="3" max="3" width="21.85546875" style="97" bestFit="1" customWidth="1"/>
    <col min="4" max="4" width="12.28515625" style="97" customWidth="1"/>
    <col min="5" max="5" width="22.28515625" style="97" bestFit="1" customWidth="1"/>
    <col min="6" max="6" width="25.285156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3" width="20.140625" style="97" customWidth="1"/>
    <col min="14" max="16" width="8.7109375" style="97"/>
    <col min="17" max="18" width="13.85546875" style="97" bestFit="1" customWidth="1"/>
    <col min="19" max="16384" width="8.7109375" style="97"/>
  </cols>
  <sheetData>
    <row r="2" spans="1:18" x14ac:dyDescent="0.25">
      <c r="D2" s="558">
        <v>2023</v>
      </c>
      <c r="E2" s="558"/>
      <c r="F2" s="558"/>
      <c r="G2" s="558"/>
      <c r="H2" s="558"/>
      <c r="I2" s="558"/>
      <c r="L2" s="97" t="s">
        <v>315</v>
      </c>
    </row>
    <row r="3" spans="1:18" ht="51" x14ac:dyDescent="0.25">
      <c r="B3" s="219" t="s">
        <v>2</v>
      </c>
      <c r="C3" s="220" t="s">
        <v>3</v>
      </c>
      <c r="D3" s="220" t="s">
        <v>311</v>
      </c>
      <c r="E3" s="220" t="s">
        <v>312</v>
      </c>
      <c r="F3" s="220" t="s">
        <v>313</v>
      </c>
      <c r="G3" s="220" t="s">
        <v>314</v>
      </c>
      <c r="H3" s="220" t="s">
        <v>223</v>
      </c>
      <c r="I3" s="220" t="s">
        <v>224</v>
      </c>
      <c r="J3" s="288" t="s">
        <v>208</v>
      </c>
      <c r="K3"/>
      <c r="L3" s="462">
        <v>8649234</v>
      </c>
      <c r="M3" s="221" t="s">
        <v>316</v>
      </c>
    </row>
    <row r="4" spans="1:18" ht="14.25" customHeight="1" x14ac:dyDescent="0.25">
      <c r="A4" s="97" t="s">
        <v>318</v>
      </c>
      <c r="B4" s="450" t="s">
        <v>175</v>
      </c>
      <c r="C4" s="451" t="str">
        <f>VAC_Optim_Scenario!B19</f>
        <v>HCC In Office</v>
      </c>
      <c r="D4" s="452">
        <f>VAC_Optim_Scenario!E19</f>
        <v>1000000</v>
      </c>
      <c r="E4" s="455">
        <f>VAC_Optim_Scenario!F19</f>
        <v>22310.299479529262</v>
      </c>
      <c r="F4" s="452">
        <f>VAC_Optim_Scenario!G49</f>
        <v>5040789.0644048415</v>
      </c>
      <c r="G4" s="457">
        <f>F4/D4</f>
        <v>5.0407890644048416</v>
      </c>
      <c r="H4" s="458">
        <f>E4/$L$3</f>
        <v>2.5794537966632954E-3</v>
      </c>
      <c r="I4" s="460">
        <f>D4/E4</f>
        <v>44.822347674783416</v>
      </c>
      <c r="J4" s="463">
        <f ca="1">(VLOOKUP($Q4,INDIRECT("'"&amp;A4&amp;"'!"&amp;"A20:E42"),5,0)-VLOOKUP($R4,INDIRECT("'"&amp;A4&amp;"'!"&amp;"A20:E42"),5,0))/(Q4-R4)</f>
        <v>4.2588353994034396</v>
      </c>
      <c r="K4"/>
      <c r="L4" s="462">
        <v>4647854</v>
      </c>
      <c r="M4" s="221" t="s">
        <v>317</v>
      </c>
      <c r="Q4" s="465" cm="1">
        <f t="array" aca="1" ref="Q4" ca="1">MAX(_xlfn._xlws.FILTER(INDIRECT("'"&amp;A4&amp;"'!"&amp;"A20:A42"),INDIRECT("'"&amp;A4&amp;"'!"&amp;"A20:A42")&lt;$D4))</f>
        <v>800000</v>
      </c>
      <c r="R4" s="465" cm="1">
        <f t="array" aca="1" ref="R4" ca="1">MIN(_xlfn._xlws.FILTER(INDIRECT("'"&amp;A4&amp;"'!"&amp;"A20:A42"),INDIRECT("'"&amp;A4&amp;"'!"&amp;"A20:A42")&gt;=$D4))</f>
        <v>1000000</v>
      </c>
    </row>
    <row r="5" spans="1:18" x14ac:dyDescent="0.25">
      <c r="A5" s="97" t="s">
        <v>319</v>
      </c>
      <c r="B5" s="453" t="s">
        <v>175</v>
      </c>
      <c r="C5" s="473" t="str">
        <f>VAC_Optim_Scenario!B20</f>
        <v>HCP MCM</v>
      </c>
      <c r="D5" s="477">
        <f>VAC_Optim_Scenario!E20</f>
        <v>7775778</v>
      </c>
      <c r="E5" s="474">
        <f>VAC_Optim_Scenario!F20</f>
        <v>356289.09054759797</v>
      </c>
      <c r="F5" s="477">
        <f>VAC_Optim_Scenario!G50</f>
        <v>80499957.11832428</v>
      </c>
      <c r="G5" s="478">
        <f>F5/D5</f>
        <v>10.352656302472148</v>
      </c>
      <c r="H5" s="459">
        <f t="shared" ref="H5:H12" si="0">E5/$L$3</f>
        <v>4.1193138091488557E-2</v>
      </c>
      <c r="I5" s="476">
        <f t="shared" ref="I5:I12" si="1">D5/E5</f>
        <v>21.824350524033811</v>
      </c>
      <c r="J5" s="464">
        <f t="shared" ref="J5:J9" ca="1" si="2">(VLOOKUP($Q5,INDIRECT("'"&amp;A5&amp;"'!"&amp;"A20:E42"),5,0)-VLOOKUP($R5,INDIRECT("'"&amp;A5&amp;"'!"&amp;"A20:E42"),5,0))/(Q5-R5)</f>
        <v>6.0460785671058543</v>
      </c>
      <c r="K5"/>
      <c r="Q5" s="465" cm="1">
        <f t="array" aca="1" ref="Q5" ca="1">MAX(_xlfn._xlws.FILTER(INDIRECT("'"&amp;A5&amp;"'!"&amp;"A20:A42"),INDIRECT("'"&amp;A5&amp;"'!"&amp;"A20:A42")&lt;$D5))</f>
        <v>7200000</v>
      </c>
      <c r="R5" s="465" cm="1">
        <f t="array" aca="1" ref="R5" ca="1">MIN(_xlfn._xlws.FILTER(INDIRECT("'"&amp;A5&amp;"'!"&amp;"A20:A42"),INDIRECT("'"&amp;A5&amp;"'!"&amp;"A20:A42")&gt;=$D5))</f>
        <v>7800000</v>
      </c>
    </row>
    <row r="6" spans="1:18" x14ac:dyDescent="0.25">
      <c r="A6" s="97" t="s">
        <v>320</v>
      </c>
      <c r="B6" s="453" t="s">
        <v>175</v>
      </c>
      <c r="C6" s="473" t="str">
        <f>VAC_Optim_Scenario!B21</f>
        <v>HCC Social</v>
      </c>
      <c r="D6" s="477">
        <f>VAC_Optim_Scenario!E21</f>
        <v>1840000</v>
      </c>
      <c r="E6" s="474">
        <f>VAC_Optim_Scenario!F21</f>
        <v>70487.367019183061</v>
      </c>
      <c r="F6" s="477">
        <f>VAC_Optim_Scenario!G51</f>
        <v>15925915.704314221</v>
      </c>
      <c r="G6" s="478">
        <f t="shared" ref="G6:G22" si="3">F6/D6</f>
        <v>8.6553889697359896</v>
      </c>
      <c r="H6" s="459">
        <f t="shared" si="0"/>
        <v>8.1495502398458708E-3</v>
      </c>
      <c r="I6" s="476">
        <f t="shared" si="1"/>
        <v>26.103968382011573</v>
      </c>
      <c r="J6" s="464">
        <f ca="1">(VLOOKUP($Q6,INDIRECT("'"&amp;A6&amp;"'!"&amp;"A20:E42"),3,0)-VLOOKUP($R6,INDIRECT("'"&amp;A6&amp;"'!"&amp;"A20:E42"),3,0))/(Q6-R6)</f>
        <v>5.1563798454813883</v>
      </c>
      <c r="K6"/>
      <c r="Q6" s="465" cm="1">
        <f t="array" aca="1" ref="Q6" ca="1">MAX(_xlfn._xlws.FILTER(INDIRECT("'"&amp;A6&amp;"'!"&amp;"A20:A42"),INDIRECT("'"&amp;A6&amp;"'!"&amp;"A20:A42")&lt;$D6))</f>
        <v>1750000</v>
      </c>
      <c r="R6" s="465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321</v>
      </c>
      <c r="B7" s="453" t="s">
        <v>175</v>
      </c>
      <c r="C7" s="473" t="str">
        <f>VAC_Optim_Scenario!B22</f>
        <v>HCC Online Video</v>
      </c>
      <c r="D7" s="477">
        <f>VAC_Optim_Scenario!E22</f>
        <v>1220000</v>
      </c>
      <c r="E7" s="474">
        <f>VAC_Optim_Scenario!F22</f>
        <v>15022.779470646754</v>
      </c>
      <c r="F7" s="477">
        <f>VAC_Optim_Scenario!G52</f>
        <v>3394246.7935979273</v>
      </c>
      <c r="G7" s="478">
        <f t="shared" si="3"/>
        <v>2.7821695029491207</v>
      </c>
      <c r="H7" s="459">
        <f t="shared" si="0"/>
        <v>1.73689132131779E-3</v>
      </c>
      <c r="I7" s="476">
        <f t="shared" si="1"/>
        <v>81.210005271246729</v>
      </c>
      <c r="J7" s="464">
        <f t="shared" ca="1" si="2"/>
        <v>0.11513353838437583</v>
      </c>
      <c r="K7"/>
      <c r="Q7" s="465" cm="1">
        <f t="array" aca="1" ref="Q7" ca="1">MAX(_xlfn._xlws.FILTER(INDIRECT("'"&amp;A7&amp;"'!"&amp;"A20:A42"),INDIRECT("'"&amp;A7&amp;"'!"&amp;"A20:A42")&lt;$D7))</f>
        <v>1142364.980307648</v>
      </c>
      <c r="R7" s="465" cm="1">
        <f t="array" aca="1" ref="R7" ca="1">MIN(_xlfn._xlws.FILTER(INDIRECT("'"&amp;A7&amp;"'!"&amp;"A20:A42"),INDIRECT("'"&amp;A7&amp;"'!"&amp;"A20:A42")&gt;=$D7))</f>
        <v>1246216.3421537976</v>
      </c>
    </row>
    <row r="8" spans="1:18" x14ac:dyDescent="0.25">
      <c r="A8" s="97" t="s">
        <v>322</v>
      </c>
      <c r="B8" s="453" t="s">
        <v>175</v>
      </c>
      <c r="C8" s="473" t="str">
        <f>VAC_Optim_Scenario!B23</f>
        <v>HCC Streaming Video</v>
      </c>
      <c r="D8" s="477">
        <f>VAC_Optim_Scenario!E23</f>
        <v>4817798</v>
      </c>
      <c r="E8" s="474">
        <f>VAC_Optim_Scenario!F23</f>
        <v>121516.7124715425</v>
      </c>
      <c r="F8" s="477">
        <f>VAC_Optim_Scenario!G53</f>
        <v>27455486.015820313</v>
      </c>
      <c r="G8" s="478">
        <f t="shared" si="3"/>
        <v>5.6987623839397816</v>
      </c>
      <c r="H8" s="459">
        <f t="shared" si="0"/>
        <v>1.4049418997282593E-2</v>
      </c>
      <c r="I8" s="476">
        <f t="shared" si="1"/>
        <v>39.647204915358948</v>
      </c>
      <c r="J8" s="464">
        <f ca="1">(VLOOKUP($Q8,INDIRECT("'"&amp;A8&amp;"'!"&amp;"A20:E42"),3,0)-VLOOKUP($R8,INDIRECT("'"&amp;A8&amp;"'!"&amp;"A20:E42"),3,0))/(Q8-R8)</f>
        <v>4.0068524911094006</v>
      </c>
      <c r="K8"/>
      <c r="Q8" s="465" cm="1">
        <f t="array" aca="1" ref="Q8" ca="1">MAX(_xlfn._xlws.FILTER(INDIRECT("'"&amp;A8&amp;"'!"&amp;"A20:A42"),INDIRECT("'"&amp;A8&amp;"'!"&amp;"A20:A42")&lt;$D8))</f>
        <v>4500000</v>
      </c>
      <c r="R8" s="465" cm="1">
        <f t="array" aca="1" ref="R8" ca="1">MIN(_xlfn._xlws.FILTER(INDIRECT("'"&amp;A8&amp;"'!"&amp;"A20:A42"),INDIRECT("'"&amp;A8&amp;"'!"&amp;"A20:A42")&gt;=$D8))</f>
        <v>5000000</v>
      </c>
    </row>
    <row r="9" spans="1:18" x14ac:dyDescent="0.25">
      <c r="A9" s="97" t="s">
        <v>323</v>
      </c>
      <c r="B9" s="453" t="s">
        <v>175</v>
      </c>
      <c r="C9" s="473" t="str">
        <f>VAC_Optim_Scenario!B24</f>
        <v>HCC Display</v>
      </c>
      <c r="D9" s="477">
        <f>VAC_Optim_Scenario!E24</f>
        <v>3540000</v>
      </c>
      <c r="E9" s="474">
        <f>VAC_Optim_Scenario!F24</f>
        <v>173899.1701768022</v>
      </c>
      <c r="F9" s="477">
        <f>VAC_Optim_Scenario!G54</f>
        <v>39290778.509746693</v>
      </c>
      <c r="G9" s="478">
        <f t="shared" si="3"/>
        <v>11.099089974504716</v>
      </c>
      <c r="H9" s="459">
        <f t="shared" si="0"/>
        <v>2.0105730770702029E-2</v>
      </c>
      <c r="I9" s="476">
        <f t="shared" si="1"/>
        <v>20.356623878083514</v>
      </c>
      <c r="J9" s="464">
        <f t="shared" ca="1" si="2"/>
        <v>6.2094295764497671</v>
      </c>
      <c r="K9"/>
      <c r="Q9" s="465" cm="1">
        <f t="array" aca="1" ref="Q9" ca="1">MAX(_xlfn._xlws.FILTER(INDIRECT("'"&amp;A9&amp;"'!"&amp;"A20:A42"),INDIRECT("'"&amp;A9&amp;"'!"&amp;"A20:A42")&lt;$D9))</f>
        <v>3400000</v>
      </c>
      <c r="R9" s="465" cm="1">
        <f t="array" aca="1" ref="R9" ca="1">MIN(_xlfn._xlws.FILTER(INDIRECT("'"&amp;A9&amp;"'!"&amp;"A20:A42"),INDIRECT("'"&amp;A9&amp;"'!"&amp;"A20:A42")&gt;=$D9))</f>
        <v>3600000</v>
      </c>
    </row>
    <row r="10" spans="1:18" x14ac:dyDescent="0.25">
      <c r="A10" s="97" t="s">
        <v>324</v>
      </c>
      <c r="B10" s="453" t="s">
        <v>175</v>
      </c>
      <c r="C10" s="473" t="str">
        <f>VAC_Optim_Scenario!B25</f>
        <v>HCC Paid Search</v>
      </c>
      <c r="D10" s="477">
        <f>VAC_Optim_Scenario!E25</f>
        <v>400000</v>
      </c>
      <c r="E10" s="474">
        <f>VAC_Optim_Scenario!F25</f>
        <v>145038.35480357721</v>
      </c>
      <c r="F10" s="477">
        <f>VAC_Optim_Scenario!G55</f>
        <v>32769965.884320233</v>
      </c>
      <c r="G10" s="478">
        <f t="shared" si="3"/>
        <v>81.924914710800579</v>
      </c>
      <c r="H10" s="459">
        <f t="shared" si="0"/>
        <v>1.6768924832369803E-2</v>
      </c>
      <c r="I10" s="476">
        <f t="shared" si="1"/>
        <v>2.7578911836232054</v>
      </c>
      <c r="J10" s="464">
        <f ca="1">(VLOOKUP($Q10,INDIRECT("'"&amp;A10&amp;"'!"&amp;"A20:E42"),3,0)-VLOOKUP($R10,INDIRECT("'"&amp;A10&amp;"'!"&amp;"A20:E42"),3,0))/(Q10-R10)</f>
        <v>58.622972004453118</v>
      </c>
      <c r="K10"/>
      <c r="Q10" s="465" cm="1">
        <f t="array" aca="1" ref="Q10" ca="1">MAX(_xlfn._xlws.FILTER(INDIRECT("'"&amp;A10&amp;"'!"&amp;"A20:A42"),INDIRECT("'"&amp;A10&amp;"'!"&amp;"A20:A42")&lt;$D10))</f>
        <v>300000</v>
      </c>
      <c r="R10" s="465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325</v>
      </c>
      <c r="B11" s="453" t="s">
        <v>175</v>
      </c>
      <c r="C11" s="473" t="str">
        <f>VAC_Optim_Scenario!B26</f>
        <v>HCC Audio</v>
      </c>
      <c r="D11" s="477">
        <f>VAC_Optim_Scenario!E26</f>
        <v>2220000</v>
      </c>
      <c r="E11" s="474">
        <f>VAC_Optim_Scenario!F26</f>
        <v>91610.125423352103</v>
      </c>
      <c r="F11" s="477">
        <f>VAC_Optim_Scenario!G56</f>
        <v>20698391.738152172</v>
      </c>
      <c r="G11" s="478">
        <f t="shared" si="3"/>
        <v>9.3235998820505284</v>
      </c>
      <c r="H11" s="459">
        <f t="shared" si="0"/>
        <v>1.0591703892316026E-2</v>
      </c>
      <c r="I11" s="476">
        <f t="shared" si="1"/>
        <v>24.233129140920326</v>
      </c>
      <c r="J11" s="464">
        <f ca="1">(VLOOKUP($Q11,INDIRECT("'"&amp;A11&amp;"'!"&amp;"A20:E42"),3,0)-VLOOKUP($R11,INDIRECT("'"&amp;A11&amp;"'!"&amp;"A20:E42"),3,0))/(Q11-R11)</f>
        <v>5.5164744361232776</v>
      </c>
      <c r="K11"/>
      <c r="Q11" s="465" cm="1">
        <f t="array" aca="1" ref="Q11" ca="1">MAX(_xlfn._xlws.FILTER(INDIRECT("'"&amp;A11&amp;"'!"&amp;"A20:A42"),INDIRECT("'"&amp;A11&amp;"'!"&amp;"A20:A42")&lt;$D11))</f>
        <v>2200000</v>
      </c>
      <c r="R11" s="465" cm="1">
        <f t="array" aca="1" ref="R11" ca="1">MIN(_xlfn._xlws.FILTER(INDIRECT("'"&amp;A11&amp;"'!"&amp;"A20:A42"),INDIRECT("'"&amp;A11&amp;"'!"&amp;"A20:A42")&gt;=$D11))</f>
        <v>2400000</v>
      </c>
    </row>
    <row r="12" spans="1:18" x14ac:dyDescent="0.25">
      <c r="A12" s="97" t="s">
        <v>326</v>
      </c>
      <c r="B12" s="479" t="s">
        <v>175</v>
      </c>
      <c r="C12" s="480" t="str">
        <f>VAC_Optim_Scenario!B27</f>
        <v>HCC TV</v>
      </c>
      <c r="D12" s="481">
        <f>VAC_Optim_Scenario!E27</f>
        <v>16888801</v>
      </c>
      <c r="E12" s="482">
        <f>VAC_Optim_Scenario!F27</f>
        <v>296690.17284619244</v>
      </c>
      <c r="F12" s="481">
        <f>VAC_Optim_Scenario!G57</f>
        <v>67034177.652868718</v>
      </c>
      <c r="G12" s="483">
        <f t="shared" si="3"/>
        <v>3.9691495952180809</v>
      </c>
      <c r="H12" s="484">
        <f t="shared" si="0"/>
        <v>3.4302479600643532E-2</v>
      </c>
      <c r="I12" s="485">
        <f t="shared" si="1"/>
        <v>56.924032360031511</v>
      </c>
      <c r="J12" s="486">
        <f ca="1">(VLOOKUP($Q12,INDIRECT("'"&amp;A12&amp;"'!"&amp;"A20:E42"),3,0)-VLOOKUP($R12,INDIRECT("'"&amp;A12&amp;"'!"&amp;"A20:E42"),3,0))/(Q12-R12)</f>
        <v>2.779334127713728</v>
      </c>
      <c r="K12"/>
      <c r="Q12" s="465" cm="1">
        <f t="array" aca="1" ref="Q12" ca="1">MAX(_xlfn._xlws.FILTER(INDIRECT("'"&amp;A12&amp;"'!"&amp;"A20:A42"),INDIRECT("'"&amp;A12&amp;"'!"&amp;"A20:A42")&lt;$D12))</f>
        <v>16250000</v>
      </c>
      <c r="R12" s="465" cm="1">
        <f t="array" aca="1" ref="R12" ca="1">MIN(_xlfn._xlws.FILTER(INDIRECT("'"&amp;A12&amp;"'!"&amp;"A20:A42"),INDIRECT("'"&amp;A12&amp;"'!"&amp;"A20:A42")&gt;=$D12))</f>
        <v>17500000</v>
      </c>
    </row>
    <row r="13" spans="1:18" x14ac:dyDescent="0.25">
      <c r="A13" s="97" t="s">
        <v>328</v>
      </c>
      <c r="B13" s="453" t="s">
        <v>285</v>
      </c>
      <c r="C13" s="473" t="str">
        <f>VAC_Optim_Scenario!B29</f>
        <v>HCC InOffice</v>
      </c>
      <c r="D13" s="466">
        <f>VAC_Optim_Scenario!E29</f>
        <v>1000000</v>
      </c>
      <c r="E13" s="474">
        <f>VAC_Optim_Scenario!F29</f>
        <v>6742.3679651152343</v>
      </c>
      <c r="F13" s="466">
        <f>VAC_Optim_Scenario!G59</f>
        <v>1523370.618038136</v>
      </c>
      <c r="G13" s="475">
        <f t="shared" si="3"/>
        <v>1.5233706180381361</v>
      </c>
      <c r="H13" s="459">
        <f>E13/$L$4</f>
        <v>1.4506410840605653E-3</v>
      </c>
      <c r="I13" s="476">
        <f>D13/E13</f>
        <v>148.31584469639799</v>
      </c>
      <c r="J13" s="464">
        <f ca="1">(VLOOKUP($Q13,INDIRECT("'"&amp;A13&amp;"'!"&amp;"A20:E42"),5,0)-VLOOKUP($R13,INDIRECT("'"&amp;A13&amp;"'!"&amp;"A20:E42"),5,0))/(Q13-R13)</f>
        <v>1.1660683828483533</v>
      </c>
      <c r="K13"/>
      <c r="Q13" s="465" cm="1">
        <f t="array" aca="1" ref="Q13" ca="1">MAX(_xlfn._xlws.FILTER(INDIRECT("'"&amp;A13&amp;"'!"&amp;"A20:A42"),INDIRECT("'"&amp;A13&amp;"'!"&amp;"A20:A42")&lt;$D13))</f>
        <v>800000</v>
      </c>
      <c r="R13" s="465" cm="1">
        <f t="array" aca="1" ref="R13" ca="1">MIN(_xlfn._xlws.FILTER(INDIRECT("'"&amp;A13&amp;"'!"&amp;"A20:A42"),INDIRECT("'"&amp;A13&amp;"'!"&amp;"A20:A42")&gt;=$D13))</f>
        <v>1000000</v>
      </c>
    </row>
    <row r="14" spans="1:18" x14ac:dyDescent="0.25">
      <c r="A14" s="97" t="s">
        <v>329</v>
      </c>
      <c r="B14" s="453" t="s">
        <v>285</v>
      </c>
      <c r="C14" s="454" t="str">
        <f>VAC_Optim_Scenario!B30</f>
        <v>HCP MCM</v>
      </c>
      <c r="D14" s="466">
        <f>VAC_Optim_Scenario!E30</f>
        <v>16948000</v>
      </c>
      <c r="E14" s="456">
        <f>VAC_Optim_Scenario!F30</f>
        <v>408993.92537411675</v>
      </c>
      <c r="F14" s="466">
        <f>VAC_Optim_Scenario!G60</f>
        <v>92408087.499027938</v>
      </c>
      <c r="G14" s="471">
        <f t="shared" si="3"/>
        <v>5.4524479289018135</v>
      </c>
      <c r="H14" s="459">
        <f t="shared" ref="H14:H22" si="4">E14/$L$4</f>
        <v>8.7996293638766779E-2</v>
      </c>
      <c r="I14" s="461">
        <f t="shared" ref="I14:I22" si="5">D14/E14</f>
        <v>41.438268268892379</v>
      </c>
      <c r="J14" s="464">
        <f t="shared" ref="J14:J22" ca="1" si="6">(VLOOKUP($Q14,INDIRECT("'"&amp;A14&amp;"'!"&amp;"A20:E42"),5,0)-VLOOKUP($R14,INDIRECT("'"&amp;A14&amp;"'!"&amp;"A20:E42"),5,0))/(Q14-R14)</f>
        <v>5.9586080709351945</v>
      </c>
      <c r="K14"/>
      <c r="Q14" s="465" cm="1">
        <f t="array" aca="1" ref="Q14" ca="1">MAX(_xlfn._xlws.FILTER(INDIRECT("'"&amp;A14&amp;"'!"&amp;"A20:A42"),INDIRECT("'"&amp;A14&amp;"'!"&amp;"A20:A42")&lt;$D14))</f>
        <v>12500000</v>
      </c>
      <c r="R14" s="465" cm="1">
        <f t="array" aca="1" ref="R14" ca="1">MIN(_xlfn._xlws.FILTER(INDIRECT("'"&amp;A14&amp;"'!"&amp;"A20:A42"),INDIRECT("'"&amp;A14&amp;"'!"&amp;"A20:A42")&gt;=$D14))</f>
        <v>0</v>
      </c>
    </row>
    <row r="15" spans="1:18" x14ac:dyDescent="0.25">
      <c r="A15" s="97" t="s">
        <v>330</v>
      </c>
      <c r="B15" s="453" t="s">
        <v>285</v>
      </c>
      <c r="C15" s="454" t="str">
        <f>VAC_Optim_Scenario!B31</f>
        <v>HCC Social</v>
      </c>
      <c r="D15" s="466">
        <f>VAC_Optim_Scenario!E31</f>
        <v>2200000</v>
      </c>
      <c r="E15" s="456">
        <f>VAC_Optim_Scenario!F31</f>
        <v>27316.876297482511</v>
      </c>
      <c r="F15" s="466">
        <f>VAC_Optim_Scenario!G61</f>
        <v>6171975.0306531982</v>
      </c>
      <c r="G15" s="471">
        <f t="shared" si="3"/>
        <v>2.8054431957514536</v>
      </c>
      <c r="H15" s="459">
        <f t="shared" si="4"/>
        <v>5.8773094631377216E-3</v>
      </c>
      <c r="I15" s="461">
        <f t="shared" si="5"/>
        <v>80.536294708145277</v>
      </c>
      <c r="J15" s="464">
        <f ca="1">(VLOOKUP($Q15,INDIRECT("'"&amp;A15&amp;"'!"&amp;"A20:E42"),3,0)-VLOOKUP($R15,INDIRECT("'"&amp;A15&amp;"'!"&amp;"A20:E42"),3,0))/(Q15-R15)</f>
        <v>1.7073346754970775</v>
      </c>
      <c r="K15"/>
      <c r="Q15" s="465" cm="1">
        <f t="array" aca="1" ref="Q15" ca="1">MAX(_xlfn._xlws.FILTER(INDIRECT("'"&amp;A15&amp;"'!"&amp;"A20:A42"),INDIRECT("'"&amp;A15&amp;"'!"&amp;"A20:A42")&lt;$D15))</f>
        <v>2000000</v>
      </c>
      <c r="R15" s="465" cm="1">
        <f t="array" aca="1" ref="R15" ca="1">MIN(_xlfn._xlws.FILTER(INDIRECT("'"&amp;A15&amp;"'!"&amp;"A20:A42"),INDIRECT("'"&amp;A15&amp;"'!"&amp;"A20:A42")&gt;=$D15))</f>
        <v>2250000</v>
      </c>
    </row>
    <row r="16" spans="1:18" x14ac:dyDescent="0.25">
      <c r="A16" s="97" t="s">
        <v>331</v>
      </c>
      <c r="B16" s="453" t="s">
        <v>285</v>
      </c>
      <c r="C16" s="454" t="str">
        <f>VAC_Optim_Scenario!B32</f>
        <v>HCC Online Video</v>
      </c>
      <c r="D16" s="466">
        <f>VAC_Optim_Scenario!E32</f>
        <v>1500000</v>
      </c>
      <c r="E16" s="456">
        <f>VAC_Optim_Scenario!F32</f>
        <v>26310.281300564297</v>
      </c>
      <c r="F16" s="466">
        <f>VAC_Optim_Scenario!G62</f>
        <v>5944544.9570494974</v>
      </c>
      <c r="G16" s="471">
        <f t="shared" si="3"/>
        <v>3.9630299713663315</v>
      </c>
      <c r="H16" s="459">
        <f t="shared" si="4"/>
        <v>5.6607374716512822E-3</v>
      </c>
      <c r="I16" s="461">
        <f t="shared" si="5"/>
        <v>57.011933200722879</v>
      </c>
      <c r="J16" s="464">
        <f t="shared" ca="1" si="6"/>
        <v>2.4010732590155395</v>
      </c>
      <c r="K16"/>
      <c r="Q16" s="465" cm="1">
        <f t="array" aca="1" ref="Q16" ca="1">MAX(_xlfn._xlws.FILTER(INDIRECT("'"&amp;A16&amp;"'!"&amp;"A20:A42"),INDIRECT("'"&amp;A16&amp;"'!"&amp;"A20:A42")&lt;$D16))</f>
        <v>1400000</v>
      </c>
      <c r="R16" s="465" cm="1">
        <f t="array" aca="1" ref="R16" ca="1">MIN(_xlfn._xlws.FILTER(INDIRECT("'"&amp;A16&amp;"'!"&amp;"A20:A42"),INDIRECT("'"&amp;A16&amp;"'!"&amp;"A20:A42")&gt;=$D16))</f>
        <v>1600000</v>
      </c>
    </row>
    <row r="17" spans="1:18" x14ac:dyDescent="0.25">
      <c r="A17" s="97" t="s">
        <v>332</v>
      </c>
      <c r="B17" s="453" t="s">
        <v>285</v>
      </c>
      <c r="C17" s="454" t="str">
        <f>VAC_Optim_Scenario!B33</f>
        <v>HCC Streaming Video</v>
      </c>
      <c r="D17" s="466">
        <f>VAC_Optim_Scenario!E33</f>
        <v>10268452</v>
      </c>
      <c r="E17" s="456">
        <f>VAC_Optim_Scenario!F33</f>
        <v>83590.203851267303</v>
      </c>
      <c r="F17" s="466">
        <f>VAC_Optim_Scenario!G63</f>
        <v>18886370.658155333</v>
      </c>
      <c r="G17" s="471">
        <f t="shared" si="3"/>
        <v>1.8392617171658721</v>
      </c>
      <c r="H17" s="459">
        <f t="shared" si="4"/>
        <v>1.7984687955186911E-2</v>
      </c>
      <c r="I17" s="461">
        <f t="shared" si="5"/>
        <v>122.84276777540508</v>
      </c>
      <c r="J17" s="464">
        <f ca="1">(VLOOKUP($Q17,INDIRECT("'"&amp;A17&amp;"'!"&amp;"A20:E42"),3,0)-VLOOKUP($R17,INDIRECT("'"&amp;A17&amp;"'!"&amp;"A20:E42"),3,0))/(Q17-R17)</f>
        <v>1.293043979820331</v>
      </c>
      <c r="K17"/>
      <c r="Q17" s="465" cm="1">
        <f t="array" aca="1" ref="Q17" ca="1">MAX(_xlfn._xlws.FILTER(INDIRECT("'"&amp;A17&amp;"'!"&amp;"A20:A42"),INDIRECT("'"&amp;A17&amp;"'!"&amp;"A20:A42")&lt;$D17))</f>
        <v>9750000</v>
      </c>
      <c r="R17" s="465" cm="1">
        <f t="array" aca="1" ref="R17" ca="1">MIN(_xlfn._xlws.FILTER(INDIRECT("'"&amp;A17&amp;"'!"&amp;"A20:A42"),INDIRECT("'"&amp;A17&amp;"'!"&amp;"A20:A42")&gt;=$D17))</f>
        <v>10500000</v>
      </c>
    </row>
    <row r="18" spans="1:18" x14ac:dyDescent="0.25">
      <c r="A18" s="97" t="s">
        <v>333</v>
      </c>
      <c r="B18" s="453" t="s">
        <v>285</v>
      </c>
      <c r="C18" s="454" t="str">
        <f>VAC_Optim_Scenario!B34</f>
        <v>HCC Display</v>
      </c>
      <c r="D18" s="466">
        <f>VAC_Optim_Scenario!E34</f>
        <v>4000000</v>
      </c>
      <c r="E18" s="456">
        <f>VAC_Optim_Scenario!F34</f>
        <v>93036.538435982438</v>
      </c>
      <c r="F18" s="466">
        <f>VAC_Optim_Scenario!G64</f>
        <v>21020675.494225871</v>
      </c>
      <c r="G18" s="471">
        <f t="shared" si="3"/>
        <v>5.2551688735564674</v>
      </c>
      <c r="H18" s="459">
        <f t="shared" si="4"/>
        <v>2.0017095725464361E-2</v>
      </c>
      <c r="I18" s="461">
        <f t="shared" si="5"/>
        <v>42.993860984546004</v>
      </c>
      <c r="J18" s="464">
        <f t="shared" ref="J18:J21" ca="1" si="7">(VLOOKUP($Q18,INDIRECT("'"&amp;A18&amp;"'!"&amp;"A20:E42"),3,0)-VLOOKUP($R18,INDIRECT("'"&amp;A18&amp;"'!"&amp;"A20:E42"),3,0))/(Q18-R18)</f>
        <v>3.1937096880425662</v>
      </c>
      <c r="K18"/>
      <c r="Q18" s="465" cm="1">
        <f t="array" aca="1" ref="Q18" ca="1">MAX(_xlfn._xlws.FILTER(INDIRECT("'"&amp;A18&amp;"'!"&amp;"A20:A42"),INDIRECT("'"&amp;A18&amp;"'!"&amp;"A20:A42")&lt;$D18))</f>
        <v>3750000</v>
      </c>
      <c r="R18" s="465" cm="1">
        <f t="array" aca="1" ref="R18" ca="1">MIN(_xlfn._xlws.FILTER(INDIRECT("'"&amp;A18&amp;"'!"&amp;"A20:A42"),INDIRECT("'"&amp;A18&amp;"'!"&amp;"A20:A42")&gt;=$D18))</f>
        <v>4000000</v>
      </c>
    </row>
    <row r="19" spans="1:18" x14ac:dyDescent="0.25">
      <c r="A19" s="97" t="s">
        <v>334</v>
      </c>
      <c r="B19" s="453" t="s">
        <v>285</v>
      </c>
      <c r="C19" s="454" t="str">
        <f>VAC_Optim_Scenario!B35</f>
        <v>HCC Paid Search</v>
      </c>
      <c r="D19" s="466">
        <f>VAC_Optim_Scenario!E35</f>
        <v>200000</v>
      </c>
      <c r="E19" s="456">
        <f>VAC_Optim_Scenario!F35</f>
        <v>79531.473375019181</v>
      </c>
      <c r="F19" s="466">
        <f>VAC_Optim_Scenario!G65</f>
        <v>17969341.094351832</v>
      </c>
      <c r="G19" s="471">
        <f t="shared" si="3"/>
        <v>89.846705471759165</v>
      </c>
      <c r="H19" s="459">
        <f t="shared" si="4"/>
        <v>1.7111439682705003E-2</v>
      </c>
      <c r="I19" s="461">
        <f t="shared" si="5"/>
        <v>2.5147277110902859</v>
      </c>
      <c r="J19" s="464">
        <f t="shared" ca="1" si="7"/>
        <v>84.028991834438983</v>
      </c>
      <c r="K19"/>
      <c r="Q19" s="465" cm="1">
        <f t="array" aca="1" ref="Q19" ca="1">MAX(_xlfn._xlws.FILTER(INDIRECT("'"&amp;A19&amp;"'!"&amp;"A20:A42"),INDIRECT("'"&amp;A19&amp;"'!"&amp;"A20:A42")&lt;$D19))</f>
        <v>0</v>
      </c>
      <c r="R19" s="465" cm="1">
        <f t="array" aca="1" ref="R19" ca="1">MIN(_xlfn._xlws.FILTER(INDIRECT("'"&amp;A19&amp;"'!"&amp;"A20:A42"),INDIRECT("'"&amp;A19&amp;"'!"&amp;"A20:A42")&gt;=$D19))</f>
        <v>250000</v>
      </c>
    </row>
    <row r="20" spans="1:18" x14ac:dyDescent="0.25">
      <c r="A20" s="97" t="s">
        <v>335</v>
      </c>
      <c r="B20" s="453" t="s">
        <v>285</v>
      </c>
      <c r="C20" s="454" t="str">
        <f>VAC_Optim_Scenario!B36</f>
        <v>HCC Linear TV</v>
      </c>
      <c r="D20" s="466">
        <f>VAC_Optim_Scenario!E36</f>
        <v>28089211</v>
      </c>
      <c r="E20" s="456">
        <f>VAC_Optim_Scenario!F36</f>
        <v>178786.88879772768</v>
      </c>
      <c r="F20" s="466">
        <f>VAC_Optim_Scenario!G66</f>
        <v>40395109.654958591</v>
      </c>
      <c r="G20" s="471">
        <f t="shared" si="3"/>
        <v>1.4381005452577003</v>
      </c>
      <c r="H20" s="459">
        <f t="shared" si="4"/>
        <v>3.8466545807533468E-2</v>
      </c>
      <c r="I20" s="461">
        <f t="shared" si="5"/>
        <v>157.11001622596055</v>
      </c>
      <c r="J20" s="464">
        <f t="shared" ca="1" si="7"/>
        <v>1.0103942879146139</v>
      </c>
      <c r="K20"/>
      <c r="Q20" s="465" cm="1">
        <f t="array" aca="1" ref="Q20" ca="1">MAX(_xlfn._xlws.FILTER(INDIRECT("'"&amp;A20&amp;"'!"&amp;"A20:A42"),INDIRECT("'"&amp;A20&amp;"'!"&amp;"A20:A42")&lt;$D20))</f>
        <v>27000000</v>
      </c>
      <c r="R20" s="465" cm="1">
        <f t="array" aca="1" ref="R20" ca="1">MIN(_xlfn._xlws.FILTER(INDIRECT("'"&amp;A20&amp;"'!"&amp;"A20:A42"),INDIRECT("'"&amp;A20&amp;"'!"&amp;"A20:A42")&gt;=$D20))</f>
        <v>28500000</v>
      </c>
    </row>
    <row r="21" spans="1:18" x14ac:dyDescent="0.25">
      <c r="A21" s="97" t="s">
        <v>327</v>
      </c>
      <c r="B21" s="453" t="s">
        <v>285</v>
      </c>
      <c r="C21" s="454" t="str">
        <f>VAC_Optim_Scenario!B37</f>
        <v>HCC Radio</v>
      </c>
      <c r="D21" s="466">
        <f>VAC_Optim_Scenario!E37</f>
        <v>1500000</v>
      </c>
      <c r="E21" s="456">
        <f>VAC_Optim_Scenario!F37</f>
        <v>32266.574959240672</v>
      </c>
      <c r="F21" s="466">
        <f>VAC_Optim_Scenario!G67</f>
        <v>7290309.9462908376</v>
      </c>
      <c r="G21" s="471">
        <f t="shared" si="3"/>
        <v>4.8602066308605583</v>
      </c>
      <c r="H21" s="459">
        <f t="shared" si="4"/>
        <v>6.9422522650755963E-3</v>
      </c>
      <c r="I21" s="461">
        <f t="shared" si="5"/>
        <v>46.487735431938745</v>
      </c>
      <c r="J21" s="464">
        <f t="shared" ca="1" si="7"/>
        <v>2.0509920895460025</v>
      </c>
      <c r="K21"/>
      <c r="Q21" s="465" cm="1">
        <f t="array" aca="1" ref="Q21" ca="1">MAX(_xlfn._xlws.FILTER(INDIRECT("'"&amp;A21&amp;"'!"&amp;"A20:A42"),INDIRECT("'"&amp;A21&amp;"'!"&amp;"A20:A42")&lt;$D21))</f>
        <v>1250000</v>
      </c>
      <c r="R21" s="465" cm="1">
        <f t="array" aca="1" ref="R21" ca="1">MIN(_xlfn._xlws.FILTER(INDIRECT("'"&amp;A21&amp;"'!"&amp;"A20:A42"),INDIRECT("'"&amp;A21&amp;"'!"&amp;"A20:A42")&gt;=$D21))</f>
        <v>1500000</v>
      </c>
    </row>
    <row r="22" spans="1:18" x14ac:dyDescent="0.25">
      <c r="A22" s="97" t="s">
        <v>336</v>
      </c>
      <c r="B22" s="453" t="s">
        <v>285</v>
      </c>
      <c r="C22" s="454" t="str">
        <f>VAC_Optim_Scenario!B38</f>
        <v>HCC Pharmacy</v>
      </c>
      <c r="D22" s="466">
        <f>VAC_Optim_Scenario!E38</f>
        <v>3200000</v>
      </c>
      <c r="E22" s="456">
        <f>VAC_Optim_Scenario!F38</f>
        <v>22412.309442908503</v>
      </c>
      <c r="F22" s="466">
        <f>VAC_Optim_Scenario!G68</f>
        <v>5063837.1955307471</v>
      </c>
      <c r="G22" s="471">
        <f t="shared" si="3"/>
        <v>1.5824491236033584</v>
      </c>
      <c r="H22" s="459">
        <f t="shared" si="4"/>
        <v>4.822076907516566E-3</v>
      </c>
      <c r="I22" s="461">
        <f t="shared" si="5"/>
        <v>142.77868187352351</v>
      </c>
      <c r="J22" s="464">
        <f t="shared" ca="1" si="6"/>
        <v>1.1322085520510514</v>
      </c>
      <c r="K22"/>
      <c r="Q22" s="465" cm="1">
        <f t="array" aca="1" ref="Q22" ca="1">MAX(_xlfn._xlws.FILTER(INDIRECT("'"&amp;A22&amp;"'!"&amp;"A20:A42"),INDIRECT("'"&amp;A22&amp;"'!"&amp;"A20:A42")&lt;$D22))</f>
        <v>3000000</v>
      </c>
      <c r="R22" s="465" cm="1">
        <f t="array" aca="1" ref="R22" ca="1">MIN(_xlfn._xlws.FILTER(INDIRECT("'"&amp;A22&amp;"'!"&amp;"A20:A42"),INDIRECT("'"&amp;A22&amp;"'!"&amp;"A20:A42")&gt;=$D22))</f>
        <v>3200000</v>
      </c>
    </row>
    <row r="23" spans="1:18" x14ac:dyDescent="0.25">
      <c r="B23" s="467" t="s">
        <v>154</v>
      </c>
      <c r="C23" s="468" t="s">
        <v>231</v>
      </c>
      <c r="D23" s="469">
        <f>SUM(D4:D22)</f>
        <v>108608040</v>
      </c>
      <c r="E23" s="470">
        <f>SUM(E4:E22)</f>
        <v>2251851.5120378481</v>
      </c>
      <c r="F23" s="469">
        <f>SUM(F4:F22)</f>
        <v>508783330.62983131</v>
      </c>
      <c r="G23" s="472">
        <f>F23/D23</f>
        <v>4.6845825652486806</v>
      </c>
      <c r="H23" s="225">
        <f>SUM(H4:H22)</f>
        <v>0.35580637154372774</v>
      </c>
      <c r="I23" s="289">
        <f>D23/E23</f>
        <v>48.230551357142311</v>
      </c>
      <c r="J23" s="290"/>
    </row>
    <row r="24" spans="1:18" x14ac:dyDescent="0.25">
      <c r="F24" s="97">
        <f>F23/D23</f>
        <v>4.6845825652486806</v>
      </c>
      <c r="G24" s="226"/>
      <c r="H24" s="227"/>
    </row>
    <row r="26" spans="1:18" ht="51" x14ac:dyDescent="0.25">
      <c r="E26" s="220" t="s">
        <v>3</v>
      </c>
      <c r="F26" s="221" t="s">
        <v>309</v>
      </c>
    </row>
    <row r="27" spans="1:18" x14ac:dyDescent="0.25">
      <c r="E27" s="222" t="s">
        <v>189</v>
      </c>
      <c r="F27" s="259">
        <f t="shared" ref="F27:F35" si="8">VLOOKUP(E27,$C$4:$I$12,7,0)</f>
        <v>56.924032360031511</v>
      </c>
    </row>
    <row r="28" spans="1:18" x14ac:dyDescent="0.25">
      <c r="E28" s="223" t="s">
        <v>225</v>
      </c>
      <c r="F28" s="259">
        <f t="shared" si="8"/>
        <v>44.822347674783416</v>
      </c>
    </row>
    <row r="29" spans="1:18" x14ac:dyDescent="0.25">
      <c r="E29" s="223" t="s">
        <v>247</v>
      </c>
      <c r="F29" s="259">
        <f t="shared" si="8"/>
        <v>39.647204915358948</v>
      </c>
    </row>
    <row r="30" spans="1:18" x14ac:dyDescent="0.25">
      <c r="E30" s="223" t="s">
        <v>227</v>
      </c>
      <c r="F30" s="259">
        <f t="shared" si="8"/>
        <v>26.103968382011573</v>
      </c>
    </row>
    <row r="31" spans="1:18" x14ac:dyDescent="0.25">
      <c r="E31" s="223" t="s">
        <v>245</v>
      </c>
      <c r="F31" s="259">
        <f t="shared" si="8"/>
        <v>81.210005271246729</v>
      </c>
    </row>
    <row r="32" spans="1:18" x14ac:dyDescent="0.25">
      <c r="E32" s="223" t="s">
        <v>284</v>
      </c>
      <c r="F32" s="259">
        <f t="shared" si="8"/>
        <v>24.233129140920326</v>
      </c>
    </row>
    <row r="33" spans="5:6" x14ac:dyDescent="0.25">
      <c r="E33" s="223" t="s">
        <v>226</v>
      </c>
      <c r="F33" s="259">
        <f t="shared" si="8"/>
        <v>21.824350524033811</v>
      </c>
    </row>
    <row r="34" spans="5:6" x14ac:dyDescent="0.25">
      <c r="E34" s="223" t="s">
        <v>228</v>
      </c>
      <c r="F34" s="259">
        <f t="shared" si="8"/>
        <v>20.356623878083514</v>
      </c>
    </row>
    <row r="35" spans="5:6" x14ac:dyDescent="0.25">
      <c r="E35" s="224" t="s">
        <v>229</v>
      </c>
      <c r="F35" s="259">
        <f t="shared" si="8"/>
        <v>2.7578911836232054</v>
      </c>
    </row>
    <row r="46" spans="5:6" ht="25.5" x14ac:dyDescent="0.25">
      <c r="E46" s="220" t="s">
        <v>3</v>
      </c>
      <c r="F46" s="221" t="s">
        <v>299</v>
      </c>
    </row>
    <row r="47" spans="5:6" x14ac:dyDescent="0.25">
      <c r="E47" s="222" t="s">
        <v>286</v>
      </c>
      <c r="F47" s="259">
        <f t="shared" ref="F47:F56" si="9">VLOOKUP(E47,$C$13:$I$22,7,0)</f>
        <v>148.31584469639799</v>
      </c>
    </row>
    <row r="48" spans="5:6" x14ac:dyDescent="0.25">
      <c r="E48" s="223" t="s">
        <v>287</v>
      </c>
      <c r="F48" s="259">
        <f t="shared" si="9"/>
        <v>157.11001622596055</v>
      </c>
    </row>
    <row r="49" spans="5:6" x14ac:dyDescent="0.25">
      <c r="E49" s="223" t="s">
        <v>247</v>
      </c>
      <c r="F49" s="259">
        <f t="shared" si="9"/>
        <v>122.84276777540508</v>
      </c>
    </row>
    <row r="50" spans="5:6" x14ac:dyDescent="0.25">
      <c r="E50" s="223" t="s">
        <v>304</v>
      </c>
      <c r="F50" s="259">
        <f t="shared" si="9"/>
        <v>142.77868187352351</v>
      </c>
    </row>
    <row r="51" spans="5:6" x14ac:dyDescent="0.25">
      <c r="E51" s="223" t="s">
        <v>227</v>
      </c>
      <c r="F51" s="259">
        <f t="shared" si="9"/>
        <v>80.536294708145277</v>
      </c>
    </row>
    <row r="52" spans="5:6" x14ac:dyDescent="0.25">
      <c r="E52" s="223" t="s">
        <v>245</v>
      </c>
      <c r="F52" s="259">
        <f t="shared" si="9"/>
        <v>57.011933200722879</v>
      </c>
    </row>
    <row r="53" spans="5:6" x14ac:dyDescent="0.25">
      <c r="E53" s="223" t="s">
        <v>228</v>
      </c>
      <c r="F53" s="259">
        <f t="shared" si="9"/>
        <v>42.993860984546004</v>
      </c>
    </row>
    <row r="54" spans="5:6" x14ac:dyDescent="0.25">
      <c r="E54" s="223" t="s">
        <v>226</v>
      </c>
      <c r="F54" s="259">
        <f t="shared" si="9"/>
        <v>41.438268268892379</v>
      </c>
    </row>
    <row r="55" spans="5:6" x14ac:dyDescent="0.25">
      <c r="E55" s="224" t="s">
        <v>192</v>
      </c>
      <c r="F55" s="259">
        <f t="shared" si="9"/>
        <v>46.487735431938745</v>
      </c>
    </row>
    <row r="56" spans="5:6" x14ac:dyDescent="0.25">
      <c r="E56" s="223" t="s">
        <v>229</v>
      </c>
      <c r="F56" s="259">
        <f t="shared" si="9"/>
        <v>2.5147277110902859</v>
      </c>
    </row>
  </sheetData>
  <autoFilter ref="E26:F35" xr:uid="{8BCDA747-D407-4282-8381-F585CCEDDB35}">
    <sortState xmlns:xlrd2="http://schemas.microsoft.com/office/spreadsheetml/2017/richdata2" ref="E27:F35">
      <sortCondition descending="1" ref="F26:F3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H13 J6:J9 G23 J15:J16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21C93-D658-41FB-882E-FD97534A77C5}">
  <sheetPr>
    <pageSetUpPr autoPageBreaks="0"/>
  </sheetPr>
  <dimension ref="B3:V60"/>
  <sheetViews>
    <sheetView zoomScale="75" zoomScaleNormal="75" workbookViewId="0">
      <selection activeCell="K6" sqref="K6:K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5.140625" style="97" bestFit="1" customWidth="1"/>
    <col min="4" max="4" width="12.140625" style="97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5.1406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535" t="s">
        <v>201</v>
      </c>
      <c r="H4" s="535"/>
      <c r="I4" s="536" t="s">
        <v>202</v>
      </c>
      <c r="J4" s="536"/>
      <c r="K4" s="537" t="s">
        <v>203</v>
      </c>
      <c r="L4" s="537"/>
    </row>
    <row r="5" spans="2:13" ht="38.65" customHeight="1" x14ac:dyDescent="0.25">
      <c r="B5" s="183"/>
      <c r="C5" s="258" t="s">
        <v>204</v>
      </c>
      <c r="D5" s="258" t="s">
        <v>205</v>
      </c>
      <c r="E5" s="167" t="s">
        <v>206</v>
      </c>
      <c r="F5" s="258" t="s">
        <v>308</v>
      </c>
      <c r="G5" s="275" t="s">
        <v>337</v>
      </c>
      <c r="H5" s="275"/>
      <c r="I5" s="275" t="s">
        <v>337</v>
      </c>
      <c r="J5" s="275"/>
      <c r="K5" s="275" t="s">
        <v>337</v>
      </c>
      <c r="L5" s="275"/>
      <c r="M5" s="276"/>
    </row>
    <row r="6" spans="2:13" ht="15" customHeight="1" x14ac:dyDescent="0.25">
      <c r="B6" s="183"/>
      <c r="C6" s="169">
        <f>$C$8+E6</f>
        <v>217216080</v>
      </c>
      <c r="D6" s="170">
        <v>1</v>
      </c>
      <c r="E6" s="171">
        <f>D6*$C$8</f>
        <v>108608040</v>
      </c>
      <c r="F6" s="258"/>
      <c r="G6" s="169">
        <f>'Scenario deep dive_23_dz'!P28</f>
        <v>625597145.90766454</v>
      </c>
      <c r="H6" s="275"/>
      <c r="I6" s="169">
        <f t="shared" ref="I6:J8" si="0">G6-$F$8</f>
        <v>116813815.27783322</v>
      </c>
      <c r="J6" s="169">
        <f t="shared" si="0"/>
        <v>-508783330.62983131</v>
      </c>
      <c r="K6" s="172">
        <f t="shared" ref="K6:L8" si="1">G6/$C6</f>
        <v>2.8800682983859414</v>
      </c>
      <c r="L6" s="172">
        <f t="shared" si="1"/>
        <v>0</v>
      </c>
      <c r="M6" s="276"/>
    </row>
    <row r="7" spans="2:13" x14ac:dyDescent="0.25">
      <c r="C7" s="169">
        <f>$C$8+E7</f>
        <v>162912060</v>
      </c>
      <c r="D7" s="170">
        <v>0.5</v>
      </c>
      <c r="E7" s="171">
        <f>D7*$C$8</f>
        <v>54304020</v>
      </c>
      <c r="F7" s="169"/>
      <c r="G7" s="169">
        <f>'Scenario deep dive_23_dz'!L28</f>
        <v>561074819.48566592</v>
      </c>
      <c r="H7" s="169"/>
      <c r="I7" s="169">
        <f t="shared" si="0"/>
        <v>52291488.855834603</v>
      </c>
      <c r="J7" s="169">
        <f t="shared" si="0"/>
        <v>-508783330.62983131</v>
      </c>
      <c r="K7" s="172">
        <f t="shared" si="1"/>
        <v>3.4440348951800495</v>
      </c>
      <c r="L7" s="172">
        <f t="shared" si="1"/>
        <v>0</v>
      </c>
    </row>
    <row r="8" spans="2:13" x14ac:dyDescent="0.25">
      <c r="B8" s="174">
        <f>F8/C8</f>
        <v>4.6845825652486806</v>
      </c>
      <c r="C8" s="169">
        <f>'Scenario deep dive_23_dz'!C28</f>
        <v>108608040</v>
      </c>
      <c r="D8" s="170">
        <v>0</v>
      </c>
      <c r="E8" s="171">
        <f>D8*$C$8</f>
        <v>0</v>
      </c>
      <c r="F8" s="169">
        <f>'Scenario deep dive_23_dz'!D28</f>
        <v>508783330.62983131</v>
      </c>
      <c r="G8" s="169">
        <f>'Scenario deep dive_23_dz'!H28</f>
        <v>515884427.71904558</v>
      </c>
      <c r="H8" s="169"/>
      <c r="I8" s="169">
        <f t="shared" si="0"/>
        <v>7101097.0892142653</v>
      </c>
      <c r="J8" s="169">
        <f t="shared" si="0"/>
        <v>-508783330.62983131</v>
      </c>
      <c r="K8" s="172">
        <f t="shared" si="1"/>
        <v>4.7499653590935402</v>
      </c>
      <c r="L8" s="172">
        <f t="shared" si="1"/>
        <v>0</v>
      </c>
    </row>
    <row r="9" spans="2:13" x14ac:dyDescent="0.25">
      <c r="C9" s="169"/>
      <c r="D9" s="170"/>
      <c r="E9" s="330"/>
      <c r="F9" s="169"/>
      <c r="G9" s="169"/>
      <c r="L9" s="172"/>
    </row>
    <row r="10" spans="2:13" x14ac:dyDescent="0.25">
      <c r="D10" s="330"/>
      <c r="E10" s="330"/>
    </row>
    <row r="11" spans="2:13" x14ac:dyDescent="0.25">
      <c r="F11" s="538" t="s">
        <v>207</v>
      </c>
      <c r="G11" s="538"/>
      <c r="H11" s="538" t="s">
        <v>208</v>
      </c>
      <c r="I11" s="538"/>
    </row>
    <row r="12" spans="2:13" x14ac:dyDescent="0.25">
      <c r="C12" s="166" t="s">
        <v>204</v>
      </c>
      <c r="D12" s="166" t="s">
        <v>205</v>
      </c>
      <c r="E12" s="97" t="s">
        <v>209</v>
      </c>
      <c r="F12" s="275" t="s">
        <v>337</v>
      </c>
      <c r="G12" s="168"/>
      <c r="H12" s="275" t="s">
        <v>337</v>
      </c>
      <c r="I12" s="168"/>
    </row>
    <row r="13" spans="2:13" x14ac:dyDescent="0.25">
      <c r="C13" s="176">
        <f>C6</f>
        <v>217216080</v>
      </c>
      <c r="D13" s="177">
        <v>0.5</v>
      </c>
      <c r="E13" s="176">
        <f>C13-C14</f>
        <v>54304020</v>
      </c>
      <c r="F13" s="178">
        <f>G6-G7</f>
        <v>64522326.42199862</v>
      </c>
      <c r="G13" s="178">
        <f>H6-H7</f>
        <v>0</v>
      </c>
      <c r="H13" s="172">
        <f t="shared" ref="H13:I14" si="2">F13/$E13</f>
        <v>1.1881685080036177</v>
      </c>
      <c r="I13" s="172">
        <f t="shared" si="2"/>
        <v>0</v>
      </c>
    </row>
    <row r="14" spans="2:13" x14ac:dyDescent="0.25">
      <c r="C14" s="176">
        <f>C7</f>
        <v>162912060</v>
      </c>
      <c r="D14" s="177">
        <f>D7</f>
        <v>0.5</v>
      </c>
      <c r="E14" s="176">
        <f>C14-C15</f>
        <v>54304020</v>
      </c>
      <c r="F14" s="178">
        <f>G7-G8</f>
        <v>45190391.766620338</v>
      </c>
      <c r="G14" s="178">
        <f>H7-H8</f>
        <v>0</v>
      </c>
      <c r="H14" s="172">
        <f t="shared" si="2"/>
        <v>0.8321739673530677</v>
      </c>
      <c r="I14" s="172">
        <f t="shared" si="2"/>
        <v>0</v>
      </c>
    </row>
    <row r="15" spans="2:13" x14ac:dyDescent="0.25">
      <c r="C15" s="176">
        <f>C8</f>
        <v>108608040</v>
      </c>
      <c r="D15" s="177">
        <f>D8</f>
        <v>0</v>
      </c>
      <c r="E15" s="176"/>
      <c r="F15" s="178"/>
      <c r="G15" s="178"/>
      <c r="H15" s="172"/>
      <c r="I15" s="172"/>
    </row>
    <row r="16" spans="2:13" x14ac:dyDescent="0.25">
      <c r="C16" s="176"/>
      <c r="D16" s="177"/>
      <c r="E16" s="176"/>
      <c r="F16" s="178"/>
      <c r="G16" s="178"/>
      <c r="H16" s="172"/>
      <c r="I16" s="172"/>
    </row>
    <row r="17" spans="8:8" x14ac:dyDescent="0.25">
      <c r="H17" s="172"/>
    </row>
    <row r="53" spans="21:22" x14ac:dyDescent="0.25">
      <c r="U53" s="179"/>
      <c r="V53" s="179"/>
    </row>
    <row r="54" spans="21:22" x14ac:dyDescent="0.25">
      <c r="U54" s="179"/>
      <c r="V54" s="179"/>
    </row>
    <row r="55" spans="21:22" x14ac:dyDescent="0.25">
      <c r="U55" s="179"/>
      <c r="V55" s="179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</sheetData>
  <mergeCells count="5">
    <mergeCell ref="G4:H4"/>
    <mergeCell ref="I4:J4"/>
    <mergeCell ref="K4:L4"/>
    <mergeCell ref="F11:G11"/>
    <mergeCell ref="H11:I11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D8CAB-0C57-4837-99B8-83A8FC4CE2AB}">
  <sheetPr>
    <pageSetUpPr autoPageBreaks="0"/>
  </sheetPr>
  <dimension ref="A3:Z103"/>
  <sheetViews>
    <sheetView showGridLines="0" tabSelected="1" topLeftCell="A32" zoomScale="75" zoomScaleNormal="75" workbookViewId="0">
      <selection activeCell="G55" sqref="G55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13.28515625" style="97" bestFit="1" customWidth="1"/>
    <col min="18" max="18" width="17.85546875" style="97" bestFit="1" customWidth="1"/>
    <col min="19" max="19" width="12.140625" style="97" bestFit="1" customWidth="1"/>
    <col min="20" max="20" width="13.85546875" style="97" bestFit="1" customWidth="1"/>
    <col min="21" max="21" width="12.7109375" style="97" bestFit="1" customWidth="1"/>
    <col min="22" max="22" width="17.42578125" style="97" customWidth="1"/>
    <col min="23" max="23" width="13.28515625" style="97" bestFit="1" customWidth="1"/>
    <col min="24" max="24" width="14.42578125" style="97" bestFit="1" customWidth="1"/>
    <col min="25" max="16384" width="8.7109375" style="97"/>
  </cols>
  <sheetData>
    <row r="3" spans="1:24" x14ac:dyDescent="0.25">
      <c r="B3" s="180">
        <f>SUM(C9:C13)</f>
        <v>11817798</v>
      </c>
      <c r="C3" s="180">
        <f>SUM(D9:D13)</f>
        <v>118836392.90779939</v>
      </c>
    </row>
    <row r="4" spans="1:24" x14ac:dyDescent="0.25">
      <c r="F4" s="547" t="s">
        <v>343</v>
      </c>
      <c r="G4" s="547"/>
      <c r="H4" s="547"/>
      <c r="I4" s="547"/>
      <c r="J4" s="547"/>
      <c r="K4" s="547"/>
      <c r="L4" s="547"/>
      <c r="M4" s="547"/>
      <c r="N4" s="547"/>
      <c r="O4" s="547"/>
      <c r="P4" s="547"/>
    </row>
    <row r="5" spans="1:24" x14ac:dyDescent="0.25">
      <c r="F5" s="541" t="s">
        <v>310</v>
      </c>
      <c r="G5" s="542"/>
      <c r="H5" s="543"/>
      <c r="I5" s="181"/>
      <c r="J5" s="541" t="s">
        <v>348</v>
      </c>
      <c r="K5" s="542"/>
      <c r="L5" s="543"/>
      <c r="N5" s="541" t="s">
        <v>344</v>
      </c>
      <c r="O5" s="542"/>
      <c r="P5" s="543"/>
      <c r="R5" s="97" t="s">
        <v>249</v>
      </c>
    </row>
    <row r="6" spans="1:24" ht="51.75" customHeight="1" x14ac:dyDescent="0.25">
      <c r="B6" s="387" t="s">
        <v>212</v>
      </c>
      <c r="C6" s="389" t="s">
        <v>213</v>
      </c>
      <c r="D6" s="388" t="s">
        <v>214</v>
      </c>
      <c r="E6" s="390"/>
      <c r="F6" s="391" t="s">
        <v>222</v>
      </c>
      <c r="G6" s="390" t="s">
        <v>215</v>
      </c>
      <c r="H6" s="388" t="s">
        <v>216</v>
      </c>
      <c r="I6" s="390"/>
      <c r="J6" s="391" t="s">
        <v>222</v>
      </c>
      <c r="K6" s="390" t="s">
        <v>215</v>
      </c>
      <c r="L6" s="388" t="s">
        <v>216</v>
      </c>
      <c r="M6" s="392"/>
      <c r="N6" s="391" t="s">
        <v>222</v>
      </c>
      <c r="O6" s="390" t="s">
        <v>215</v>
      </c>
      <c r="P6" s="388" t="s">
        <v>216</v>
      </c>
      <c r="R6" s="183" t="s">
        <v>222</v>
      </c>
      <c r="S6" s="183" t="s">
        <v>215</v>
      </c>
      <c r="T6" s="183" t="s">
        <v>216</v>
      </c>
      <c r="V6" s="534" t="s">
        <v>345</v>
      </c>
      <c r="W6" s="533" t="s">
        <v>346</v>
      </c>
      <c r="X6" s="533" t="s">
        <v>347</v>
      </c>
    </row>
    <row r="7" spans="1:24" x14ac:dyDescent="0.25">
      <c r="A7" s="380" t="str">
        <f>VAC_Optim_Scenario!A49</f>
        <v>Gardasil Adolescents</v>
      </c>
      <c r="B7" s="380" t="str">
        <f>VAC_Optim_Scenario!B19</f>
        <v>HCC In Office</v>
      </c>
      <c r="C7" s="384">
        <f>VAC_Optim_Scenario!E19</f>
        <v>1000000</v>
      </c>
      <c r="D7" s="376">
        <f>VAC_Optim_Scenario!G49</f>
        <v>5040789.0644048415</v>
      </c>
      <c r="E7" s="369"/>
      <c r="F7" s="383">
        <v>1000000</v>
      </c>
      <c r="G7" s="370">
        <v>0</v>
      </c>
      <c r="H7" s="372">
        <v>5040789.0644048415</v>
      </c>
      <c r="I7" s="369"/>
      <c r="J7" s="384">
        <v>1173557.6552415772</v>
      </c>
      <c r="K7" s="374">
        <v>0.17355765524157718</v>
      </c>
      <c r="L7" s="376">
        <v>5725943.0683801267</v>
      </c>
      <c r="M7" s="371"/>
      <c r="N7" s="384">
        <v>1627929.2384396647</v>
      </c>
      <c r="O7" s="374">
        <v>0.62792923843966475</v>
      </c>
      <c r="P7" s="376">
        <v>7306791.6112230085</v>
      </c>
      <c r="Q7" s="180"/>
      <c r="R7" s="185">
        <f>VAC_Optim_Scenario!$H49</f>
        <v>1286234.2842082002</v>
      </c>
      <c r="S7" s="177">
        <f>(R7-$C7)/$C7</f>
        <v>0.28623428420820018</v>
      </c>
      <c r="T7" s="185">
        <f>VAC_Optim_Scenario!$J49</f>
        <v>6145593.0138865588</v>
      </c>
      <c r="U7" s="185"/>
      <c r="V7" s="527">
        <f>$F7-'[1]Scenario deep dive'!$F7</f>
        <v>0</v>
      </c>
      <c r="W7" s="530">
        <f>$J7-'[1]Scenario deep dive'!$J7</f>
        <v>643.32933167461306</v>
      </c>
      <c r="X7" s="530">
        <f>$N7-'[1]Scenario deep dive'!$N7</f>
        <v>-26659.473889131797</v>
      </c>
    </row>
    <row r="8" spans="1:24" x14ac:dyDescent="0.25">
      <c r="A8" s="381" t="str">
        <f>VAC_Optim_Scenario!A50</f>
        <v>Gardasil Adolescents</v>
      </c>
      <c r="B8" s="381" t="str">
        <f>VAC_Optim_Scenario!B20</f>
        <v>HCP MCM</v>
      </c>
      <c r="C8" s="384">
        <f>VAC_Optim_Scenario!E20</f>
        <v>7775778</v>
      </c>
      <c r="D8" s="376">
        <f>VAC_Optim_Scenario!G50</f>
        <v>80499957.11832428</v>
      </c>
      <c r="E8" s="373"/>
      <c r="F8" s="384">
        <v>7998918.3413149435</v>
      </c>
      <c r="G8" s="374">
        <v>2.869685082508059E-2</v>
      </c>
      <c r="H8" s="376">
        <v>81777817.454316273</v>
      </c>
      <c r="I8" s="373"/>
      <c r="J8" s="384">
        <v>10778578.325305099</v>
      </c>
      <c r="K8" s="374">
        <v>0.38617361829325614</v>
      </c>
      <c r="L8" s="376">
        <v>94753078.905656368</v>
      </c>
      <c r="M8" s="375"/>
      <c r="N8" s="384">
        <v>12000000</v>
      </c>
      <c r="O8" s="374">
        <v>0.54325393549044221</v>
      </c>
      <c r="P8" s="376">
        <v>99028830.679674461</v>
      </c>
      <c r="Q8" s="180"/>
      <c r="R8" s="185">
        <f>VAC_Optim_Scenario!$H50</f>
        <v>11106528.099963542</v>
      </c>
      <c r="S8" s="177">
        <f t="shared" ref="S8:S22" si="0">(R8-$C8)/$C8</f>
        <v>0.42834943332532671</v>
      </c>
      <c r="T8" s="185">
        <f>VAC_Optim_Scenario!$J50</f>
        <v>95974816.760333344</v>
      </c>
      <c r="U8" s="185"/>
      <c r="V8" s="528">
        <f>$F8-'[1]Scenario deep dive'!$F8</f>
        <v>-4744.332567198202</v>
      </c>
      <c r="W8" s="531">
        <f>$J8-'[1]Scenario deep dive'!$J8</f>
        <v>-2501.4750974457711</v>
      </c>
      <c r="X8" s="531">
        <f>$N8-'[1]Scenario deep dive'!$N8</f>
        <v>0</v>
      </c>
    </row>
    <row r="9" spans="1:24" x14ac:dyDescent="0.25">
      <c r="A9" s="381" t="str">
        <f>VAC_Optim_Scenario!A51</f>
        <v>Gardasil Adolescents</v>
      </c>
      <c r="B9" s="381" t="str">
        <f>VAC_Optim_Scenario!B21</f>
        <v>HCC Social</v>
      </c>
      <c r="C9" s="384">
        <f>VAC_Optim_Scenario!E21</f>
        <v>1840000</v>
      </c>
      <c r="D9" s="376">
        <f>VAC_Optim_Scenario!G51</f>
        <v>15925915.704314221</v>
      </c>
      <c r="E9" s="373"/>
      <c r="F9" s="384">
        <v>1599500</v>
      </c>
      <c r="G9" s="374">
        <v>-0.13070652173913044</v>
      </c>
      <c r="H9" s="376">
        <v>14642130.239828272</v>
      </c>
      <c r="I9" s="373"/>
      <c r="J9" s="384">
        <v>3984959.7056681667</v>
      </c>
      <c r="K9" s="374">
        <v>1.1657389704718297</v>
      </c>
      <c r="L9" s="376">
        <v>25320255.252875369</v>
      </c>
      <c r="M9" s="375"/>
      <c r="N9" s="384">
        <v>6500000</v>
      </c>
      <c r="O9" s="374">
        <v>2.5326086956521738</v>
      </c>
      <c r="P9" s="376">
        <v>33959534.839013599</v>
      </c>
      <c r="Q9" s="180"/>
      <c r="R9" s="185">
        <f>VAC_Optim_Scenario!$H51</f>
        <v>4473746.1544590266</v>
      </c>
      <c r="S9" s="177">
        <f t="shared" si="0"/>
        <v>1.431383779597297</v>
      </c>
      <c r="T9" s="185">
        <f>VAC_Optim_Scenario!$J51</f>
        <v>27140417.351082891</v>
      </c>
      <c r="U9" s="185"/>
      <c r="V9" s="528">
        <f>$F9-'[1]Scenario deep dive'!$F9</f>
        <v>0</v>
      </c>
      <c r="W9" s="531">
        <f>$J9-'[1]Scenario deep dive'!$J9</f>
        <v>-2958.3915583575144</v>
      </c>
      <c r="X9" s="531">
        <f>$N9-'[1]Scenario deep dive'!$N9</f>
        <v>0</v>
      </c>
    </row>
    <row r="10" spans="1:24" x14ac:dyDescent="0.25">
      <c r="A10" s="381" t="str">
        <f>VAC_Optim_Scenario!A52</f>
        <v>Gardasil Adolescents</v>
      </c>
      <c r="B10" s="381" t="str">
        <f>VAC_Optim_Scenario!B22</f>
        <v>HCC Online Video</v>
      </c>
      <c r="C10" s="384">
        <f>VAC_Optim_Scenario!E22</f>
        <v>1220000</v>
      </c>
      <c r="D10" s="376">
        <f>VAC_Optim_Scenario!G52</f>
        <v>3394246.7935979273</v>
      </c>
      <c r="E10" s="373"/>
      <c r="F10" s="384">
        <v>1000000</v>
      </c>
      <c r="G10" s="374">
        <v>-0.18032786885245902</v>
      </c>
      <c r="H10" s="376">
        <v>3357832.8692201264</v>
      </c>
      <c r="I10" s="373"/>
      <c r="J10" s="384">
        <v>1000000</v>
      </c>
      <c r="K10" s="374">
        <v>-0.18032786885245902</v>
      </c>
      <c r="L10" s="376">
        <v>3357832.8692201264</v>
      </c>
      <c r="M10" s="375"/>
      <c r="N10" s="384">
        <v>1000000</v>
      </c>
      <c r="O10" s="374">
        <v>-0.18032786885245902</v>
      </c>
      <c r="P10" s="376">
        <v>3357832.8692201264</v>
      </c>
      <c r="Q10" s="180"/>
      <c r="R10" s="185">
        <f>VAC_Optim_Scenario!$H52</f>
        <v>1000000</v>
      </c>
      <c r="S10" s="177">
        <f t="shared" si="0"/>
        <v>-0.18032786885245902</v>
      </c>
      <c r="T10" s="185">
        <f>VAC_Optim_Scenario!$J52</f>
        <v>3357832.8692201264</v>
      </c>
      <c r="U10" s="185"/>
      <c r="V10" s="528">
        <f>$F10-'[1]Scenario deep dive'!$F10</f>
        <v>0</v>
      </c>
      <c r="W10" s="531">
        <f>$J10-'[1]Scenario deep dive'!$J10</f>
        <v>0</v>
      </c>
      <c r="X10" s="531">
        <f>$N10-'[1]Scenario deep dive'!$N10</f>
        <v>0</v>
      </c>
    </row>
    <row r="11" spans="1:24" x14ac:dyDescent="0.25">
      <c r="A11" s="381" t="str">
        <f>VAC_Optim_Scenario!A53</f>
        <v>Gardasil Adolescents</v>
      </c>
      <c r="B11" s="381" t="str">
        <f>VAC_Optim_Scenario!B23</f>
        <v>HCC Streaming Video</v>
      </c>
      <c r="C11" s="384">
        <f>VAC_Optim_Scenario!E23</f>
        <v>4817798</v>
      </c>
      <c r="D11" s="376">
        <f>VAC_Optim_Scenario!G53</f>
        <v>27455486.015820313</v>
      </c>
      <c r="E11" s="373"/>
      <c r="F11" s="384">
        <v>4817798</v>
      </c>
      <c r="G11" s="374">
        <v>0</v>
      </c>
      <c r="H11" s="376">
        <v>27455486.015820313</v>
      </c>
      <c r="I11" s="373"/>
      <c r="J11" s="384">
        <v>5612077.2205889914</v>
      </c>
      <c r="K11" s="374">
        <v>0.16486353736478604</v>
      </c>
      <c r="L11" s="376">
        <v>30550735.610690169</v>
      </c>
      <c r="M11" s="375"/>
      <c r="N11" s="384">
        <v>10809008.24441673</v>
      </c>
      <c r="O11" s="374">
        <v>1.2435577922562819</v>
      </c>
      <c r="P11" s="376">
        <v>48337615.047609963</v>
      </c>
      <c r="Q11" s="180"/>
      <c r="R11" s="185">
        <f>VAC_Optim_Scenario!$H53</f>
        <v>6538144.1197205177</v>
      </c>
      <c r="S11" s="177">
        <f t="shared" si="0"/>
        <v>0.35708141348402689</v>
      </c>
      <c r="T11" s="185">
        <f>VAC_Optim_Scenario!$J53</f>
        <v>33997992.026226372</v>
      </c>
      <c r="U11" s="185"/>
      <c r="V11" s="528">
        <f>$F11-'[1]Scenario deep dive'!$F11</f>
        <v>0</v>
      </c>
      <c r="W11" s="531">
        <f>$J11-'[1]Scenario deep dive'!$J11</f>
        <v>3035.769607309252</v>
      </c>
      <c r="X11" s="531">
        <f>$N11-'[1]Scenario deep dive'!$N11</f>
        <v>36651.352883862332</v>
      </c>
    </row>
    <row r="12" spans="1:24" x14ac:dyDescent="0.25">
      <c r="A12" s="381" t="str">
        <f>VAC_Optim_Scenario!A54</f>
        <v>Gardasil Adolescents</v>
      </c>
      <c r="B12" s="381" t="str">
        <f>VAC_Optim_Scenario!B24</f>
        <v>HCC Display</v>
      </c>
      <c r="C12" s="384">
        <f>VAC_Optim_Scenario!E24</f>
        <v>3540000</v>
      </c>
      <c r="D12" s="376">
        <f>VAC_Optim_Scenario!G54</f>
        <v>39290778.509746693</v>
      </c>
      <c r="E12" s="373"/>
      <c r="F12" s="384">
        <v>3816067.0635054582</v>
      </c>
      <c r="G12" s="374">
        <v>7.7985046187982535E-2</v>
      </c>
      <c r="H12" s="376">
        <v>40912863.539436728</v>
      </c>
      <c r="I12" s="373"/>
      <c r="J12" s="384">
        <v>5064403.0230153743</v>
      </c>
      <c r="K12" s="374">
        <v>0.43062232288569896</v>
      </c>
      <c r="L12" s="376">
        <v>46729983.44165618</v>
      </c>
      <c r="M12" s="375"/>
      <c r="N12" s="384">
        <v>5676638.5066126538</v>
      </c>
      <c r="O12" s="374">
        <v>0.60357019960809433</v>
      </c>
      <c r="P12" s="376">
        <v>48851834.29291191</v>
      </c>
      <c r="Q12" s="180"/>
      <c r="R12" s="185">
        <f>VAC_Optim_Scenario!$H54</f>
        <v>5208923.3353606053</v>
      </c>
      <c r="S12" s="177">
        <f t="shared" si="0"/>
        <v>0.47144726987587721</v>
      </c>
      <c r="T12" s="185">
        <f>VAC_Optim_Scenario!$J54</f>
        <v>47268196.005025417</v>
      </c>
      <c r="U12" s="185"/>
      <c r="V12" s="528">
        <f>$F12-'[1]Scenario deep dive'!$F12</f>
        <v>4227.6383799510077</v>
      </c>
      <c r="W12" s="531">
        <f>$J12-'[1]Scenario deep dive'!$J12</f>
        <v>1780.636747260578</v>
      </c>
      <c r="X12" s="531">
        <f>$N12-'[1]Scenario deep dive'!$N12</f>
        <v>-9991.9298271993175</v>
      </c>
    </row>
    <row r="13" spans="1:24" x14ac:dyDescent="0.25">
      <c r="A13" s="381" t="str">
        <f>VAC_Optim_Scenario!A55</f>
        <v>Gardasil Adolescents</v>
      </c>
      <c r="B13" s="381" t="str">
        <f>VAC_Optim_Scenario!B25</f>
        <v>HCC Paid Search</v>
      </c>
      <c r="C13" s="384">
        <f>VAC_Optim_Scenario!E25</f>
        <v>400000</v>
      </c>
      <c r="D13" s="376">
        <f>VAC_Optim_Scenario!G55</f>
        <v>32769965.884320233</v>
      </c>
      <c r="E13" s="373"/>
      <c r="F13" s="384">
        <v>400000</v>
      </c>
      <c r="G13" s="374">
        <v>0</v>
      </c>
      <c r="H13" s="376">
        <v>32769965.884320233</v>
      </c>
      <c r="I13" s="373"/>
      <c r="J13" s="384">
        <v>400000</v>
      </c>
      <c r="K13" s="374">
        <v>0</v>
      </c>
      <c r="L13" s="376">
        <v>32769965.884320233</v>
      </c>
      <c r="M13" s="375"/>
      <c r="N13" s="384">
        <v>400000</v>
      </c>
      <c r="O13" s="374">
        <v>0</v>
      </c>
      <c r="P13" s="376">
        <v>32769965.884320233</v>
      </c>
      <c r="Q13" s="180"/>
      <c r="R13" s="185">
        <f>VAC_Optim_Scenario!$H55</f>
        <v>400000</v>
      </c>
      <c r="S13" s="177">
        <f t="shared" si="0"/>
        <v>0</v>
      </c>
      <c r="T13" s="185">
        <f>VAC_Optim_Scenario!$J55</f>
        <v>32769965.884320233</v>
      </c>
      <c r="U13" s="185"/>
      <c r="V13" s="528">
        <f>$F13-'[1]Scenario deep dive'!$F13</f>
        <v>0</v>
      </c>
      <c r="W13" s="531">
        <f>$J13-'[1]Scenario deep dive'!$J13</f>
        <v>0</v>
      </c>
      <c r="X13" s="531">
        <f>$N13-'[1]Scenario deep dive'!$N13</f>
        <v>0</v>
      </c>
    </row>
    <row r="14" spans="1:24" x14ac:dyDescent="0.25">
      <c r="A14" s="381" t="str">
        <f>VAC_Optim_Scenario!A56</f>
        <v>Gardasil Adolescents</v>
      </c>
      <c r="B14" s="381" t="str">
        <f>VAC_Optim_Scenario!B26</f>
        <v>HCC Audio</v>
      </c>
      <c r="C14" s="384">
        <f>VAC_Optim_Scenario!E26</f>
        <v>2220000</v>
      </c>
      <c r="D14" s="376">
        <f>VAC_Optim_Scenario!G56</f>
        <v>20698391.738152172</v>
      </c>
      <c r="E14" s="373"/>
      <c r="F14" s="384">
        <v>2181292.5931008384</v>
      </c>
      <c r="G14" s="374">
        <v>-1.7435768873496234E-2</v>
      </c>
      <c r="H14" s="376">
        <v>20481095.012188639</v>
      </c>
      <c r="I14" s="373"/>
      <c r="J14" s="384">
        <v>4800000</v>
      </c>
      <c r="K14" s="374">
        <v>1.1621621621621621</v>
      </c>
      <c r="L14" s="376">
        <v>32875287.531392161</v>
      </c>
      <c r="M14" s="375"/>
      <c r="N14" s="384">
        <v>4800000</v>
      </c>
      <c r="O14" s="374">
        <v>1.1621621621621621</v>
      </c>
      <c r="P14" s="376">
        <v>32875287.531392161</v>
      </c>
      <c r="Q14" s="180"/>
      <c r="R14" s="185">
        <f>VAC_Optim_Scenario!$H56</f>
        <v>4800000</v>
      </c>
      <c r="S14" s="177">
        <f t="shared" si="0"/>
        <v>1.1621621621621621</v>
      </c>
      <c r="T14" s="185">
        <f>VAC_Optim_Scenario!$J56</f>
        <v>32875287.531392161</v>
      </c>
      <c r="U14" s="185"/>
      <c r="V14" s="528">
        <f>$F14-'[1]Scenario deep dive'!$F14</f>
        <v>516.69210848771036</v>
      </c>
      <c r="W14" s="531">
        <f>$J14-'[1]Scenario deep dive'!$J14</f>
        <v>0</v>
      </c>
      <c r="X14" s="531">
        <f>$N14-'[1]Scenario deep dive'!$N14</f>
        <v>0</v>
      </c>
    </row>
    <row r="15" spans="1:24" x14ac:dyDescent="0.25">
      <c r="A15" s="439" t="str">
        <f>VAC_Optim_Scenario!A57</f>
        <v>Gardasil Adolescents</v>
      </c>
      <c r="B15" s="439" t="str">
        <f>VAC_Optim_Scenario!B27</f>
        <v>HCC TV</v>
      </c>
      <c r="C15" s="384">
        <f>VAC_Optim_Scenario!E27</f>
        <v>16888801</v>
      </c>
      <c r="D15" s="376">
        <f>VAC_Optim_Scenario!G57</f>
        <v>67034177.652868718</v>
      </c>
      <c r="E15" s="377"/>
      <c r="F15" s="385">
        <v>16888801</v>
      </c>
      <c r="G15" s="378">
        <v>0</v>
      </c>
      <c r="H15" s="379">
        <v>67034177.652868718</v>
      </c>
      <c r="I15" s="373"/>
      <c r="J15" s="384">
        <v>16888801</v>
      </c>
      <c r="K15" s="374">
        <v>0</v>
      </c>
      <c r="L15" s="376">
        <v>67034177.652868718</v>
      </c>
      <c r="M15" s="375"/>
      <c r="N15" s="384">
        <v>16888801</v>
      </c>
      <c r="O15" s="374">
        <v>0</v>
      </c>
      <c r="P15" s="376">
        <v>67034177.652868718</v>
      </c>
      <c r="Q15" s="180"/>
      <c r="R15" s="185">
        <f>VAC_Optim_Scenario!$H57</f>
        <v>16888801</v>
      </c>
      <c r="S15" s="177">
        <f t="shared" si="0"/>
        <v>0</v>
      </c>
      <c r="T15" s="185">
        <f>VAC_Optim_Scenario!$J57</f>
        <v>67034177.652868718</v>
      </c>
      <c r="U15" s="185"/>
      <c r="V15" s="529">
        <f>$F15-'[1]Scenario deep dive'!$F15</f>
        <v>0</v>
      </c>
      <c r="W15" s="531">
        <f>$J15-'[1]Scenario deep dive'!$J15</f>
        <v>0</v>
      </c>
      <c r="X15" s="531">
        <f>$N15-'[1]Scenario deep dive'!$N15</f>
        <v>0</v>
      </c>
    </row>
    <row r="16" spans="1:24" x14ac:dyDescent="0.25">
      <c r="A16" s="380" t="str">
        <f>VAC_Optim_Scenario!A59</f>
        <v>Gardasil Adults</v>
      </c>
      <c r="B16" s="380" t="str">
        <f>VAC_Optim_Scenario!B29</f>
        <v>HCC InOffice</v>
      </c>
      <c r="C16" s="383">
        <f>VAC_Optim_Scenario!E29</f>
        <v>1000000</v>
      </c>
      <c r="D16" s="372">
        <f>VAC_Optim_Scenario!G59</f>
        <v>1523370.618038136</v>
      </c>
      <c r="E16" s="369"/>
      <c r="F16" s="383">
        <v>900000</v>
      </c>
      <c r="G16" s="370">
        <v>-0.1</v>
      </c>
      <c r="H16" s="372">
        <v>1410431.7445188572</v>
      </c>
      <c r="I16" s="373"/>
      <c r="J16" s="383">
        <v>900000</v>
      </c>
      <c r="K16" s="370">
        <v>-0.1</v>
      </c>
      <c r="L16" s="372">
        <v>1410431.7445188572</v>
      </c>
      <c r="M16" s="375"/>
      <c r="N16" s="383">
        <v>944495.4339721424</v>
      </c>
      <c r="O16" s="370">
        <v>-5.5504566027857596E-2</v>
      </c>
      <c r="P16" s="372">
        <v>1461563.0941692698</v>
      </c>
      <c r="Q16" s="180"/>
      <c r="R16" s="185">
        <f>VAC_Optim_Scenario!$H59</f>
        <v>955806.43912751449</v>
      </c>
      <c r="S16" s="177">
        <f t="shared" si="0"/>
        <v>-4.4193560872485514E-2</v>
      </c>
      <c r="T16" s="185">
        <f>VAC_Optim_Scenario!$J59</f>
        <v>1474334.32848249</v>
      </c>
      <c r="U16" s="185"/>
      <c r="V16" s="527">
        <f>$F16-'[2]Scenario deep dive'!$F7</f>
        <v>0</v>
      </c>
      <c r="W16" s="530">
        <f>$J16-'[2]Scenario deep dive'!$J7</f>
        <v>0</v>
      </c>
      <c r="X16" s="530">
        <f>$N16-'[2]Scenario deep dive'!$N7</f>
        <v>-82102.642155080335</v>
      </c>
    </row>
    <row r="17" spans="1:24" x14ac:dyDescent="0.25">
      <c r="A17" s="381" t="str">
        <f>VAC_Optim_Scenario!A60</f>
        <v>Gardasil Adults</v>
      </c>
      <c r="B17" s="381" t="str">
        <f>VAC_Optim_Scenario!B30</f>
        <v>HCP MCM</v>
      </c>
      <c r="C17" s="384">
        <f>VAC_Optim_Scenario!E30</f>
        <v>16948000</v>
      </c>
      <c r="D17" s="376">
        <f>VAC_Optim_Scenario!G60</f>
        <v>92408087.499027938</v>
      </c>
      <c r="E17" s="373"/>
      <c r="F17" s="384">
        <v>20341852.513153099</v>
      </c>
      <c r="G17" s="374">
        <v>0.20025091533827583</v>
      </c>
      <c r="H17" s="376">
        <v>103736894.64632764</v>
      </c>
      <c r="I17" s="373"/>
      <c r="J17" s="384">
        <v>20999999.999999996</v>
      </c>
      <c r="K17" s="374">
        <v>0.23908425772952538</v>
      </c>
      <c r="L17" s="376">
        <v>105724786.72171538</v>
      </c>
      <c r="M17" s="375"/>
      <c r="N17" s="384">
        <v>20999999.999999996</v>
      </c>
      <c r="O17" s="374">
        <v>0.23908425772952538</v>
      </c>
      <c r="P17" s="376">
        <v>105724786.72171538</v>
      </c>
      <c r="Q17" s="180"/>
      <c r="R17" s="185">
        <f>VAC_Optim_Scenario!$H60</f>
        <v>21000000</v>
      </c>
      <c r="S17" s="177">
        <f t="shared" si="0"/>
        <v>0.2390842577295256</v>
      </c>
      <c r="T17" s="185">
        <f>VAC_Optim_Scenario!$J60</f>
        <v>105724786.72171538</v>
      </c>
      <c r="U17" s="185"/>
      <c r="V17" s="528">
        <f>$F17-'[2]Scenario deep dive'!$F8</f>
        <v>9125.7266342788935</v>
      </c>
      <c r="W17" s="531">
        <f>$J17-'[2]Scenario deep dive'!$J8</f>
        <v>0</v>
      </c>
      <c r="X17" s="531">
        <f>$N17-'[2]Scenario deep dive'!$N8</f>
        <v>0</v>
      </c>
    </row>
    <row r="18" spans="1:24" x14ac:dyDescent="0.25">
      <c r="A18" s="381" t="str">
        <f>VAC_Optim_Scenario!A61</f>
        <v>Gardasil Adults</v>
      </c>
      <c r="B18" s="381" t="str">
        <f>VAC_Optim_Scenario!B31</f>
        <v>HCC Social</v>
      </c>
      <c r="C18" s="384">
        <f>VAC_Optim_Scenario!E31</f>
        <v>2200000</v>
      </c>
      <c r="D18" s="376">
        <f>VAC_Optim_Scenario!G61</f>
        <v>6171975.0306531982</v>
      </c>
      <c r="E18" s="373"/>
      <c r="F18" s="384">
        <v>1800000</v>
      </c>
      <c r="G18" s="374">
        <v>-0.18181818181818182</v>
      </c>
      <c r="H18" s="376">
        <v>5471848.3801533533</v>
      </c>
      <c r="I18" s="373"/>
      <c r="J18" s="384">
        <v>4422625.7657986535</v>
      </c>
      <c r="K18" s="374">
        <v>1.0102844389993879</v>
      </c>
      <c r="L18" s="376">
        <v>9383798.3583675623</v>
      </c>
      <c r="M18" s="375"/>
      <c r="N18" s="384">
        <v>6643349.4751197426</v>
      </c>
      <c r="O18" s="374">
        <v>2.0197043068726104</v>
      </c>
      <c r="P18" s="376">
        <v>11978510.322097873</v>
      </c>
      <c r="Q18" s="180"/>
      <c r="R18" s="185">
        <f>VAC_Optim_Scenario!$H61</f>
        <v>6331513.7707134737</v>
      </c>
      <c r="S18" s="177">
        <f t="shared" si="0"/>
        <v>1.8779608048697607</v>
      </c>
      <c r="T18" s="185">
        <f>VAC_Optim_Scenario!$J61</f>
        <v>11637912.440331228</v>
      </c>
      <c r="U18" s="185"/>
      <c r="V18" s="528">
        <f>$F18-'[2]Scenario deep dive'!$F9</f>
        <v>0</v>
      </c>
      <c r="W18" s="531">
        <f>$J18-'[2]Scenario deep dive'!$J9</f>
        <v>-163889.4663640717</v>
      </c>
      <c r="X18" s="531">
        <f>$N18-'[2]Scenario deep dive'!$N9</f>
        <v>-89878.995470853522</v>
      </c>
    </row>
    <row r="19" spans="1:24" x14ac:dyDescent="0.25">
      <c r="A19" s="381" t="str">
        <f>VAC_Optim_Scenario!A62</f>
        <v>Gardasil Adults</v>
      </c>
      <c r="B19" s="381" t="str">
        <f>VAC_Optim_Scenario!B32</f>
        <v>HCC Online Video</v>
      </c>
      <c r="C19" s="384">
        <f>VAC_Optim_Scenario!E32</f>
        <v>1500000</v>
      </c>
      <c r="D19" s="376">
        <f>VAC_Optim_Scenario!G62</f>
        <v>5944544.9570494974</v>
      </c>
      <c r="E19" s="373"/>
      <c r="F19" s="384">
        <v>1105721.3674438763</v>
      </c>
      <c r="G19" s="374">
        <v>-0.26285242170408246</v>
      </c>
      <c r="H19" s="376">
        <v>4872206.4746905435</v>
      </c>
      <c r="I19" s="373"/>
      <c r="J19" s="384">
        <v>2548567.2768115313</v>
      </c>
      <c r="K19" s="374">
        <v>0.69904485120768756</v>
      </c>
      <c r="L19" s="376">
        <v>7791182.8624005886</v>
      </c>
      <c r="M19" s="375"/>
      <c r="N19" s="384">
        <v>2790671.2696755934</v>
      </c>
      <c r="O19" s="374">
        <v>0.86044751311706225</v>
      </c>
      <c r="P19" s="376">
        <v>8071314.6420218376</v>
      </c>
      <c r="Q19" s="180"/>
      <c r="R19" s="185">
        <f>VAC_Optim_Scenario!$H62</f>
        <v>2744399.7751152944</v>
      </c>
      <c r="S19" s="177">
        <f t="shared" si="0"/>
        <v>0.82959985007686288</v>
      </c>
      <c r="T19" s="185">
        <f>VAC_Optim_Scenario!$J62</f>
        <v>8021002.1937694652</v>
      </c>
      <c r="U19" s="185"/>
      <c r="V19" s="528">
        <f>$F19-'[2]Scenario deep dive'!$F10</f>
        <v>2109.5296276581939</v>
      </c>
      <c r="W19" s="531">
        <f>$J19-'[2]Scenario deep dive'!$J10</f>
        <v>9958.9188816458918</v>
      </c>
      <c r="X19" s="531">
        <f>$N19-'[2]Scenario deep dive'!$N10</f>
        <v>6522.6862273993902</v>
      </c>
    </row>
    <row r="20" spans="1:24" x14ac:dyDescent="0.25">
      <c r="A20" s="381" t="str">
        <f>VAC_Optim_Scenario!A63</f>
        <v>Gardasil Adults</v>
      </c>
      <c r="B20" s="381" t="str">
        <f>VAC_Optim_Scenario!B33</f>
        <v>HCC Streaming Video</v>
      </c>
      <c r="C20" s="384">
        <f>VAC_Optim_Scenario!E33</f>
        <v>10268452</v>
      </c>
      <c r="D20" s="376">
        <f>VAC_Optim_Scenario!G63</f>
        <v>18886370.658155333</v>
      </c>
      <c r="E20" s="373"/>
      <c r="F20" s="384">
        <v>8306900.9999999991</v>
      </c>
      <c r="G20" s="374">
        <v>-0.19102694349644922</v>
      </c>
      <c r="H20" s="376">
        <v>16281797.494816165</v>
      </c>
      <c r="I20" s="373"/>
      <c r="J20" s="384">
        <v>11345258.983154016</v>
      </c>
      <c r="K20" s="374">
        <v>0.10486556134790478</v>
      </c>
      <c r="L20" s="376">
        <v>20251869.236533538</v>
      </c>
      <c r="M20" s="375"/>
      <c r="N20" s="384">
        <v>18837935.812639449</v>
      </c>
      <c r="O20" s="374">
        <v>0.83454485765132358</v>
      </c>
      <c r="P20" s="376">
        <v>28881406.791728858</v>
      </c>
      <c r="Q20" s="180"/>
      <c r="R20" s="185">
        <f>VAC_Optim_Scenario!$H63</f>
        <v>17184732.018092591</v>
      </c>
      <c r="S20" s="177">
        <f t="shared" si="0"/>
        <v>0.67354651101184393</v>
      </c>
      <c r="T20" s="185">
        <f>VAC_Optim_Scenario!$J63</f>
        <v>27082887.110524412</v>
      </c>
      <c r="U20" s="185"/>
      <c r="V20" s="528">
        <f>$F20-'[2]Scenario deep dive'!$F11</f>
        <v>0</v>
      </c>
      <c r="W20" s="531">
        <f>$J20-'[2]Scenario deep dive'!$J11</f>
        <v>153930.62942303158</v>
      </c>
      <c r="X20" s="531">
        <f>$N20-'[2]Scenario deep dive'!$N11</f>
        <v>165458.90675271302</v>
      </c>
    </row>
    <row r="21" spans="1:24" x14ac:dyDescent="0.25">
      <c r="A21" s="381" t="str">
        <f>VAC_Optim_Scenario!A64</f>
        <v>Gardasil Adults</v>
      </c>
      <c r="B21" s="381" t="str">
        <f>VAC_Optim_Scenario!B34</f>
        <v>HCC Display</v>
      </c>
      <c r="C21" s="384">
        <f>VAC_Optim_Scenario!E34</f>
        <v>4000000</v>
      </c>
      <c r="D21" s="376">
        <f>VAC_Optim_Scenario!G64</f>
        <v>21020675.494225871</v>
      </c>
      <c r="E21" s="373"/>
      <c r="F21" s="384">
        <v>4257472.7107360102</v>
      </c>
      <c r="G21" s="374">
        <v>6.4368177684002562E-2</v>
      </c>
      <c r="H21" s="376">
        <v>21822364.062061273</v>
      </c>
      <c r="I21" s="373"/>
      <c r="J21" s="384">
        <v>5000000.0000000009</v>
      </c>
      <c r="K21" s="374">
        <v>0.25000000000000022</v>
      </c>
      <c r="L21" s="376">
        <v>24032152.746086102</v>
      </c>
      <c r="M21" s="375"/>
      <c r="N21" s="384">
        <v>5000000</v>
      </c>
      <c r="O21" s="374">
        <v>0.25</v>
      </c>
      <c r="P21" s="376">
        <v>24032152.746086098</v>
      </c>
      <c r="Q21" s="180"/>
      <c r="R21" s="185">
        <f>VAC_Optim_Scenario!$H64</f>
        <v>5000000</v>
      </c>
      <c r="S21" s="177">
        <f t="shared" si="0"/>
        <v>0.25</v>
      </c>
      <c r="T21" s="185">
        <f>VAC_Optim_Scenario!$J64</f>
        <v>24032152.746086098</v>
      </c>
      <c r="U21" s="185"/>
      <c r="V21" s="528">
        <f>$F21-'[2]Scenario deep dive'!$F12</f>
        <v>-15613.501948088408</v>
      </c>
      <c r="W21" s="531">
        <f>$J21-'[2]Scenario deep dive'!$J12</f>
        <v>0</v>
      </c>
      <c r="X21" s="531">
        <f>$N21-'[2]Scenario deep dive'!$N12</f>
        <v>0</v>
      </c>
    </row>
    <row r="22" spans="1:24" x14ac:dyDescent="0.25">
      <c r="A22" s="381" t="str">
        <f>VAC_Optim_Scenario!A65</f>
        <v>Gardasil Adults</v>
      </c>
      <c r="B22" s="381" t="str">
        <f>VAC_Optim_Scenario!B35</f>
        <v>HCC Paid Search</v>
      </c>
      <c r="C22" s="384">
        <f>VAC_Optim_Scenario!E35</f>
        <v>200000</v>
      </c>
      <c r="D22" s="376">
        <f>VAC_Optim_Scenario!G65</f>
        <v>17969341.094351832</v>
      </c>
      <c r="E22" s="373"/>
      <c r="F22" s="384">
        <v>200000</v>
      </c>
      <c r="G22" s="374">
        <v>0</v>
      </c>
      <c r="H22" s="376">
        <v>17969341.094351832</v>
      </c>
      <c r="I22" s="373"/>
      <c r="J22" s="384">
        <v>200000</v>
      </c>
      <c r="K22" s="374">
        <v>0</v>
      </c>
      <c r="L22" s="376">
        <v>17969341.094351832</v>
      </c>
      <c r="M22" s="375"/>
      <c r="N22" s="384">
        <v>200000</v>
      </c>
      <c r="O22" s="374">
        <v>0</v>
      </c>
      <c r="P22" s="376">
        <v>17969341.094351832</v>
      </c>
      <c r="Q22" s="180"/>
      <c r="R22" s="185">
        <f>VAC_Optim_Scenario!$H65</f>
        <v>200000</v>
      </c>
      <c r="S22" s="177">
        <f t="shared" si="0"/>
        <v>0</v>
      </c>
      <c r="T22" s="185">
        <f>VAC_Optim_Scenario!$J65</f>
        <v>17969341.094351832</v>
      </c>
      <c r="U22" s="185"/>
      <c r="V22" s="528">
        <f>$F22-'[2]Scenario deep dive'!$F13</f>
        <v>0</v>
      </c>
      <c r="W22" s="531">
        <f>$J22-'[2]Scenario deep dive'!$J13</f>
        <v>0</v>
      </c>
      <c r="X22" s="531">
        <f>$N22-'[2]Scenario deep dive'!$N13</f>
        <v>0</v>
      </c>
    </row>
    <row r="23" spans="1:24" x14ac:dyDescent="0.25">
      <c r="A23" s="381" t="str">
        <f>VAC_Optim_Scenario!A66</f>
        <v>Gardasil Adults</v>
      </c>
      <c r="B23" s="381" t="str">
        <f>VAC_Optim_Scenario!B36</f>
        <v>HCC Linear TV</v>
      </c>
      <c r="C23" s="384">
        <f>VAC_Optim_Scenario!E36</f>
        <v>28089211</v>
      </c>
      <c r="D23" s="376">
        <f>VAC_Optim_Scenario!G66</f>
        <v>40395109.654958591</v>
      </c>
      <c r="E23" s="373"/>
      <c r="F23" s="384">
        <v>28089211</v>
      </c>
      <c r="G23" s="374">
        <v>0</v>
      </c>
      <c r="H23" s="376">
        <v>40395109.654958591</v>
      </c>
      <c r="I23" s="373"/>
      <c r="J23" s="384">
        <v>28089211</v>
      </c>
      <c r="K23" s="374">
        <v>0</v>
      </c>
      <c r="L23" s="376">
        <v>40395109.654958591</v>
      </c>
      <c r="M23" s="375"/>
      <c r="N23" s="384">
        <v>28089211</v>
      </c>
      <c r="O23" s="374">
        <v>0</v>
      </c>
      <c r="P23" s="376">
        <v>40395109.654958591</v>
      </c>
      <c r="Q23" s="180"/>
      <c r="R23" s="185">
        <f>VAC_Optim_Scenario!$H66</f>
        <v>28089211</v>
      </c>
      <c r="S23" s="177">
        <f>(R23-$C23)/$C23</f>
        <v>0</v>
      </c>
      <c r="T23" s="185">
        <f>VAC_Optim_Scenario!$J66</f>
        <v>40395109.654958591</v>
      </c>
      <c r="U23" s="185"/>
      <c r="V23" s="528">
        <f>$F23-'[2]Scenario deep dive'!$F15</f>
        <v>0</v>
      </c>
      <c r="W23" s="531">
        <f>$J23-'[2]Scenario deep dive'!$J15</f>
        <v>0</v>
      </c>
      <c r="X23" s="531">
        <f>$N23-'[2]Scenario deep dive'!$N15</f>
        <v>0</v>
      </c>
    </row>
    <row r="24" spans="1:24" x14ac:dyDescent="0.25">
      <c r="A24" s="439" t="str">
        <f>VAC_Optim_Scenario!A67</f>
        <v>Gardasil Adults</v>
      </c>
      <c r="B24" s="439" t="str">
        <f>VAC_Optim_Scenario!B37</f>
        <v>HCC Radio</v>
      </c>
      <c r="C24" s="384">
        <f>VAC_Optim_Scenario!E37</f>
        <v>1500000</v>
      </c>
      <c r="D24" s="376">
        <f>VAC_Optim_Scenario!G67</f>
        <v>7290309.9462908376</v>
      </c>
      <c r="E24" s="373"/>
      <c r="F24" s="384">
        <v>704504.46923774574</v>
      </c>
      <c r="G24" s="374">
        <v>-0.53033035384150284</v>
      </c>
      <c r="H24" s="376">
        <v>5388439.2392324274</v>
      </c>
      <c r="I24" s="373"/>
      <c r="J24" s="384">
        <v>2200000</v>
      </c>
      <c r="K24" s="374">
        <v>0.46666666666666667</v>
      </c>
      <c r="L24" s="376">
        <v>8497253.2367697079</v>
      </c>
      <c r="M24" s="375"/>
      <c r="N24" s="384">
        <v>2200000</v>
      </c>
      <c r="O24" s="374">
        <v>0.46666666666666667</v>
      </c>
      <c r="P24" s="376">
        <v>8497253.2367697079</v>
      </c>
      <c r="Q24" s="180"/>
      <c r="R24" s="185">
        <f>VAC_Optim_Scenario!$H67</f>
        <v>2200000</v>
      </c>
      <c r="S24" s="177">
        <f t="shared" ref="S24:S25" si="1">(R24-$C24)/$C24</f>
        <v>0.46666666666666667</v>
      </c>
      <c r="T24" s="525">
        <f>VAC_Optim_Scenario!$J67</f>
        <v>8497253.2367697079</v>
      </c>
      <c r="U24" s="185"/>
      <c r="V24" s="528">
        <f>$F24-'[2]Scenario deep dive'!$F14</f>
        <v>4378.2927336152643</v>
      </c>
      <c r="W24" s="531">
        <f>$J24-'[2]Scenario deep dive'!$J14</f>
        <v>0</v>
      </c>
      <c r="X24" s="531">
        <f>$N24-'[2]Scenario deep dive'!$N14</f>
        <v>0</v>
      </c>
    </row>
    <row r="25" spans="1:24" x14ac:dyDescent="0.25">
      <c r="A25" s="382" t="str">
        <f>VAC_Optim_Scenario!A68</f>
        <v>Gardasil Adults</v>
      </c>
      <c r="B25" s="439" t="str">
        <f>VAC_Optim_Scenario!B38</f>
        <v>HCC Pharmacy</v>
      </c>
      <c r="C25" s="385">
        <f>VAC_Optim_Scenario!E38</f>
        <v>3200000</v>
      </c>
      <c r="D25" s="379">
        <f>VAC_Optim_Scenario!G68</f>
        <v>5063837.1955307471</v>
      </c>
      <c r="E25" s="373"/>
      <c r="F25" s="384">
        <v>3200000</v>
      </c>
      <c r="G25" s="374">
        <v>0</v>
      </c>
      <c r="H25" s="376">
        <v>5063837.1955307471</v>
      </c>
      <c r="I25" s="373"/>
      <c r="J25" s="384">
        <v>3200000</v>
      </c>
      <c r="K25" s="374">
        <v>0</v>
      </c>
      <c r="L25" s="376">
        <v>5063837.1955307471</v>
      </c>
      <c r="M25" s="375"/>
      <c r="N25" s="384">
        <v>3200000</v>
      </c>
      <c r="O25" s="374">
        <v>0</v>
      </c>
      <c r="P25" s="376">
        <v>5063837.1955307471</v>
      </c>
      <c r="Q25" s="180"/>
      <c r="R25" s="185">
        <f>VAC_Optim_Scenario!$H68</f>
        <v>3200000</v>
      </c>
      <c r="S25" s="177">
        <f t="shared" si="1"/>
        <v>0</v>
      </c>
      <c r="T25" s="185">
        <f>VAC_Optim_Scenario!$J68</f>
        <v>5063837.1955307471</v>
      </c>
      <c r="U25" s="185"/>
      <c r="V25" s="529">
        <f>$F25-'[2]Scenario deep dive'!$F16</f>
        <v>0</v>
      </c>
      <c r="W25" s="532">
        <f>$J25-'[2]Scenario deep dive'!$J16</f>
        <v>0</v>
      </c>
      <c r="X25" s="532">
        <f>$N25-'[2]Scenario deep dive'!$N16</f>
        <v>0</v>
      </c>
    </row>
    <row r="26" spans="1:24" x14ac:dyDescent="0.25">
      <c r="A26" s="441"/>
      <c r="B26" s="442" t="s">
        <v>175</v>
      </c>
      <c r="C26" s="383">
        <f>SUM(C7:C15)</f>
        <v>39702377</v>
      </c>
      <c r="D26" s="372">
        <f>SUM(D7:D15)</f>
        <v>292109708.48154938</v>
      </c>
      <c r="E26" s="373"/>
      <c r="F26" s="383">
        <f>SUM(F7:F15)</f>
        <v>39702376.997921243</v>
      </c>
      <c r="G26" s="444">
        <f>(F26-$C$26)/$C$26</f>
        <v>-5.2358494556266228E-11</v>
      </c>
      <c r="H26" s="372">
        <f>SUM(H7:H15)</f>
        <v>293472157.73240411</v>
      </c>
      <c r="I26" s="373"/>
      <c r="J26" s="383">
        <f>SUM(J7:J15)</f>
        <v>49702376.929819204</v>
      </c>
      <c r="K26" s="444">
        <f>(J26-$C$26)/$C$26</f>
        <v>0.25187408627496544</v>
      </c>
      <c r="L26" s="372">
        <f>SUM(L7:L15)</f>
        <v>339117260.21705949</v>
      </c>
      <c r="M26" s="375"/>
      <c r="N26" s="383">
        <f>SUM(N7:N15)</f>
        <v>59702376.989469044</v>
      </c>
      <c r="O26" s="444">
        <f>(N26-$C$26)/$C$26</f>
        <v>0.50374817582002818</v>
      </c>
      <c r="P26" s="372">
        <f>SUM(P7:P15)</f>
        <v>373521870.40823424</v>
      </c>
      <c r="Q26" s="180">
        <f>L26-D26</f>
        <v>47007551.735510111</v>
      </c>
      <c r="R26" s="383">
        <f>SUM(R7:R15)</f>
        <v>51702376.993711889</v>
      </c>
      <c r="S26" s="444">
        <f>(R26-$C$26)/$C$26</f>
        <v>0.30224890549278421</v>
      </c>
      <c r="T26" s="372">
        <f>SUM(T7:T15)</f>
        <v>346564279.09435582</v>
      </c>
      <c r="U26" s="185">
        <f>T26-D26</f>
        <v>54454570.612806439</v>
      </c>
      <c r="V26" s="180"/>
    </row>
    <row r="27" spans="1:24" x14ac:dyDescent="0.25">
      <c r="A27" s="441"/>
      <c r="B27" s="443" t="s">
        <v>285</v>
      </c>
      <c r="C27" s="385">
        <f>SUM(C16:C25)</f>
        <v>68905663</v>
      </c>
      <c r="D27" s="379">
        <f>SUM(D16:D25)</f>
        <v>216673622.14828196</v>
      </c>
      <c r="E27" s="373"/>
      <c r="F27" s="385">
        <f>SUM(F16:F25)</f>
        <v>68905663.060570732</v>
      </c>
      <c r="G27" s="445">
        <f>(F27-$C$27)/$C$27</f>
        <v>8.7903851616769654E-10</v>
      </c>
      <c r="H27" s="379">
        <f>SUM(H16:H25)</f>
        <v>222412269.98664144</v>
      </c>
      <c r="I27" s="373"/>
      <c r="J27" s="385">
        <f>SUM(J16:J25)</f>
        <v>78905663.025764197</v>
      </c>
      <c r="K27" s="445">
        <f>(J27-$C$27)/$C$27</f>
        <v>0.14512595322918811</v>
      </c>
      <c r="L27" s="379">
        <f>SUM(L16:L25)</f>
        <v>240519762.85123289</v>
      </c>
      <c r="M27" s="375"/>
      <c r="N27" s="385">
        <f>SUM(N16:N25)</f>
        <v>88905662.991406918</v>
      </c>
      <c r="O27" s="445">
        <f>(N27-$C$27)/$C$27</f>
        <v>0.29025190558585756</v>
      </c>
      <c r="P27" s="379">
        <f>SUM(P16:P25)</f>
        <v>252075275.49943018</v>
      </c>
      <c r="Q27" s="180">
        <f>L27-D27</f>
        <v>23846140.702950925</v>
      </c>
      <c r="R27" s="385">
        <f>SUM(R16:R25)</f>
        <v>86905663.003048882</v>
      </c>
      <c r="S27" s="445">
        <f>(R27-$C$27)/$C$27</f>
        <v>0.26122671518375612</v>
      </c>
      <c r="T27" s="379">
        <f>SUM(T16:T25)</f>
        <v>249898616.72251993</v>
      </c>
      <c r="U27" s="185">
        <f>T27-D27</f>
        <v>33224994.574237972</v>
      </c>
      <c r="V27" s="180"/>
    </row>
    <row r="28" spans="1:24" ht="34.35" customHeight="1" x14ac:dyDescent="0.25">
      <c r="B28" s="446" t="s">
        <v>218</v>
      </c>
      <c r="C28" s="447">
        <f>SUM(C7:C25)</f>
        <v>108608040</v>
      </c>
      <c r="D28" s="448">
        <f>SUM(D7:D25)</f>
        <v>508783330.62983131</v>
      </c>
      <c r="E28" s="179"/>
      <c r="F28" s="447">
        <f>SUM(F7:F25)</f>
        <v>108608040.05849196</v>
      </c>
      <c r="G28" s="449">
        <f>(F28-$C$28)/$C$28</f>
        <v>5.3856013024344081E-10</v>
      </c>
      <c r="H28" s="448">
        <f>SUM(H7:H25)</f>
        <v>515884427.71904558</v>
      </c>
      <c r="I28" s="440"/>
      <c r="J28" s="447">
        <v>128608040</v>
      </c>
      <c r="K28" s="449">
        <v>0.18414842952694846</v>
      </c>
      <c r="L28" s="448">
        <v>561074819.48566592</v>
      </c>
      <c r="M28" s="375"/>
      <c r="N28" s="447">
        <f>SUM(N7:N25)</f>
        <v>148608039.98087597</v>
      </c>
      <c r="O28" s="449">
        <f>(N28-$C$28)/$C$28</f>
        <v>0.36829685887781394</v>
      </c>
      <c r="P28" s="448">
        <f>SUM(P7:P25)</f>
        <v>625597145.90766454</v>
      </c>
      <c r="R28" s="188">
        <f>SUM(R7:R25)</f>
        <v>138608039.99676076</v>
      </c>
      <c r="S28" s="189">
        <f>(R28-$C$28)/$C$28</f>
        <v>0.27622264426059762</v>
      </c>
      <c r="T28" s="188">
        <f>SUM(T7:T25)</f>
        <v>596462895.81687582</v>
      </c>
    </row>
    <row r="29" spans="1:24" x14ac:dyDescent="0.25">
      <c r="D29" s="386">
        <f>SUM(D7:D15)/D28</f>
        <v>0.57413380292931759</v>
      </c>
      <c r="E29" s="386"/>
      <c r="F29" s="386"/>
      <c r="G29" s="386"/>
      <c r="H29" s="386">
        <f>SUM(H7:H15)/H28</f>
        <v>0.56887190611659866</v>
      </c>
      <c r="I29" s="386"/>
      <c r="J29" s="386"/>
      <c r="K29" s="386"/>
      <c r="L29" s="386">
        <f>SUM(L7:L15)/L28</f>
        <v>0.60440648633621863</v>
      </c>
      <c r="P29" s="386">
        <f>SUM(P7:P15)/P28</f>
        <v>0.5970645372211536</v>
      </c>
      <c r="Q29" s="180"/>
    </row>
    <row r="30" spans="1:24" x14ac:dyDescent="0.25">
      <c r="D30" s="386">
        <f>SUM(D16:D25)/D28</f>
        <v>0.42586619707068252</v>
      </c>
      <c r="E30" s="386"/>
      <c r="F30" s="386"/>
      <c r="G30" s="386"/>
      <c r="H30" s="386">
        <f>SUM(H16:H25)/H28</f>
        <v>0.43112809388340129</v>
      </c>
      <c r="I30" s="386"/>
      <c r="J30" s="386"/>
      <c r="K30" s="386"/>
      <c r="L30" s="386">
        <f>SUM(L16:L25)/L28</f>
        <v>0.42867680832961991</v>
      </c>
      <c r="P30" s="386">
        <f>SUM(P16:P25)/P28</f>
        <v>0.40293546277884618</v>
      </c>
    </row>
    <row r="31" spans="1:24" ht="26.85" customHeight="1" x14ac:dyDescent="0.25">
      <c r="A31" s="487"/>
      <c r="B31" s="487"/>
      <c r="C31" s="487"/>
      <c r="D31" s="487"/>
      <c r="E31" s="487"/>
      <c r="F31" s="564" t="str">
        <f>F4</f>
        <v>Optimal channel spend allowed to vary based on custom constraints of the 2024 channel spend and Global Spend is allowed to vary by +/-20%</v>
      </c>
      <c r="G31" s="565"/>
      <c r="H31" s="565"/>
      <c r="I31" s="565"/>
      <c r="J31" s="565"/>
      <c r="K31" s="565"/>
      <c r="L31" s="565"/>
      <c r="M31" s="565"/>
      <c r="N31" s="565"/>
      <c r="O31" s="565"/>
      <c r="P31" s="566"/>
    </row>
    <row r="32" spans="1:24" ht="30.4" customHeight="1" x14ac:dyDescent="0.25">
      <c r="A32" s="487"/>
      <c r="B32" s="487"/>
      <c r="C32" s="559" t="s">
        <v>341</v>
      </c>
      <c r="D32" s="560"/>
      <c r="E32" s="488"/>
      <c r="F32" s="561" t="str">
        <f>F5</f>
        <v>Current Optimal ($92MM)</v>
      </c>
      <c r="G32" s="562"/>
      <c r="H32" s="563"/>
      <c r="I32" s="489"/>
      <c r="J32" s="561" t="str">
        <f>J5</f>
        <v xml:space="preserve">10M increase in total budget </v>
      </c>
      <c r="K32" s="562"/>
      <c r="L32" s="563"/>
      <c r="M32" s="487"/>
      <c r="N32" s="561" t="str">
        <f>N5</f>
        <v xml:space="preserve">20M increase in total budget </v>
      </c>
      <c r="O32" s="562"/>
      <c r="P32" s="563"/>
    </row>
    <row r="33" spans="1:16" ht="28.5" x14ac:dyDescent="0.25">
      <c r="A33" s="490" t="s">
        <v>338</v>
      </c>
      <c r="B33" s="490" t="s">
        <v>339</v>
      </c>
      <c r="C33" s="491" t="s">
        <v>219</v>
      </c>
      <c r="D33" s="492" t="s">
        <v>220</v>
      </c>
      <c r="E33" s="493"/>
      <c r="F33" s="494" t="s">
        <v>222</v>
      </c>
      <c r="G33" s="492" t="s">
        <v>215</v>
      </c>
      <c r="H33" s="495" t="s">
        <v>216</v>
      </c>
      <c r="I33" s="493"/>
      <c r="J33" s="494" t="s">
        <v>222</v>
      </c>
      <c r="K33" s="492" t="s">
        <v>215</v>
      </c>
      <c r="L33" s="495" t="s">
        <v>216</v>
      </c>
      <c r="M33" s="487"/>
      <c r="N33" s="494" t="s">
        <v>222</v>
      </c>
      <c r="O33" s="492" t="s">
        <v>215</v>
      </c>
      <c r="P33" s="495" t="s">
        <v>216</v>
      </c>
    </row>
    <row r="34" spans="1:16" x14ac:dyDescent="0.25">
      <c r="A34" s="506" t="str">
        <f t="shared" ref="A34:B50" si="2">A7</f>
        <v>Gardasil Adolescents</v>
      </c>
      <c r="B34" s="506" t="str">
        <f t="shared" si="2"/>
        <v>HCC In Office</v>
      </c>
      <c r="C34" s="507">
        <f t="shared" ref="C34:D42" si="3">C7/1000000</f>
        <v>1</v>
      </c>
      <c r="D34" s="508">
        <f t="shared" si="3"/>
        <v>5.0407890644048416</v>
      </c>
      <c r="E34" s="509"/>
      <c r="F34" s="510">
        <f t="shared" ref="F34:F50" si="4">F7/1000000</f>
        <v>1</v>
      </c>
      <c r="G34" s="511">
        <f t="shared" ref="G34:G50" si="5">G7</f>
        <v>0</v>
      </c>
      <c r="H34" s="512">
        <f t="shared" ref="H34:H50" si="6">H7/1000000</f>
        <v>5.0407890644048416</v>
      </c>
      <c r="I34" s="509"/>
      <c r="J34" s="510">
        <f t="shared" ref="J34:J50" si="7">J7/1000000</f>
        <v>1.1735576552415772</v>
      </c>
      <c r="K34" s="511">
        <f t="shared" ref="K34:K50" si="8">K7</f>
        <v>0.17355765524157718</v>
      </c>
      <c r="L34" s="512">
        <f t="shared" ref="L34:L50" si="9">L7/1000000</f>
        <v>5.7259430683801265</v>
      </c>
      <c r="M34" s="513"/>
      <c r="N34" s="510">
        <f t="shared" ref="N34:N50" si="10">N7/1000000</f>
        <v>1.6279292384396646</v>
      </c>
      <c r="O34" s="511">
        <f t="shared" ref="O34:O50" si="11">O7</f>
        <v>0.62792923843966475</v>
      </c>
      <c r="P34" s="514">
        <f t="shared" ref="P34:P50" si="12">P7/1000000</f>
        <v>7.3067916112230087</v>
      </c>
    </row>
    <row r="35" spans="1:16" x14ac:dyDescent="0.25">
      <c r="A35" s="506" t="str">
        <f t="shared" si="2"/>
        <v>Gardasil Adolescents</v>
      </c>
      <c r="B35" s="506" t="str">
        <f t="shared" si="2"/>
        <v>HCP MCM</v>
      </c>
      <c r="C35" s="515">
        <f t="shared" si="3"/>
        <v>7.7757779999999999</v>
      </c>
      <c r="D35" s="516">
        <f t="shared" si="3"/>
        <v>80.499957118324275</v>
      </c>
      <c r="E35" s="509"/>
      <c r="F35" s="517">
        <f t="shared" si="4"/>
        <v>7.9989183413149432</v>
      </c>
      <c r="G35" s="518">
        <f t="shared" si="5"/>
        <v>2.869685082508059E-2</v>
      </c>
      <c r="H35" s="519">
        <f t="shared" si="6"/>
        <v>81.777817454316278</v>
      </c>
      <c r="I35" s="509"/>
      <c r="J35" s="517">
        <f t="shared" si="7"/>
        <v>10.778578325305098</v>
      </c>
      <c r="K35" s="511">
        <f t="shared" si="8"/>
        <v>0.38617361829325614</v>
      </c>
      <c r="L35" s="519">
        <f t="shared" si="9"/>
        <v>94.753078905656366</v>
      </c>
      <c r="M35" s="513"/>
      <c r="N35" s="517">
        <f t="shared" si="10"/>
        <v>12</v>
      </c>
      <c r="O35" s="511">
        <f t="shared" si="11"/>
        <v>0.54325393549044221</v>
      </c>
      <c r="P35" s="520">
        <f t="shared" si="12"/>
        <v>99.028830679674456</v>
      </c>
    </row>
    <row r="36" spans="1:16" x14ac:dyDescent="0.25">
      <c r="A36" s="506" t="str">
        <f t="shared" si="2"/>
        <v>Gardasil Adolescents</v>
      </c>
      <c r="B36" s="506" t="str">
        <f t="shared" si="2"/>
        <v>HCC Social</v>
      </c>
      <c r="C36" s="515">
        <f t="shared" si="3"/>
        <v>1.84</v>
      </c>
      <c r="D36" s="516">
        <f t="shared" si="3"/>
        <v>15.925915704314221</v>
      </c>
      <c r="E36" s="509"/>
      <c r="F36" s="517">
        <f t="shared" si="4"/>
        <v>1.5994999999999999</v>
      </c>
      <c r="G36" s="518">
        <f t="shared" si="5"/>
        <v>-0.13070652173913044</v>
      </c>
      <c r="H36" s="519">
        <f t="shared" si="6"/>
        <v>14.642130239828273</v>
      </c>
      <c r="I36" s="509"/>
      <c r="J36" s="517">
        <f t="shared" si="7"/>
        <v>3.9849597056681669</v>
      </c>
      <c r="K36" s="511">
        <f t="shared" si="8"/>
        <v>1.1657389704718297</v>
      </c>
      <c r="L36" s="519">
        <f t="shared" si="9"/>
        <v>25.32025525287537</v>
      </c>
      <c r="M36" s="513"/>
      <c r="N36" s="517">
        <f t="shared" si="10"/>
        <v>6.5</v>
      </c>
      <c r="O36" s="511">
        <f t="shared" si="11"/>
        <v>2.5326086956521738</v>
      </c>
      <c r="P36" s="520">
        <f t="shared" si="12"/>
        <v>33.9595348390136</v>
      </c>
    </row>
    <row r="37" spans="1:16" x14ac:dyDescent="0.25">
      <c r="A37" s="506" t="str">
        <f t="shared" si="2"/>
        <v>Gardasil Adolescents</v>
      </c>
      <c r="B37" s="506" t="str">
        <f t="shared" si="2"/>
        <v>HCC Online Video</v>
      </c>
      <c r="C37" s="515">
        <f t="shared" si="3"/>
        <v>1.22</v>
      </c>
      <c r="D37" s="516">
        <f t="shared" si="3"/>
        <v>3.3942467935979272</v>
      </c>
      <c r="E37" s="509"/>
      <c r="F37" s="517">
        <f t="shared" si="4"/>
        <v>1</v>
      </c>
      <c r="G37" s="518">
        <f t="shared" si="5"/>
        <v>-0.18032786885245902</v>
      </c>
      <c r="H37" s="519">
        <f t="shared" si="6"/>
        <v>3.3578328692201262</v>
      </c>
      <c r="I37" s="509"/>
      <c r="J37" s="517">
        <f t="shared" si="7"/>
        <v>1</v>
      </c>
      <c r="K37" s="511">
        <f t="shared" si="8"/>
        <v>-0.18032786885245902</v>
      </c>
      <c r="L37" s="519">
        <f t="shared" si="9"/>
        <v>3.3578328692201262</v>
      </c>
      <c r="M37" s="513"/>
      <c r="N37" s="517">
        <f t="shared" si="10"/>
        <v>1</v>
      </c>
      <c r="O37" s="511">
        <f t="shared" si="11"/>
        <v>-0.18032786885245902</v>
      </c>
      <c r="P37" s="520">
        <f t="shared" si="12"/>
        <v>3.3578328692201262</v>
      </c>
    </row>
    <row r="38" spans="1:16" x14ac:dyDescent="0.25">
      <c r="A38" s="506" t="str">
        <f t="shared" si="2"/>
        <v>Gardasil Adolescents</v>
      </c>
      <c r="B38" s="506" t="str">
        <f t="shared" si="2"/>
        <v>HCC Streaming Video</v>
      </c>
      <c r="C38" s="515">
        <f t="shared" si="3"/>
        <v>4.8177979999999998</v>
      </c>
      <c r="D38" s="516">
        <f t="shared" si="3"/>
        <v>27.455486015820313</v>
      </c>
      <c r="E38" s="509"/>
      <c r="F38" s="517">
        <f t="shared" si="4"/>
        <v>4.8177979999999998</v>
      </c>
      <c r="G38" s="518">
        <f t="shared" si="5"/>
        <v>0</v>
      </c>
      <c r="H38" s="519">
        <f t="shared" si="6"/>
        <v>27.455486015820313</v>
      </c>
      <c r="I38" s="509"/>
      <c r="J38" s="517">
        <f t="shared" si="7"/>
        <v>5.6120772205889917</v>
      </c>
      <c r="K38" s="511">
        <f t="shared" si="8"/>
        <v>0.16486353736478604</v>
      </c>
      <c r="L38" s="519">
        <f t="shared" si="9"/>
        <v>30.550735610690168</v>
      </c>
      <c r="M38" s="513"/>
      <c r="N38" s="517">
        <f t="shared" si="10"/>
        <v>10.809008244416731</v>
      </c>
      <c r="O38" s="511">
        <f t="shared" si="11"/>
        <v>1.2435577922562819</v>
      </c>
      <c r="P38" s="520">
        <f t="shared" si="12"/>
        <v>48.337615047609965</v>
      </c>
    </row>
    <row r="39" spans="1:16" x14ac:dyDescent="0.25">
      <c r="A39" s="506" t="str">
        <f t="shared" si="2"/>
        <v>Gardasil Adolescents</v>
      </c>
      <c r="B39" s="506" t="str">
        <f t="shared" si="2"/>
        <v>HCC Display</v>
      </c>
      <c r="C39" s="515">
        <f t="shared" si="3"/>
        <v>3.54</v>
      </c>
      <c r="D39" s="516">
        <f t="shared" si="3"/>
        <v>39.290778509746694</v>
      </c>
      <c r="E39" s="509"/>
      <c r="F39" s="517">
        <f t="shared" si="4"/>
        <v>3.8160670635054581</v>
      </c>
      <c r="G39" s="518">
        <f t="shared" si="5"/>
        <v>7.7985046187982535E-2</v>
      </c>
      <c r="H39" s="519">
        <f t="shared" si="6"/>
        <v>40.912863539436728</v>
      </c>
      <c r="I39" s="509"/>
      <c r="J39" s="517">
        <f t="shared" si="7"/>
        <v>5.064403023015374</v>
      </c>
      <c r="K39" s="511">
        <f t="shared" si="8"/>
        <v>0.43062232288569896</v>
      </c>
      <c r="L39" s="519">
        <f t="shared" si="9"/>
        <v>46.729983441656181</v>
      </c>
      <c r="M39" s="513"/>
      <c r="N39" s="517">
        <f t="shared" si="10"/>
        <v>5.6766385066126537</v>
      </c>
      <c r="O39" s="511">
        <f t="shared" si="11"/>
        <v>0.60357019960809433</v>
      </c>
      <c r="P39" s="520">
        <f t="shared" si="12"/>
        <v>48.85183429291191</v>
      </c>
    </row>
    <row r="40" spans="1:16" x14ac:dyDescent="0.25">
      <c r="A40" s="506" t="str">
        <f t="shared" si="2"/>
        <v>Gardasil Adolescents</v>
      </c>
      <c r="B40" s="506" t="str">
        <f t="shared" si="2"/>
        <v>HCC Paid Search</v>
      </c>
      <c r="C40" s="515">
        <f t="shared" si="3"/>
        <v>0.4</v>
      </c>
      <c r="D40" s="516">
        <f t="shared" si="3"/>
        <v>32.769965884320236</v>
      </c>
      <c r="E40" s="509"/>
      <c r="F40" s="517">
        <f t="shared" si="4"/>
        <v>0.4</v>
      </c>
      <c r="G40" s="518">
        <f t="shared" si="5"/>
        <v>0</v>
      </c>
      <c r="H40" s="519">
        <f t="shared" si="6"/>
        <v>32.769965884320236</v>
      </c>
      <c r="I40" s="509"/>
      <c r="J40" s="517">
        <f t="shared" si="7"/>
        <v>0.4</v>
      </c>
      <c r="K40" s="511">
        <f t="shared" si="8"/>
        <v>0</v>
      </c>
      <c r="L40" s="519">
        <f t="shared" si="9"/>
        <v>32.769965884320236</v>
      </c>
      <c r="M40" s="513"/>
      <c r="N40" s="517">
        <f t="shared" si="10"/>
        <v>0.4</v>
      </c>
      <c r="O40" s="511">
        <f t="shared" si="11"/>
        <v>0</v>
      </c>
      <c r="P40" s="520">
        <f t="shared" si="12"/>
        <v>32.769965884320236</v>
      </c>
    </row>
    <row r="41" spans="1:16" x14ac:dyDescent="0.25">
      <c r="A41" s="506" t="str">
        <f t="shared" si="2"/>
        <v>Gardasil Adolescents</v>
      </c>
      <c r="B41" s="506" t="str">
        <f t="shared" si="2"/>
        <v>HCC Audio</v>
      </c>
      <c r="C41" s="515">
        <f t="shared" si="3"/>
        <v>2.2200000000000002</v>
      </c>
      <c r="D41" s="516">
        <f t="shared" si="3"/>
        <v>20.698391738152171</v>
      </c>
      <c r="E41" s="509"/>
      <c r="F41" s="517">
        <f t="shared" si="4"/>
        <v>2.1812925931008382</v>
      </c>
      <c r="G41" s="518">
        <f t="shared" si="5"/>
        <v>-1.7435768873496234E-2</v>
      </c>
      <c r="H41" s="519">
        <f t="shared" si="6"/>
        <v>20.481095012188639</v>
      </c>
      <c r="I41" s="509"/>
      <c r="J41" s="517">
        <f t="shared" si="7"/>
        <v>4.8</v>
      </c>
      <c r="K41" s="511">
        <f t="shared" si="8"/>
        <v>1.1621621621621621</v>
      </c>
      <c r="L41" s="519">
        <f t="shared" si="9"/>
        <v>32.875287531392161</v>
      </c>
      <c r="M41" s="513"/>
      <c r="N41" s="517">
        <f t="shared" si="10"/>
        <v>4.8</v>
      </c>
      <c r="O41" s="511">
        <f t="shared" si="11"/>
        <v>1.1621621621621621</v>
      </c>
      <c r="P41" s="520">
        <f t="shared" si="12"/>
        <v>32.875287531392161</v>
      </c>
    </row>
    <row r="42" spans="1:16" x14ac:dyDescent="0.25">
      <c r="A42" s="506" t="str">
        <f t="shared" si="2"/>
        <v>Gardasil Adolescents</v>
      </c>
      <c r="B42" s="506" t="str">
        <f t="shared" si="2"/>
        <v>HCC TV</v>
      </c>
      <c r="C42" s="515">
        <f t="shared" si="3"/>
        <v>16.888801000000001</v>
      </c>
      <c r="D42" s="516">
        <f t="shared" si="3"/>
        <v>67.034177652868721</v>
      </c>
      <c r="E42" s="509"/>
      <c r="F42" s="517">
        <f t="shared" si="4"/>
        <v>16.888801000000001</v>
      </c>
      <c r="G42" s="518">
        <f t="shared" si="5"/>
        <v>0</v>
      </c>
      <c r="H42" s="519">
        <f t="shared" si="6"/>
        <v>67.034177652868721</v>
      </c>
      <c r="I42" s="509"/>
      <c r="J42" s="517">
        <f t="shared" si="7"/>
        <v>16.888801000000001</v>
      </c>
      <c r="K42" s="511">
        <f t="shared" si="8"/>
        <v>0</v>
      </c>
      <c r="L42" s="519">
        <f t="shared" si="9"/>
        <v>67.034177652868721</v>
      </c>
      <c r="M42" s="513"/>
      <c r="N42" s="517">
        <f t="shared" si="10"/>
        <v>16.888801000000001</v>
      </c>
      <c r="O42" s="511">
        <f t="shared" si="11"/>
        <v>0</v>
      </c>
      <c r="P42" s="520">
        <f t="shared" si="12"/>
        <v>67.034177652868721</v>
      </c>
    </row>
    <row r="43" spans="1:16" x14ac:dyDescent="0.25">
      <c r="A43" s="506" t="str">
        <f t="shared" si="2"/>
        <v>Gardasil Adults</v>
      </c>
      <c r="B43" s="506" t="str">
        <f t="shared" si="2"/>
        <v>HCC InOffice</v>
      </c>
      <c r="C43" s="515">
        <f t="shared" ref="C43:D43" si="13">C16/1000000</f>
        <v>1</v>
      </c>
      <c r="D43" s="516">
        <f t="shared" si="13"/>
        <v>1.5233706180381361</v>
      </c>
      <c r="E43" s="509"/>
      <c r="F43" s="517">
        <f t="shared" si="4"/>
        <v>0.9</v>
      </c>
      <c r="G43" s="518">
        <f t="shared" si="5"/>
        <v>-0.1</v>
      </c>
      <c r="H43" s="519">
        <f t="shared" si="6"/>
        <v>1.4104317445188572</v>
      </c>
      <c r="I43" s="509"/>
      <c r="J43" s="517">
        <f t="shared" si="7"/>
        <v>0.9</v>
      </c>
      <c r="K43" s="511">
        <f t="shared" si="8"/>
        <v>-0.1</v>
      </c>
      <c r="L43" s="519">
        <f t="shared" si="9"/>
        <v>1.4104317445188572</v>
      </c>
      <c r="M43" s="513"/>
      <c r="N43" s="517">
        <f t="shared" si="10"/>
        <v>0.94449543397214242</v>
      </c>
      <c r="O43" s="511">
        <f t="shared" si="11"/>
        <v>-5.5504566027857596E-2</v>
      </c>
      <c r="P43" s="520">
        <f t="shared" si="12"/>
        <v>1.4615630941692699</v>
      </c>
    </row>
    <row r="44" spans="1:16" x14ac:dyDescent="0.25">
      <c r="A44" s="506" t="str">
        <f t="shared" si="2"/>
        <v>Gardasil Adults</v>
      </c>
      <c r="B44" s="506" t="str">
        <f t="shared" si="2"/>
        <v>HCP MCM</v>
      </c>
      <c r="C44" s="515">
        <f t="shared" ref="C44:D44" si="14">C17/1000000</f>
        <v>16.948</v>
      </c>
      <c r="D44" s="516">
        <f t="shared" si="14"/>
        <v>92.408087499027943</v>
      </c>
      <c r="E44" s="509"/>
      <c r="F44" s="517">
        <f t="shared" si="4"/>
        <v>20.3418525131531</v>
      </c>
      <c r="G44" s="518">
        <f t="shared" si="5"/>
        <v>0.20025091533827583</v>
      </c>
      <c r="H44" s="519">
        <f t="shared" si="6"/>
        <v>103.73689464632764</v>
      </c>
      <c r="I44" s="509"/>
      <c r="J44" s="517">
        <f t="shared" si="7"/>
        <v>20.999999999999996</v>
      </c>
      <c r="K44" s="511">
        <f t="shared" si="8"/>
        <v>0.23908425772952538</v>
      </c>
      <c r="L44" s="519">
        <f t="shared" si="9"/>
        <v>105.72478672171538</v>
      </c>
      <c r="M44" s="513"/>
      <c r="N44" s="517">
        <f t="shared" si="10"/>
        <v>20.999999999999996</v>
      </c>
      <c r="O44" s="511">
        <f t="shared" si="11"/>
        <v>0.23908425772952538</v>
      </c>
      <c r="P44" s="520">
        <f t="shared" si="12"/>
        <v>105.72478672171538</v>
      </c>
    </row>
    <row r="45" spans="1:16" x14ac:dyDescent="0.25">
      <c r="A45" s="506" t="str">
        <f t="shared" si="2"/>
        <v>Gardasil Adults</v>
      </c>
      <c r="B45" s="506" t="str">
        <f t="shared" si="2"/>
        <v>HCC Social</v>
      </c>
      <c r="C45" s="515">
        <f t="shared" ref="C45:D45" si="15">C18/1000000</f>
        <v>2.2000000000000002</v>
      </c>
      <c r="D45" s="516">
        <f t="shared" si="15"/>
        <v>6.171975030653198</v>
      </c>
      <c r="E45" s="509"/>
      <c r="F45" s="517">
        <f t="shared" si="4"/>
        <v>1.8</v>
      </c>
      <c r="G45" s="518">
        <f t="shared" si="5"/>
        <v>-0.18181818181818182</v>
      </c>
      <c r="H45" s="519">
        <f t="shared" si="6"/>
        <v>5.4718483801533537</v>
      </c>
      <c r="I45" s="509"/>
      <c r="J45" s="517">
        <f t="shared" si="7"/>
        <v>4.4226257657986539</v>
      </c>
      <c r="K45" s="511">
        <f t="shared" si="8"/>
        <v>1.0102844389993879</v>
      </c>
      <c r="L45" s="519">
        <f t="shared" si="9"/>
        <v>9.3837983583675619</v>
      </c>
      <c r="M45" s="513"/>
      <c r="N45" s="517">
        <f t="shared" si="10"/>
        <v>6.6433494751197424</v>
      </c>
      <c r="O45" s="511">
        <f t="shared" si="11"/>
        <v>2.0197043068726104</v>
      </c>
      <c r="P45" s="520">
        <f t="shared" si="12"/>
        <v>11.978510322097874</v>
      </c>
    </row>
    <row r="46" spans="1:16" x14ac:dyDescent="0.25">
      <c r="A46" s="506" t="str">
        <f t="shared" si="2"/>
        <v>Gardasil Adults</v>
      </c>
      <c r="B46" s="506" t="str">
        <f t="shared" si="2"/>
        <v>HCC Online Video</v>
      </c>
      <c r="C46" s="515">
        <f t="shared" ref="C46:D46" si="16">C19/1000000</f>
        <v>1.5</v>
      </c>
      <c r="D46" s="516">
        <f t="shared" si="16"/>
        <v>5.944544957049497</v>
      </c>
      <c r="E46" s="509"/>
      <c r="F46" s="517">
        <f t="shared" si="4"/>
        <v>1.1057213674438764</v>
      </c>
      <c r="G46" s="518">
        <f t="shared" si="5"/>
        <v>-0.26285242170408246</v>
      </c>
      <c r="H46" s="519">
        <f t="shared" si="6"/>
        <v>4.8722064746905431</v>
      </c>
      <c r="I46" s="509"/>
      <c r="J46" s="517">
        <f t="shared" si="7"/>
        <v>2.5485672768115313</v>
      </c>
      <c r="K46" s="511">
        <f t="shared" si="8"/>
        <v>0.69904485120768756</v>
      </c>
      <c r="L46" s="519">
        <f t="shared" si="9"/>
        <v>7.7911828624005883</v>
      </c>
      <c r="M46" s="513"/>
      <c r="N46" s="517">
        <f t="shared" si="10"/>
        <v>2.7906712696755935</v>
      </c>
      <c r="O46" s="511">
        <f t="shared" si="11"/>
        <v>0.86044751311706225</v>
      </c>
      <c r="P46" s="520">
        <f t="shared" si="12"/>
        <v>8.0713146420218376</v>
      </c>
    </row>
    <row r="47" spans="1:16" x14ac:dyDescent="0.25">
      <c r="A47" s="506" t="str">
        <f t="shared" si="2"/>
        <v>Gardasil Adults</v>
      </c>
      <c r="B47" s="506" t="str">
        <f t="shared" si="2"/>
        <v>HCC Streaming Video</v>
      </c>
      <c r="C47" s="515">
        <f t="shared" ref="C47:D47" si="17">C20/1000000</f>
        <v>10.268452</v>
      </c>
      <c r="D47" s="516">
        <f t="shared" si="17"/>
        <v>18.886370658155332</v>
      </c>
      <c r="E47" s="509"/>
      <c r="F47" s="517">
        <f t="shared" si="4"/>
        <v>8.3069009999999999</v>
      </c>
      <c r="G47" s="518">
        <f t="shared" si="5"/>
        <v>-0.19102694349644922</v>
      </c>
      <c r="H47" s="519">
        <f t="shared" si="6"/>
        <v>16.281797494816164</v>
      </c>
      <c r="I47" s="509"/>
      <c r="J47" s="517">
        <f t="shared" si="7"/>
        <v>11.345258983154016</v>
      </c>
      <c r="K47" s="511">
        <f t="shared" si="8"/>
        <v>0.10486556134790478</v>
      </c>
      <c r="L47" s="519">
        <f t="shared" si="9"/>
        <v>20.251869236533537</v>
      </c>
      <c r="M47" s="513"/>
      <c r="N47" s="517">
        <f t="shared" si="10"/>
        <v>18.837935812639447</v>
      </c>
      <c r="O47" s="511">
        <f t="shared" si="11"/>
        <v>0.83454485765132358</v>
      </c>
      <c r="P47" s="520">
        <f t="shared" si="12"/>
        <v>28.881406791728857</v>
      </c>
    </row>
    <row r="48" spans="1:16" x14ac:dyDescent="0.25">
      <c r="A48" s="506" t="str">
        <f t="shared" si="2"/>
        <v>Gardasil Adults</v>
      </c>
      <c r="B48" s="506" t="str">
        <f t="shared" si="2"/>
        <v>HCC Display</v>
      </c>
      <c r="C48" s="515">
        <f t="shared" ref="C48:D48" si="18">C21/1000000</f>
        <v>4</v>
      </c>
      <c r="D48" s="516">
        <f t="shared" si="18"/>
        <v>21.02067549422587</v>
      </c>
      <c r="E48" s="509"/>
      <c r="F48" s="517">
        <f t="shared" si="4"/>
        <v>4.2574727107360104</v>
      </c>
      <c r="G48" s="518">
        <f t="shared" si="5"/>
        <v>6.4368177684002562E-2</v>
      </c>
      <c r="H48" s="519">
        <f t="shared" si="6"/>
        <v>21.822364062061272</v>
      </c>
      <c r="I48" s="509"/>
      <c r="J48" s="517">
        <f t="shared" si="7"/>
        <v>5.0000000000000009</v>
      </c>
      <c r="K48" s="511">
        <f t="shared" si="8"/>
        <v>0.25000000000000022</v>
      </c>
      <c r="L48" s="519">
        <f t="shared" si="9"/>
        <v>24.032152746086101</v>
      </c>
      <c r="M48" s="513"/>
      <c r="N48" s="517">
        <f t="shared" si="10"/>
        <v>5</v>
      </c>
      <c r="O48" s="511">
        <f t="shared" si="11"/>
        <v>0.25</v>
      </c>
      <c r="P48" s="520">
        <f t="shared" si="12"/>
        <v>24.032152746086098</v>
      </c>
    </row>
    <row r="49" spans="1:26" x14ac:dyDescent="0.25">
      <c r="A49" s="506" t="str">
        <f t="shared" si="2"/>
        <v>Gardasil Adults</v>
      </c>
      <c r="B49" s="506" t="str">
        <f t="shared" si="2"/>
        <v>HCC Paid Search</v>
      </c>
      <c r="C49" s="515">
        <f t="shared" ref="C49:D49" si="19">C22/1000000</f>
        <v>0.2</v>
      </c>
      <c r="D49" s="516">
        <f t="shared" si="19"/>
        <v>17.969341094351833</v>
      </c>
      <c r="E49" s="509"/>
      <c r="F49" s="517">
        <f t="shared" si="4"/>
        <v>0.2</v>
      </c>
      <c r="G49" s="518">
        <f t="shared" si="5"/>
        <v>0</v>
      </c>
      <c r="H49" s="519">
        <f t="shared" si="6"/>
        <v>17.969341094351833</v>
      </c>
      <c r="I49" s="509"/>
      <c r="J49" s="517">
        <f t="shared" si="7"/>
        <v>0.2</v>
      </c>
      <c r="K49" s="511">
        <f t="shared" si="8"/>
        <v>0</v>
      </c>
      <c r="L49" s="519">
        <f t="shared" si="9"/>
        <v>17.969341094351833</v>
      </c>
      <c r="M49" s="513"/>
      <c r="N49" s="517">
        <f t="shared" si="10"/>
        <v>0.2</v>
      </c>
      <c r="O49" s="511">
        <f t="shared" si="11"/>
        <v>0</v>
      </c>
      <c r="P49" s="520">
        <f t="shared" si="12"/>
        <v>17.969341094351833</v>
      </c>
    </row>
    <row r="50" spans="1:26" x14ac:dyDescent="0.25">
      <c r="A50" s="506" t="str">
        <f t="shared" si="2"/>
        <v>Gardasil Adults</v>
      </c>
      <c r="B50" s="506" t="str">
        <f t="shared" si="2"/>
        <v>HCC Linear TV</v>
      </c>
      <c r="C50" s="515">
        <f>C23/1000000</f>
        <v>28.089210999999999</v>
      </c>
      <c r="D50" s="516">
        <f>D23/1000000</f>
        <v>40.395109654958588</v>
      </c>
      <c r="E50" s="509"/>
      <c r="F50" s="517">
        <f t="shared" si="4"/>
        <v>28.089210999999999</v>
      </c>
      <c r="G50" s="518">
        <f t="shared" si="5"/>
        <v>0</v>
      </c>
      <c r="H50" s="519">
        <f t="shared" si="6"/>
        <v>40.395109654958588</v>
      </c>
      <c r="I50" s="509"/>
      <c r="J50" s="517">
        <f t="shared" si="7"/>
        <v>28.089210999999999</v>
      </c>
      <c r="K50" s="511">
        <f t="shared" si="8"/>
        <v>0</v>
      </c>
      <c r="L50" s="519">
        <f t="shared" si="9"/>
        <v>40.395109654958588</v>
      </c>
      <c r="M50" s="513"/>
      <c r="N50" s="517">
        <f t="shared" si="10"/>
        <v>28.089210999999999</v>
      </c>
      <c r="O50" s="511">
        <f t="shared" si="11"/>
        <v>0</v>
      </c>
      <c r="P50" s="520">
        <f t="shared" si="12"/>
        <v>40.395109654958588</v>
      </c>
    </row>
    <row r="51" spans="1:26" x14ac:dyDescent="0.25">
      <c r="A51" s="506" t="str">
        <f>A24</f>
        <v>Gardasil Adults</v>
      </c>
      <c r="B51" s="506" t="str">
        <f>B24</f>
        <v>HCC Radio</v>
      </c>
      <c r="C51" s="515">
        <f t="shared" ref="C51:D51" si="20">C24/1000000</f>
        <v>1.5</v>
      </c>
      <c r="D51" s="516">
        <f t="shared" si="20"/>
        <v>7.2903099462908374</v>
      </c>
      <c r="E51" s="509"/>
      <c r="F51" s="517">
        <f>F24/1000000</f>
        <v>0.70450446923774579</v>
      </c>
      <c r="G51" s="518">
        <f>G24</f>
        <v>-0.53033035384150284</v>
      </c>
      <c r="H51" s="519">
        <f>H24/1000000</f>
        <v>5.3884392392324276</v>
      </c>
      <c r="I51" s="509"/>
      <c r="J51" s="517">
        <f>J24/1000000</f>
        <v>2.2000000000000002</v>
      </c>
      <c r="K51" s="511">
        <f>K24</f>
        <v>0.46666666666666667</v>
      </c>
      <c r="L51" s="519">
        <f>L24/1000000</f>
        <v>8.4972532367697085</v>
      </c>
      <c r="M51" s="513"/>
      <c r="N51" s="517">
        <f>N24/1000000</f>
        <v>2.2000000000000002</v>
      </c>
      <c r="O51" s="511">
        <f>O24</f>
        <v>0.46666666666666667</v>
      </c>
      <c r="P51" s="520">
        <f>P24/1000000</f>
        <v>8.4972532367697085</v>
      </c>
    </row>
    <row r="52" spans="1:26" x14ac:dyDescent="0.25">
      <c r="A52" s="506" t="str">
        <f>A25</f>
        <v>Gardasil Adults</v>
      </c>
      <c r="B52" s="506" t="str">
        <f>B25</f>
        <v>HCC Pharmacy</v>
      </c>
      <c r="C52" s="515">
        <f t="shared" ref="C52:D52" si="21">C25/1000000</f>
        <v>3.2</v>
      </c>
      <c r="D52" s="516">
        <f t="shared" si="21"/>
        <v>5.0638371955307466</v>
      </c>
      <c r="E52" s="509"/>
      <c r="F52" s="517">
        <f>F25/1000000</f>
        <v>3.2</v>
      </c>
      <c r="G52" s="518">
        <f>G25</f>
        <v>0</v>
      </c>
      <c r="H52" s="519">
        <f>H25/1000000</f>
        <v>5.0638371955307466</v>
      </c>
      <c r="I52" s="509"/>
      <c r="J52" s="517">
        <f>J25/1000000</f>
        <v>3.2</v>
      </c>
      <c r="K52" s="511">
        <f>K25</f>
        <v>0</v>
      </c>
      <c r="L52" s="519">
        <f>L25/1000000</f>
        <v>5.0638371955307466</v>
      </c>
      <c r="M52" s="513"/>
      <c r="N52" s="517">
        <f>N25/1000000</f>
        <v>3.2</v>
      </c>
      <c r="O52" s="511">
        <f>O25</f>
        <v>0</v>
      </c>
      <c r="P52" s="520">
        <f>P25/1000000</f>
        <v>5.0638371955307466</v>
      </c>
    </row>
    <row r="53" spans="1:26" x14ac:dyDescent="0.25">
      <c r="A53" s="471"/>
      <c r="B53" s="521" t="str">
        <f>B26</f>
        <v>Gardasil Adolescents</v>
      </c>
      <c r="C53" s="497">
        <f t="shared" ref="C53:D53" si="22">C26/1000000</f>
        <v>39.702376999999998</v>
      </c>
      <c r="D53" s="498">
        <f t="shared" si="22"/>
        <v>292.10970848154938</v>
      </c>
      <c r="E53" s="499"/>
      <c r="F53" s="332">
        <f t="shared" ref="F53:F54" si="23">F26/1000000</f>
        <v>39.702376997921242</v>
      </c>
      <c r="G53" s="496">
        <f t="shared" ref="G53:G54" si="24">G26</f>
        <v>-5.2358494556266228E-11</v>
      </c>
      <c r="H53" s="500">
        <f t="shared" ref="H53:H54" si="25">H26/1000000</f>
        <v>293.47215773240413</v>
      </c>
      <c r="I53" s="499"/>
      <c r="J53" s="332">
        <f t="shared" ref="J53:J54" si="26">J26/1000000</f>
        <v>49.702376929819202</v>
      </c>
      <c r="K53" s="496">
        <f t="shared" ref="K53:K54" si="27">K26</f>
        <v>0.25187408627496544</v>
      </c>
      <c r="L53" s="500">
        <f t="shared" ref="L53:L54" si="28">L26/1000000</f>
        <v>339.11726021705948</v>
      </c>
      <c r="M53" s="487"/>
      <c r="N53" s="332">
        <f t="shared" ref="N53:N54" si="29">N26/1000000</f>
        <v>59.702376989469045</v>
      </c>
      <c r="O53" s="496">
        <f t="shared" ref="O53:O54" si="30">O26</f>
        <v>0.50374817582002818</v>
      </c>
      <c r="P53" s="500">
        <f t="shared" ref="P53:P54" si="31">P26/1000000</f>
        <v>373.52187040823424</v>
      </c>
    </row>
    <row r="54" spans="1:26" x14ac:dyDescent="0.25">
      <c r="A54" s="471"/>
      <c r="B54" s="521" t="str">
        <f>B27</f>
        <v>Gardasil Adults</v>
      </c>
      <c r="C54" s="497">
        <f t="shared" ref="C54:D54" si="32">C27/1000000</f>
        <v>68.905663000000004</v>
      </c>
      <c r="D54" s="498">
        <f t="shared" si="32"/>
        <v>216.67362214828196</v>
      </c>
      <c r="E54" s="499"/>
      <c r="F54" s="332">
        <f t="shared" si="23"/>
        <v>68.905663060570731</v>
      </c>
      <c r="G54" s="496">
        <f t="shared" si="24"/>
        <v>8.7903851616769654E-10</v>
      </c>
      <c r="H54" s="500">
        <f t="shared" si="25"/>
        <v>222.41226998664143</v>
      </c>
      <c r="I54" s="499"/>
      <c r="J54" s="332">
        <f t="shared" si="26"/>
        <v>78.905663025764198</v>
      </c>
      <c r="K54" s="496">
        <f t="shared" si="27"/>
        <v>0.14512595322918811</v>
      </c>
      <c r="L54" s="500">
        <f t="shared" si="28"/>
        <v>240.51976285123288</v>
      </c>
      <c r="M54" s="487"/>
      <c r="N54" s="332">
        <f t="shared" si="29"/>
        <v>88.905662991406913</v>
      </c>
      <c r="O54" s="496">
        <f t="shared" si="30"/>
        <v>0.29025190558585756</v>
      </c>
      <c r="P54" s="500">
        <f t="shared" si="31"/>
        <v>252.07527549943018</v>
      </c>
    </row>
    <row r="55" spans="1:26" ht="29.65" customHeight="1" x14ac:dyDescent="0.25">
      <c r="A55" s="487"/>
      <c r="B55" s="521" t="s">
        <v>218</v>
      </c>
      <c r="C55" s="501">
        <f>C28/1000000</f>
        <v>108.60804</v>
      </c>
      <c r="D55" s="498">
        <f>D28/1000000</f>
        <v>508.78333062983131</v>
      </c>
      <c r="E55" s="499"/>
      <c r="F55" s="502">
        <f>F28/1000000</f>
        <v>108.60804005849197</v>
      </c>
      <c r="G55" s="503">
        <f>G28</f>
        <v>5.3856013024344081E-10</v>
      </c>
      <c r="H55" s="500">
        <f>H28/1000000</f>
        <v>515.88442771904556</v>
      </c>
      <c r="I55" s="499"/>
      <c r="J55" s="502">
        <f>J28/1000000</f>
        <v>128.60803999999999</v>
      </c>
      <c r="K55" s="503">
        <f>K28</f>
        <v>0.18414842952694846</v>
      </c>
      <c r="L55" s="500">
        <f>L28/1000000</f>
        <v>561.0748194856659</v>
      </c>
      <c r="M55" s="487"/>
      <c r="N55" s="502">
        <f>N28/1000000</f>
        <v>148.60803998087596</v>
      </c>
      <c r="O55" s="503">
        <f>O28</f>
        <v>0.36829685887781394</v>
      </c>
      <c r="P55" s="500">
        <f>P28/1000000</f>
        <v>625.59714590766453</v>
      </c>
    </row>
    <row r="56" spans="1:26" ht="45" x14ac:dyDescent="0.25">
      <c r="A56" s="487"/>
      <c r="B56" s="521" t="s">
        <v>307</v>
      </c>
      <c r="C56" s="332" t="str">
        <f>_xlfn.CONCAT("ROI"," ", ,C57)</f>
        <v>ROI 4.68</v>
      </c>
      <c r="D56" s="504"/>
      <c r="E56" s="499"/>
      <c r="F56" s="332" t="str">
        <f>_xlfn.CONCAT("ROI"," ", ,F57)</f>
        <v>ROI 4.75</v>
      </c>
      <c r="G56" s="503"/>
      <c r="H56" s="505" t="s">
        <v>349</v>
      </c>
      <c r="I56" s="499"/>
      <c r="J56" s="332" t="str">
        <f>_xlfn.CONCAT("ROI"," ", ,J57)</f>
        <v>ROI 4.36</v>
      </c>
      <c r="K56" s="503"/>
      <c r="L56" s="505" t="s">
        <v>350</v>
      </c>
      <c r="M56" s="487"/>
      <c r="N56" s="332" t="str">
        <f>_xlfn.CONCAT("ROI"," ", ,N57)</f>
        <v>ROI 4.21</v>
      </c>
      <c r="O56" s="503"/>
      <c r="P56" s="505" t="s">
        <v>351</v>
      </c>
    </row>
    <row r="57" spans="1:26" x14ac:dyDescent="0.25">
      <c r="C57" s="97">
        <f>ROUND(D55/C55,2)</f>
        <v>4.68</v>
      </c>
      <c r="F57" s="97">
        <f>ROUND(H55/F55,2)</f>
        <v>4.75</v>
      </c>
      <c r="H57" s="216">
        <f>(H55-$D$55)</f>
        <v>7.1010970892142495</v>
      </c>
      <c r="J57" s="97">
        <f>ROUND(L55/J55,2)</f>
        <v>4.3600000000000003</v>
      </c>
      <c r="L57" s="216">
        <f>(L55-$D$55)</f>
        <v>52.291488855834587</v>
      </c>
      <c r="N57" s="97">
        <f>ROUND(P55/N55,2)</f>
        <v>4.21</v>
      </c>
      <c r="P57" s="216">
        <f>(P55-$D$55)</f>
        <v>116.81381527783321</v>
      </c>
    </row>
    <row r="58" spans="1:26" x14ac:dyDescent="0.25">
      <c r="H58" s="331">
        <f>H57/$D$55</f>
        <v>1.3957016006054451E-2</v>
      </c>
      <c r="J58" s="248"/>
      <c r="K58" s="248"/>
      <c r="L58" s="331">
        <f>L57/$D$55</f>
        <v>0.10277751983560877</v>
      </c>
      <c r="M58" s="248"/>
      <c r="N58" s="248"/>
      <c r="O58" s="248"/>
      <c r="P58" s="331">
        <f>P57/$D$55</f>
        <v>0.22959442309799627</v>
      </c>
    </row>
    <row r="60" spans="1:2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B61"/>
      <c r="C61"/>
      <c r="D61"/>
      <c r="E61"/>
      <c r="F61"/>
      <c r="G61"/>
      <c r="H61"/>
      <c r="I61"/>
      <c r="J61"/>
      <c r="K61"/>
      <c r="L61" s="180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B62"/>
      <c r="C62"/>
      <c r="D62"/>
      <c r="E62"/>
      <c r="F62"/>
      <c r="G62"/>
      <c r="H62"/>
      <c r="I62"/>
      <c r="J62"/>
      <c r="K62"/>
      <c r="L62" s="180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ht="27.6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</sheetData>
  <mergeCells count="9">
    <mergeCell ref="F4:P4"/>
    <mergeCell ref="N5:P5"/>
    <mergeCell ref="J5:L5"/>
    <mergeCell ref="F5:H5"/>
    <mergeCell ref="C32:D32"/>
    <mergeCell ref="F32:H32"/>
    <mergeCell ref="F31:P31"/>
    <mergeCell ref="N32:P32"/>
    <mergeCell ref="J32:L32"/>
  </mergeCells>
  <conditionalFormatting sqref="G34:G52">
    <cfRule type="cellIs" dxfId="11" priority="39" operator="lessThan">
      <formula>0</formula>
    </cfRule>
    <cfRule type="cellIs" dxfId="10" priority="40" operator="greaterThan">
      <formula>0</formula>
    </cfRule>
  </conditionalFormatting>
  <conditionalFormatting sqref="O34:O52">
    <cfRule type="cellIs" dxfId="9" priority="23" operator="lessThan">
      <formula>0</formula>
    </cfRule>
    <cfRule type="cellIs" dxfId="8" priority="24" operator="greaterThan">
      <formula>0</formula>
    </cfRule>
  </conditionalFormatting>
  <conditionalFormatting sqref="K34:K52">
    <cfRule type="cellIs" dxfId="7" priority="13" operator="lessThan">
      <formula>0</formula>
    </cfRule>
    <cfRule type="cellIs" dxfId="6" priority="14" operator="greaterThan">
      <formula>0</formula>
    </cfRule>
  </conditionalFormatting>
  <conditionalFormatting sqref="G53:G54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K53:K54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O53:O5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F26:F27 H26:H27" formulaRange="1"/>
    <ignoredError sqref="G26:G27" formula="1"/>
    <ignoredError sqref="M26:P27" formula="1" formulaRang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81"/>
  <sheetViews>
    <sheetView zoomScale="90" zoomScaleNormal="90" workbookViewId="0">
      <selection activeCell="B37" sqref="B37"/>
    </sheetView>
  </sheetViews>
  <sheetFormatPr defaultColWidth="8.85546875" defaultRowHeight="12.75" x14ac:dyDescent="0.2"/>
  <cols>
    <col min="1" max="1" width="24.5703125" style="1" customWidth="1"/>
    <col min="2" max="2" width="18.42578125" style="1" customWidth="1"/>
    <col min="3" max="3" width="16.28515625" style="1" customWidth="1"/>
    <col min="4" max="4" width="22.42578125" style="1" bestFit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9" width="15" style="1" bestFit="1" customWidth="1"/>
    <col min="10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194</v>
      </c>
    </row>
    <row r="2" spans="1:14" x14ac:dyDescent="0.2">
      <c r="A2" s="48" t="s">
        <v>76</v>
      </c>
      <c r="B2" s="1" t="s">
        <v>200</v>
      </c>
    </row>
    <row r="3" spans="1:14" x14ac:dyDescent="0.2">
      <c r="A3" s="48" t="s">
        <v>77</v>
      </c>
      <c r="B3" s="1" t="s">
        <v>340</v>
      </c>
    </row>
    <row r="4" spans="1:14" ht="28.9" customHeight="1" x14ac:dyDescent="0.2">
      <c r="A4" s="49" t="s">
        <v>78</v>
      </c>
      <c r="B4" s="571" t="s">
        <v>342</v>
      </c>
      <c r="C4" s="572"/>
      <c r="D4" s="572"/>
      <c r="E4" s="572"/>
      <c r="F4" s="572"/>
      <c r="G4" s="572"/>
      <c r="H4" s="572"/>
      <c r="I4" s="572"/>
      <c r="N4" s="1" t="s">
        <v>270</v>
      </c>
    </row>
    <row r="5" spans="1:14" x14ac:dyDescent="0.2">
      <c r="A5" s="48" t="s">
        <v>79</v>
      </c>
      <c r="B5" s="1" t="s">
        <v>127</v>
      </c>
      <c r="E5" s="573" t="s">
        <v>50</v>
      </c>
      <c r="F5" s="574"/>
      <c r="G5" s="574"/>
      <c r="H5" s="574"/>
      <c r="I5" s="575"/>
      <c r="N5" s="1" t="s">
        <v>271</v>
      </c>
    </row>
    <row r="6" spans="1:14" x14ac:dyDescent="0.2">
      <c r="A6" s="48" t="s">
        <v>80</v>
      </c>
      <c r="B6" s="1" t="s">
        <v>195</v>
      </c>
      <c r="E6" s="576" t="s">
        <v>51</v>
      </c>
      <c r="F6" s="577"/>
      <c r="G6" s="577"/>
      <c r="H6" s="577"/>
      <c r="I6" s="578"/>
    </row>
    <row r="7" spans="1:14" ht="13.5" thickBot="1" x14ac:dyDescent="0.25">
      <c r="D7" s="522" t="s">
        <v>352</v>
      </c>
      <c r="E7" s="524">
        <v>12000000</v>
      </c>
    </row>
    <row r="8" spans="1:14" ht="13.5" thickBot="1" x14ac:dyDescent="0.25">
      <c r="A8" s="51" t="s">
        <v>81</v>
      </c>
      <c r="D8" s="522" t="s">
        <v>353</v>
      </c>
      <c r="E8" s="524">
        <v>18000000</v>
      </c>
    </row>
    <row r="9" spans="1:14" ht="13.5" thickBot="1" x14ac:dyDescent="0.25">
      <c r="A9" s="29" t="s">
        <v>83</v>
      </c>
      <c r="B9" s="57">
        <f>J40</f>
        <v>2639917.2161497558</v>
      </c>
      <c r="C9" s="526"/>
    </row>
    <row r="10" spans="1:14" ht="13.5" thickBot="1" x14ac:dyDescent="0.25">
      <c r="A10" s="50"/>
      <c r="E10" s="1" t="s">
        <v>94</v>
      </c>
    </row>
    <row r="11" spans="1:14" x14ac:dyDescent="0.2">
      <c r="A11" s="404" t="s">
        <v>82</v>
      </c>
      <c r="B11" s="399" t="s">
        <v>84</v>
      </c>
      <c r="C11" s="399" t="s">
        <v>97</v>
      </c>
      <c r="D11" s="399" t="s">
        <v>98</v>
      </c>
      <c r="E11" s="399" t="s">
        <v>160</v>
      </c>
      <c r="F11" s="399" t="s">
        <v>161</v>
      </c>
      <c r="G11" s="400" t="s">
        <v>302</v>
      </c>
    </row>
    <row r="12" spans="1:14" s="98" customFormat="1" x14ac:dyDescent="0.2">
      <c r="A12" s="405" t="s">
        <v>300</v>
      </c>
      <c r="B12" s="401">
        <f>SUM(E19:E27,E7)</f>
        <v>51702377</v>
      </c>
      <c r="C12" s="402">
        <f>SUM(E19:E27,E7)</f>
        <v>51702377</v>
      </c>
      <c r="D12" s="402">
        <f>B12*F12</f>
        <v>62042852.399999999</v>
      </c>
      <c r="E12" s="403">
        <v>1</v>
      </c>
      <c r="F12" s="403">
        <v>1.2</v>
      </c>
      <c r="G12" s="420">
        <f>I28</f>
        <v>51702376.993711889</v>
      </c>
    </row>
    <row r="13" spans="1:14" s="98" customFormat="1" x14ac:dyDescent="0.2">
      <c r="A13" s="405" t="s">
        <v>301</v>
      </c>
      <c r="B13" s="401">
        <f>SUM(E29:E38,E8)</f>
        <v>86905663</v>
      </c>
      <c r="C13" s="402">
        <f>SUM(E29:E38,E8)</f>
        <v>86905663</v>
      </c>
      <c r="D13" s="402">
        <f>B13*F13</f>
        <v>104286795.59999999</v>
      </c>
      <c r="E13" s="403">
        <v>1</v>
      </c>
      <c r="F13" s="403">
        <v>1.2</v>
      </c>
      <c r="G13" s="420">
        <f>I39</f>
        <v>86905663.003048882</v>
      </c>
    </row>
    <row r="14" spans="1:14" s="251" customFormat="1" ht="13.5" thickBot="1" x14ac:dyDescent="0.25">
      <c r="A14" s="406" t="s">
        <v>159</v>
      </c>
      <c r="B14" s="95">
        <f>SUM(B12:B13)</f>
        <v>138608040</v>
      </c>
      <c r="C14" s="407">
        <f>B14*E14</f>
        <v>138608040</v>
      </c>
      <c r="D14" s="407">
        <f>B14*F14</f>
        <v>138608040</v>
      </c>
      <c r="E14" s="408">
        <v>1</v>
      </c>
      <c r="F14" s="408">
        <v>1</v>
      </c>
      <c r="G14" s="421">
        <f>I40</f>
        <v>138608039.99676076</v>
      </c>
      <c r="I14" s="523">
        <f>E40+20000000</f>
        <v>128608040</v>
      </c>
      <c r="J14" s="251">
        <f>I14/E40</f>
        <v>1.1841484295269484</v>
      </c>
      <c r="K14" s="265"/>
      <c r="L14" s="265"/>
    </row>
    <row r="15" spans="1:14" ht="13.5" thickBot="1" x14ac:dyDescent="0.25">
      <c r="L15" s="143">
        <f>G70</f>
        <v>508783330.62983131</v>
      </c>
      <c r="M15" s="113">
        <f>J70</f>
        <v>596462895.81687582</v>
      </c>
    </row>
    <row r="16" spans="1:14" ht="60.6" customHeight="1" thickBot="1" x14ac:dyDescent="0.25">
      <c r="A16" s="52" t="s">
        <v>85</v>
      </c>
      <c r="D16" s="96" t="s">
        <v>95</v>
      </c>
      <c r="E16" s="96" t="s">
        <v>95</v>
      </c>
      <c r="F16" s="96" t="s">
        <v>96</v>
      </c>
      <c r="G16" s="274"/>
      <c r="H16" s="274"/>
      <c r="I16" s="56" t="s">
        <v>95</v>
      </c>
      <c r="J16" s="56" t="s">
        <v>96</v>
      </c>
    </row>
    <row r="17" spans="1:17" ht="27.75" customHeight="1" x14ac:dyDescent="0.2">
      <c r="A17" s="557" t="s">
        <v>2</v>
      </c>
      <c r="B17" s="555" t="s">
        <v>3</v>
      </c>
      <c r="C17" s="555" t="s">
        <v>38</v>
      </c>
      <c r="D17" s="555" t="s">
        <v>128</v>
      </c>
      <c r="E17" s="579" t="s">
        <v>86</v>
      </c>
      <c r="F17" s="581"/>
      <c r="G17" s="553" t="s">
        <v>131</v>
      </c>
      <c r="H17" s="554"/>
      <c r="I17" s="553" t="s">
        <v>89</v>
      </c>
      <c r="J17" s="554"/>
      <c r="K17" s="579" t="s">
        <v>90</v>
      </c>
      <c r="L17" s="580"/>
      <c r="M17" s="580"/>
      <c r="N17" s="581"/>
    </row>
    <row r="18" spans="1:17" ht="25.5" x14ac:dyDescent="0.2">
      <c r="A18" s="556"/>
      <c r="B18" s="556"/>
      <c r="C18" s="556"/>
      <c r="D18" s="556"/>
      <c r="E18" s="78" t="s">
        <v>149</v>
      </c>
      <c r="F18" s="78" t="s">
        <v>193</v>
      </c>
      <c r="G18" s="78" t="s">
        <v>87</v>
      </c>
      <c r="H18" s="78" t="s">
        <v>88</v>
      </c>
      <c r="I18" s="55" t="s">
        <v>148</v>
      </c>
      <c r="J18" s="55" t="s">
        <v>196</v>
      </c>
      <c r="K18" s="78" t="s">
        <v>130</v>
      </c>
      <c r="L18" s="78" t="s">
        <v>197</v>
      </c>
      <c r="M18" s="78" t="s">
        <v>91</v>
      </c>
      <c r="N18" s="78" t="s">
        <v>92</v>
      </c>
    </row>
    <row r="19" spans="1:17" x14ac:dyDescent="0.2">
      <c r="A19" s="267" t="s">
        <v>175</v>
      </c>
      <c r="B19" s="285" t="s">
        <v>225</v>
      </c>
      <c r="C19" s="53" t="s">
        <v>129</v>
      </c>
      <c r="D19" s="296">
        <v>1</v>
      </c>
      <c r="E19" s="343">
        <v>1000000</v>
      </c>
      <c r="F19" s="297">
        <f>GINOFF!I9</f>
        <v>22310.299479529262</v>
      </c>
      <c r="G19" s="343">
        <v>1000000</v>
      </c>
      <c r="H19" s="343">
        <v>7500000</v>
      </c>
      <c r="I19" s="306">
        <v>1286234.2842082002</v>
      </c>
      <c r="J19" s="298">
        <f>GINOFF!F9</f>
        <v>27200.110710306093</v>
      </c>
      <c r="K19" s="299">
        <f>I19-E19</f>
        <v>286234.28420820017</v>
      </c>
      <c r="L19" s="299">
        <f>J19-F19</f>
        <v>4889.8112307768315</v>
      </c>
      <c r="M19" s="300">
        <f>K19/E19</f>
        <v>0.28623428420820018</v>
      </c>
      <c r="N19" s="300">
        <f>L19/F19</f>
        <v>0.21917281904993974</v>
      </c>
      <c r="O19" s="325">
        <f>E19/F19</f>
        <v>44.822347674783416</v>
      </c>
      <c r="P19" s="287">
        <f>G19/1000000</f>
        <v>1</v>
      </c>
      <c r="Q19" s="287">
        <f>H19/1000000</f>
        <v>7.5</v>
      </c>
    </row>
    <row r="20" spans="1:17" x14ac:dyDescent="0.2">
      <c r="A20" s="268" t="s">
        <v>175</v>
      </c>
      <c r="B20" s="286" t="s">
        <v>226</v>
      </c>
      <c r="C20" s="54" t="s">
        <v>129</v>
      </c>
      <c r="D20" s="301">
        <v>1</v>
      </c>
      <c r="E20" s="307">
        <v>7775778</v>
      </c>
      <c r="F20" s="302">
        <f>GMCM!I9</f>
        <v>356289.09054759797</v>
      </c>
      <c r="G20" s="307">
        <v>5400000</v>
      </c>
      <c r="H20" s="307">
        <v>12000000</v>
      </c>
      <c r="I20" s="308">
        <v>11106528.099963542</v>
      </c>
      <c r="J20" s="303">
        <f>GMCM!F9</f>
        <v>424780.10427694675</v>
      </c>
      <c r="K20" s="304">
        <f>I20-E20</f>
        <v>3330750.0999635421</v>
      </c>
      <c r="L20" s="304">
        <f t="shared" ref="L20" si="0">J20-F20</f>
        <v>68491.013729348779</v>
      </c>
      <c r="M20" s="305">
        <f>K20/E20</f>
        <v>0.42834943332532671</v>
      </c>
      <c r="N20" s="305">
        <f t="shared" ref="N20:N38" si="1">L20/F20</f>
        <v>0.19223438366883933</v>
      </c>
      <c r="O20" s="325">
        <f t="shared" ref="O20:O36" si="2">E20/F20</f>
        <v>21.824350524033811</v>
      </c>
      <c r="P20" s="287">
        <f t="shared" ref="P20:Q28" si="3">G20/1000000</f>
        <v>5.4</v>
      </c>
      <c r="Q20" s="287">
        <f t="shared" si="3"/>
        <v>12</v>
      </c>
    </row>
    <row r="21" spans="1:17" s="98" customFormat="1" x14ac:dyDescent="0.2">
      <c r="A21" s="268" t="s">
        <v>175</v>
      </c>
      <c r="B21" s="286" t="s">
        <v>227</v>
      </c>
      <c r="C21" s="54" t="s">
        <v>169</v>
      </c>
      <c r="D21" s="301">
        <v>1</v>
      </c>
      <c r="E21" s="307">
        <v>1840000</v>
      </c>
      <c r="F21" s="302">
        <f>GSOC!I9</f>
        <v>70487.367019183061</v>
      </c>
      <c r="G21" s="307">
        <v>1599500</v>
      </c>
      <c r="H21" s="307">
        <v>6500000</v>
      </c>
      <c r="I21" s="308">
        <v>4473746.1544590266</v>
      </c>
      <c r="J21" s="303">
        <f>GSOC!F9</f>
        <v>120122.23311977911</v>
      </c>
      <c r="K21" s="304">
        <f t="shared" ref="K21:K38" si="4">I21-E21</f>
        <v>2633746.1544590266</v>
      </c>
      <c r="L21" s="304">
        <f t="shared" ref="L21:L38" si="5">J21-F21</f>
        <v>49634.866100596046</v>
      </c>
      <c r="M21" s="305">
        <f t="shared" ref="M21:M38" si="6">K21/E21</f>
        <v>1.431383779597297</v>
      </c>
      <c r="N21" s="305">
        <f t="shared" si="1"/>
        <v>0.70416683442137895</v>
      </c>
      <c r="O21" s="325">
        <f t="shared" si="2"/>
        <v>26.103968382011573</v>
      </c>
      <c r="P21" s="287">
        <f t="shared" si="3"/>
        <v>1.5994999999999999</v>
      </c>
      <c r="Q21" s="287">
        <f t="shared" si="3"/>
        <v>6.5</v>
      </c>
    </row>
    <row r="22" spans="1:17" s="98" customFormat="1" x14ac:dyDescent="0.2">
      <c r="A22" s="268" t="s">
        <v>175</v>
      </c>
      <c r="B22" s="286" t="s">
        <v>245</v>
      </c>
      <c r="C22" s="54" t="s">
        <v>129</v>
      </c>
      <c r="D22" s="301">
        <v>1</v>
      </c>
      <c r="E22" s="307">
        <v>1220000</v>
      </c>
      <c r="F22" s="302">
        <f>GOLV!I9</f>
        <v>15022.779470646754</v>
      </c>
      <c r="G22" s="307">
        <v>1000000</v>
      </c>
      <c r="H22" s="307">
        <v>3500000</v>
      </c>
      <c r="I22" s="308">
        <v>1000000</v>
      </c>
      <c r="J22" s="303">
        <f>GOLV!F9</f>
        <v>14861.613123927265</v>
      </c>
      <c r="K22" s="304">
        <f t="shared" si="4"/>
        <v>-220000</v>
      </c>
      <c r="L22" s="304">
        <f t="shared" si="5"/>
        <v>-161.1663467194885</v>
      </c>
      <c r="M22" s="305">
        <f t="shared" si="6"/>
        <v>-0.18032786885245902</v>
      </c>
      <c r="N22" s="305">
        <f t="shared" si="1"/>
        <v>-1.0728131038227244E-2</v>
      </c>
      <c r="O22" s="325">
        <f t="shared" si="2"/>
        <v>81.210005271246729</v>
      </c>
      <c r="P22" s="287">
        <f t="shared" si="3"/>
        <v>1</v>
      </c>
      <c r="Q22" s="287">
        <f t="shared" si="3"/>
        <v>3.5</v>
      </c>
    </row>
    <row r="23" spans="1:17" s="98" customFormat="1" x14ac:dyDescent="0.2">
      <c r="A23" s="268" t="s">
        <v>175</v>
      </c>
      <c r="B23" s="286" t="s">
        <v>247</v>
      </c>
      <c r="C23" s="54" t="s">
        <v>169</v>
      </c>
      <c r="D23" s="301">
        <v>1</v>
      </c>
      <c r="E23" s="307">
        <v>4817798</v>
      </c>
      <c r="F23" s="302">
        <f>GSTRV!I9</f>
        <v>121516.7124715425</v>
      </c>
      <c r="G23" s="307">
        <v>4817798</v>
      </c>
      <c r="H23" s="307">
        <v>12070113</v>
      </c>
      <c r="I23" s="308">
        <v>6538144.1197205177</v>
      </c>
      <c r="J23" s="303">
        <f>GSTRV!F9</f>
        <v>150473.54176430192</v>
      </c>
      <c r="K23" s="304">
        <f t="shared" si="4"/>
        <v>1720346.1197205177</v>
      </c>
      <c r="L23" s="304">
        <f t="shared" si="5"/>
        <v>28956.829292759416</v>
      </c>
      <c r="M23" s="305">
        <f t="shared" si="6"/>
        <v>0.35708141348402689</v>
      </c>
      <c r="N23" s="305">
        <f t="shared" si="1"/>
        <v>0.23829503533960975</v>
      </c>
      <c r="O23" s="325">
        <f t="shared" si="2"/>
        <v>39.647204915358948</v>
      </c>
      <c r="P23" s="287">
        <f t="shared" si="3"/>
        <v>4.8177979999999998</v>
      </c>
      <c r="Q23" s="287">
        <f t="shared" si="3"/>
        <v>12.070112999999999</v>
      </c>
    </row>
    <row r="24" spans="1:17" s="98" customFormat="1" x14ac:dyDescent="0.2">
      <c r="A24" s="268" t="s">
        <v>175</v>
      </c>
      <c r="B24" s="286" t="s">
        <v>228</v>
      </c>
      <c r="C24" s="54" t="s">
        <v>169</v>
      </c>
      <c r="D24" s="301">
        <v>1</v>
      </c>
      <c r="E24" s="307">
        <v>3540000</v>
      </c>
      <c r="F24" s="302">
        <f>GDISP!I9</f>
        <v>173899.1701768022</v>
      </c>
      <c r="G24" s="307">
        <v>1600000</v>
      </c>
      <c r="H24" s="307">
        <v>7000000</v>
      </c>
      <c r="I24" s="308">
        <v>5208923.3353606053</v>
      </c>
      <c r="J24" s="303">
        <f>GDISP!F9</f>
        <v>209206.85139871389</v>
      </c>
      <c r="K24" s="304">
        <f t="shared" si="4"/>
        <v>1668923.3353606053</v>
      </c>
      <c r="L24" s="304">
        <f t="shared" si="5"/>
        <v>35307.681221911684</v>
      </c>
      <c r="M24" s="305">
        <f t="shared" si="6"/>
        <v>0.47144726987587721</v>
      </c>
      <c r="N24" s="305">
        <f t="shared" si="1"/>
        <v>0.20303536345811532</v>
      </c>
      <c r="O24" s="325">
        <f t="shared" si="2"/>
        <v>20.356623878083514</v>
      </c>
      <c r="P24" s="287">
        <f t="shared" si="3"/>
        <v>1.6</v>
      </c>
      <c r="Q24" s="287">
        <f t="shared" si="3"/>
        <v>7</v>
      </c>
    </row>
    <row r="25" spans="1:17" s="98" customFormat="1" x14ac:dyDescent="0.2">
      <c r="A25" s="268" t="s">
        <v>175</v>
      </c>
      <c r="B25" s="286" t="s">
        <v>229</v>
      </c>
      <c r="C25" s="54" t="s">
        <v>169</v>
      </c>
      <c r="D25" s="301">
        <v>1</v>
      </c>
      <c r="E25" s="307">
        <v>400000</v>
      </c>
      <c r="F25" s="302">
        <f>GSEARCH!I9</f>
        <v>145038.35480357721</v>
      </c>
      <c r="G25" s="307">
        <v>300000</v>
      </c>
      <c r="H25" s="307">
        <v>400000</v>
      </c>
      <c r="I25" s="308">
        <v>400000</v>
      </c>
      <c r="J25" s="303">
        <f>GSEARCH!F9</f>
        <v>145038.35480357721</v>
      </c>
      <c r="K25" s="304">
        <f t="shared" si="4"/>
        <v>0</v>
      </c>
      <c r="L25" s="304">
        <f t="shared" si="5"/>
        <v>0</v>
      </c>
      <c r="M25" s="305">
        <f t="shared" si="6"/>
        <v>0</v>
      </c>
      <c r="N25" s="305">
        <f t="shared" si="1"/>
        <v>0</v>
      </c>
      <c r="O25" s="325">
        <f t="shared" si="2"/>
        <v>2.7578911836232054</v>
      </c>
      <c r="P25" s="287">
        <f t="shared" si="3"/>
        <v>0.3</v>
      </c>
      <c r="Q25" s="287">
        <f t="shared" si="3"/>
        <v>0.4</v>
      </c>
    </row>
    <row r="26" spans="1:17" x14ac:dyDescent="0.2">
      <c r="A26" s="268" t="s">
        <v>175</v>
      </c>
      <c r="B26" s="286" t="s">
        <v>284</v>
      </c>
      <c r="C26" s="54" t="s">
        <v>169</v>
      </c>
      <c r="D26" s="301">
        <v>1</v>
      </c>
      <c r="E26" s="307">
        <v>2220000</v>
      </c>
      <c r="F26" s="302">
        <f>GRADIO!I9</f>
        <v>91610.125423352103</v>
      </c>
      <c r="G26" s="307">
        <v>1400000</v>
      </c>
      <c r="H26" s="307">
        <v>4800000</v>
      </c>
      <c r="I26" s="308">
        <v>4800000</v>
      </c>
      <c r="J26" s="303">
        <f>GRADIO!F9</f>
        <v>145504.50354692468</v>
      </c>
      <c r="K26" s="304">
        <f t="shared" si="4"/>
        <v>2580000</v>
      </c>
      <c r="L26" s="304">
        <f t="shared" si="5"/>
        <v>53894.378123572576</v>
      </c>
      <c r="M26" s="305">
        <f t="shared" si="6"/>
        <v>1.1621621621621621</v>
      </c>
      <c r="N26" s="305">
        <f t="shared" si="1"/>
        <v>0.58830154280996649</v>
      </c>
      <c r="O26" s="325">
        <f t="shared" si="2"/>
        <v>24.233129140920326</v>
      </c>
      <c r="P26" s="287">
        <f t="shared" si="3"/>
        <v>1.4</v>
      </c>
      <c r="Q26" s="287">
        <f t="shared" si="3"/>
        <v>4.8</v>
      </c>
    </row>
    <row r="27" spans="1:17" s="98" customFormat="1" x14ac:dyDescent="0.2">
      <c r="A27" s="344" t="s">
        <v>175</v>
      </c>
      <c r="B27" s="345" t="s">
        <v>189</v>
      </c>
      <c r="C27" s="346" t="s">
        <v>169</v>
      </c>
      <c r="D27" s="347">
        <v>1</v>
      </c>
      <c r="E27" s="348">
        <v>16888801</v>
      </c>
      <c r="F27" s="356">
        <f>GTV!I9</f>
        <v>296690.17284619244</v>
      </c>
      <c r="G27" s="348">
        <v>16888801</v>
      </c>
      <c r="H27" s="348">
        <v>16888801</v>
      </c>
      <c r="I27" s="349">
        <v>16888801</v>
      </c>
      <c r="J27" s="357">
        <f>GTV!F9</f>
        <v>296690.17284619244</v>
      </c>
      <c r="K27" s="350">
        <f t="shared" si="4"/>
        <v>0</v>
      </c>
      <c r="L27" s="350">
        <f t="shared" si="5"/>
        <v>0</v>
      </c>
      <c r="M27" s="351">
        <f t="shared" si="6"/>
        <v>0</v>
      </c>
      <c r="N27" s="351">
        <f t="shared" si="1"/>
        <v>0</v>
      </c>
      <c r="O27" s="325">
        <f t="shared" si="2"/>
        <v>56.924032360031511</v>
      </c>
      <c r="P27" s="287">
        <f t="shared" si="3"/>
        <v>16.888801000000001</v>
      </c>
      <c r="Q27" s="287">
        <f t="shared" si="3"/>
        <v>16.888801000000001</v>
      </c>
    </row>
    <row r="28" spans="1:17" s="98" customFormat="1" x14ac:dyDescent="0.2">
      <c r="A28" s="409" t="s">
        <v>175</v>
      </c>
      <c r="B28" s="410" t="s">
        <v>231</v>
      </c>
      <c r="C28" s="36"/>
      <c r="D28" s="411"/>
      <c r="E28" s="412">
        <f t="shared" ref="E28:L28" si="7">SUM(E19:E27)</f>
        <v>39702377</v>
      </c>
      <c r="F28" s="413">
        <f t="shared" si="7"/>
        <v>1292864.0722384234</v>
      </c>
      <c r="G28" s="414">
        <f t="shared" si="7"/>
        <v>34006099</v>
      </c>
      <c r="H28" s="414">
        <f t="shared" si="7"/>
        <v>70658914</v>
      </c>
      <c r="I28" s="412">
        <f t="shared" si="7"/>
        <v>51702376.993711889</v>
      </c>
      <c r="J28" s="413">
        <f t="shared" si="7"/>
        <v>1533877.4855906693</v>
      </c>
      <c r="K28" s="414">
        <f t="shared" si="7"/>
        <v>11999999.993711893</v>
      </c>
      <c r="L28" s="414">
        <f t="shared" si="7"/>
        <v>241013.41335224581</v>
      </c>
      <c r="M28" s="415">
        <f t="shared" si="6"/>
        <v>0.30224890549278427</v>
      </c>
      <c r="N28" s="415">
        <f t="shared" si="1"/>
        <v>0.18641821559397417</v>
      </c>
      <c r="O28" s="325"/>
      <c r="P28" s="287">
        <f t="shared" si="3"/>
        <v>34.006098999999999</v>
      </c>
      <c r="Q28" s="287"/>
    </row>
    <row r="29" spans="1:17" s="98" customFormat="1" x14ac:dyDescent="0.2">
      <c r="A29" s="342" t="s">
        <v>285</v>
      </c>
      <c r="B29" s="237" t="s">
        <v>286</v>
      </c>
      <c r="C29" s="54" t="s">
        <v>129</v>
      </c>
      <c r="D29" s="301">
        <v>1</v>
      </c>
      <c r="E29" s="307">
        <v>1000000</v>
      </c>
      <c r="F29" s="302">
        <f>GINOFF_adt!I9</f>
        <v>6742.3679651152343</v>
      </c>
      <c r="G29" s="307">
        <v>900000</v>
      </c>
      <c r="H29" s="307">
        <v>6500000</v>
      </c>
      <c r="I29" s="308">
        <v>955806.43912751449</v>
      </c>
      <c r="J29" s="303">
        <f>GINOFF_adt!F9</f>
        <v>6525.3356133596972</v>
      </c>
      <c r="K29" s="304">
        <f t="shared" si="4"/>
        <v>-44193.560872485512</v>
      </c>
      <c r="L29" s="304">
        <f t="shared" si="5"/>
        <v>-217.03235175553709</v>
      </c>
      <c r="M29" s="305">
        <f t="shared" si="6"/>
        <v>-4.4193560872485514E-2</v>
      </c>
      <c r="N29" s="305">
        <f t="shared" si="1"/>
        <v>-3.218933657706826E-2</v>
      </c>
      <c r="O29" s="325">
        <f t="shared" si="2"/>
        <v>148.31584469639799</v>
      </c>
      <c r="P29" s="287">
        <f t="shared" ref="P29:P36" si="8">G29/1000000</f>
        <v>0.9</v>
      </c>
      <c r="Q29" s="287">
        <f t="shared" ref="Q29:Q36" si="9">H29/1000000</f>
        <v>6.5</v>
      </c>
    </row>
    <row r="30" spans="1:17" s="98" customFormat="1" x14ac:dyDescent="0.2">
      <c r="A30" s="342" t="s">
        <v>285</v>
      </c>
      <c r="B30" s="237" t="s">
        <v>226</v>
      </c>
      <c r="C30" s="54" t="s">
        <v>129</v>
      </c>
      <c r="D30" s="301">
        <v>1</v>
      </c>
      <c r="E30" s="307">
        <v>16948000</v>
      </c>
      <c r="F30" s="302">
        <f>GMCM_adt!I9</f>
        <v>408993.92537411675</v>
      </c>
      <c r="G30" s="307">
        <v>10500000</v>
      </c>
      <c r="H30" s="307">
        <v>21000000</v>
      </c>
      <c r="I30" s="308">
        <v>21000000</v>
      </c>
      <c r="J30" s="303">
        <f>GMCM_adt!F9</f>
        <v>467933.02080957498</v>
      </c>
      <c r="K30" s="304">
        <f t="shared" si="4"/>
        <v>4052000</v>
      </c>
      <c r="L30" s="304">
        <f t="shared" si="5"/>
        <v>58939.095435458235</v>
      </c>
      <c r="M30" s="305">
        <f t="shared" si="6"/>
        <v>0.2390842577295256</v>
      </c>
      <c r="N30" s="305">
        <f t="shared" si="1"/>
        <v>0.14410750815319617</v>
      </c>
      <c r="O30" s="325">
        <f t="shared" si="2"/>
        <v>41.438268268892379</v>
      </c>
      <c r="P30" s="287">
        <f t="shared" si="8"/>
        <v>10.5</v>
      </c>
      <c r="Q30" s="287">
        <f t="shared" si="9"/>
        <v>21</v>
      </c>
    </row>
    <row r="31" spans="1:17" s="98" customFormat="1" x14ac:dyDescent="0.2">
      <c r="A31" s="342" t="s">
        <v>285</v>
      </c>
      <c r="B31" s="237" t="s">
        <v>227</v>
      </c>
      <c r="C31" s="54" t="s">
        <v>170</v>
      </c>
      <c r="D31" s="301">
        <v>1</v>
      </c>
      <c r="E31" s="307">
        <v>2200000</v>
      </c>
      <c r="F31" s="302">
        <f>GSOCIAL_adt!I9</f>
        <v>27316.876297482511</v>
      </c>
      <c r="G31" s="307">
        <v>1800000</v>
      </c>
      <c r="H31" s="307">
        <v>7000000</v>
      </c>
      <c r="I31" s="308">
        <v>6331513.7707134737</v>
      </c>
      <c r="J31" s="303">
        <f>GSOCIAL_adt!F9</f>
        <v>51508.86270837934</v>
      </c>
      <c r="K31" s="304">
        <f t="shared" si="4"/>
        <v>4131513.7707134737</v>
      </c>
      <c r="L31" s="304">
        <f t="shared" si="5"/>
        <v>24191.986410896829</v>
      </c>
      <c r="M31" s="305">
        <f t="shared" si="6"/>
        <v>1.8779608048697607</v>
      </c>
      <c r="N31" s="305">
        <f t="shared" si="1"/>
        <v>0.88560588507428761</v>
      </c>
      <c r="O31" s="325">
        <f t="shared" si="2"/>
        <v>80.536294708145277</v>
      </c>
      <c r="P31" s="287">
        <f t="shared" si="8"/>
        <v>1.8</v>
      </c>
      <c r="Q31" s="287">
        <f t="shared" si="9"/>
        <v>7</v>
      </c>
    </row>
    <row r="32" spans="1:17" s="98" customFormat="1" x14ac:dyDescent="0.2">
      <c r="A32" s="342" t="s">
        <v>285</v>
      </c>
      <c r="B32" s="237" t="s">
        <v>245</v>
      </c>
      <c r="C32" s="54" t="s">
        <v>129</v>
      </c>
      <c r="D32" s="301">
        <v>1</v>
      </c>
      <c r="E32" s="307">
        <v>1500000</v>
      </c>
      <c r="F32" s="302">
        <f>GOLV_adt!I9</f>
        <v>26310.281300564297</v>
      </c>
      <c r="G32" s="307">
        <v>1100000</v>
      </c>
      <c r="H32" s="307">
        <v>3500000</v>
      </c>
      <c r="I32" s="308">
        <v>2744399.7751152944</v>
      </c>
      <c r="J32" s="303">
        <f>GOLV_adt!F9</f>
        <v>35500.585083515383</v>
      </c>
      <c r="K32" s="304">
        <f t="shared" si="4"/>
        <v>1244399.7751152944</v>
      </c>
      <c r="L32" s="304">
        <f t="shared" si="5"/>
        <v>9190.3037829510868</v>
      </c>
      <c r="M32" s="305">
        <f t="shared" si="6"/>
        <v>0.82959985007686288</v>
      </c>
      <c r="N32" s="305">
        <f t="shared" si="1"/>
        <v>0.3493046569119721</v>
      </c>
      <c r="O32" s="325">
        <f t="shared" si="2"/>
        <v>57.011933200722879</v>
      </c>
      <c r="P32" s="287">
        <f t="shared" si="8"/>
        <v>1.1000000000000001</v>
      </c>
      <c r="Q32" s="287">
        <f t="shared" si="9"/>
        <v>3.5</v>
      </c>
    </row>
    <row r="33" spans="1:22" s="98" customFormat="1" x14ac:dyDescent="0.2">
      <c r="A33" s="342" t="s">
        <v>285</v>
      </c>
      <c r="B33" s="237" t="s">
        <v>247</v>
      </c>
      <c r="C33" s="54" t="s">
        <v>170</v>
      </c>
      <c r="D33" s="301">
        <v>1</v>
      </c>
      <c r="E33" s="307">
        <v>10268452</v>
      </c>
      <c r="F33" s="302">
        <f>GSTRTV_adt!I9</f>
        <v>83590.203851267303</v>
      </c>
      <c r="G33" s="307">
        <v>8306901</v>
      </c>
      <c r="H33" s="307">
        <v>27304858</v>
      </c>
      <c r="I33" s="308">
        <v>17184732.018092591</v>
      </c>
      <c r="J33" s="303">
        <f>GSTRTV_adt!F9</f>
        <v>119867.60693336466</v>
      </c>
      <c r="K33" s="304">
        <f t="shared" si="4"/>
        <v>6916280.0180925913</v>
      </c>
      <c r="L33" s="304">
        <f t="shared" si="5"/>
        <v>36277.403082097357</v>
      </c>
      <c r="M33" s="305">
        <f t="shared" si="6"/>
        <v>0.67354651101184393</v>
      </c>
      <c r="N33" s="305">
        <f t="shared" si="1"/>
        <v>0.43399108281451282</v>
      </c>
      <c r="O33" s="325">
        <f t="shared" si="2"/>
        <v>122.84276777540508</v>
      </c>
      <c r="P33" s="287">
        <f t="shared" si="8"/>
        <v>8.3069009999999999</v>
      </c>
      <c r="Q33" s="287">
        <f t="shared" si="9"/>
        <v>27.304857999999999</v>
      </c>
    </row>
    <row r="34" spans="1:22" s="98" customFormat="1" x14ac:dyDescent="0.2">
      <c r="A34" s="342" t="s">
        <v>285</v>
      </c>
      <c r="B34" s="237" t="s">
        <v>228</v>
      </c>
      <c r="C34" s="54" t="s">
        <v>170</v>
      </c>
      <c r="D34" s="301">
        <v>1</v>
      </c>
      <c r="E34" s="307">
        <v>4000000</v>
      </c>
      <c r="F34" s="302">
        <f>GDISP_adt!I9</f>
        <v>93036.538435982438</v>
      </c>
      <c r="G34" s="307">
        <v>2900000</v>
      </c>
      <c r="H34" s="307">
        <v>5000000</v>
      </c>
      <c r="I34" s="308">
        <v>5000000</v>
      </c>
      <c r="J34" s="303">
        <f>GDISP_adt!F9</f>
        <v>106365.19760151411</v>
      </c>
      <c r="K34" s="304">
        <f t="shared" si="4"/>
        <v>1000000</v>
      </c>
      <c r="L34" s="304">
        <f t="shared" si="5"/>
        <v>13328.659165531673</v>
      </c>
      <c r="M34" s="305">
        <f t="shared" si="6"/>
        <v>0.25</v>
      </c>
      <c r="N34" s="305">
        <f t="shared" si="1"/>
        <v>0.14326262981831592</v>
      </c>
      <c r="O34" s="325">
        <f t="shared" si="2"/>
        <v>42.993860984546004</v>
      </c>
      <c r="P34" s="287">
        <f t="shared" si="8"/>
        <v>2.9</v>
      </c>
      <c r="Q34" s="287">
        <f t="shared" si="9"/>
        <v>5</v>
      </c>
    </row>
    <row r="35" spans="1:22" s="98" customFormat="1" x14ac:dyDescent="0.2">
      <c r="A35" s="342" t="s">
        <v>285</v>
      </c>
      <c r="B35" s="237" t="s">
        <v>229</v>
      </c>
      <c r="C35" s="54" t="s">
        <v>170</v>
      </c>
      <c r="D35" s="301">
        <v>1</v>
      </c>
      <c r="E35" s="307">
        <v>200000</v>
      </c>
      <c r="F35" s="302">
        <f>GPDSRCH_adt!I9</f>
        <v>79531.473375019181</v>
      </c>
      <c r="G35" s="307">
        <v>100000</v>
      </c>
      <c r="H35" s="307">
        <v>200000</v>
      </c>
      <c r="I35" s="308">
        <v>200000</v>
      </c>
      <c r="J35" s="303">
        <f>GPDSRCH_adt!F9</f>
        <v>79531.473375019181</v>
      </c>
      <c r="K35" s="304">
        <f t="shared" si="4"/>
        <v>0</v>
      </c>
      <c r="L35" s="304">
        <f t="shared" si="5"/>
        <v>0</v>
      </c>
      <c r="M35" s="305">
        <f t="shared" si="6"/>
        <v>0</v>
      </c>
      <c r="N35" s="305">
        <f t="shared" si="1"/>
        <v>0</v>
      </c>
      <c r="O35" s="325">
        <f t="shared" si="2"/>
        <v>2.5147277110902859</v>
      </c>
      <c r="P35" s="287">
        <f t="shared" si="8"/>
        <v>0.1</v>
      </c>
      <c r="Q35" s="287">
        <f t="shared" si="9"/>
        <v>0.2</v>
      </c>
    </row>
    <row r="36" spans="1:22" s="98" customFormat="1" x14ac:dyDescent="0.2">
      <c r="A36" s="342" t="s">
        <v>285</v>
      </c>
      <c r="B36" s="237" t="s">
        <v>287</v>
      </c>
      <c r="C36" s="54" t="s">
        <v>170</v>
      </c>
      <c r="D36" s="301">
        <v>1</v>
      </c>
      <c r="E36" s="307">
        <v>28089211</v>
      </c>
      <c r="F36" s="302">
        <f>GLINEARTV_adt!I9</f>
        <v>178786.88879772768</v>
      </c>
      <c r="G36" s="307">
        <v>28089211</v>
      </c>
      <c r="H36" s="307">
        <v>28089211</v>
      </c>
      <c r="I36" s="308">
        <v>28089211</v>
      </c>
      <c r="J36" s="303">
        <f>GLINEARTV_adt!F9</f>
        <v>178786.88879772768</v>
      </c>
      <c r="K36" s="304">
        <f t="shared" si="4"/>
        <v>0</v>
      </c>
      <c r="L36" s="304">
        <f t="shared" si="5"/>
        <v>0</v>
      </c>
      <c r="M36" s="305">
        <f t="shared" si="6"/>
        <v>0</v>
      </c>
      <c r="N36" s="305">
        <f t="shared" si="1"/>
        <v>0</v>
      </c>
      <c r="O36" s="325">
        <f t="shared" si="2"/>
        <v>157.11001622596055</v>
      </c>
      <c r="P36" s="287">
        <f t="shared" si="8"/>
        <v>28.089210999999999</v>
      </c>
      <c r="Q36" s="287">
        <f t="shared" si="9"/>
        <v>28.089210999999999</v>
      </c>
    </row>
    <row r="37" spans="1:22" s="98" customFormat="1" x14ac:dyDescent="0.2">
      <c r="A37" s="342" t="s">
        <v>285</v>
      </c>
      <c r="B37" s="237" t="s">
        <v>192</v>
      </c>
      <c r="C37" s="54" t="s">
        <v>170</v>
      </c>
      <c r="D37" s="301">
        <v>1</v>
      </c>
      <c r="E37" s="307">
        <v>1500000</v>
      </c>
      <c r="F37" s="302">
        <f>GAUDIO!I9</f>
        <v>32266.574959240672</v>
      </c>
      <c r="G37" s="307">
        <v>500000</v>
      </c>
      <c r="H37" s="307">
        <v>2200000</v>
      </c>
      <c r="I37" s="308">
        <v>2200000</v>
      </c>
      <c r="J37" s="303">
        <f>GAUDIO!F9</f>
        <v>37608.450193722703</v>
      </c>
      <c r="K37" s="304">
        <f t="shared" si="4"/>
        <v>700000</v>
      </c>
      <c r="L37" s="304">
        <f t="shared" si="5"/>
        <v>5341.8752344820314</v>
      </c>
      <c r="M37" s="305">
        <f t="shared" si="6"/>
        <v>0.46666666666666667</v>
      </c>
      <c r="N37" s="305">
        <f t="shared" si="1"/>
        <v>0.16555445507401761</v>
      </c>
      <c r="O37" s="325"/>
      <c r="P37" s="287"/>
      <c r="Q37" s="287"/>
    </row>
    <row r="38" spans="1:22" s="98" customFormat="1" x14ac:dyDescent="0.2">
      <c r="A38" s="342" t="s">
        <v>285</v>
      </c>
      <c r="B38" s="237" t="s">
        <v>304</v>
      </c>
      <c r="C38" s="54" t="s">
        <v>129</v>
      </c>
      <c r="D38" s="301">
        <v>1</v>
      </c>
      <c r="E38" s="307">
        <v>3200000</v>
      </c>
      <c r="F38" s="302">
        <f>GPHRMCY_adt!I9</f>
        <v>22412.309442908503</v>
      </c>
      <c r="G38" s="307">
        <v>3200000</v>
      </c>
      <c r="H38" s="307">
        <v>3200000</v>
      </c>
      <c r="I38" s="308">
        <v>3200000</v>
      </c>
      <c r="J38" s="303">
        <f>GPHRMCY_adt!F9</f>
        <v>22412.309442908503</v>
      </c>
      <c r="K38" s="304">
        <f t="shared" si="4"/>
        <v>0</v>
      </c>
      <c r="L38" s="304">
        <f t="shared" si="5"/>
        <v>0</v>
      </c>
      <c r="M38" s="305">
        <f t="shared" si="6"/>
        <v>0</v>
      </c>
      <c r="N38" s="305">
        <f t="shared" si="1"/>
        <v>0</v>
      </c>
      <c r="O38" s="325"/>
      <c r="P38" s="287"/>
      <c r="Q38" s="287"/>
    </row>
    <row r="39" spans="1:22" s="98" customFormat="1" x14ac:dyDescent="0.2">
      <c r="A39" s="409" t="s">
        <v>285</v>
      </c>
      <c r="B39" s="410" t="s">
        <v>231</v>
      </c>
      <c r="C39" s="36"/>
      <c r="D39" s="411"/>
      <c r="E39" s="414">
        <f t="shared" ref="E39:L39" si="10">SUM(E29:E38)</f>
        <v>68905663</v>
      </c>
      <c r="F39" s="414">
        <f t="shared" si="10"/>
        <v>958987.43979942449</v>
      </c>
      <c r="G39" s="414">
        <f t="shared" si="10"/>
        <v>57396112</v>
      </c>
      <c r="H39" s="414">
        <f t="shared" si="10"/>
        <v>103994069</v>
      </c>
      <c r="I39" s="414">
        <f t="shared" si="10"/>
        <v>86905663.003048882</v>
      </c>
      <c r="J39" s="413">
        <f t="shared" si="10"/>
        <v>1106039.7305590862</v>
      </c>
      <c r="K39" s="414">
        <f t="shared" si="10"/>
        <v>18000000.003048874</v>
      </c>
      <c r="L39" s="414">
        <f t="shared" si="10"/>
        <v>147052.29075966167</v>
      </c>
      <c r="M39" s="415">
        <f t="shared" ref="M39" si="11">K39/E39</f>
        <v>0.26122671518375601</v>
      </c>
      <c r="N39" s="415">
        <f t="shared" ref="N39" si="12">L39/F39</f>
        <v>0.15334120621060288</v>
      </c>
      <c r="O39" s="325"/>
      <c r="P39" s="287"/>
      <c r="Q39" s="287"/>
    </row>
    <row r="40" spans="1:22" s="98" customFormat="1" x14ac:dyDescent="0.2">
      <c r="A40" s="416" t="s">
        <v>154</v>
      </c>
      <c r="B40" s="416" t="s">
        <v>99</v>
      </c>
      <c r="C40" s="416"/>
      <c r="D40" s="417"/>
      <c r="E40" s="418">
        <f t="shared" ref="E40:L40" si="13">SUM(E19:E27,E29:E38)</f>
        <v>108608040</v>
      </c>
      <c r="F40" s="418">
        <f t="shared" si="13"/>
        <v>2251851.5120378481</v>
      </c>
      <c r="G40" s="418">
        <f t="shared" si="13"/>
        <v>91402211</v>
      </c>
      <c r="H40" s="418">
        <f t="shared" si="13"/>
        <v>174652983</v>
      </c>
      <c r="I40" s="418">
        <f t="shared" si="13"/>
        <v>138608039.99676076</v>
      </c>
      <c r="J40" s="422">
        <f t="shared" si="13"/>
        <v>2639917.2161497558</v>
      </c>
      <c r="K40" s="423">
        <f t="shared" si="13"/>
        <v>29999999.996760767</v>
      </c>
      <c r="L40" s="423">
        <f t="shared" si="13"/>
        <v>388065.70411190751</v>
      </c>
      <c r="M40" s="419">
        <f>K40/E40</f>
        <v>0.27622264426059773</v>
      </c>
      <c r="N40" s="419">
        <f>L40/F40</f>
        <v>0.17233183539740657</v>
      </c>
    </row>
    <row r="41" spans="1:22" x14ac:dyDescent="0.2">
      <c r="E41" s="113"/>
      <c r="I41" s="143">
        <f>I39-E39</f>
        <v>18000000.003048882</v>
      </c>
    </row>
    <row r="43" spans="1:22" x14ac:dyDescent="0.2">
      <c r="J43" s="315"/>
      <c r="K43" s="87"/>
    </row>
    <row r="44" spans="1:22" s="98" customFormat="1" x14ac:dyDescent="0.2">
      <c r="D44" s="586" t="s">
        <v>154</v>
      </c>
      <c r="E44" s="586"/>
      <c r="F44" s="586"/>
      <c r="G44" s="586"/>
      <c r="H44" s="586"/>
      <c r="I44" s="586"/>
      <c r="J44" s="585"/>
      <c r="K44" s="585"/>
      <c r="L44" s="585"/>
      <c r="M44" s="585"/>
      <c r="N44" s="585"/>
      <c r="O44" s="585"/>
      <c r="P44" s="128"/>
    </row>
    <row r="45" spans="1:22" ht="25.5" x14ac:dyDescent="0.2">
      <c r="A45" s="568" t="s">
        <v>132</v>
      </c>
      <c r="D45" s="140" t="s">
        <v>126</v>
      </c>
      <c r="E45" s="140" t="s">
        <v>141</v>
      </c>
      <c r="F45" s="140" t="s">
        <v>145</v>
      </c>
      <c r="G45" s="140" t="s">
        <v>142</v>
      </c>
      <c r="H45" s="140" t="s">
        <v>143</v>
      </c>
      <c r="I45" s="140" t="s">
        <v>144</v>
      </c>
      <c r="J45" s="82"/>
      <c r="K45" s="82"/>
      <c r="L45" s="82"/>
      <c r="M45" s="82"/>
      <c r="N45" s="82"/>
      <c r="O45" s="82"/>
      <c r="P45" s="128"/>
    </row>
    <row r="46" spans="1:22" x14ac:dyDescent="0.2">
      <c r="A46" s="568"/>
      <c r="D46" s="154">
        <v>1</v>
      </c>
      <c r="E46" s="126">
        <v>225.94</v>
      </c>
      <c r="F46" s="295">
        <f>E46</f>
        <v>225.94</v>
      </c>
      <c r="G46" s="126">
        <f>E46</f>
        <v>225.94</v>
      </c>
      <c r="H46" s="141"/>
      <c r="I46" s="126">
        <f>E46</f>
        <v>225.94</v>
      </c>
      <c r="J46" s="127"/>
      <c r="K46" s="129"/>
      <c r="L46" s="130"/>
      <c r="M46" s="129"/>
      <c r="N46" s="131"/>
      <c r="O46" s="129"/>
      <c r="P46" s="128"/>
    </row>
    <row r="47" spans="1:22" ht="13.9" customHeight="1" x14ac:dyDescent="0.2">
      <c r="A47" s="567" t="s">
        <v>2</v>
      </c>
      <c r="B47" s="555" t="s">
        <v>3</v>
      </c>
      <c r="C47" s="555" t="str">
        <f t="shared" ref="C47:C57" si="14">D17</f>
        <v>Response Scaling Factor for Sensitivity Analysis</v>
      </c>
      <c r="D47" s="582" t="s">
        <v>86</v>
      </c>
      <c r="E47" s="583"/>
      <c r="F47" s="583"/>
      <c r="G47" s="584"/>
      <c r="H47" s="569" t="s">
        <v>89</v>
      </c>
      <c r="I47" s="570"/>
      <c r="J47" s="570"/>
      <c r="K47" s="582" t="s">
        <v>136</v>
      </c>
      <c r="L47" s="583"/>
      <c r="M47" s="583"/>
      <c r="N47" s="584"/>
      <c r="P47" s="128"/>
      <c r="Q47" s="128"/>
      <c r="R47" s="128"/>
      <c r="S47" s="128"/>
      <c r="T47" s="128"/>
      <c r="U47" s="128"/>
      <c r="V47" s="128"/>
    </row>
    <row r="48" spans="1:22" ht="74.45" customHeight="1" x14ac:dyDescent="0.2">
      <c r="A48" s="556"/>
      <c r="B48" s="556"/>
      <c r="C48" s="556">
        <f t="shared" si="14"/>
        <v>0</v>
      </c>
      <c r="D48" s="93" t="s">
        <v>163</v>
      </c>
      <c r="E48" s="93" t="s">
        <v>133</v>
      </c>
      <c r="F48" s="93" t="s">
        <v>134</v>
      </c>
      <c r="G48" s="93" t="s">
        <v>146</v>
      </c>
      <c r="H48" s="55" t="s">
        <v>156</v>
      </c>
      <c r="I48" s="55" t="s">
        <v>135</v>
      </c>
      <c r="J48" s="55" t="s">
        <v>147</v>
      </c>
      <c r="K48" s="93" t="s">
        <v>137</v>
      </c>
      <c r="L48" s="93" t="s">
        <v>138</v>
      </c>
      <c r="M48" s="93" t="s">
        <v>139</v>
      </c>
      <c r="N48" s="93" t="s">
        <v>140</v>
      </c>
      <c r="P48" s="1" t="s">
        <v>208</v>
      </c>
    </row>
    <row r="49" spans="1:16" x14ac:dyDescent="0.2">
      <c r="A49" s="231" t="str">
        <f t="shared" ref="A49:B52" si="15">A19</f>
        <v>Gardasil Adolescents</v>
      </c>
      <c r="B49" s="231" t="str">
        <f t="shared" si="15"/>
        <v>HCC In Office</v>
      </c>
      <c r="C49" s="296">
        <f t="shared" si="14"/>
        <v>1</v>
      </c>
      <c r="D49" s="99">
        <f t="shared" ref="D49:D66" si="16">E19</f>
        <v>1000000</v>
      </c>
      <c r="E49" s="253" t="s">
        <v>168</v>
      </c>
      <c r="F49" s="101">
        <f t="shared" ref="F49:F66" si="17">F19/$D$46</f>
        <v>22310.299479529262</v>
      </c>
      <c r="G49" s="103">
        <f>F49*$F$46</f>
        <v>5040789.0644048415</v>
      </c>
      <c r="H49" s="105">
        <f t="shared" ref="H49:H66" si="18">I19</f>
        <v>1286234.2842082002</v>
      </c>
      <c r="I49" s="101">
        <f t="shared" ref="I49:I66" si="19">J19/$D$46</f>
        <v>27200.110710306093</v>
      </c>
      <c r="J49" s="107">
        <f>I49*$F$46</f>
        <v>6145593.0138865588</v>
      </c>
      <c r="K49" s="99">
        <f>H49-D49</f>
        <v>286234.28420820017</v>
      </c>
      <c r="L49" s="99">
        <f>J49-G49</f>
        <v>1104803.9494817173</v>
      </c>
      <c r="M49" s="109">
        <f>K49/D49</f>
        <v>0.28623428420820018</v>
      </c>
      <c r="N49" s="110">
        <f>L49/G49</f>
        <v>0.21917281904993974</v>
      </c>
      <c r="O49" s="142"/>
      <c r="P49" s="309">
        <f>(J49-G49)/1000000</f>
        <v>1.1048039494817172</v>
      </c>
    </row>
    <row r="50" spans="1:16" x14ac:dyDescent="0.2">
      <c r="A50" s="237" t="str">
        <f t="shared" si="15"/>
        <v>Gardasil Adolescents</v>
      </c>
      <c r="B50" s="237" t="str">
        <f t="shared" si="15"/>
        <v>HCP MCM</v>
      </c>
      <c r="C50" s="301">
        <f t="shared" si="14"/>
        <v>1</v>
      </c>
      <c r="D50" s="100">
        <f t="shared" si="16"/>
        <v>7775778</v>
      </c>
      <c r="E50" s="254" t="s">
        <v>168</v>
      </c>
      <c r="F50" s="102">
        <f t="shared" si="17"/>
        <v>356289.09054759797</v>
      </c>
      <c r="G50" s="104">
        <f t="shared" ref="G50:G69" si="20">F50*$F$46</f>
        <v>80499957.11832428</v>
      </c>
      <c r="H50" s="106">
        <f t="shared" si="18"/>
        <v>11106528.099963542</v>
      </c>
      <c r="I50" s="102">
        <f t="shared" si="19"/>
        <v>424780.10427694675</v>
      </c>
      <c r="J50" s="108">
        <f t="shared" ref="J50" si="21">I50*$F$46</f>
        <v>95974816.760333344</v>
      </c>
      <c r="K50" s="100">
        <f t="shared" ref="K50" si="22">H50-D50</f>
        <v>3330750.0999635421</v>
      </c>
      <c r="L50" s="100">
        <f t="shared" ref="L50" si="23">J50-G50</f>
        <v>15474859.642009065</v>
      </c>
      <c r="M50" s="111">
        <f t="shared" ref="M50" si="24">K50/D50</f>
        <v>0.42834943332532671</v>
      </c>
      <c r="N50" s="112">
        <f t="shared" ref="N50" si="25">L50/G50</f>
        <v>0.19223438366883935</v>
      </c>
      <c r="O50" s="142"/>
      <c r="P50" s="309">
        <f t="shared" ref="P50:P57" si="26">(J50-G50)/1000000</f>
        <v>15.474859642009065</v>
      </c>
    </row>
    <row r="51" spans="1:16" s="98" customFormat="1" x14ac:dyDescent="0.2">
      <c r="A51" s="237" t="str">
        <f t="shared" si="15"/>
        <v>Gardasil Adolescents</v>
      </c>
      <c r="B51" s="237" t="str">
        <f t="shared" si="15"/>
        <v>HCC Social</v>
      </c>
      <c r="C51" s="301">
        <f t="shared" si="14"/>
        <v>1</v>
      </c>
      <c r="D51" s="100">
        <f t="shared" si="16"/>
        <v>1840000</v>
      </c>
      <c r="E51" s="254" t="s">
        <v>168</v>
      </c>
      <c r="F51" s="102">
        <f t="shared" si="17"/>
        <v>70487.367019183061</v>
      </c>
      <c r="G51" s="104">
        <f t="shared" si="20"/>
        <v>15925915.704314221</v>
      </c>
      <c r="H51" s="106">
        <f t="shared" si="18"/>
        <v>4473746.1544590266</v>
      </c>
      <c r="I51" s="102">
        <f t="shared" si="19"/>
        <v>120122.23311977911</v>
      </c>
      <c r="J51" s="108">
        <f t="shared" ref="J51:J69" si="27">I51*$F$46</f>
        <v>27140417.351082891</v>
      </c>
      <c r="K51" s="100">
        <f t="shared" ref="K51:K69" si="28">H51-D51</f>
        <v>2633746.1544590266</v>
      </c>
      <c r="L51" s="100">
        <f t="shared" ref="L51:L69" si="29">J51-G51</f>
        <v>11214501.646768671</v>
      </c>
      <c r="M51" s="111">
        <f t="shared" ref="M51:M66" si="30">K51/D51</f>
        <v>1.431383779597297</v>
      </c>
      <c r="N51" s="112">
        <f t="shared" ref="N51:N66" si="31">L51/G51</f>
        <v>0.70416683442137895</v>
      </c>
      <c r="O51" s="142"/>
      <c r="P51" s="309">
        <f t="shared" si="26"/>
        <v>11.214501646768671</v>
      </c>
    </row>
    <row r="52" spans="1:16" s="98" customFormat="1" x14ac:dyDescent="0.2">
      <c r="A52" s="237" t="str">
        <f t="shared" si="15"/>
        <v>Gardasil Adolescents</v>
      </c>
      <c r="B52" s="237" t="str">
        <f t="shared" si="15"/>
        <v>HCC Online Video</v>
      </c>
      <c r="C52" s="301">
        <f t="shared" si="14"/>
        <v>1</v>
      </c>
      <c r="D52" s="100">
        <f t="shared" si="16"/>
        <v>1220000</v>
      </c>
      <c r="E52" s="254" t="s">
        <v>168</v>
      </c>
      <c r="F52" s="102">
        <f t="shared" si="17"/>
        <v>15022.779470646754</v>
      </c>
      <c r="G52" s="104">
        <f t="shared" si="20"/>
        <v>3394246.7935979273</v>
      </c>
      <c r="H52" s="106">
        <f t="shared" si="18"/>
        <v>1000000</v>
      </c>
      <c r="I52" s="102">
        <f t="shared" si="19"/>
        <v>14861.613123927265</v>
      </c>
      <c r="J52" s="108">
        <f t="shared" si="27"/>
        <v>3357832.8692201264</v>
      </c>
      <c r="K52" s="100">
        <f t="shared" si="28"/>
        <v>-220000</v>
      </c>
      <c r="L52" s="100">
        <f t="shared" si="29"/>
        <v>-36413.924377800897</v>
      </c>
      <c r="M52" s="111">
        <f t="shared" si="30"/>
        <v>-0.18032786885245902</v>
      </c>
      <c r="N52" s="112">
        <f t="shared" si="31"/>
        <v>-1.0728131038227147E-2</v>
      </c>
      <c r="O52" s="142"/>
      <c r="P52" s="309">
        <f t="shared" si="26"/>
        <v>-3.6413924377800895E-2</v>
      </c>
    </row>
    <row r="53" spans="1:16" s="98" customFormat="1" x14ac:dyDescent="0.2">
      <c r="A53" s="237" t="s">
        <v>175</v>
      </c>
      <c r="B53" s="237" t="str">
        <f>B23</f>
        <v>HCC Streaming Video</v>
      </c>
      <c r="C53" s="301">
        <f t="shared" si="14"/>
        <v>1</v>
      </c>
      <c r="D53" s="100">
        <f t="shared" si="16"/>
        <v>4817798</v>
      </c>
      <c r="E53" s="254" t="s">
        <v>168</v>
      </c>
      <c r="F53" s="102">
        <f t="shared" si="17"/>
        <v>121516.7124715425</v>
      </c>
      <c r="G53" s="104">
        <f t="shared" si="20"/>
        <v>27455486.015820313</v>
      </c>
      <c r="H53" s="106">
        <f t="shared" si="18"/>
        <v>6538144.1197205177</v>
      </c>
      <c r="I53" s="102">
        <f t="shared" si="19"/>
        <v>150473.54176430192</v>
      </c>
      <c r="J53" s="108">
        <f t="shared" si="27"/>
        <v>33997992.026226372</v>
      </c>
      <c r="K53" s="100">
        <f t="shared" si="28"/>
        <v>1720346.1197205177</v>
      </c>
      <c r="L53" s="100">
        <f t="shared" si="29"/>
        <v>6542506.0104060583</v>
      </c>
      <c r="M53" s="111">
        <f t="shared" si="30"/>
        <v>0.35708141348402689</v>
      </c>
      <c r="N53" s="112">
        <f t="shared" si="31"/>
        <v>0.23829503533960958</v>
      </c>
      <c r="O53" s="142"/>
      <c r="P53" s="309">
        <f t="shared" si="26"/>
        <v>6.5425060104060586</v>
      </c>
    </row>
    <row r="54" spans="1:16" s="98" customFormat="1" x14ac:dyDescent="0.2">
      <c r="A54" s="237" t="str">
        <f>A24</f>
        <v>Gardasil Adolescents</v>
      </c>
      <c r="B54" s="237" t="str">
        <f>B24</f>
        <v>HCC Display</v>
      </c>
      <c r="C54" s="301">
        <f t="shared" si="14"/>
        <v>1</v>
      </c>
      <c r="D54" s="100">
        <f t="shared" si="16"/>
        <v>3540000</v>
      </c>
      <c r="E54" s="254" t="s">
        <v>168</v>
      </c>
      <c r="F54" s="102">
        <f t="shared" si="17"/>
        <v>173899.1701768022</v>
      </c>
      <c r="G54" s="104">
        <f t="shared" si="20"/>
        <v>39290778.509746693</v>
      </c>
      <c r="H54" s="106">
        <f t="shared" si="18"/>
        <v>5208923.3353606053</v>
      </c>
      <c r="I54" s="102">
        <f t="shared" si="19"/>
        <v>209206.85139871389</v>
      </c>
      <c r="J54" s="108">
        <f t="shared" si="27"/>
        <v>47268196.005025417</v>
      </c>
      <c r="K54" s="100">
        <f t="shared" si="28"/>
        <v>1668923.3353606053</v>
      </c>
      <c r="L54" s="100">
        <f t="shared" si="29"/>
        <v>7977417.4952787235</v>
      </c>
      <c r="M54" s="111">
        <f t="shared" si="30"/>
        <v>0.47144726987587721</v>
      </c>
      <c r="N54" s="112">
        <f t="shared" si="31"/>
        <v>0.20303536345811524</v>
      </c>
      <c r="O54" s="142"/>
      <c r="P54" s="309">
        <f t="shared" si="26"/>
        <v>7.9774174952787238</v>
      </c>
    </row>
    <row r="55" spans="1:16" x14ac:dyDescent="0.2">
      <c r="A55" s="237" t="str">
        <f>A25</f>
        <v>Gardasil Adolescents</v>
      </c>
      <c r="B55" s="237" t="str">
        <f>B25</f>
        <v>HCC Paid Search</v>
      </c>
      <c r="C55" s="301">
        <f t="shared" si="14"/>
        <v>1</v>
      </c>
      <c r="D55" s="100">
        <f t="shared" si="16"/>
        <v>400000</v>
      </c>
      <c r="E55" s="254" t="s">
        <v>168</v>
      </c>
      <c r="F55" s="102">
        <f t="shared" si="17"/>
        <v>145038.35480357721</v>
      </c>
      <c r="G55" s="104">
        <f t="shared" si="20"/>
        <v>32769965.884320233</v>
      </c>
      <c r="H55" s="106">
        <f t="shared" si="18"/>
        <v>400000</v>
      </c>
      <c r="I55" s="102">
        <f t="shared" si="19"/>
        <v>145038.35480357721</v>
      </c>
      <c r="J55" s="108">
        <f t="shared" si="27"/>
        <v>32769965.884320233</v>
      </c>
      <c r="K55" s="100">
        <f t="shared" si="28"/>
        <v>0</v>
      </c>
      <c r="L55" s="100">
        <f t="shared" si="29"/>
        <v>0</v>
      </c>
      <c r="M55" s="111">
        <f t="shared" si="30"/>
        <v>0</v>
      </c>
      <c r="N55" s="112">
        <f t="shared" si="31"/>
        <v>0</v>
      </c>
      <c r="O55" s="142"/>
      <c r="P55" s="309">
        <f t="shared" si="26"/>
        <v>0</v>
      </c>
    </row>
    <row r="56" spans="1:16" s="98" customFormat="1" x14ac:dyDescent="0.2">
      <c r="A56" s="237" t="str">
        <f>A26</f>
        <v>Gardasil Adolescents</v>
      </c>
      <c r="B56" s="237" t="str">
        <f>B26</f>
        <v>HCC Audio</v>
      </c>
      <c r="C56" s="301">
        <f t="shared" si="14"/>
        <v>1</v>
      </c>
      <c r="D56" s="100">
        <f t="shared" si="16"/>
        <v>2220000</v>
      </c>
      <c r="E56" s="254" t="s">
        <v>168</v>
      </c>
      <c r="F56" s="102">
        <f t="shared" si="17"/>
        <v>91610.125423352103</v>
      </c>
      <c r="G56" s="104">
        <f t="shared" si="20"/>
        <v>20698391.738152172</v>
      </c>
      <c r="H56" s="106">
        <f t="shared" si="18"/>
        <v>4800000</v>
      </c>
      <c r="I56" s="102">
        <f t="shared" si="19"/>
        <v>145504.50354692468</v>
      </c>
      <c r="J56" s="108">
        <f t="shared" si="27"/>
        <v>32875287.531392161</v>
      </c>
      <c r="K56" s="100">
        <f t="shared" si="28"/>
        <v>2580000</v>
      </c>
      <c r="L56" s="100">
        <f t="shared" si="29"/>
        <v>12176895.793239988</v>
      </c>
      <c r="M56" s="111">
        <f t="shared" si="30"/>
        <v>1.1621621621621621</v>
      </c>
      <c r="N56" s="112">
        <f t="shared" si="31"/>
        <v>0.5883015428099666</v>
      </c>
      <c r="O56" s="142"/>
      <c r="P56" s="309">
        <f t="shared" si="26"/>
        <v>12.176895793239989</v>
      </c>
    </row>
    <row r="57" spans="1:16" s="98" customFormat="1" x14ac:dyDescent="0.2">
      <c r="A57" s="359" t="str">
        <f>A27</f>
        <v>Gardasil Adolescents</v>
      </c>
      <c r="B57" s="359" t="str">
        <f>B27</f>
        <v>HCC TV</v>
      </c>
      <c r="C57" s="347">
        <f t="shared" si="14"/>
        <v>1</v>
      </c>
      <c r="D57" s="360">
        <f t="shared" si="16"/>
        <v>16888801</v>
      </c>
      <c r="E57" s="361" t="s">
        <v>168</v>
      </c>
      <c r="F57" s="362">
        <f t="shared" si="17"/>
        <v>296690.17284619244</v>
      </c>
      <c r="G57" s="363">
        <f t="shared" si="20"/>
        <v>67034177.652868718</v>
      </c>
      <c r="H57" s="364">
        <f t="shared" si="18"/>
        <v>16888801</v>
      </c>
      <c r="I57" s="362">
        <f t="shared" si="19"/>
        <v>296690.17284619244</v>
      </c>
      <c r="J57" s="365">
        <f t="shared" si="27"/>
        <v>67034177.652868718</v>
      </c>
      <c r="K57" s="360">
        <f t="shared" si="28"/>
        <v>0</v>
      </c>
      <c r="L57" s="360">
        <f t="shared" si="29"/>
        <v>0</v>
      </c>
      <c r="M57" s="366">
        <f t="shared" si="30"/>
        <v>0</v>
      </c>
      <c r="N57" s="367">
        <f t="shared" si="31"/>
        <v>0</v>
      </c>
      <c r="O57" s="142"/>
      <c r="P57" s="309">
        <f t="shared" si="26"/>
        <v>0</v>
      </c>
    </row>
    <row r="58" spans="1:16" s="98" customFormat="1" x14ac:dyDescent="0.2">
      <c r="A58" s="410" t="str">
        <f>A28</f>
        <v>Gardasil Adolescents</v>
      </c>
      <c r="B58" s="410" t="s">
        <v>231</v>
      </c>
      <c r="C58" s="411"/>
      <c r="D58" s="429">
        <f t="shared" si="16"/>
        <v>39702377</v>
      </c>
      <c r="E58" s="413"/>
      <c r="F58" s="430">
        <f t="shared" si="17"/>
        <v>1292864.0722384234</v>
      </c>
      <c r="G58" s="431">
        <f t="shared" si="20"/>
        <v>292109708.48154938</v>
      </c>
      <c r="H58" s="432">
        <f t="shared" si="18"/>
        <v>51702376.993711889</v>
      </c>
      <c r="I58" s="430">
        <f t="shared" si="19"/>
        <v>1533877.4855906693</v>
      </c>
      <c r="J58" s="431">
        <f t="shared" si="27"/>
        <v>346564279.09435582</v>
      </c>
      <c r="K58" s="432">
        <f t="shared" si="28"/>
        <v>11999999.993711889</v>
      </c>
      <c r="L58" s="432">
        <f t="shared" si="29"/>
        <v>54454570.612806439</v>
      </c>
      <c r="M58" s="433">
        <f t="shared" si="30"/>
        <v>0.30224890549278421</v>
      </c>
      <c r="N58" s="434">
        <f t="shared" si="31"/>
        <v>0.18641821559397426</v>
      </c>
      <c r="O58" s="142"/>
      <c r="P58" s="309"/>
    </row>
    <row r="59" spans="1:16" s="98" customFormat="1" x14ac:dyDescent="0.2">
      <c r="A59" s="368" t="s">
        <v>285</v>
      </c>
      <c r="B59" s="237" t="str">
        <f>B29</f>
        <v>HCC InOffice</v>
      </c>
      <c r="C59" s="301">
        <f>D29</f>
        <v>1</v>
      </c>
      <c r="D59" s="100">
        <f t="shared" si="16"/>
        <v>1000000</v>
      </c>
      <c r="E59" s="254" t="s">
        <v>168</v>
      </c>
      <c r="F59" s="102">
        <f t="shared" si="17"/>
        <v>6742.3679651152343</v>
      </c>
      <c r="G59" s="104">
        <f t="shared" si="20"/>
        <v>1523370.618038136</v>
      </c>
      <c r="H59" s="106">
        <f t="shared" si="18"/>
        <v>955806.43912751449</v>
      </c>
      <c r="I59" s="102">
        <f t="shared" si="19"/>
        <v>6525.3356133596972</v>
      </c>
      <c r="J59" s="108">
        <f t="shared" si="27"/>
        <v>1474334.32848249</v>
      </c>
      <c r="K59" s="100">
        <f t="shared" si="28"/>
        <v>-44193.560872485512</v>
      </c>
      <c r="L59" s="100">
        <f t="shared" si="29"/>
        <v>-49036.289555646013</v>
      </c>
      <c r="M59" s="111">
        <f t="shared" si="30"/>
        <v>-4.4193560872485514E-2</v>
      </c>
      <c r="N59" s="112">
        <f t="shared" si="31"/>
        <v>-3.2189336577068232E-2</v>
      </c>
      <c r="O59" s="142"/>
      <c r="P59" s="309"/>
    </row>
    <row r="60" spans="1:16" s="98" customFormat="1" x14ac:dyDescent="0.2">
      <c r="A60" s="368" t="s">
        <v>285</v>
      </c>
      <c r="B60" s="237" t="str">
        <f t="shared" ref="B60:B69" si="32">B30</f>
        <v>HCP MCM</v>
      </c>
      <c r="C60" s="301">
        <f t="shared" ref="C60:D68" si="33">D30</f>
        <v>1</v>
      </c>
      <c r="D60" s="100">
        <f t="shared" si="16"/>
        <v>16948000</v>
      </c>
      <c r="E60" s="254" t="s">
        <v>168</v>
      </c>
      <c r="F60" s="102">
        <f t="shared" si="17"/>
        <v>408993.92537411675</v>
      </c>
      <c r="G60" s="104">
        <f t="shared" si="20"/>
        <v>92408087.499027938</v>
      </c>
      <c r="H60" s="106">
        <f t="shared" si="18"/>
        <v>21000000</v>
      </c>
      <c r="I60" s="102">
        <f t="shared" si="19"/>
        <v>467933.02080957498</v>
      </c>
      <c r="J60" s="108">
        <f t="shared" si="27"/>
        <v>105724786.72171538</v>
      </c>
      <c r="K60" s="100">
        <f t="shared" si="28"/>
        <v>4052000</v>
      </c>
      <c r="L60" s="100">
        <f t="shared" si="29"/>
        <v>13316699.222687438</v>
      </c>
      <c r="M60" s="111">
        <f t="shared" si="30"/>
        <v>0.2390842577295256</v>
      </c>
      <c r="N60" s="112">
        <f t="shared" si="31"/>
        <v>0.14410750815319623</v>
      </c>
      <c r="O60" s="142"/>
      <c r="P60" s="309"/>
    </row>
    <row r="61" spans="1:16" s="98" customFormat="1" x14ac:dyDescent="0.2">
      <c r="A61" s="368" t="s">
        <v>285</v>
      </c>
      <c r="B61" s="237" t="str">
        <f t="shared" si="32"/>
        <v>HCC Social</v>
      </c>
      <c r="C61" s="301">
        <f t="shared" si="33"/>
        <v>1</v>
      </c>
      <c r="D61" s="100">
        <f t="shared" si="16"/>
        <v>2200000</v>
      </c>
      <c r="E61" s="254" t="s">
        <v>168</v>
      </c>
      <c r="F61" s="102">
        <f t="shared" si="17"/>
        <v>27316.876297482511</v>
      </c>
      <c r="G61" s="104">
        <f t="shared" si="20"/>
        <v>6171975.0306531982</v>
      </c>
      <c r="H61" s="106">
        <f t="shared" si="18"/>
        <v>6331513.7707134737</v>
      </c>
      <c r="I61" s="102">
        <f t="shared" si="19"/>
        <v>51508.86270837934</v>
      </c>
      <c r="J61" s="108">
        <f t="shared" si="27"/>
        <v>11637912.440331228</v>
      </c>
      <c r="K61" s="100">
        <f t="shared" si="28"/>
        <v>4131513.7707134737</v>
      </c>
      <c r="L61" s="100">
        <f t="shared" si="29"/>
        <v>5465937.4096780298</v>
      </c>
      <c r="M61" s="111">
        <f t="shared" si="30"/>
        <v>1.8779608048697607</v>
      </c>
      <c r="N61" s="112">
        <f t="shared" si="31"/>
        <v>0.88560588507428772</v>
      </c>
      <c r="O61" s="142"/>
      <c r="P61" s="309"/>
    </row>
    <row r="62" spans="1:16" s="98" customFormat="1" x14ac:dyDescent="0.2">
      <c r="A62" s="368" t="s">
        <v>285</v>
      </c>
      <c r="B62" s="237" t="str">
        <f t="shared" si="32"/>
        <v>HCC Online Video</v>
      </c>
      <c r="C62" s="301">
        <f t="shared" si="33"/>
        <v>1</v>
      </c>
      <c r="D62" s="100">
        <f t="shared" si="16"/>
        <v>1500000</v>
      </c>
      <c r="E62" s="254" t="s">
        <v>168</v>
      </c>
      <c r="F62" s="102">
        <f t="shared" si="17"/>
        <v>26310.281300564297</v>
      </c>
      <c r="G62" s="104">
        <f t="shared" si="20"/>
        <v>5944544.9570494974</v>
      </c>
      <c r="H62" s="106">
        <f t="shared" si="18"/>
        <v>2744399.7751152944</v>
      </c>
      <c r="I62" s="102">
        <f t="shared" si="19"/>
        <v>35500.585083515383</v>
      </c>
      <c r="J62" s="108">
        <f t="shared" si="27"/>
        <v>8021002.1937694652</v>
      </c>
      <c r="K62" s="100">
        <f t="shared" si="28"/>
        <v>1244399.7751152944</v>
      </c>
      <c r="L62" s="100">
        <f t="shared" si="29"/>
        <v>2076457.2367199678</v>
      </c>
      <c r="M62" s="111">
        <f t="shared" si="30"/>
        <v>0.82959985007686288</v>
      </c>
      <c r="N62" s="112">
        <f t="shared" si="31"/>
        <v>0.34930465691197199</v>
      </c>
      <c r="O62" s="142"/>
      <c r="P62" s="309"/>
    </row>
    <row r="63" spans="1:16" s="98" customFormat="1" x14ac:dyDescent="0.2">
      <c r="A63" s="368" t="s">
        <v>285</v>
      </c>
      <c r="B63" s="237" t="str">
        <f t="shared" si="32"/>
        <v>HCC Streaming Video</v>
      </c>
      <c r="C63" s="301">
        <f t="shared" si="33"/>
        <v>1</v>
      </c>
      <c r="D63" s="100">
        <f t="shared" si="16"/>
        <v>10268452</v>
      </c>
      <c r="E63" s="254" t="s">
        <v>168</v>
      </c>
      <c r="F63" s="102">
        <f t="shared" si="17"/>
        <v>83590.203851267303</v>
      </c>
      <c r="G63" s="104">
        <f t="shared" si="20"/>
        <v>18886370.658155333</v>
      </c>
      <c r="H63" s="106">
        <f t="shared" si="18"/>
        <v>17184732.018092591</v>
      </c>
      <c r="I63" s="102">
        <f t="shared" si="19"/>
        <v>119867.60693336466</v>
      </c>
      <c r="J63" s="108">
        <f t="shared" si="27"/>
        <v>27082887.110524412</v>
      </c>
      <c r="K63" s="100">
        <f t="shared" si="28"/>
        <v>6916280.0180925913</v>
      </c>
      <c r="L63" s="100">
        <f t="shared" si="29"/>
        <v>8196516.452369079</v>
      </c>
      <c r="M63" s="111">
        <f t="shared" si="30"/>
        <v>0.67354651101184393</v>
      </c>
      <c r="N63" s="112">
        <f t="shared" si="31"/>
        <v>0.43399108281451299</v>
      </c>
      <c r="O63" s="142"/>
      <c r="P63" s="309"/>
    </row>
    <row r="64" spans="1:16" s="98" customFormat="1" x14ac:dyDescent="0.2">
      <c r="A64" s="368" t="s">
        <v>285</v>
      </c>
      <c r="B64" s="237" t="str">
        <f t="shared" si="32"/>
        <v>HCC Display</v>
      </c>
      <c r="C64" s="301">
        <f t="shared" si="33"/>
        <v>1</v>
      </c>
      <c r="D64" s="100">
        <f t="shared" si="16"/>
        <v>4000000</v>
      </c>
      <c r="E64" s="254" t="s">
        <v>168</v>
      </c>
      <c r="F64" s="102">
        <f t="shared" si="17"/>
        <v>93036.538435982438</v>
      </c>
      <c r="G64" s="104">
        <f t="shared" si="20"/>
        <v>21020675.494225871</v>
      </c>
      <c r="H64" s="106">
        <f t="shared" si="18"/>
        <v>5000000</v>
      </c>
      <c r="I64" s="102">
        <f t="shared" si="19"/>
        <v>106365.19760151411</v>
      </c>
      <c r="J64" s="108">
        <f t="shared" si="27"/>
        <v>24032152.746086098</v>
      </c>
      <c r="K64" s="100">
        <f t="shared" si="28"/>
        <v>1000000</v>
      </c>
      <c r="L64" s="100">
        <f t="shared" si="29"/>
        <v>3011477.2518602274</v>
      </c>
      <c r="M64" s="111">
        <f t="shared" si="30"/>
        <v>0.25</v>
      </c>
      <c r="N64" s="112">
        <f t="shared" si="31"/>
        <v>0.143262629818316</v>
      </c>
      <c r="O64" s="142"/>
      <c r="P64" s="309"/>
    </row>
    <row r="65" spans="1:16" s="98" customFormat="1" x14ac:dyDescent="0.2">
      <c r="A65" s="368" t="s">
        <v>285</v>
      </c>
      <c r="B65" s="237" t="str">
        <f t="shared" si="32"/>
        <v>HCC Paid Search</v>
      </c>
      <c r="C65" s="301">
        <f t="shared" si="33"/>
        <v>1</v>
      </c>
      <c r="D65" s="100">
        <f t="shared" si="16"/>
        <v>200000</v>
      </c>
      <c r="E65" s="254" t="s">
        <v>168</v>
      </c>
      <c r="F65" s="102">
        <f t="shared" si="17"/>
        <v>79531.473375019181</v>
      </c>
      <c r="G65" s="104">
        <f t="shared" si="20"/>
        <v>17969341.094351832</v>
      </c>
      <c r="H65" s="106">
        <f t="shared" si="18"/>
        <v>200000</v>
      </c>
      <c r="I65" s="102">
        <f t="shared" si="19"/>
        <v>79531.473375019181</v>
      </c>
      <c r="J65" s="108">
        <f t="shared" si="27"/>
        <v>17969341.094351832</v>
      </c>
      <c r="K65" s="100">
        <f t="shared" si="28"/>
        <v>0</v>
      </c>
      <c r="L65" s="100">
        <f t="shared" si="29"/>
        <v>0</v>
      </c>
      <c r="M65" s="111">
        <f t="shared" si="30"/>
        <v>0</v>
      </c>
      <c r="N65" s="112">
        <f t="shared" si="31"/>
        <v>0</v>
      </c>
      <c r="O65" s="142"/>
      <c r="P65" s="309"/>
    </row>
    <row r="66" spans="1:16" s="98" customFormat="1" x14ac:dyDescent="0.2">
      <c r="A66" s="368" t="s">
        <v>285</v>
      </c>
      <c r="B66" s="237" t="str">
        <f t="shared" si="32"/>
        <v>HCC Linear TV</v>
      </c>
      <c r="C66" s="301">
        <f t="shared" si="33"/>
        <v>1</v>
      </c>
      <c r="D66" s="100">
        <f t="shared" si="16"/>
        <v>28089211</v>
      </c>
      <c r="E66" s="254" t="s">
        <v>168</v>
      </c>
      <c r="F66" s="102">
        <f t="shared" si="17"/>
        <v>178786.88879772768</v>
      </c>
      <c r="G66" s="104">
        <f t="shared" si="20"/>
        <v>40395109.654958591</v>
      </c>
      <c r="H66" s="106">
        <f t="shared" si="18"/>
        <v>28089211</v>
      </c>
      <c r="I66" s="102">
        <f t="shared" si="19"/>
        <v>178786.88879772768</v>
      </c>
      <c r="J66" s="108">
        <f t="shared" si="27"/>
        <v>40395109.654958591</v>
      </c>
      <c r="K66" s="100">
        <f t="shared" si="28"/>
        <v>0</v>
      </c>
      <c r="L66" s="100">
        <f t="shared" si="29"/>
        <v>0</v>
      </c>
      <c r="M66" s="111">
        <f t="shared" si="30"/>
        <v>0</v>
      </c>
      <c r="N66" s="112">
        <f t="shared" si="31"/>
        <v>0</v>
      </c>
      <c r="O66" s="142"/>
      <c r="P66" s="309"/>
    </row>
    <row r="67" spans="1:16" s="98" customFormat="1" x14ac:dyDescent="0.2">
      <c r="A67" s="368" t="s">
        <v>285</v>
      </c>
      <c r="B67" s="237" t="str">
        <f t="shared" si="32"/>
        <v>HCC Radio</v>
      </c>
      <c r="C67" s="301">
        <f t="shared" si="33"/>
        <v>1</v>
      </c>
      <c r="D67" s="100">
        <f t="shared" si="33"/>
        <v>1500000</v>
      </c>
      <c r="E67" s="254" t="s">
        <v>168</v>
      </c>
      <c r="F67" s="102">
        <f t="shared" ref="F67:F69" si="34">F37/$D$46</f>
        <v>32266.574959240672</v>
      </c>
      <c r="G67" s="104">
        <f t="shared" si="20"/>
        <v>7290309.9462908376</v>
      </c>
      <c r="H67" s="106">
        <f t="shared" ref="H67:H69" si="35">I37</f>
        <v>2200000</v>
      </c>
      <c r="I67" s="102">
        <f t="shared" ref="I67:I69" si="36">J37/$D$46</f>
        <v>37608.450193722703</v>
      </c>
      <c r="J67" s="108">
        <f t="shared" si="27"/>
        <v>8497253.2367697079</v>
      </c>
      <c r="K67" s="100">
        <f t="shared" si="28"/>
        <v>700000</v>
      </c>
      <c r="L67" s="100">
        <f t="shared" si="29"/>
        <v>1206943.2904788703</v>
      </c>
      <c r="M67" s="111">
        <f t="shared" ref="M67:M69" si="37">K67/D67</f>
        <v>0.46666666666666667</v>
      </c>
      <c r="N67" s="112">
        <f t="shared" ref="N67:N69" si="38">L67/G67</f>
        <v>0.16555445507401761</v>
      </c>
      <c r="O67" s="142"/>
      <c r="P67" s="309"/>
    </row>
    <row r="68" spans="1:16" s="98" customFormat="1" x14ac:dyDescent="0.2">
      <c r="A68" s="368" t="s">
        <v>285</v>
      </c>
      <c r="B68" s="237" t="str">
        <f t="shared" si="32"/>
        <v>HCC Pharmacy</v>
      </c>
      <c r="C68" s="301">
        <f t="shared" si="33"/>
        <v>1</v>
      </c>
      <c r="D68" s="100">
        <f t="shared" si="33"/>
        <v>3200000</v>
      </c>
      <c r="E68" s="254" t="s">
        <v>168</v>
      </c>
      <c r="F68" s="102">
        <f t="shared" si="34"/>
        <v>22412.309442908503</v>
      </c>
      <c r="G68" s="104">
        <f t="shared" si="20"/>
        <v>5063837.1955307471</v>
      </c>
      <c r="H68" s="106">
        <f t="shared" si="35"/>
        <v>3200000</v>
      </c>
      <c r="I68" s="102">
        <f t="shared" si="36"/>
        <v>22412.309442908503</v>
      </c>
      <c r="J68" s="108">
        <f t="shared" si="27"/>
        <v>5063837.1955307471</v>
      </c>
      <c r="K68" s="100">
        <f t="shared" si="28"/>
        <v>0</v>
      </c>
      <c r="L68" s="100">
        <f t="shared" si="29"/>
        <v>0</v>
      </c>
      <c r="M68" s="111">
        <f t="shared" si="37"/>
        <v>0</v>
      </c>
      <c r="N68" s="112">
        <f t="shared" si="38"/>
        <v>0</v>
      </c>
      <c r="O68" s="142"/>
      <c r="P68" s="309"/>
    </row>
    <row r="69" spans="1:16" s="98" customFormat="1" x14ac:dyDescent="0.2">
      <c r="A69" s="410" t="s">
        <v>285</v>
      </c>
      <c r="B69" s="410" t="str">
        <f t="shared" si="32"/>
        <v>Total</v>
      </c>
      <c r="C69" s="36"/>
      <c r="D69" s="429">
        <f t="shared" ref="D69" si="39">E39</f>
        <v>68905663</v>
      </c>
      <c r="E69" s="413"/>
      <c r="F69" s="435">
        <f t="shared" si="34"/>
        <v>958987.43979942449</v>
      </c>
      <c r="G69" s="436">
        <f t="shared" si="20"/>
        <v>216673622.14828196</v>
      </c>
      <c r="H69" s="429">
        <f t="shared" si="35"/>
        <v>86905663.003048882</v>
      </c>
      <c r="I69" s="435">
        <f t="shared" si="36"/>
        <v>1106039.7305590862</v>
      </c>
      <c r="J69" s="436">
        <f t="shared" si="27"/>
        <v>249898616.72251993</v>
      </c>
      <c r="K69" s="429">
        <f t="shared" si="28"/>
        <v>18000000.003048882</v>
      </c>
      <c r="L69" s="429">
        <f t="shared" si="29"/>
        <v>33224994.574237972</v>
      </c>
      <c r="M69" s="437">
        <f t="shared" si="37"/>
        <v>0.26122671518375612</v>
      </c>
      <c r="N69" s="438">
        <f t="shared" si="38"/>
        <v>0.15334120621060296</v>
      </c>
      <c r="O69" s="142"/>
      <c r="P69" s="309"/>
    </row>
    <row r="70" spans="1:16" s="98" customFormat="1" x14ac:dyDescent="0.2">
      <c r="A70" s="416" t="s">
        <v>154</v>
      </c>
      <c r="B70" s="416" t="s">
        <v>99</v>
      </c>
      <c r="C70" s="417"/>
      <c r="D70" s="424">
        <f>SUM(D49:D57,D59:D68)</f>
        <v>108608040</v>
      </c>
      <c r="E70" s="425"/>
      <c r="F70" s="426">
        <f>SUM(F49:F57,F59:F68)</f>
        <v>2251851.5120378481</v>
      </c>
      <c r="G70" s="424">
        <f>SUM(G49:G57,G59:G68)</f>
        <v>508783330.62983131</v>
      </c>
      <c r="H70" s="424">
        <f>SUM(H49:H57,H59:H68)</f>
        <v>138608039.99676076</v>
      </c>
      <c r="I70" s="426">
        <f>SUM(I49:I57,I59:I68)</f>
        <v>2639917.2161497558</v>
      </c>
      <c r="J70" s="424">
        <f>SUM(J49:J57,J59:J68)</f>
        <v>596462895.81687582</v>
      </c>
      <c r="K70" s="424">
        <f t="shared" ref="K70" si="40">H70-D70</f>
        <v>29999999.996760756</v>
      </c>
      <c r="L70" s="424">
        <f t="shared" ref="L70" si="41">J70-G70</f>
        <v>87679565.187044501</v>
      </c>
      <c r="M70" s="427">
        <f t="shared" ref="M70" si="42">K70/D70</f>
        <v>0.27622264426059762</v>
      </c>
      <c r="N70" s="428">
        <f t="shared" ref="N70" si="43">L70/G70</f>
        <v>0.17233183539740682</v>
      </c>
    </row>
    <row r="71" spans="1:16" x14ac:dyDescent="0.2">
      <c r="D71" s="150"/>
      <c r="E71" s="255"/>
      <c r="F71" s="151"/>
      <c r="G71" s="113"/>
      <c r="H71" s="98"/>
      <c r="I71" s="94"/>
      <c r="J71" s="113"/>
      <c r="K71" s="98"/>
      <c r="L71" s="113"/>
      <c r="M71" s="117"/>
      <c r="N71" s="114"/>
    </row>
    <row r="72" spans="1:16" x14ac:dyDescent="0.2">
      <c r="D72" s="150"/>
      <c r="E72" s="255"/>
      <c r="F72" s="151"/>
      <c r="G72" s="113"/>
      <c r="H72" s="98"/>
      <c r="I72" s="94"/>
      <c r="J72" s="113"/>
      <c r="K72" s="98"/>
      <c r="L72" s="113"/>
      <c r="M72" s="117"/>
      <c r="N72" s="114"/>
    </row>
    <row r="73" spans="1:16" x14ac:dyDescent="0.2">
      <c r="D73" s="150"/>
      <c r="E73" s="255"/>
      <c r="F73" s="151"/>
      <c r="G73" s="113"/>
      <c r="H73" s="98"/>
      <c r="I73" s="94"/>
      <c r="J73" s="113"/>
      <c r="K73" s="98"/>
      <c r="L73" s="113"/>
      <c r="M73" s="117"/>
      <c r="N73" s="114"/>
    </row>
    <row r="74" spans="1:16" x14ac:dyDescent="0.2">
      <c r="D74" s="128"/>
      <c r="E74" s="256"/>
      <c r="F74" s="128"/>
      <c r="G74" s="98"/>
      <c r="H74" s="98"/>
      <c r="I74" s="98"/>
      <c r="J74" s="98"/>
      <c r="K74" s="98"/>
      <c r="L74" s="98"/>
      <c r="M74" s="98"/>
      <c r="N74" s="98"/>
    </row>
    <row r="75" spans="1:16" x14ac:dyDescent="0.2">
      <c r="D75" s="152"/>
      <c r="E75" s="256"/>
      <c r="F75" s="128"/>
      <c r="G75" s="98"/>
      <c r="H75" s="98"/>
      <c r="I75" s="98"/>
      <c r="J75" s="98"/>
      <c r="K75" s="98"/>
      <c r="L75" s="98"/>
      <c r="M75" s="98"/>
      <c r="N75" s="98"/>
    </row>
    <row r="76" spans="1:16" x14ac:dyDescent="0.2">
      <c r="D76" s="128"/>
      <c r="E76" s="256"/>
      <c r="F76" s="128"/>
    </row>
    <row r="77" spans="1:16" x14ac:dyDescent="0.2">
      <c r="E77" s="257"/>
    </row>
    <row r="78" spans="1:16" x14ac:dyDescent="0.2">
      <c r="E78" s="257"/>
    </row>
    <row r="79" spans="1:16" x14ac:dyDescent="0.2">
      <c r="E79" s="257"/>
    </row>
    <row r="80" spans="1:16" x14ac:dyDescent="0.2">
      <c r="E80" s="257"/>
    </row>
    <row r="81" spans="5:5" x14ac:dyDescent="0.2">
      <c r="E81" s="257"/>
    </row>
  </sheetData>
  <mergeCells count="20">
    <mergeCell ref="H47:J47"/>
    <mergeCell ref="B4:I4"/>
    <mergeCell ref="E5:I5"/>
    <mergeCell ref="E6:I6"/>
    <mergeCell ref="K17:N17"/>
    <mergeCell ref="K47:N47"/>
    <mergeCell ref="J44:O44"/>
    <mergeCell ref="C17:C18"/>
    <mergeCell ref="D17:D18"/>
    <mergeCell ref="E17:F17"/>
    <mergeCell ref="G17:H17"/>
    <mergeCell ref="I17:J17"/>
    <mergeCell ref="D44:I44"/>
    <mergeCell ref="C47:C48"/>
    <mergeCell ref="D47:G47"/>
    <mergeCell ref="A47:A48"/>
    <mergeCell ref="B47:B48"/>
    <mergeCell ref="A45:A46"/>
    <mergeCell ref="A17:A18"/>
    <mergeCell ref="B17:B18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28:H28 K28:L2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97" t="s">
        <v>106</v>
      </c>
      <c r="C4" s="597"/>
      <c r="D4" s="597"/>
      <c r="E4" s="597"/>
      <c r="F4" s="598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595" t="s">
        <v>8</v>
      </c>
      <c r="B7" s="600" t="s">
        <v>9</v>
      </c>
      <c r="C7" s="601"/>
      <c r="D7" s="602" t="s">
        <v>12</v>
      </c>
      <c r="E7" s="603"/>
      <c r="F7" s="604"/>
      <c r="G7" s="600" t="s">
        <v>124</v>
      </c>
      <c r="H7" s="600"/>
      <c r="I7" s="605"/>
      <c r="J7" s="98" t="s">
        <v>125</v>
      </c>
    </row>
    <row r="8" spans="1:18" ht="28.15" customHeight="1" x14ac:dyDescent="0.2">
      <c r="A8" s="599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96"/>
      <c r="B9" s="95">
        <f>VAC_Optim_Scenario!G19</f>
        <v>1000000</v>
      </c>
      <c r="C9" s="95">
        <f>VAC_Optim_Scenario!H19</f>
        <v>7500000</v>
      </c>
      <c r="D9" s="68">
        <f>VAC_Optim_Scenario!I19</f>
        <v>1286234.2842082002</v>
      </c>
      <c r="E9" s="84">
        <f>((($R$12/(1+EXP($P$12+$Q$12*D9)))-1) - ($F$12-$C$12))*$I$12</f>
        <v>27200.110710306093</v>
      </c>
      <c r="F9" s="89">
        <f>E9*$G$12</f>
        <v>27200.110710306093</v>
      </c>
      <c r="G9" s="95">
        <f>VAC_Optim_Scenario!E19</f>
        <v>1000000</v>
      </c>
      <c r="H9" s="85">
        <f>((($R$12/(1+EXP($P$12+$Q$12*G9)))-1) - ($F$12-$C$12))*$I$12</f>
        <v>22310.299479529262</v>
      </c>
      <c r="I9" s="90">
        <f>H9*$G$12</f>
        <v>22310.299479529262</v>
      </c>
      <c r="J9" s="87">
        <f>G9/I9</f>
        <v>44.822347674783416</v>
      </c>
      <c r="K9" s="98" t="s">
        <v>180</v>
      </c>
    </row>
    <row r="10" spans="1:18" ht="13.5" thickBot="1" x14ac:dyDescent="0.25"/>
    <row r="11" spans="1:18" ht="51.6" customHeight="1" x14ac:dyDescent="0.2">
      <c r="A11" s="595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587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96"/>
      <c r="B12" s="95">
        <f>'[3]HCC Inoffice Curve'!$B$12</f>
        <v>1700000</v>
      </c>
      <c r="C12" s="153">
        <f>'[3]HCC Inoffice Curve'!$C$12</f>
        <v>33335.304822477454</v>
      </c>
      <c r="D12" s="153">
        <f>'[3]HCC Inoffice Curve'!$D$12</f>
        <v>0</v>
      </c>
      <c r="E12" s="153">
        <f>'[3]HCC Inoffice Curve'!$E$12</f>
        <v>66670.609644954908</v>
      </c>
      <c r="F12" s="153">
        <f>'[3]HCC Inoffice Curve'!$F$12</f>
        <v>8649234</v>
      </c>
      <c r="G12" s="155">
        <f>VAC_Optim_Scenario!$D$46</f>
        <v>1</v>
      </c>
      <c r="H12" s="71">
        <f>C12*G12</f>
        <v>33335.304822477454</v>
      </c>
      <c r="I12" s="115">
        <f>VAC_Optim_Scenario!D19</f>
        <v>1</v>
      </c>
      <c r="K12" s="588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589" t="s">
        <v>182</v>
      </c>
      <c r="B13" s="590"/>
      <c r="C13" s="590"/>
      <c r="D13" s="590"/>
      <c r="E13" s="590"/>
      <c r="F13" s="591"/>
      <c r="G13" s="119" t="s">
        <v>150</v>
      </c>
      <c r="H13" s="119" t="s">
        <v>151</v>
      </c>
      <c r="K13" s="589" t="s">
        <v>115</v>
      </c>
      <c r="L13" s="590"/>
      <c r="M13" s="590"/>
      <c r="N13" s="590"/>
      <c r="O13" s="590"/>
      <c r="P13" s="590"/>
      <c r="Q13" s="590"/>
      <c r="R13" s="591"/>
    </row>
    <row r="14" spans="1:18" ht="33.6" customHeight="1" thickBot="1" x14ac:dyDescent="0.25">
      <c r="A14" s="592"/>
      <c r="B14" s="593"/>
      <c r="C14" s="593"/>
      <c r="D14" s="593"/>
      <c r="E14" s="593"/>
      <c r="F14" s="594"/>
      <c r="G14" s="95">
        <f>VAC_Optim_Scenario!$I$46</f>
        <v>225.94</v>
      </c>
      <c r="H14" s="95">
        <f>VAC_Optim_Scenario!$F$46</f>
        <v>225.94</v>
      </c>
      <c r="K14" s="592"/>
      <c r="L14" s="593"/>
      <c r="M14" s="593"/>
      <c r="N14" s="593"/>
      <c r="O14" s="593"/>
      <c r="P14" s="593"/>
      <c r="Q14" s="593"/>
      <c r="R14" s="594"/>
    </row>
    <row r="16" spans="1:18" ht="13.5" thickBot="1" x14ac:dyDescent="0.25"/>
    <row r="17" spans="1:8" ht="42.6" customHeight="1" x14ac:dyDescent="0.2">
      <c r="A17" s="587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88"/>
      <c r="B18" s="75">
        <v>0</v>
      </c>
      <c r="C18" s="76">
        <v>4000000</v>
      </c>
      <c r="D18" s="26">
        <v>20</v>
      </c>
    </row>
    <row r="20" spans="1:8" x14ac:dyDescent="0.2">
      <c r="A20" s="568" t="s">
        <v>37</v>
      </c>
      <c r="B20" s="568"/>
      <c r="C20" s="568"/>
    </row>
    <row r="21" spans="1:8" ht="25.5" x14ac:dyDescent="0.2">
      <c r="A21" s="119" t="s">
        <v>35</v>
      </c>
      <c r="B21" s="119" t="s">
        <v>183</v>
      </c>
      <c r="C21" s="119" t="s">
        <v>184</v>
      </c>
      <c r="D21" s="98" t="s">
        <v>185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2AF0-17AE-48A5-8DC1-8D5DF6FA6B86}">
  <sheetPr codeName="Sheet11">
    <tabColor theme="3" tint="0.79998168889431442"/>
  </sheetPr>
  <dimension ref="A1:R42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5" t="s">
        <v>102</v>
      </c>
      <c r="I2" s="336"/>
      <c r="J2" s="336"/>
      <c r="K2" s="336"/>
      <c r="L2" s="337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97" t="s">
        <v>106</v>
      </c>
      <c r="C4" s="597"/>
      <c r="D4" s="597"/>
      <c r="E4" s="597"/>
      <c r="F4" s="598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595" t="s">
        <v>8</v>
      </c>
      <c r="B7" s="600" t="s">
        <v>9</v>
      </c>
      <c r="C7" s="601"/>
      <c r="D7" s="602" t="s">
        <v>12</v>
      </c>
      <c r="E7" s="603"/>
      <c r="F7" s="604"/>
      <c r="G7" s="600" t="s">
        <v>124</v>
      </c>
      <c r="H7" s="600"/>
      <c r="I7" s="605"/>
      <c r="J7" s="98" t="s">
        <v>125</v>
      </c>
    </row>
    <row r="8" spans="1:18" ht="28.35" customHeight="1" x14ac:dyDescent="0.2">
      <c r="A8" s="599"/>
      <c r="B8" s="334" t="s">
        <v>10</v>
      </c>
      <c r="C8" s="17" t="s">
        <v>11</v>
      </c>
      <c r="D8" s="19" t="s">
        <v>20</v>
      </c>
      <c r="E8" s="334" t="s">
        <v>21</v>
      </c>
      <c r="F8" s="81" t="s">
        <v>117</v>
      </c>
      <c r="G8" s="338" t="s">
        <v>22</v>
      </c>
      <c r="H8" s="334" t="s">
        <v>23</v>
      </c>
      <c r="I8" s="88" t="s">
        <v>123</v>
      </c>
    </row>
    <row r="9" spans="1:18" ht="14.45" customHeight="1" thickBot="1" x14ac:dyDescent="0.25">
      <c r="A9" s="596"/>
      <c r="B9" s="95">
        <f>VAC_Optim_Scenario!G29</f>
        <v>900000</v>
      </c>
      <c r="C9" s="95">
        <f>VAC_Optim_Scenario!H29</f>
        <v>6500000</v>
      </c>
      <c r="D9" s="68">
        <f>VAC_Optim_Scenario!I29</f>
        <v>955806.43912751449</v>
      </c>
      <c r="E9" s="84">
        <f>((($R$12/(1+EXP($P$12+$Q$12*D9)))-1) - ($F$12-$C$12))*$I$12</f>
        <v>6525.3356133596972</v>
      </c>
      <c r="F9" s="89">
        <f>E9*$G$12</f>
        <v>6525.3356133596972</v>
      </c>
      <c r="G9" s="95">
        <f>VAC_Optim_Scenario!E29</f>
        <v>1000000</v>
      </c>
      <c r="H9" s="85">
        <f>((($R$12/(1+EXP($P$12+$Q$12*G9)))-1) - ($F$12-$C$12))*$I$12</f>
        <v>6742.3679651152343</v>
      </c>
      <c r="I9" s="90">
        <f>H9*$G$12</f>
        <v>6742.3679651152343</v>
      </c>
      <c r="J9" s="87">
        <f>G9/I9</f>
        <v>148.31584469639799</v>
      </c>
      <c r="K9" s="98" t="s">
        <v>180</v>
      </c>
    </row>
    <row r="10" spans="1:18" ht="13.5" thickBot="1" x14ac:dyDescent="0.25"/>
    <row r="11" spans="1:18" ht="51.6" customHeight="1" x14ac:dyDescent="0.2">
      <c r="A11" s="595" t="s">
        <v>15</v>
      </c>
      <c r="B11" s="340" t="s">
        <v>16</v>
      </c>
      <c r="C11" s="340" t="s">
        <v>17</v>
      </c>
      <c r="D11" s="340" t="s">
        <v>18</v>
      </c>
      <c r="E11" s="340" t="s">
        <v>19</v>
      </c>
      <c r="F11" s="341" t="s">
        <v>109</v>
      </c>
      <c r="G11" s="339" t="s">
        <v>181</v>
      </c>
      <c r="H11" s="340" t="s">
        <v>119</v>
      </c>
      <c r="I11" s="92" t="s">
        <v>122</v>
      </c>
      <c r="K11" s="587" t="s">
        <v>25</v>
      </c>
      <c r="L11" s="340" t="s">
        <v>110</v>
      </c>
      <c r="M11" s="340" t="s">
        <v>111</v>
      </c>
      <c r="N11" s="340" t="s">
        <v>112</v>
      </c>
      <c r="O11" s="340" t="s">
        <v>113</v>
      </c>
      <c r="P11" s="340" t="s">
        <v>26</v>
      </c>
      <c r="Q11" s="340" t="s">
        <v>27</v>
      </c>
      <c r="R11" s="341" t="s">
        <v>28</v>
      </c>
    </row>
    <row r="12" spans="1:18" ht="15" customHeight="1" thickBot="1" x14ac:dyDescent="0.25">
      <c r="A12" s="596"/>
      <c r="B12" s="352">
        <f>'[5]HCC Inoffice Curve'!$B$12</f>
        <v>1100000</v>
      </c>
      <c r="C12" s="352">
        <f>'[5]HCC Inoffice Curve'!$C$12</f>
        <v>7211.735697901333</v>
      </c>
      <c r="D12" s="352">
        <f>'[5]HCC Inoffice Curve'!$D$12</f>
        <v>0</v>
      </c>
      <c r="E12" s="352">
        <f>'[5]HCC Inoffice Curve'!$E$12</f>
        <v>14423.471395802664</v>
      </c>
      <c r="F12" s="352">
        <f>'[5]HCC Inoffice Curve'!$F$12</f>
        <v>4647854</v>
      </c>
      <c r="G12" s="358">
        <f>VAC_Optim_Scenario!$D$46</f>
        <v>1</v>
      </c>
      <c r="H12" s="71">
        <f>C12*G12</f>
        <v>7211.735697901333</v>
      </c>
      <c r="I12" s="354">
        <f>VAC_Optim_Scenario!D29</f>
        <v>1</v>
      </c>
      <c r="K12" s="588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24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589" t="s">
        <v>182</v>
      </c>
      <c r="B13" s="590"/>
      <c r="C13" s="590"/>
      <c r="D13" s="590"/>
      <c r="E13" s="590"/>
      <c r="F13" s="591"/>
      <c r="G13" s="334" t="s">
        <v>150</v>
      </c>
      <c r="H13" s="334" t="s">
        <v>151</v>
      </c>
      <c r="K13" s="589" t="s">
        <v>115</v>
      </c>
      <c r="L13" s="590"/>
      <c r="M13" s="590"/>
      <c r="N13" s="590"/>
      <c r="O13" s="590"/>
      <c r="P13" s="590"/>
      <c r="Q13" s="590"/>
      <c r="R13" s="591"/>
    </row>
    <row r="14" spans="1:18" ht="33.6" customHeight="1" thickBot="1" x14ac:dyDescent="0.25">
      <c r="A14" s="592"/>
      <c r="B14" s="593"/>
      <c r="C14" s="593"/>
      <c r="D14" s="593"/>
      <c r="E14" s="593"/>
      <c r="F14" s="594"/>
      <c r="G14" s="95">
        <f>VAC_Optim_Scenario!$I$46</f>
        <v>225.94</v>
      </c>
      <c r="H14" s="95">
        <f>VAC_Optim_Scenario!$F$46</f>
        <v>225.94</v>
      </c>
      <c r="K14" s="592"/>
      <c r="L14" s="593"/>
      <c r="M14" s="593"/>
      <c r="N14" s="593"/>
      <c r="O14" s="593"/>
      <c r="P14" s="593"/>
      <c r="Q14" s="593"/>
      <c r="R14" s="594"/>
    </row>
    <row r="16" spans="1:18" ht="13.5" thickBot="1" x14ac:dyDescent="0.25"/>
    <row r="17" spans="1:8" ht="42.6" customHeight="1" x14ac:dyDescent="0.2">
      <c r="A17" s="587" t="s">
        <v>34</v>
      </c>
      <c r="B17" s="340" t="s">
        <v>32</v>
      </c>
      <c r="C17" s="340" t="s">
        <v>31</v>
      </c>
      <c r="D17" s="341" t="s">
        <v>33</v>
      </c>
      <c r="F17" s="96"/>
      <c r="G17" s="96"/>
      <c r="H17" s="355"/>
    </row>
    <row r="18" spans="1:8" ht="23.45" customHeight="1" thickBot="1" x14ac:dyDescent="0.25">
      <c r="A18" s="588"/>
      <c r="B18" s="75">
        <v>0</v>
      </c>
      <c r="C18" s="76">
        <v>4000000</v>
      </c>
      <c r="D18" s="26">
        <v>20</v>
      </c>
    </row>
    <row r="20" spans="1:8" x14ac:dyDescent="0.2">
      <c r="A20" s="568" t="s">
        <v>37</v>
      </c>
      <c r="B20" s="568"/>
      <c r="C20" s="568"/>
    </row>
    <row r="21" spans="1:8" ht="25.5" x14ac:dyDescent="0.2">
      <c r="A21" s="334" t="s">
        <v>35</v>
      </c>
      <c r="B21" s="334" t="s">
        <v>183</v>
      </c>
      <c r="C21" s="334" t="s">
        <v>184</v>
      </c>
      <c r="D21" s="98" t="s">
        <v>185</v>
      </c>
      <c r="E21" s="334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topLeftCell="A10" workbookViewId="0">
      <selection activeCell="C19" sqref="C1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97" t="s">
        <v>106</v>
      </c>
      <c r="C4" s="597"/>
      <c r="D4" s="597"/>
      <c r="E4" s="597"/>
      <c r="F4" s="598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595" t="s">
        <v>8</v>
      </c>
      <c r="B7" s="600" t="s">
        <v>9</v>
      </c>
      <c r="C7" s="601"/>
      <c r="D7" s="602" t="s">
        <v>12</v>
      </c>
      <c r="E7" s="603"/>
      <c r="F7" s="604"/>
      <c r="G7" s="600" t="s">
        <v>124</v>
      </c>
      <c r="H7" s="600"/>
      <c r="I7" s="605"/>
      <c r="J7" s="98" t="s">
        <v>125</v>
      </c>
    </row>
    <row r="8" spans="1:18" ht="28.15" customHeight="1" x14ac:dyDescent="0.2">
      <c r="A8" s="599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96"/>
      <c r="B9" s="95">
        <f>VAC_Optim_Scenario!G20</f>
        <v>5400000</v>
      </c>
      <c r="C9" s="95">
        <f>VAC_Optim_Scenario!H20</f>
        <v>12000000</v>
      </c>
      <c r="D9" s="68">
        <f>VAC_Optim_Scenario!I20</f>
        <v>11106528.099963542</v>
      </c>
      <c r="E9" s="84">
        <f>((($R$12/(1+EXP($P$12+$Q$12*D9)))-1) - ($F$12-$C$12))*$I$12</f>
        <v>424780.10427694675</v>
      </c>
      <c r="F9" s="89">
        <f>E9*$G$12</f>
        <v>424780.10427694675</v>
      </c>
      <c r="G9" s="95">
        <f>VAC_Optim_Scenario!E20</f>
        <v>7775778</v>
      </c>
      <c r="H9" s="85">
        <f>((($R$12/(1+EXP($P$12+$Q$12*G9)))-1) - ($F$12-$C$12))*$I$12</f>
        <v>356289.09054759797</v>
      </c>
      <c r="I9" s="90">
        <f>H9*$G$12</f>
        <v>356289.09054759797</v>
      </c>
      <c r="J9" s="87">
        <f>G9/I9</f>
        <v>21.824350524033811</v>
      </c>
      <c r="K9" s="98" t="s">
        <v>180</v>
      </c>
    </row>
    <row r="10" spans="1:18" ht="13.5" thickBot="1" x14ac:dyDescent="0.25"/>
    <row r="11" spans="1:18" ht="51.6" customHeight="1" x14ac:dyDescent="0.2">
      <c r="A11" s="595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587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96"/>
      <c r="B12" s="95">
        <f>'[6]HCP MCM SCurve'!$B$12</f>
        <v>5365372.8900000006</v>
      </c>
      <c r="C12" s="95">
        <f>'[6]HCP MCM SCurve'!$C$12</f>
        <v>282596.87941192201</v>
      </c>
      <c r="D12" s="95">
        <f>'[6]HCP MCM SCurve'!$D$12</f>
        <v>0</v>
      </c>
      <c r="E12" s="95">
        <f>'[6]HCP MCM SCurve'!$E$12</f>
        <v>536934.07088265184</v>
      </c>
      <c r="F12" s="95">
        <f>'[6]HCP MCM SCurve'!$F$12</f>
        <v>8649234</v>
      </c>
      <c r="G12" s="91">
        <f>VAC_Optim_Scenario!$D$46</f>
        <v>1</v>
      </c>
      <c r="H12" s="71">
        <f>C12*G12</f>
        <v>282596.87941192201</v>
      </c>
      <c r="I12" s="115">
        <f>VAC_Optim_Scenario!D20</f>
        <v>1</v>
      </c>
      <c r="K12" s="588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589" t="s">
        <v>187</v>
      </c>
      <c r="B13" s="590"/>
      <c r="C13" s="590"/>
      <c r="D13" s="590"/>
      <c r="E13" s="590"/>
      <c r="F13" s="591"/>
      <c r="G13" s="119" t="s">
        <v>150</v>
      </c>
      <c r="H13" s="119" t="s">
        <v>151</v>
      </c>
      <c r="K13" s="589" t="s">
        <v>115</v>
      </c>
      <c r="L13" s="590"/>
      <c r="M13" s="590"/>
      <c r="N13" s="590"/>
      <c r="O13" s="590"/>
      <c r="P13" s="590"/>
      <c r="Q13" s="590"/>
      <c r="R13" s="591"/>
    </row>
    <row r="14" spans="1:18" ht="33.6" customHeight="1" thickBot="1" x14ac:dyDescent="0.25">
      <c r="A14" s="592"/>
      <c r="B14" s="593"/>
      <c r="C14" s="593"/>
      <c r="D14" s="593"/>
      <c r="E14" s="593"/>
      <c r="F14" s="594"/>
      <c r="G14" s="95">
        <f>VAC_Optim_Scenario!$I$46</f>
        <v>225.94</v>
      </c>
      <c r="H14" s="95">
        <f>VAC_Optim_Scenario!$F$46</f>
        <v>225.94</v>
      </c>
      <c r="K14" s="592"/>
      <c r="L14" s="593"/>
      <c r="M14" s="593"/>
      <c r="N14" s="593"/>
      <c r="O14" s="593"/>
      <c r="P14" s="593"/>
      <c r="Q14" s="593"/>
      <c r="R14" s="594"/>
    </row>
    <row r="16" spans="1:18" ht="13.5" thickBot="1" x14ac:dyDescent="0.25"/>
    <row r="17" spans="1:8" ht="42.6" customHeight="1" x14ac:dyDescent="0.2">
      <c r="A17" s="587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88"/>
      <c r="B18" s="75">
        <v>0</v>
      </c>
      <c r="C18" s="76">
        <v>12000000</v>
      </c>
      <c r="D18" s="26">
        <v>20</v>
      </c>
    </row>
    <row r="20" spans="1:8" x14ac:dyDescent="0.2">
      <c r="A20" s="568" t="s">
        <v>37</v>
      </c>
      <c r="B20" s="568"/>
      <c r="C20" s="568"/>
    </row>
    <row r="21" spans="1:8" ht="25.5" x14ac:dyDescent="0.2">
      <c r="A21" s="119" t="s">
        <v>35</v>
      </c>
      <c r="B21" s="119" t="s">
        <v>177</v>
      </c>
      <c r="C21" s="119" t="s">
        <v>184</v>
      </c>
      <c r="D21" s="98" t="s">
        <v>188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600000</v>
      </c>
      <c r="B23" s="79">
        <f t="shared" si="0"/>
        <v>42381.419556918554</v>
      </c>
      <c r="C23" s="79">
        <f t="shared" ref="C23:C42" si="1">B23*$G$12</f>
        <v>42381.419556918554</v>
      </c>
      <c r="D23" s="98">
        <f>(B23-B22)/A23</f>
        <v>7.0635699261529378E-2</v>
      </c>
      <c r="E23" s="116">
        <f t="shared" ref="E23:E42" si="2">B23*$H$14</f>
        <v>9575657.9346901774</v>
      </c>
    </row>
    <row r="24" spans="1:8" x14ac:dyDescent="0.2">
      <c r="A24" s="86">
        <f t="shared" ref="A24:A42" si="3">A23+(($C$18-$B$18)/$D$18)</f>
        <v>1200000</v>
      </c>
      <c r="B24" s="79">
        <f t="shared" si="0"/>
        <v>81599.635803586803</v>
      </c>
      <c r="C24" s="79">
        <f t="shared" si="1"/>
        <v>81599.635803586803</v>
      </c>
      <c r="D24" s="98">
        <f t="shared" ref="D24:D42" si="4">(B24-B23)/A24</f>
        <v>3.2681846872223544E-2</v>
      </c>
      <c r="E24" s="116">
        <f t="shared" si="2"/>
        <v>18436621.713462401</v>
      </c>
    </row>
    <row r="25" spans="1:8" x14ac:dyDescent="0.2">
      <c r="A25" s="86">
        <f t="shared" si="3"/>
        <v>1800000</v>
      </c>
      <c r="B25" s="79">
        <f t="shared" si="0"/>
        <v>117862.82305689622</v>
      </c>
      <c r="C25" s="79">
        <f t="shared" si="1"/>
        <v>117862.82305689622</v>
      </c>
      <c r="D25" s="98">
        <f t="shared" si="4"/>
        <v>2.0146215140727453E-2</v>
      </c>
      <c r="E25" s="116">
        <f t="shared" si="2"/>
        <v>26629926.241475131</v>
      </c>
    </row>
    <row r="26" spans="1:8" x14ac:dyDescent="0.2">
      <c r="A26" s="86">
        <f t="shared" si="3"/>
        <v>2400000</v>
      </c>
      <c r="B26" s="79">
        <f t="shared" si="0"/>
        <v>151369.78704747837</v>
      </c>
      <c r="C26" s="79">
        <f t="shared" si="1"/>
        <v>151369.78704747837</v>
      </c>
      <c r="D26" s="98">
        <f t="shared" si="4"/>
        <v>1.3961234996075897E-2</v>
      </c>
      <c r="E26" s="116">
        <f t="shared" si="2"/>
        <v>34200489.68550726</v>
      </c>
    </row>
    <row r="27" spans="1:8" x14ac:dyDescent="0.2">
      <c r="A27" s="86">
        <f t="shared" si="3"/>
        <v>3000000</v>
      </c>
      <c r="B27" s="79">
        <f t="shared" si="0"/>
        <v>182309.66785994079</v>
      </c>
      <c r="C27" s="79">
        <f t="shared" si="1"/>
        <v>182309.66785994079</v>
      </c>
      <c r="D27" s="98">
        <f t="shared" si="4"/>
        <v>1.0313293604154139E-2</v>
      </c>
      <c r="E27" s="116">
        <f t="shared" si="2"/>
        <v>41191046.356275022</v>
      </c>
    </row>
    <row r="28" spans="1:8" x14ac:dyDescent="0.2">
      <c r="A28" s="86">
        <f t="shared" si="3"/>
        <v>3600000</v>
      </c>
      <c r="B28" s="79">
        <f t="shared" si="0"/>
        <v>210861.79804271925</v>
      </c>
      <c r="C28" s="79">
        <f t="shared" si="1"/>
        <v>210861.79804271925</v>
      </c>
      <c r="D28" s="98">
        <f t="shared" si="4"/>
        <v>7.9311472729940175E-3</v>
      </c>
      <c r="E28" s="116">
        <f t="shared" si="2"/>
        <v>47642114.649771988</v>
      </c>
    </row>
    <row r="29" spans="1:8" x14ac:dyDescent="0.2">
      <c r="A29" s="86">
        <f t="shared" si="3"/>
        <v>4200000</v>
      </c>
      <c r="B29" s="79">
        <f t="shared" si="0"/>
        <v>237195.69055531267</v>
      </c>
      <c r="C29" s="79">
        <f t="shared" si="1"/>
        <v>237195.69055531267</v>
      </c>
      <c r="D29" s="98">
        <f t="shared" si="4"/>
        <v>6.2699744077603379E-3</v>
      </c>
      <c r="E29" s="116">
        <f t="shared" si="2"/>
        <v>53591994.324067347</v>
      </c>
    </row>
    <row r="30" spans="1:8" x14ac:dyDescent="0.2">
      <c r="A30" s="86">
        <f t="shared" si="3"/>
        <v>4800000</v>
      </c>
      <c r="B30" s="79">
        <f t="shared" si="0"/>
        <v>261471.13370743673</v>
      </c>
      <c r="C30" s="79">
        <f t="shared" si="1"/>
        <v>261471.13370743673</v>
      </c>
      <c r="D30" s="98">
        <f t="shared" si="4"/>
        <v>5.0573839900258464E-3</v>
      </c>
      <c r="E30" s="116">
        <f t="shared" si="2"/>
        <v>59076787.949858256</v>
      </c>
    </row>
    <row r="31" spans="1:8" x14ac:dyDescent="0.2">
      <c r="A31" s="86">
        <f t="shared" si="3"/>
        <v>5400000</v>
      </c>
      <c r="B31" s="79">
        <f t="shared" si="0"/>
        <v>283838.37274381984</v>
      </c>
      <c r="C31" s="79">
        <f t="shared" si="1"/>
        <v>283838.37274381984</v>
      </c>
      <c r="D31" s="98">
        <f t="shared" si="4"/>
        <v>4.1420813030339084E-3</v>
      </c>
      <c r="E31" s="116">
        <f t="shared" si="2"/>
        <v>64130441.937738657</v>
      </c>
    </row>
    <row r="32" spans="1:8" x14ac:dyDescent="0.2">
      <c r="A32" s="86">
        <f t="shared" si="3"/>
        <v>6000000</v>
      </c>
      <c r="B32" s="79">
        <f t="shared" si="0"/>
        <v>304438.36016260181</v>
      </c>
      <c r="C32" s="79">
        <f t="shared" si="1"/>
        <v>304438.36016260181</v>
      </c>
      <c r="D32" s="98">
        <f t="shared" si="4"/>
        <v>3.4333312364636611E-3</v>
      </c>
      <c r="E32" s="116">
        <f t="shared" si="2"/>
        <v>68784803.095138252</v>
      </c>
    </row>
    <row r="33" spans="1:5" x14ac:dyDescent="0.2">
      <c r="A33" s="86">
        <f t="shared" si="3"/>
        <v>6600000</v>
      </c>
      <c r="B33" s="79">
        <f t="shared" si="0"/>
        <v>323403.05916970689</v>
      </c>
      <c r="C33" s="79">
        <f t="shared" si="1"/>
        <v>323403.05916970689</v>
      </c>
      <c r="D33" s="98">
        <f t="shared" si="4"/>
        <v>2.8734392435007701E-3</v>
      </c>
      <c r="E33" s="116">
        <f t="shared" si="2"/>
        <v>73069687.188803568</v>
      </c>
    </row>
    <row r="34" spans="1:5" x14ac:dyDescent="0.2">
      <c r="A34" s="86">
        <f>A33+(($C$18-$B$18)/$D$18)</f>
        <v>7200000</v>
      </c>
      <c r="B34" s="79">
        <f t="shared" si="0"/>
        <v>340855.78682918753</v>
      </c>
      <c r="C34" s="79">
        <f t="shared" si="1"/>
        <v>340855.78682918753</v>
      </c>
      <c r="D34" s="98">
        <f t="shared" si="4"/>
        <v>2.4239899527056454E-3</v>
      </c>
      <c r="E34" s="116">
        <f t="shared" si="2"/>
        <v>77012956.476186633</v>
      </c>
    </row>
    <row r="35" spans="1:5" x14ac:dyDescent="0.2">
      <c r="A35" s="86">
        <f t="shared" si="3"/>
        <v>7800000</v>
      </c>
      <c r="B35" s="79">
        <f t="shared" si="0"/>
        <v>356911.58544945624</v>
      </c>
      <c r="C35" s="79">
        <f t="shared" si="1"/>
        <v>356911.58544945624</v>
      </c>
      <c r="D35" s="98">
        <f t="shared" si="4"/>
        <v>2.0584357205472694E-3</v>
      </c>
      <c r="E35" s="116">
        <f t="shared" si="2"/>
        <v>80640603.616450146</v>
      </c>
    </row>
    <row r="36" spans="1:5" x14ac:dyDescent="0.2">
      <c r="A36" s="86">
        <f t="shared" si="3"/>
        <v>8400000</v>
      </c>
      <c r="B36" s="79">
        <f t="shared" si="0"/>
        <v>371677.61253666226</v>
      </c>
      <c r="C36" s="79">
        <f t="shared" si="1"/>
        <v>371677.61253666226</v>
      </c>
      <c r="D36" s="98">
        <f t="shared" si="4"/>
        <v>1.7578603675245262E-3</v>
      </c>
      <c r="E36" s="116">
        <f t="shared" si="2"/>
        <v>83976839.77653347</v>
      </c>
    </row>
    <row r="37" spans="1:5" x14ac:dyDescent="0.2">
      <c r="A37" s="86">
        <f t="shared" si="3"/>
        <v>9000000</v>
      </c>
      <c r="B37" s="79">
        <f t="shared" si="0"/>
        <v>385253.54124828521</v>
      </c>
      <c r="C37" s="79">
        <f t="shared" si="1"/>
        <v>385253.54124828521</v>
      </c>
      <c r="D37" s="98">
        <f t="shared" si="4"/>
        <v>1.5084365235136614E-3</v>
      </c>
      <c r="E37" s="116">
        <f t="shared" si="2"/>
        <v>87044185.109637558</v>
      </c>
    </row>
    <row r="38" spans="1:5" x14ac:dyDescent="0.2">
      <c r="A38" s="86">
        <f t="shared" si="3"/>
        <v>9600000</v>
      </c>
      <c r="B38" s="79">
        <f t="shared" si="0"/>
        <v>397731.96469672117</v>
      </c>
      <c r="C38" s="79">
        <f t="shared" si="1"/>
        <v>397731.96469672117</v>
      </c>
      <c r="D38" s="98">
        <f t="shared" si="4"/>
        <v>1.2998357758787461E-3</v>
      </c>
      <c r="E38" s="116">
        <f t="shared" si="2"/>
        <v>89863560.103577182</v>
      </c>
    </row>
    <row r="39" spans="1:5" x14ac:dyDescent="0.2">
      <c r="A39" s="86">
        <f t="shared" si="3"/>
        <v>10200000</v>
      </c>
      <c r="B39" s="79">
        <f t="shared" si="0"/>
        <v>409198.79869342316</v>
      </c>
      <c r="C39" s="79">
        <f t="shared" si="1"/>
        <v>409198.79869342316</v>
      </c>
      <c r="D39" s="98">
        <f t="shared" si="4"/>
        <v>1.1241994114413712E-3</v>
      </c>
      <c r="E39" s="116">
        <f t="shared" si="2"/>
        <v>92454376.576792032</v>
      </c>
    </row>
    <row r="40" spans="1:5" x14ac:dyDescent="0.2">
      <c r="A40" s="86">
        <f t="shared" si="3"/>
        <v>10800000</v>
      </c>
      <c r="B40" s="79">
        <f t="shared" si="0"/>
        <v>419733.67860109825</v>
      </c>
      <c r="C40" s="79">
        <f t="shared" si="1"/>
        <v>419733.67860109825</v>
      </c>
      <c r="D40" s="98">
        <f t="shared" si="4"/>
        <v>9.7545184330324886E-4</v>
      </c>
      <c r="E40" s="116">
        <f t="shared" si="2"/>
        <v>94834627.343132138</v>
      </c>
    </row>
    <row r="41" spans="1:5" x14ac:dyDescent="0.2">
      <c r="A41" s="86">
        <f>A40+(($C$18-$B$18)/$D$18)</f>
        <v>11400000</v>
      </c>
      <c r="B41" s="79">
        <f t="shared" si="0"/>
        <v>429410.3468878204</v>
      </c>
      <c r="C41" s="79">
        <f t="shared" si="1"/>
        <v>429410.3468878204</v>
      </c>
      <c r="D41" s="98">
        <f t="shared" si="4"/>
        <v>8.4883055146685554E-4</v>
      </c>
      <c r="E41" s="116">
        <f t="shared" si="2"/>
        <v>97020973.775834143</v>
      </c>
    </row>
    <row r="42" spans="1:5" x14ac:dyDescent="0.2">
      <c r="A42" s="86">
        <f t="shared" si="3"/>
        <v>12000000</v>
      </c>
      <c r="B42" s="79">
        <f t="shared" si="0"/>
        <v>438297.02876725886</v>
      </c>
      <c r="C42" s="79">
        <f t="shared" si="1"/>
        <v>438297.02876725886</v>
      </c>
      <c r="D42" s="98">
        <f t="shared" si="4"/>
        <v>7.405568232865383E-4</v>
      </c>
      <c r="E42" s="116">
        <f t="shared" si="2"/>
        <v>99028830.679674461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CA6B9-7026-435B-B2FA-0DCA6CC8B63E}">
  <sheetPr codeName="Sheet15">
    <tabColor theme="3" tint="0.79998168889431442"/>
  </sheetPr>
  <dimension ref="A1:R47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5" t="s">
        <v>102</v>
      </c>
      <c r="I2" s="336"/>
      <c r="J2" s="336"/>
      <c r="K2" s="336"/>
      <c r="L2" s="337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97" t="s">
        <v>106</v>
      </c>
      <c r="C4" s="597"/>
      <c r="D4" s="597"/>
      <c r="E4" s="597"/>
      <c r="F4" s="598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595" t="s">
        <v>8</v>
      </c>
      <c r="B7" s="600" t="s">
        <v>9</v>
      </c>
      <c r="C7" s="601"/>
      <c r="D7" s="602" t="s">
        <v>12</v>
      </c>
      <c r="E7" s="603"/>
      <c r="F7" s="604"/>
      <c r="G7" s="600" t="s">
        <v>124</v>
      </c>
      <c r="H7" s="600"/>
      <c r="I7" s="605"/>
      <c r="J7" s="98" t="s">
        <v>125</v>
      </c>
    </row>
    <row r="8" spans="1:18" ht="28.35" customHeight="1" x14ac:dyDescent="0.2">
      <c r="A8" s="599"/>
      <c r="B8" s="334" t="s">
        <v>10</v>
      </c>
      <c r="C8" s="17" t="s">
        <v>11</v>
      </c>
      <c r="D8" s="19" t="s">
        <v>20</v>
      </c>
      <c r="E8" s="334" t="s">
        <v>21</v>
      </c>
      <c r="F8" s="81" t="s">
        <v>117</v>
      </c>
      <c r="G8" s="338" t="s">
        <v>22</v>
      </c>
      <c r="H8" s="334" t="s">
        <v>23</v>
      </c>
      <c r="I8" s="88" t="s">
        <v>123</v>
      </c>
    </row>
    <row r="9" spans="1:18" ht="14.45" customHeight="1" thickBot="1" x14ac:dyDescent="0.25">
      <c r="A9" s="596"/>
      <c r="B9" s="95">
        <f>VAC_Optim_Scenario!G30</f>
        <v>10500000</v>
      </c>
      <c r="C9" s="95">
        <f>VAC_Optim_Scenario!H30</f>
        <v>21000000</v>
      </c>
      <c r="D9" s="68">
        <f>VAC_Optim_Scenario!I30</f>
        <v>21000000</v>
      </c>
      <c r="E9" s="84">
        <f>((($R$12/(1+EXP($P$12+$Q$12*D9)))-1) - ($F$12-$C$12))*$I$12</f>
        <v>467933.02080957498</v>
      </c>
      <c r="F9" s="89">
        <f>E9*$G$12</f>
        <v>467933.02080957498</v>
      </c>
      <c r="G9" s="95">
        <f>VAC_Optim_Scenario!E30</f>
        <v>16948000</v>
      </c>
      <c r="H9" s="85">
        <f>((($R$12/(1+EXP($P$12+$Q$12*G9)))-1) - ($F$12-$C$12))*$I$12</f>
        <v>408993.92537411675</v>
      </c>
      <c r="I9" s="90">
        <f>H9*$G$12</f>
        <v>408993.92537411675</v>
      </c>
      <c r="J9" s="87">
        <f>G9/I9</f>
        <v>41.438268268892379</v>
      </c>
      <c r="K9" s="98" t="s">
        <v>180</v>
      </c>
    </row>
    <row r="10" spans="1:18" ht="13.5" thickBot="1" x14ac:dyDescent="0.25"/>
    <row r="11" spans="1:18" ht="51.6" customHeight="1" x14ac:dyDescent="0.2">
      <c r="A11" s="595" t="s">
        <v>15</v>
      </c>
      <c r="B11" s="340" t="s">
        <v>16</v>
      </c>
      <c r="C11" s="340" t="s">
        <v>17</v>
      </c>
      <c r="D11" s="340" t="s">
        <v>18</v>
      </c>
      <c r="E11" s="340" t="s">
        <v>19</v>
      </c>
      <c r="F11" s="341" t="s">
        <v>109</v>
      </c>
      <c r="G11" s="339" t="s">
        <v>181</v>
      </c>
      <c r="H11" s="340" t="s">
        <v>119</v>
      </c>
      <c r="I11" s="92" t="s">
        <v>122</v>
      </c>
      <c r="K11" s="587" t="s">
        <v>25</v>
      </c>
      <c r="L11" s="340" t="s">
        <v>110</v>
      </c>
      <c r="M11" s="340" t="s">
        <v>111</v>
      </c>
      <c r="N11" s="340" t="s">
        <v>112</v>
      </c>
      <c r="O11" s="340" t="s">
        <v>113</v>
      </c>
      <c r="P11" s="340" t="s">
        <v>26</v>
      </c>
      <c r="Q11" s="340" t="s">
        <v>27</v>
      </c>
      <c r="R11" s="341" t="s">
        <v>28</v>
      </c>
    </row>
    <row r="12" spans="1:18" ht="15" customHeight="1" thickBot="1" x14ac:dyDescent="0.25">
      <c r="A12" s="596"/>
      <c r="B12" s="352">
        <f>'[7]HCP MCM SCurve'!$B$12</f>
        <v>10503728.719999999</v>
      </c>
      <c r="C12" s="352">
        <f>'[7]HCP MCM SCurve'!$C$12</f>
        <v>288339.09761974245</v>
      </c>
      <c r="D12" s="352">
        <f>'[7]HCP MCM SCurve'!$D$12</f>
        <v>0</v>
      </c>
      <c r="E12" s="352">
        <f>'[7]HCP MCM SCurve'!$E$12</f>
        <v>720847.7440493562</v>
      </c>
      <c r="F12" s="352">
        <f>'[7]HCP MCM SCurve'!$F$12</f>
        <v>4647854</v>
      </c>
      <c r="G12" s="353">
        <f>VAC_Optim_Scenario!$D$46</f>
        <v>1</v>
      </c>
      <c r="H12" s="71">
        <f>C12*G12</f>
        <v>288339.09761974245</v>
      </c>
      <c r="I12" s="354">
        <f>VAC_Optim_Scenario!D30</f>
        <v>1</v>
      </c>
      <c r="K12" s="588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24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589" t="s">
        <v>187</v>
      </c>
      <c r="B13" s="590"/>
      <c r="C13" s="590"/>
      <c r="D13" s="590"/>
      <c r="E13" s="590"/>
      <c r="F13" s="591"/>
      <c r="G13" s="334" t="s">
        <v>150</v>
      </c>
      <c r="H13" s="334" t="s">
        <v>151</v>
      </c>
      <c r="K13" s="589" t="s">
        <v>115</v>
      </c>
      <c r="L13" s="590"/>
      <c r="M13" s="590"/>
      <c r="N13" s="590"/>
      <c r="O13" s="590"/>
      <c r="P13" s="590"/>
      <c r="Q13" s="590"/>
      <c r="R13" s="591"/>
    </row>
    <row r="14" spans="1:18" ht="33.6" customHeight="1" thickBot="1" x14ac:dyDescent="0.25">
      <c r="A14" s="592"/>
      <c r="B14" s="593"/>
      <c r="C14" s="593"/>
      <c r="D14" s="593"/>
      <c r="E14" s="593"/>
      <c r="F14" s="594"/>
      <c r="G14" s="95">
        <f>VAC_Optim_Scenario!$I$46</f>
        <v>225.94</v>
      </c>
      <c r="H14" s="95">
        <f>VAC_Optim_Scenario!$F$46</f>
        <v>225.94</v>
      </c>
      <c r="K14" s="592"/>
      <c r="L14" s="593"/>
      <c r="M14" s="593"/>
      <c r="N14" s="593"/>
      <c r="O14" s="593"/>
      <c r="P14" s="593"/>
      <c r="Q14" s="593"/>
      <c r="R14" s="594"/>
    </row>
    <row r="16" spans="1:18" ht="13.5" thickBot="1" x14ac:dyDescent="0.25"/>
    <row r="17" spans="1:8" ht="42.6" customHeight="1" x14ac:dyDescent="0.2">
      <c r="A17" s="587" t="s">
        <v>34</v>
      </c>
      <c r="B17" s="340" t="s">
        <v>32</v>
      </c>
      <c r="C17" s="340" t="s">
        <v>31</v>
      </c>
      <c r="D17" s="341" t="s">
        <v>33</v>
      </c>
      <c r="F17" s="96"/>
      <c r="G17" s="96"/>
      <c r="H17" s="355"/>
    </row>
    <row r="18" spans="1:8" ht="23.45" customHeight="1" thickBot="1" x14ac:dyDescent="0.25">
      <c r="A18" s="588"/>
      <c r="B18" s="75">
        <v>0</v>
      </c>
      <c r="C18" s="76">
        <v>12500000</v>
      </c>
      <c r="D18" s="26">
        <v>20</v>
      </c>
    </row>
    <row r="20" spans="1:8" x14ac:dyDescent="0.2">
      <c r="A20" s="568" t="s">
        <v>37</v>
      </c>
      <c r="B20" s="568"/>
      <c r="C20" s="568"/>
    </row>
    <row r="21" spans="1:8" ht="25.5" x14ac:dyDescent="0.2">
      <c r="A21" s="334" t="s">
        <v>35</v>
      </c>
      <c r="B21" s="334" t="s">
        <v>177</v>
      </c>
      <c r="C21" s="334" t="s">
        <v>184</v>
      </c>
      <c r="D21" s="98" t="s">
        <v>188</v>
      </c>
      <c r="E21" s="334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pageSetUpPr autoPageBreaks="0"/>
  </sheetPr>
  <dimension ref="A1:I41"/>
  <sheetViews>
    <sheetView topLeftCell="A4"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164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06"/>
      <c r="C4" s="607"/>
      <c r="D4" s="607"/>
      <c r="E4" s="607"/>
      <c r="F4" s="60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95" t="s">
        <v>8</v>
      </c>
      <c r="B7" s="600" t="s">
        <v>9</v>
      </c>
      <c r="C7" s="600"/>
      <c r="D7" s="600" t="s">
        <v>12</v>
      </c>
      <c r="E7" s="600"/>
      <c r="F7" s="600"/>
      <c r="G7" s="600" t="s">
        <v>124</v>
      </c>
      <c r="H7" s="600"/>
      <c r="I7" s="605"/>
    </row>
    <row r="8" spans="1:9" x14ac:dyDescent="0.25">
      <c r="A8" s="599"/>
      <c r="B8" s="262" t="s">
        <v>10</v>
      </c>
      <c r="C8" s="262" t="s">
        <v>11</v>
      </c>
      <c r="D8" s="262" t="s">
        <v>20</v>
      </c>
      <c r="E8" s="262" t="s">
        <v>21</v>
      </c>
      <c r="F8" s="262" t="s">
        <v>117</v>
      </c>
      <c r="G8" s="262" t="s">
        <v>22</v>
      </c>
      <c r="H8" s="262" t="s">
        <v>23</v>
      </c>
      <c r="I8" s="4" t="s">
        <v>123</v>
      </c>
    </row>
    <row r="9" spans="1:9" ht="15.75" thickBot="1" x14ac:dyDescent="0.3">
      <c r="A9" s="596"/>
      <c r="B9" s="157">
        <f>VAC_Optim_Scenario!G$21</f>
        <v>1599500</v>
      </c>
      <c r="C9" s="157">
        <f>VAC_Optim_Scenario!H$21</f>
        <v>6500000</v>
      </c>
      <c r="D9" s="158">
        <f>VAC_Optim_Scenario!I$21</f>
        <v>4473746.1544590266</v>
      </c>
      <c r="E9" s="84">
        <f>((GSOC!D9/$B$12)^$D$12)*$C$12*$F$12</f>
        <v>120122.23311977911</v>
      </c>
      <c r="F9" s="84">
        <f>E9*F11</f>
        <v>120122.23311977911</v>
      </c>
      <c r="G9" s="76">
        <f>VAC_Optim_Scenario!E21</f>
        <v>1840000</v>
      </c>
      <c r="H9" s="159">
        <f>((GSOC!G9/$B$12)^$D$12)*$C$12*$F$12</f>
        <v>70487.367019183061</v>
      </c>
      <c r="I9" s="160">
        <f>H9*F11</f>
        <v>70487.367019183061</v>
      </c>
    </row>
    <row r="10" spans="1:9" ht="15.75" thickBot="1" x14ac:dyDescent="0.3"/>
    <row r="11" spans="1:9" ht="48.95" customHeight="1" x14ac:dyDescent="0.25">
      <c r="A11" s="568" t="s">
        <v>15</v>
      </c>
      <c r="B11" s="263" t="s">
        <v>16</v>
      </c>
      <c r="C11" s="263" t="s">
        <v>17</v>
      </c>
      <c r="D11" s="263" t="s">
        <v>170</v>
      </c>
      <c r="E11" s="262" t="s">
        <v>126</v>
      </c>
      <c r="F11" s="161">
        <v>1</v>
      </c>
    </row>
    <row r="12" spans="1:9" ht="40.5" customHeight="1" thickBot="1" x14ac:dyDescent="0.3">
      <c r="A12" s="568"/>
      <c r="B12" s="162">
        <f>'[8]HCC Social - Power'!$B$12</f>
        <v>1873000</v>
      </c>
      <c r="C12" s="162">
        <f>'[8]HCC Social - Power'!$C$12</f>
        <v>71243.17418511775</v>
      </c>
      <c r="D12" s="314">
        <f>'[8]HCC Social - Power'!$D$12</f>
        <v>0.6</v>
      </c>
      <c r="E12" s="262" t="s">
        <v>122</v>
      </c>
      <c r="F12" s="163">
        <f>VAC_Optim_Scenario!D21</f>
        <v>1</v>
      </c>
      <c r="G12" s="266">
        <f>B12*2</f>
        <v>3746000</v>
      </c>
    </row>
    <row r="13" spans="1:9" ht="18.75" customHeight="1" x14ac:dyDescent="0.25">
      <c r="A13" s="589" t="s">
        <v>171</v>
      </c>
      <c r="B13" s="590"/>
      <c r="C13" s="590"/>
      <c r="D13" s="590"/>
      <c r="E13" s="262" t="s">
        <v>172</v>
      </c>
      <c r="F13" s="262" t="s">
        <v>173</v>
      </c>
    </row>
    <row r="14" spans="1:9" ht="15.75" thickBot="1" x14ac:dyDescent="0.3">
      <c r="A14" s="592"/>
      <c r="B14" s="593"/>
      <c r="C14" s="593"/>
      <c r="D14" s="59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87" t="s">
        <v>34</v>
      </c>
      <c r="B16" s="263" t="s">
        <v>32</v>
      </c>
      <c r="C16" s="263" t="s">
        <v>31</v>
      </c>
      <c r="D16" s="264" t="s">
        <v>33</v>
      </c>
    </row>
    <row r="17" spans="1:4" ht="15.75" thickBot="1" x14ac:dyDescent="0.3">
      <c r="A17" s="588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8" t="s">
        <v>37</v>
      </c>
      <c r="B19" s="568"/>
      <c r="C19" s="568"/>
      <c r="D19" s="98"/>
    </row>
    <row r="20" spans="1:4" ht="25.5" x14ac:dyDescent="0.25">
      <c r="A20" s="262" t="s">
        <v>35</v>
      </c>
      <c r="B20" s="262" t="s">
        <v>177</v>
      </c>
      <c r="C20" s="262" t="s">
        <v>174</v>
      </c>
    </row>
    <row r="21" spans="1:4" x14ac:dyDescent="0.25">
      <c r="A21" s="164">
        <f>B17</f>
        <v>0</v>
      </c>
      <c r="B21" s="159">
        <f>((GSOC!A21/$B$12)^$D$12)*$C$12*$F$12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>((GSOC!A22/$B$12)^$D$12)*$C$12*$F$12</f>
        <v>21280.635822412063</v>
      </c>
      <c r="C22" s="165">
        <f t="shared" ref="C22:C41" si="0">B22*$F$14</f>
        <v>4808146.8577157818</v>
      </c>
    </row>
    <row r="23" spans="1:4" x14ac:dyDescent="0.25">
      <c r="A23" s="164">
        <f t="shared" ref="A23:A41" si="1">A22+(($C$17-$B$17)/$D$17)</f>
        <v>500000</v>
      </c>
      <c r="B23" s="159">
        <f>((GSOC!A23/$B$12)^$D$12)*$C$12*$F$12</f>
        <v>32255.412261904592</v>
      </c>
      <c r="C23" s="165">
        <f t="shared" si="0"/>
        <v>7287787.8464547237</v>
      </c>
    </row>
    <row r="24" spans="1:4" x14ac:dyDescent="0.25">
      <c r="A24" s="164">
        <f t="shared" si="1"/>
        <v>750000</v>
      </c>
      <c r="B24" s="159">
        <f>((GSOC!A24/$B$12)^$D$12)*$C$12*$F$12</f>
        <v>41139.343076618679</v>
      </c>
      <c r="C24" s="165">
        <f t="shared" si="0"/>
        <v>9295023.1747312248</v>
      </c>
    </row>
    <row r="25" spans="1:4" x14ac:dyDescent="0.25">
      <c r="A25" s="164">
        <f t="shared" si="1"/>
        <v>1000000</v>
      </c>
      <c r="B25" s="159">
        <f>((GSOC!A25/$B$12)^$D$12)*$C$12*$F$12</f>
        <v>48890.062724991418</v>
      </c>
      <c r="C25" s="165">
        <f t="shared" si="0"/>
        <v>11046220.77208456</v>
      </c>
    </row>
    <row r="26" spans="1:4" x14ac:dyDescent="0.25">
      <c r="A26" s="164">
        <f t="shared" si="1"/>
        <v>1250000</v>
      </c>
      <c r="B26" s="159">
        <f>((GSOC!A26/$B$12)^$D$12)*$C$12*$F$12</f>
        <v>55894.181682956114</v>
      </c>
      <c r="C26" s="165">
        <f t="shared" si="0"/>
        <v>12628731.409447104</v>
      </c>
    </row>
    <row r="27" spans="1:4" x14ac:dyDescent="0.25">
      <c r="A27" s="164">
        <f t="shared" si="1"/>
        <v>1500000</v>
      </c>
      <c r="B27" s="159">
        <f>((GSOC!A27/$B$12)^$D$12)*$C$12*$F$12</f>
        <v>62355.583836585771</v>
      </c>
      <c r="C27" s="165">
        <f t="shared" si="0"/>
        <v>14088620.61203819</v>
      </c>
    </row>
    <row r="28" spans="1:4" x14ac:dyDescent="0.25">
      <c r="A28" s="164">
        <f t="shared" si="1"/>
        <v>1750000</v>
      </c>
      <c r="B28" s="159">
        <f>((GSOC!A28/$B$12)^$D$12)*$C$12*$F$12</f>
        <v>68398.003276133066</v>
      </c>
      <c r="C28" s="165">
        <f t="shared" si="0"/>
        <v>15453844.860209504</v>
      </c>
    </row>
    <row r="29" spans="1:4" x14ac:dyDescent="0.25">
      <c r="A29" s="164">
        <f t="shared" si="1"/>
        <v>2000000</v>
      </c>
      <c r="B29" s="159">
        <f>((GSOC!A29/$B$12)^$D$12)*$C$12*$F$12</f>
        <v>74103.478010002</v>
      </c>
      <c r="C29" s="165">
        <f t="shared" si="0"/>
        <v>16742939.821579851</v>
      </c>
    </row>
    <row r="30" spans="1:4" x14ac:dyDescent="0.25">
      <c r="A30" s="164">
        <f t="shared" si="1"/>
        <v>2250000</v>
      </c>
      <c r="B30" s="159">
        <f>((GSOC!A30/$B$12)^$D$12)*$C$12*$F$12</f>
        <v>79529.839376007047</v>
      </c>
      <c r="C30" s="165">
        <f t="shared" si="0"/>
        <v>17968971.90861503</v>
      </c>
    </row>
    <row r="31" spans="1:4" x14ac:dyDescent="0.25">
      <c r="A31" s="164">
        <f t="shared" si="1"/>
        <v>2500000</v>
      </c>
      <c r="B31" s="159">
        <f>((GSOC!A31/$B$12)^$D$12)*$C$12*$F$12</f>
        <v>84719.737148398606</v>
      </c>
      <c r="C31" s="165">
        <f t="shared" si="0"/>
        <v>19141577.411309183</v>
      </c>
    </row>
    <row r="32" spans="1:4" x14ac:dyDescent="0.25">
      <c r="A32" s="164">
        <f t="shared" si="1"/>
        <v>2750000</v>
      </c>
      <c r="B32" s="159">
        <f>((GSOC!A32/$B$12)^$D$12)*$C$12*$F$12</f>
        <v>89705.735378365556</v>
      </c>
      <c r="C32" s="165">
        <f t="shared" si="0"/>
        <v>20268113.851387914</v>
      </c>
    </row>
    <row r="33" spans="1:3" x14ac:dyDescent="0.25">
      <c r="A33" s="164">
        <f t="shared" si="1"/>
        <v>3000000</v>
      </c>
      <c r="B33" s="159">
        <f>((GSOC!A33/$B$12)^$D$12)*$C$12*$F$12</f>
        <v>94513.391435541067</v>
      </c>
      <c r="C33" s="165">
        <f t="shared" si="0"/>
        <v>21354355.660946149</v>
      </c>
    </row>
    <row r="34" spans="1:3" x14ac:dyDescent="0.25">
      <c r="A34" s="164">
        <f t="shared" si="1"/>
        <v>3250000</v>
      </c>
      <c r="B34" s="159">
        <f>((GSOC!A34/$B$12)^$D$12)*$C$12*$F$12</f>
        <v>99163.217815008757</v>
      </c>
      <c r="C34" s="165">
        <f t="shared" si="0"/>
        <v>22404937.433123078</v>
      </c>
    </row>
    <row r="35" spans="1:3" x14ac:dyDescent="0.25">
      <c r="A35" s="164">
        <f t="shared" si="1"/>
        <v>3500000</v>
      </c>
      <c r="B35" s="159">
        <f>((GSOC!A35/$B$12)^$D$12)*$C$12*$F$12</f>
        <v>103671.98668186736</v>
      </c>
      <c r="C35" s="165">
        <f t="shared" si="0"/>
        <v>23423648.670901112</v>
      </c>
    </row>
    <row r="36" spans="1:3" x14ac:dyDescent="0.25">
      <c r="A36" s="164">
        <f t="shared" si="1"/>
        <v>3750000</v>
      </c>
      <c r="B36" s="159">
        <f>((GSOC!A36/$B$12)^$D$12)*$C$12*$F$12</f>
        <v>108053.62844564456</v>
      </c>
      <c r="C36" s="165">
        <f t="shared" si="0"/>
        <v>24413636.81100893</v>
      </c>
    </row>
    <row r="37" spans="1:3" x14ac:dyDescent="0.25">
      <c r="A37" s="164">
        <f t="shared" si="1"/>
        <v>4000000</v>
      </c>
      <c r="B37" s="159">
        <f>((GSOC!A37/$B$12)^$D$12)*$C$12*$F$12</f>
        <v>112319.869255799</v>
      </c>
      <c r="C37" s="165">
        <f t="shared" si="0"/>
        <v>25377551.259655226</v>
      </c>
    </row>
    <row r="38" spans="1:3" x14ac:dyDescent="0.25">
      <c r="A38" s="164">
        <f t="shared" si="1"/>
        <v>4250000</v>
      </c>
      <c r="B38" s="159">
        <f>((GSOC!A38/$B$12)^$D$12)*$C$12*$F$12</f>
        <v>116480.69479189794</v>
      </c>
      <c r="C38" s="165">
        <f t="shared" si="0"/>
        <v>26317648.181281421</v>
      </c>
    </row>
    <row r="39" spans="1:3" x14ac:dyDescent="0.25">
      <c r="A39" s="164">
        <f t="shared" si="1"/>
        <v>4500000</v>
      </c>
      <c r="B39" s="159">
        <f>((GSOC!A39/$B$12)^$D$12)*$C$12*$F$12</f>
        <v>120544.69507412486</v>
      </c>
      <c r="C39" s="165">
        <f t="shared" si="0"/>
        <v>27235868.405047771</v>
      </c>
    </row>
    <row r="40" spans="1:3" x14ac:dyDescent="0.25">
      <c r="A40" s="164">
        <f t="shared" si="1"/>
        <v>4750000</v>
      </c>
      <c r="B40" s="159">
        <f>((GSOC!A40/$B$12)^$D$12)*$C$12*$F$12</f>
        <v>124519.32570439449</v>
      </c>
      <c r="C40" s="165">
        <f t="shared" si="0"/>
        <v>28133896.449650891</v>
      </c>
    </row>
    <row r="41" spans="1:3" x14ac:dyDescent="0.25">
      <c r="A41" s="164">
        <f t="shared" si="1"/>
        <v>5000000</v>
      </c>
      <c r="B41" s="159">
        <f>((GSOC!A41/$B$12)^$D$12)*$C$12*$F$12</f>
        <v>128411.10910623417</v>
      </c>
      <c r="C41" s="165">
        <f t="shared" si="0"/>
        <v>29013205.991462547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F8B0-53E6-4450-8FC7-E429D44C4A69}">
  <sheetPr codeName="Sheet16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288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06"/>
      <c r="C4" s="607"/>
      <c r="D4" s="607"/>
      <c r="E4" s="607"/>
      <c r="F4" s="60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95" t="s">
        <v>8</v>
      </c>
      <c r="B7" s="600" t="s">
        <v>9</v>
      </c>
      <c r="C7" s="600"/>
      <c r="D7" s="600" t="s">
        <v>12</v>
      </c>
      <c r="E7" s="600"/>
      <c r="F7" s="600"/>
      <c r="G7" s="600" t="s">
        <v>124</v>
      </c>
      <c r="H7" s="600"/>
      <c r="I7" s="605"/>
    </row>
    <row r="8" spans="1:9" x14ac:dyDescent="0.25">
      <c r="A8" s="599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596"/>
      <c r="B9" s="157">
        <f>VAC_Optim_Scenario!G31</f>
        <v>1800000</v>
      </c>
      <c r="C9" s="157">
        <f>VAC_Optim_Scenario!H31</f>
        <v>7000000</v>
      </c>
      <c r="D9" s="158">
        <f>VAC_Optim_Scenario!I31</f>
        <v>6331513.7707134737</v>
      </c>
      <c r="E9" s="84">
        <f>((GSOCIAL_adt!D9/$B$12)^$D$12)*$C$12*$F$12</f>
        <v>51508.86270837934</v>
      </c>
      <c r="F9" s="84">
        <f>E9*F11</f>
        <v>51508.86270837934</v>
      </c>
      <c r="G9" s="76">
        <f>VAC_Optim_Scenario!E31</f>
        <v>2200000</v>
      </c>
      <c r="H9" s="159">
        <f>((GSOCIAL_adt!G9/$B$12)^$D$12)*$C$12*$F$12</f>
        <v>27316.876297482511</v>
      </c>
      <c r="I9" s="160">
        <f>H9*F11</f>
        <v>27316.876297482511</v>
      </c>
    </row>
    <row r="10" spans="1:9" ht="15.75" thickBot="1" x14ac:dyDescent="0.3"/>
    <row r="11" spans="1:9" ht="48.95" customHeight="1" x14ac:dyDescent="0.25">
      <c r="A11" s="568" t="s">
        <v>15</v>
      </c>
      <c r="B11" s="340" t="s">
        <v>16</v>
      </c>
      <c r="C11" s="340" t="s">
        <v>17</v>
      </c>
      <c r="D11" s="340" t="s">
        <v>170</v>
      </c>
      <c r="E11" s="334" t="s">
        <v>126</v>
      </c>
      <c r="F11" s="161">
        <v>1</v>
      </c>
    </row>
    <row r="12" spans="1:9" ht="40.5" customHeight="1" thickBot="1" x14ac:dyDescent="0.3">
      <c r="A12" s="568"/>
      <c r="B12" s="162">
        <f>'[9]HCC Social - Power'!$B$12</f>
        <v>1751000</v>
      </c>
      <c r="C12" s="162">
        <f>'[9]HCC Social - Power'!$C$12</f>
        <v>23820.403572058858</v>
      </c>
      <c r="D12" s="329">
        <f>'[9]HCC Social - Power'!$D$12</f>
        <v>0.6</v>
      </c>
      <c r="E12" s="334" t="s">
        <v>122</v>
      </c>
      <c r="F12" s="163">
        <f>VAC_Optim_Scenario!D31</f>
        <v>1</v>
      </c>
      <c r="G12" s="266">
        <f>B12*2</f>
        <v>3502000</v>
      </c>
    </row>
    <row r="13" spans="1:9" ht="18.75" customHeight="1" x14ac:dyDescent="0.25">
      <c r="A13" s="589" t="s">
        <v>171</v>
      </c>
      <c r="B13" s="590"/>
      <c r="C13" s="590"/>
      <c r="D13" s="590"/>
      <c r="E13" s="334" t="s">
        <v>172</v>
      </c>
      <c r="F13" s="334" t="s">
        <v>173</v>
      </c>
    </row>
    <row r="14" spans="1:9" ht="15.75" thickBot="1" x14ac:dyDescent="0.3">
      <c r="A14" s="592"/>
      <c r="B14" s="593"/>
      <c r="C14" s="593"/>
      <c r="D14" s="593"/>
      <c r="E14" s="95">
        <f>VAC_Optim_Scenario!$I$46</f>
        <v>225.94</v>
      </c>
      <c r="F14" s="95">
        <f>VAC_Optim_Scenario!$F$46</f>
        <v>225.94</v>
      </c>
    </row>
    <row r="15" spans="1:9" ht="15.75" thickBot="1" x14ac:dyDescent="0.3"/>
    <row r="16" spans="1:9" x14ac:dyDescent="0.25">
      <c r="A16" s="587" t="s">
        <v>34</v>
      </c>
      <c r="B16" s="340" t="s">
        <v>32</v>
      </c>
      <c r="C16" s="340" t="s">
        <v>31</v>
      </c>
      <c r="D16" s="341" t="s">
        <v>33</v>
      </c>
    </row>
    <row r="17" spans="1:4" ht="15.75" thickBot="1" x14ac:dyDescent="0.3">
      <c r="A17" s="588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8" t="s">
        <v>37</v>
      </c>
      <c r="B19" s="568"/>
      <c r="C19" s="568"/>
      <c r="D19" s="98"/>
    </row>
    <row r="20" spans="1:4" ht="25.5" x14ac:dyDescent="0.25">
      <c r="A20" s="334" t="s">
        <v>35</v>
      </c>
      <c r="B20" s="334" t="s">
        <v>177</v>
      </c>
      <c r="C20" s="334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7408.6901640745618</v>
      </c>
      <c r="C22" s="165">
        <f t="shared" ref="C22:C41" si="1">B22*$F$14</f>
        <v>1673919.4556710066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11229.474417830452</v>
      </c>
      <c r="C23" s="165">
        <f t="shared" si="1"/>
        <v>2537187.4499646123</v>
      </c>
    </row>
    <row r="24" spans="1:4" x14ac:dyDescent="0.25">
      <c r="A24" s="164">
        <f t="shared" si="2"/>
        <v>750000</v>
      </c>
      <c r="B24" s="159">
        <f t="shared" si="0"/>
        <v>14322.346801651498</v>
      </c>
      <c r="C24" s="165">
        <f t="shared" si="1"/>
        <v>3235991.0363651393</v>
      </c>
    </row>
    <row r="25" spans="1:4" x14ac:dyDescent="0.25">
      <c r="A25" s="164">
        <f t="shared" si="2"/>
        <v>1000000</v>
      </c>
      <c r="B25" s="159">
        <f t="shared" si="0"/>
        <v>17020.700408310324</v>
      </c>
      <c r="C25" s="165">
        <f t="shared" si="1"/>
        <v>3845657.0502536343</v>
      </c>
    </row>
    <row r="26" spans="1:4" x14ac:dyDescent="0.25">
      <c r="A26" s="164">
        <f t="shared" si="2"/>
        <v>1250000</v>
      </c>
      <c r="B26" s="159">
        <f t="shared" si="0"/>
        <v>19459.130710154546</v>
      </c>
      <c r="C26" s="165">
        <f t="shared" si="1"/>
        <v>4396595.9926523184</v>
      </c>
    </row>
    <row r="27" spans="1:4" x14ac:dyDescent="0.25">
      <c r="A27" s="164">
        <f t="shared" si="2"/>
        <v>1500000</v>
      </c>
      <c r="B27" s="159">
        <f t="shared" si="0"/>
        <v>21708.618318570392</v>
      </c>
      <c r="C27" s="165">
        <f t="shared" si="1"/>
        <v>4904845.2228977941</v>
      </c>
    </row>
    <row r="28" spans="1:4" x14ac:dyDescent="0.25">
      <c r="A28" s="164">
        <f t="shared" si="2"/>
        <v>1750000</v>
      </c>
      <c r="B28" s="159">
        <f t="shared" si="0"/>
        <v>23812.240308184086</v>
      </c>
      <c r="C28" s="165">
        <f t="shared" si="1"/>
        <v>5380137.5752311125</v>
      </c>
    </row>
    <row r="29" spans="1:4" x14ac:dyDescent="0.25">
      <c r="A29" s="164">
        <f t="shared" si="2"/>
        <v>2000000</v>
      </c>
      <c r="B29" s="159">
        <f t="shared" si="0"/>
        <v>25798.557582486257</v>
      </c>
      <c r="C29" s="165">
        <f t="shared" si="1"/>
        <v>5828926.1001869449</v>
      </c>
    </row>
    <row r="30" spans="1:4" x14ac:dyDescent="0.25">
      <c r="A30" s="164">
        <f t="shared" si="2"/>
        <v>2250000</v>
      </c>
      <c r="B30" s="159">
        <f t="shared" si="0"/>
        <v>27687.703678238533</v>
      </c>
      <c r="C30" s="165">
        <f t="shared" si="1"/>
        <v>6255759.7690612143</v>
      </c>
    </row>
    <row r="31" spans="1:4" x14ac:dyDescent="0.25">
      <c r="A31" s="164">
        <f t="shared" si="2"/>
        <v>2500000</v>
      </c>
      <c r="B31" s="159">
        <f t="shared" si="0"/>
        <v>29494.526787272491</v>
      </c>
      <c r="C31" s="165">
        <f t="shared" si="1"/>
        <v>6663993.3823163463</v>
      </c>
    </row>
    <row r="32" spans="1:4" x14ac:dyDescent="0.25">
      <c r="A32" s="164">
        <f t="shared" si="2"/>
        <v>2750000</v>
      </c>
      <c r="B32" s="159">
        <f t="shared" si="0"/>
        <v>31230.363834281474</v>
      </c>
      <c r="C32" s="165">
        <f t="shared" si="1"/>
        <v>7056188.4047175562</v>
      </c>
    </row>
    <row r="33" spans="1:3" x14ac:dyDescent="0.25">
      <c r="A33" s="164">
        <f t="shared" si="2"/>
        <v>3000000</v>
      </c>
      <c r="B33" s="159">
        <f t="shared" si="0"/>
        <v>32904.112421508238</v>
      </c>
      <c r="C33" s="165">
        <f t="shared" si="1"/>
        <v>7434355.160515571</v>
      </c>
    </row>
    <row r="34" spans="1:3" x14ac:dyDescent="0.25">
      <c r="A34" s="164">
        <f t="shared" si="2"/>
        <v>3250000</v>
      </c>
      <c r="B34" s="159">
        <f t="shared" si="0"/>
        <v>34522.913816809414</v>
      </c>
      <c r="C34" s="165">
        <f t="shared" si="1"/>
        <v>7800107.1477699187</v>
      </c>
    </row>
    <row r="35" spans="1:3" x14ac:dyDescent="0.25">
      <c r="A35" s="164">
        <f t="shared" si="2"/>
        <v>3500000</v>
      </c>
      <c r="B35" s="159">
        <f t="shared" si="0"/>
        <v>36092.607120841283</v>
      </c>
      <c r="C35" s="165">
        <f t="shared" si="1"/>
        <v>8154763.6528828796</v>
      </c>
    </row>
    <row r="36" spans="1:3" x14ac:dyDescent="0.25">
      <c r="A36" s="164">
        <f t="shared" si="2"/>
        <v>3750000</v>
      </c>
      <c r="B36" s="159">
        <f t="shared" si="0"/>
        <v>37618.042098851023</v>
      </c>
      <c r="C36" s="165">
        <f t="shared" si="1"/>
        <v>8499420.4318144005</v>
      </c>
    </row>
    <row r="37" spans="1:3" x14ac:dyDescent="0.25">
      <c r="A37" s="164">
        <f t="shared" si="2"/>
        <v>4000000</v>
      </c>
      <c r="B37" s="159">
        <f t="shared" si="0"/>
        <v>39103.301119846867</v>
      </c>
      <c r="C37" s="165">
        <f t="shared" si="1"/>
        <v>8834999.8550182004</v>
      </c>
    </row>
    <row r="38" spans="1:3" x14ac:dyDescent="0.25">
      <c r="A38" s="164">
        <f t="shared" si="2"/>
        <v>4250000</v>
      </c>
      <c r="B38" s="159">
        <f t="shared" si="0"/>
        <v>40551.860621591703</v>
      </c>
      <c r="C38" s="165">
        <f t="shared" si="1"/>
        <v>9162287.38884243</v>
      </c>
    </row>
    <row r="39" spans="1:3" x14ac:dyDescent="0.25">
      <c r="A39" s="164">
        <f t="shared" si="2"/>
        <v>4500000</v>
      </c>
      <c r="B39" s="159">
        <f t="shared" si="0"/>
        <v>41966.711153737037</v>
      </c>
      <c r="C39" s="165">
        <f t="shared" si="1"/>
        <v>9481958.7180753462</v>
      </c>
    </row>
    <row r="40" spans="1:3" x14ac:dyDescent="0.25">
      <c r="A40" s="164">
        <f t="shared" si="2"/>
        <v>4750000</v>
      </c>
      <c r="B40" s="159">
        <f t="shared" si="0"/>
        <v>43350.448326913778</v>
      </c>
      <c r="C40" s="165">
        <f t="shared" si="1"/>
        <v>9794600.294982899</v>
      </c>
    </row>
    <row r="41" spans="1:3" x14ac:dyDescent="0.25">
      <c r="A41" s="164">
        <f t="shared" si="2"/>
        <v>5000000</v>
      </c>
      <c r="B41" s="159">
        <f t="shared" si="0"/>
        <v>44705.342872853616</v>
      </c>
      <c r="C41" s="165">
        <f t="shared" si="1"/>
        <v>10100725.168692546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workbookViewId="0">
      <selection activeCell="F12" sqref="F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158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34" t="s">
        <v>102</v>
      </c>
      <c r="I2" s="135"/>
      <c r="J2" s="135"/>
      <c r="K2" s="135"/>
      <c r="L2" s="136"/>
    </row>
    <row r="3" spans="1:18" ht="13.5" thickBot="1" x14ac:dyDescent="0.25">
      <c r="A3" s="11" t="s">
        <v>3</v>
      </c>
      <c r="B3" s="12" t="s">
        <v>246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597" t="s">
        <v>106</v>
      </c>
      <c r="C4" s="597"/>
      <c r="D4" s="597"/>
      <c r="E4" s="597"/>
      <c r="F4" s="598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595" t="s">
        <v>8</v>
      </c>
      <c r="B7" s="600" t="s">
        <v>9</v>
      </c>
      <c r="C7" s="601"/>
      <c r="D7" s="602" t="s">
        <v>12</v>
      </c>
      <c r="E7" s="603"/>
      <c r="F7" s="604"/>
      <c r="G7" s="600" t="s">
        <v>124</v>
      </c>
      <c r="H7" s="600"/>
      <c r="I7" s="605"/>
      <c r="J7" s="98" t="s">
        <v>125</v>
      </c>
    </row>
    <row r="8" spans="1:18" ht="28.15" customHeight="1" x14ac:dyDescent="0.2">
      <c r="A8" s="599"/>
      <c r="B8" s="133" t="s">
        <v>10</v>
      </c>
      <c r="C8" s="17" t="s">
        <v>11</v>
      </c>
      <c r="D8" s="19" t="s">
        <v>20</v>
      </c>
      <c r="E8" s="133" t="s">
        <v>21</v>
      </c>
      <c r="F8" s="81" t="s">
        <v>117</v>
      </c>
      <c r="G8" s="132" t="s">
        <v>22</v>
      </c>
      <c r="H8" s="133" t="s">
        <v>23</v>
      </c>
      <c r="I8" s="88" t="s">
        <v>123</v>
      </c>
    </row>
    <row r="9" spans="1:18" ht="14.65" customHeight="1" thickBot="1" x14ac:dyDescent="0.25">
      <c r="A9" s="596"/>
      <c r="B9" s="95">
        <f>VAC_Optim_Scenario!G22</f>
        <v>1000000</v>
      </c>
      <c r="C9" s="95">
        <f>VAC_Optim_Scenario!H22</f>
        <v>3500000</v>
      </c>
      <c r="D9" s="68">
        <f>VAC_Optim_Scenario!I22</f>
        <v>1000000</v>
      </c>
      <c r="E9" s="84">
        <f>((($R$12/(1+EXP($P$12+$Q$12*D9)))-1) - ($F$12-$C$12))*$I$12</f>
        <v>14861.613123927265</v>
      </c>
      <c r="F9" s="89">
        <f>E9*$G$12</f>
        <v>14861.613123927265</v>
      </c>
      <c r="G9" s="95">
        <f>VAC_Optim_Scenario!E22</f>
        <v>1220000</v>
      </c>
      <c r="H9" s="85">
        <f>((($R$12/(1+EXP($P$12+$Q$12*G9)))-1) - ($F$12-$C$12))*$I$12</f>
        <v>15022.779470646754</v>
      </c>
      <c r="I9" s="90">
        <f>H9*$G$12</f>
        <v>15022.779470646754</v>
      </c>
      <c r="J9" s="87">
        <f>G9/I9</f>
        <v>81.210005271246729</v>
      </c>
      <c r="K9" s="98" t="s">
        <v>198</v>
      </c>
    </row>
    <row r="10" spans="1:18" ht="13.5" thickBot="1" x14ac:dyDescent="0.25"/>
    <row r="11" spans="1:18" ht="51.6" customHeight="1" x14ac:dyDescent="0.2">
      <c r="A11" s="595" t="s">
        <v>15</v>
      </c>
      <c r="B11" s="138" t="s">
        <v>16</v>
      </c>
      <c r="C11" s="138" t="s">
        <v>17</v>
      </c>
      <c r="D11" s="138" t="s">
        <v>18</v>
      </c>
      <c r="E11" s="138" t="s">
        <v>19</v>
      </c>
      <c r="F11" s="139" t="s">
        <v>109</v>
      </c>
      <c r="G11" s="137" t="s">
        <v>118</v>
      </c>
      <c r="H11" s="138" t="s">
        <v>119</v>
      </c>
      <c r="I11" s="92" t="s">
        <v>122</v>
      </c>
      <c r="K11" s="587" t="s">
        <v>25</v>
      </c>
      <c r="L11" s="138" t="s">
        <v>110</v>
      </c>
      <c r="M11" s="138" t="s">
        <v>111</v>
      </c>
      <c r="N11" s="138" t="s">
        <v>112</v>
      </c>
      <c r="O11" s="138" t="s">
        <v>113</v>
      </c>
      <c r="P11" s="138" t="s">
        <v>26</v>
      </c>
      <c r="Q11" s="138" t="s">
        <v>27</v>
      </c>
      <c r="R11" s="139" t="s">
        <v>28</v>
      </c>
    </row>
    <row r="12" spans="1:18" ht="15" customHeight="1" thickBot="1" x14ac:dyDescent="0.25">
      <c r="A12" s="596"/>
      <c r="B12" s="95">
        <f>'[10]HCC Online Video Curve'!$B$12</f>
        <v>173076.94</v>
      </c>
      <c r="C12" s="95">
        <f>'[10]HCC Online Video Curve'!$C$12</f>
        <v>7568.2941111774026</v>
      </c>
      <c r="D12" s="95">
        <f>'[10]HCC Online Video Curve'!$D$12</f>
        <v>0</v>
      </c>
      <c r="E12" s="95">
        <f>'[10]HCC Online Video Curve'!$E$12</f>
        <v>15136.588222354803</v>
      </c>
      <c r="F12" s="95">
        <f>'[10]HCC Online Video Curve'!$F$12</f>
        <v>8649234</v>
      </c>
      <c r="G12" s="91">
        <f>VAC_Optim_Scenario!$D$46</f>
        <v>1</v>
      </c>
      <c r="H12" s="71">
        <f>C12*G12</f>
        <v>7568.2941111774026</v>
      </c>
      <c r="I12" s="115">
        <f>VAC_Optim_Scenario!D22</f>
        <v>1</v>
      </c>
      <c r="K12" s="588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589" t="s">
        <v>114</v>
      </c>
      <c r="B13" s="590"/>
      <c r="C13" s="590"/>
      <c r="D13" s="590"/>
      <c r="E13" s="590"/>
      <c r="F13" s="591"/>
      <c r="G13" s="133" t="s">
        <v>150</v>
      </c>
      <c r="H13" s="133" t="s">
        <v>151</v>
      </c>
      <c r="K13" s="589" t="s">
        <v>115</v>
      </c>
      <c r="L13" s="590"/>
      <c r="M13" s="590"/>
      <c r="N13" s="590"/>
      <c r="O13" s="590"/>
      <c r="P13" s="590"/>
      <c r="Q13" s="590"/>
      <c r="R13" s="591"/>
    </row>
    <row r="14" spans="1:18" ht="33.6" customHeight="1" thickBot="1" x14ac:dyDescent="0.25">
      <c r="A14" s="592"/>
      <c r="B14" s="593"/>
      <c r="C14" s="593"/>
      <c r="D14" s="593"/>
      <c r="E14" s="593"/>
      <c r="F14" s="594"/>
      <c r="G14" s="95">
        <f>VAC_Optim_Scenario!$I$46</f>
        <v>225.94</v>
      </c>
      <c r="H14" s="95">
        <f>VAC_Optim_Scenario!$F$46</f>
        <v>225.94</v>
      </c>
      <c r="K14" s="592"/>
      <c r="L14" s="593"/>
      <c r="M14" s="593"/>
      <c r="N14" s="593"/>
      <c r="O14" s="593"/>
      <c r="P14" s="593"/>
      <c r="Q14" s="593"/>
      <c r="R14" s="594"/>
    </row>
    <row r="16" spans="1:18" ht="13.5" thickBot="1" x14ac:dyDescent="0.25"/>
    <row r="17" spans="1:8" ht="42.6" customHeight="1" x14ac:dyDescent="0.2">
      <c r="A17" s="587" t="s">
        <v>34</v>
      </c>
      <c r="B17" s="138" t="s">
        <v>32</v>
      </c>
      <c r="C17" s="138" t="s">
        <v>31</v>
      </c>
      <c r="D17" s="139" t="s">
        <v>33</v>
      </c>
      <c r="F17" s="82"/>
      <c r="G17" s="82"/>
      <c r="H17" s="83"/>
    </row>
    <row r="18" spans="1:8" ht="23.65" customHeight="1" thickBot="1" x14ac:dyDescent="0.25">
      <c r="A18" s="588"/>
      <c r="B18" s="75">
        <v>0</v>
      </c>
      <c r="C18" s="76">
        <v>2000000</v>
      </c>
      <c r="D18" s="26">
        <v>20</v>
      </c>
    </row>
    <row r="20" spans="1:8" x14ac:dyDescent="0.2">
      <c r="A20" s="568" t="s">
        <v>37</v>
      </c>
      <c r="B20" s="568"/>
      <c r="C20" s="568"/>
    </row>
    <row r="21" spans="1:8" ht="25.5" x14ac:dyDescent="0.2">
      <c r="A21" s="133" t="s">
        <v>35</v>
      </c>
      <c r="B21" s="133" t="s">
        <v>120</v>
      </c>
      <c r="C21" s="133" t="s">
        <v>199</v>
      </c>
      <c r="D21" s="98" t="s">
        <v>121</v>
      </c>
      <c r="E21" s="133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BAC0E-8F57-47D9-9213-F9A4A490F248}">
  <sheetPr codeName="Sheet17">
    <tabColor theme="3" tint="0.79998168889431442"/>
  </sheetPr>
  <dimension ref="A1:R42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290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5" t="s">
        <v>102</v>
      </c>
      <c r="I2" s="336"/>
      <c r="J2" s="336"/>
      <c r="K2" s="336"/>
      <c r="L2" s="337"/>
    </row>
    <row r="3" spans="1:18" ht="13.5" thickBot="1" x14ac:dyDescent="0.25">
      <c r="A3" s="11" t="s">
        <v>3</v>
      </c>
      <c r="B3" s="12" t="s">
        <v>246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97" t="s">
        <v>106</v>
      </c>
      <c r="C4" s="597"/>
      <c r="D4" s="597"/>
      <c r="E4" s="597"/>
      <c r="F4" s="598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595" t="s">
        <v>8</v>
      </c>
      <c r="B7" s="600" t="s">
        <v>9</v>
      </c>
      <c r="C7" s="601"/>
      <c r="D7" s="602" t="s">
        <v>12</v>
      </c>
      <c r="E7" s="603"/>
      <c r="F7" s="604"/>
      <c r="G7" s="600" t="s">
        <v>124</v>
      </c>
      <c r="H7" s="600"/>
      <c r="I7" s="605"/>
      <c r="J7" s="98" t="s">
        <v>125</v>
      </c>
    </row>
    <row r="8" spans="1:18" ht="28.35" customHeight="1" x14ac:dyDescent="0.2">
      <c r="A8" s="599"/>
      <c r="B8" s="334" t="s">
        <v>10</v>
      </c>
      <c r="C8" s="17" t="s">
        <v>11</v>
      </c>
      <c r="D8" s="19" t="s">
        <v>20</v>
      </c>
      <c r="E8" s="334" t="s">
        <v>21</v>
      </c>
      <c r="F8" s="81" t="s">
        <v>117</v>
      </c>
      <c r="G8" s="338" t="s">
        <v>22</v>
      </c>
      <c r="H8" s="334" t="s">
        <v>23</v>
      </c>
      <c r="I8" s="88" t="s">
        <v>123</v>
      </c>
    </row>
    <row r="9" spans="1:18" ht="14.45" customHeight="1" thickBot="1" x14ac:dyDescent="0.25">
      <c r="A9" s="596"/>
      <c r="B9" s="95">
        <f>VAC_Optim_Scenario!G32</f>
        <v>1100000</v>
      </c>
      <c r="C9" s="95">
        <f>VAC_Optim_Scenario!H32</f>
        <v>3500000</v>
      </c>
      <c r="D9" s="68">
        <f>VAC_Optim_Scenario!I32</f>
        <v>2744399.7751152944</v>
      </c>
      <c r="E9" s="84">
        <f>((($R$12/(1+EXP($P$12+$Q$12*D9)))-1) - ($F$12-$C$12))*$I$12</f>
        <v>35500.585083515383</v>
      </c>
      <c r="F9" s="89">
        <f>E9*$G$12</f>
        <v>35500.585083515383</v>
      </c>
      <c r="G9" s="95">
        <f>VAC_Optim_Scenario!E32</f>
        <v>1500000</v>
      </c>
      <c r="H9" s="85">
        <f>((($R$12/(1+EXP($P$12+$Q$12*G9)))-1) - ($F$12-$C$12))*$I$12</f>
        <v>26310.281300564297</v>
      </c>
      <c r="I9" s="90">
        <f>H9*$G$12</f>
        <v>26310.281300564297</v>
      </c>
      <c r="J9" s="87">
        <f>G9/I9</f>
        <v>57.011933200722879</v>
      </c>
      <c r="K9" s="98" t="s">
        <v>180</v>
      </c>
    </row>
    <row r="10" spans="1:18" ht="13.5" thickBot="1" x14ac:dyDescent="0.25"/>
    <row r="11" spans="1:18" ht="51.6" customHeight="1" x14ac:dyDescent="0.2">
      <c r="A11" s="595" t="s">
        <v>15</v>
      </c>
      <c r="B11" s="340" t="s">
        <v>16</v>
      </c>
      <c r="C11" s="340" t="s">
        <v>17</v>
      </c>
      <c r="D11" s="340" t="s">
        <v>18</v>
      </c>
      <c r="E11" s="340" t="s">
        <v>19</v>
      </c>
      <c r="F11" s="341" t="s">
        <v>109</v>
      </c>
      <c r="G11" s="339" t="s">
        <v>181</v>
      </c>
      <c r="H11" s="340" t="s">
        <v>119</v>
      </c>
      <c r="I11" s="92" t="s">
        <v>122</v>
      </c>
      <c r="K11" s="587" t="s">
        <v>25</v>
      </c>
      <c r="L11" s="340" t="s">
        <v>110</v>
      </c>
      <c r="M11" s="340" t="s">
        <v>111</v>
      </c>
      <c r="N11" s="340" t="s">
        <v>112</v>
      </c>
      <c r="O11" s="340" t="s">
        <v>113</v>
      </c>
      <c r="P11" s="340" t="s">
        <v>26</v>
      </c>
      <c r="Q11" s="340" t="s">
        <v>27</v>
      </c>
      <c r="R11" s="341" t="s">
        <v>28</v>
      </c>
    </row>
    <row r="12" spans="1:18" ht="15" customHeight="1" thickBot="1" x14ac:dyDescent="0.25">
      <c r="A12" s="596"/>
      <c r="B12" s="352">
        <f>'[11]HCC Online Video Curve'!$B$12</f>
        <v>1111779.04</v>
      </c>
      <c r="C12" s="352">
        <f>'[11]HCC Online Video Curve'!$C$12</f>
        <v>21646.235649615326</v>
      </c>
      <c r="D12" s="352">
        <f>'[11]HCC Online Video Curve'!$D$12</f>
        <v>0</v>
      </c>
      <c r="E12" s="352">
        <f>'[11]HCC Online Video Curve'!$E$12</f>
        <v>43292.471299230652</v>
      </c>
      <c r="F12" s="352">
        <f>'[11]HCC Online Video Curve'!$F$12</f>
        <v>4647854</v>
      </c>
      <c r="G12" s="353">
        <f>VAC_Optim_Scenario!$D$46</f>
        <v>1</v>
      </c>
      <c r="H12" s="71">
        <f>C12*G12</f>
        <v>21646.235649615326</v>
      </c>
      <c r="I12" s="354">
        <f>VAC_Optim_Scenario!D32</f>
        <v>1</v>
      </c>
      <c r="K12" s="588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24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589" t="s">
        <v>182</v>
      </c>
      <c r="B13" s="590"/>
      <c r="C13" s="590"/>
      <c r="D13" s="590"/>
      <c r="E13" s="590"/>
      <c r="F13" s="591"/>
      <c r="G13" s="334" t="s">
        <v>150</v>
      </c>
      <c r="H13" s="334" t="s">
        <v>151</v>
      </c>
      <c r="K13" s="589" t="s">
        <v>115</v>
      </c>
      <c r="L13" s="590"/>
      <c r="M13" s="590"/>
      <c r="N13" s="590"/>
      <c r="O13" s="590"/>
      <c r="P13" s="590"/>
      <c r="Q13" s="590"/>
      <c r="R13" s="591"/>
    </row>
    <row r="14" spans="1:18" ht="33.6" customHeight="1" thickBot="1" x14ac:dyDescent="0.25">
      <c r="A14" s="592"/>
      <c r="B14" s="593"/>
      <c r="C14" s="593"/>
      <c r="D14" s="593"/>
      <c r="E14" s="593"/>
      <c r="F14" s="594"/>
      <c r="G14" s="95">
        <f>VAC_Optim_Scenario!$I$46</f>
        <v>225.94</v>
      </c>
      <c r="H14" s="95">
        <f>VAC_Optim_Scenario!$F$46</f>
        <v>225.94</v>
      </c>
      <c r="K14" s="592"/>
      <c r="L14" s="593"/>
      <c r="M14" s="593"/>
      <c r="N14" s="593"/>
      <c r="O14" s="593"/>
      <c r="P14" s="593"/>
      <c r="Q14" s="593"/>
      <c r="R14" s="594"/>
    </row>
    <row r="16" spans="1:18" ht="13.5" thickBot="1" x14ac:dyDescent="0.25"/>
    <row r="17" spans="1:8" ht="42.6" customHeight="1" x14ac:dyDescent="0.2">
      <c r="A17" s="587" t="s">
        <v>34</v>
      </c>
      <c r="B17" s="340" t="s">
        <v>32</v>
      </c>
      <c r="C17" s="340" t="s">
        <v>31</v>
      </c>
      <c r="D17" s="341" t="s">
        <v>33</v>
      </c>
      <c r="F17" s="96"/>
      <c r="G17" s="96"/>
      <c r="H17" s="355"/>
    </row>
    <row r="18" spans="1:8" ht="23.45" customHeight="1" thickBot="1" x14ac:dyDescent="0.25">
      <c r="A18" s="588"/>
      <c r="B18" s="75">
        <v>0</v>
      </c>
      <c r="C18" s="76">
        <v>4000000</v>
      </c>
      <c r="D18" s="26">
        <v>20</v>
      </c>
    </row>
    <row r="20" spans="1:8" x14ac:dyDescent="0.2">
      <c r="A20" s="568" t="s">
        <v>37</v>
      </c>
      <c r="B20" s="568"/>
      <c r="C20" s="568"/>
    </row>
    <row r="21" spans="1:8" ht="25.5" x14ac:dyDescent="0.2">
      <c r="A21" s="334" t="s">
        <v>35</v>
      </c>
      <c r="B21" s="334" t="s">
        <v>183</v>
      </c>
      <c r="C21" s="334" t="s">
        <v>184</v>
      </c>
      <c r="D21" s="98" t="s">
        <v>185</v>
      </c>
      <c r="E21" s="334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pageSetUpPr autoPageBreaks="0"/>
  </sheetPr>
  <dimension ref="A1:I41"/>
  <sheetViews>
    <sheetView topLeftCell="A10"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267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06"/>
      <c r="C4" s="607"/>
      <c r="D4" s="607"/>
      <c r="E4" s="607"/>
      <c r="F4" s="60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95" t="s">
        <v>8</v>
      </c>
      <c r="B7" s="600" t="s">
        <v>9</v>
      </c>
      <c r="C7" s="600"/>
      <c r="D7" s="600" t="s">
        <v>12</v>
      </c>
      <c r="E7" s="600"/>
      <c r="F7" s="600"/>
      <c r="G7" s="600" t="s">
        <v>124</v>
      </c>
      <c r="H7" s="600"/>
      <c r="I7" s="605"/>
    </row>
    <row r="8" spans="1:9" x14ac:dyDescent="0.25">
      <c r="A8" s="599"/>
      <c r="B8" s="269" t="s">
        <v>10</v>
      </c>
      <c r="C8" s="269" t="s">
        <v>11</v>
      </c>
      <c r="D8" s="269" t="s">
        <v>20</v>
      </c>
      <c r="E8" s="269" t="s">
        <v>21</v>
      </c>
      <c r="F8" s="269" t="s">
        <v>117</v>
      </c>
      <c r="G8" s="269" t="s">
        <v>22</v>
      </c>
      <c r="H8" s="269" t="s">
        <v>23</v>
      </c>
      <c r="I8" s="4" t="s">
        <v>123</v>
      </c>
    </row>
    <row r="9" spans="1:9" ht="15.75" thickBot="1" x14ac:dyDescent="0.3">
      <c r="A9" s="596"/>
      <c r="B9" s="157">
        <f>VAC_Optim_Scenario!G23</f>
        <v>4817798</v>
      </c>
      <c r="C9" s="157">
        <f>VAC_Optim_Scenario!H23</f>
        <v>12070113</v>
      </c>
      <c r="D9" s="158">
        <f>VAC_Optim_Scenario!I23</f>
        <v>6538144.1197205177</v>
      </c>
      <c r="E9" s="84">
        <f>((GSTRV!D9/$B$12)^$D$12)*$C$12*$F$12</f>
        <v>150473.54176430192</v>
      </c>
      <c r="F9" s="84">
        <f>E9*F11</f>
        <v>150473.54176430192</v>
      </c>
      <c r="G9" s="76">
        <f>VAC_Optim_Scenario!E23</f>
        <v>4817798</v>
      </c>
      <c r="H9" s="159">
        <f>((GSTRV!G9/$B$12)^$D$12)*$C$12*$F$12</f>
        <v>121516.7124715425</v>
      </c>
      <c r="I9" s="160">
        <f>H9*F11</f>
        <v>121516.7124715425</v>
      </c>
    </row>
    <row r="10" spans="1:9" ht="15.75" thickBot="1" x14ac:dyDescent="0.3"/>
    <row r="11" spans="1:9" ht="48.95" customHeight="1" x14ac:dyDescent="0.25">
      <c r="A11" s="568" t="s">
        <v>15</v>
      </c>
      <c r="B11" s="270" t="s">
        <v>16</v>
      </c>
      <c r="C11" s="270" t="s">
        <v>17</v>
      </c>
      <c r="D11" s="270" t="s">
        <v>170</v>
      </c>
      <c r="E11" s="269" t="s">
        <v>126</v>
      </c>
      <c r="F11" s="161">
        <v>1</v>
      </c>
    </row>
    <row r="12" spans="1:9" ht="40.5" customHeight="1" thickBot="1" x14ac:dyDescent="0.3">
      <c r="A12" s="568"/>
      <c r="B12" s="162">
        <f>'[12]Streaming Video - Power'!$B$12</f>
        <v>5935125</v>
      </c>
      <c r="C12" s="162">
        <f>'[12]Streaming Video - Power'!$C$12</f>
        <v>140618.64530883348</v>
      </c>
      <c r="D12" s="314">
        <f>'[12]Streaming Video - Power'!$D$12</f>
        <v>0.7</v>
      </c>
      <c r="E12" s="269" t="s">
        <v>122</v>
      </c>
      <c r="F12" s="163">
        <f>VAC_Optim_Scenario!D23</f>
        <v>1</v>
      </c>
      <c r="H12" s="266"/>
    </row>
    <row r="13" spans="1:9" ht="18.75" customHeight="1" x14ac:dyDescent="0.25">
      <c r="A13" s="589" t="s">
        <v>171</v>
      </c>
      <c r="B13" s="590"/>
      <c r="C13" s="590"/>
      <c r="D13" s="590"/>
      <c r="E13" s="269" t="s">
        <v>172</v>
      </c>
      <c r="F13" s="269" t="s">
        <v>173</v>
      </c>
    </row>
    <row r="14" spans="1:9" ht="15.75" thickBot="1" x14ac:dyDescent="0.3">
      <c r="A14" s="592"/>
      <c r="B14" s="593"/>
      <c r="C14" s="593"/>
      <c r="D14" s="59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87" t="s">
        <v>34</v>
      </c>
      <c r="B16" s="270" t="s">
        <v>32</v>
      </c>
      <c r="C16" s="270" t="s">
        <v>31</v>
      </c>
      <c r="D16" s="271" t="s">
        <v>33</v>
      </c>
    </row>
    <row r="17" spans="1:4" ht="15.75" thickBot="1" x14ac:dyDescent="0.3">
      <c r="A17" s="588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8" t="s">
        <v>37</v>
      </c>
      <c r="B19" s="568"/>
      <c r="C19" s="568"/>
      <c r="D19" s="98"/>
    </row>
    <row r="20" spans="1:4" ht="25.5" x14ac:dyDescent="0.25">
      <c r="A20" s="269" t="s">
        <v>35</v>
      </c>
      <c r="B20" s="269" t="s">
        <v>177</v>
      </c>
      <c r="C20" s="269" t="s">
        <v>174</v>
      </c>
    </row>
    <row r="21" spans="1:4" x14ac:dyDescent="0.25">
      <c r="A21" s="164">
        <f>B17</f>
        <v>0</v>
      </c>
      <c r="B21" s="159">
        <f>((GSTRV!A21/$B$12)^$D$12)*$C$12*$F$12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500000</v>
      </c>
      <c r="B22" s="159">
        <f>((GSTRV!A22/$B$12)^$D$12)*$C$12*$F$12</f>
        <v>24884.046469428908</v>
      </c>
      <c r="C22" s="165">
        <f t="shared" ref="C22:C41" si="0">B22*$F$14</f>
        <v>5622301.4593027672</v>
      </c>
    </row>
    <row r="23" spans="1:4" x14ac:dyDescent="0.25">
      <c r="A23" s="164">
        <f t="shared" ref="A23:A41" si="1">A22+(($C$17-$B$17)/$D$17)</f>
        <v>1000000</v>
      </c>
      <c r="B23" s="159">
        <f>((GSTRV!A23/$B$12)^$D$12)*$C$12*$F$12</f>
        <v>40424.252751667111</v>
      </c>
      <c r="C23" s="165">
        <f t="shared" si="0"/>
        <v>9133455.6667116676</v>
      </c>
    </row>
    <row r="24" spans="1:4" x14ac:dyDescent="0.25">
      <c r="A24" s="164">
        <f t="shared" si="1"/>
        <v>1500000</v>
      </c>
      <c r="B24" s="159">
        <f>((GSTRV!A24/$B$12)^$D$12)*$C$12*$F$12</f>
        <v>53691.542628546988</v>
      </c>
      <c r="C24" s="165">
        <f t="shared" si="0"/>
        <v>12131067.141493905</v>
      </c>
    </row>
    <row r="25" spans="1:4" x14ac:dyDescent="0.25">
      <c r="A25" s="164">
        <f t="shared" si="1"/>
        <v>2000000</v>
      </c>
      <c r="B25" s="159">
        <f>((GSTRV!A25/$B$12)^$D$12)*$C$12*$F$12</f>
        <v>65669.392336903504</v>
      </c>
      <c r="C25" s="165">
        <f t="shared" si="0"/>
        <v>14837342.504599977</v>
      </c>
    </row>
    <row r="26" spans="1:4" x14ac:dyDescent="0.25">
      <c r="A26" s="164">
        <f t="shared" si="1"/>
        <v>2500000</v>
      </c>
      <c r="B26" s="159">
        <f>((GSTRV!A26/$B$12)^$D$12)*$C$12*$F$12</f>
        <v>76771.496565679685</v>
      </c>
      <c r="C26" s="165">
        <f t="shared" si="0"/>
        <v>17345751.93404967</v>
      </c>
    </row>
    <row r="27" spans="1:4" x14ac:dyDescent="0.25">
      <c r="A27" s="164">
        <f t="shared" si="1"/>
        <v>3000000</v>
      </c>
      <c r="B27" s="159">
        <f>((GSTRV!A27/$B$12)^$D$12)*$C$12*$F$12</f>
        <v>87222.168328200525</v>
      </c>
      <c r="C27" s="165">
        <f t="shared" si="0"/>
        <v>19706976.712073628</v>
      </c>
    </row>
    <row r="28" spans="1:4" x14ac:dyDescent="0.25">
      <c r="A28" s="164">
        <f t="shared" si="1"/>
        <v>3500000</v>
      </c>
      <c r="B28" s="159">
        <f>((GSTRV!A28/$B$12)^$D$12)*$C$12*$F$12</f>
        <v>97160.475531144242</v>
      </c>
      <c r="C28" s="165">
        <f t="shared" si="0"/>
        <v>21952437.841506731</v>
      </c>
    </row>
    <row r="29" spans="1:4" x14ac:dyDescent="0.25">
      <c r="A29" s="164">
        <f t="shared" si="1"/>
        <v>4000000</v>
      </c>
      <c r="B29" s="159">
        <f>((GSTRV!A29/$B$12)^$D$12)*$C$12*$F$12</f>
        <v>106680.24258581536</v>
      </c>
      <c r="C29" s="165">
        <f t="shared" si="0"/>
        <v>24103334.009839121</v>
      </c>
    </row>
    <row r="30" spans="1:4" x14ac:dyDescent="0.25">
      <c r="A30" s="164">
        <f t="shared" si="1"/>
        <v>4500000</v>
      </c>
      <c r="B30" s="159">
        <f>((GSTRV!A30/$B$12)^$D$12)*$C$12*$F$12</f>
        <v>115848.59212406214</v>
      </c>
      <c r="C30" s="165">
        <f t="shared" si="0"/>
        <v>26174830.904510599</v>
      </c>
    </row>
    <row r="31" spans="1:4" x14ac:dyDescent="0.25">
      <c r="A31" s="164">
        <f t="shared" si="1"/>
        <v>5000000</v>
      </c>
      <c r="B31" s="159">
        <f>((GSTRV!A31/$B$12)^$D$12)*$C$12*$F$12</f>
        <v>124715.66411465566</v>
      </c>
      <c r="C31" s="165">
        <f t="shared" si="0"/>
        <v>28178257.150065299</v>
      </c>
    </row>
    <row r="32" spans="1:4" x14ac:dyDescent="0.25">
      <c r="A32" s="164">
        <f t="shared" si="1"/>
        <v>5500000</v>
      </c>
      <c r="B32" s="159">
        <f>((GSTRV!A32/$B$12)^$D$12)*$C$12*$F$12</f>
        <v>133320.17753068838</v>
      </c>
      <c r="C32" s="165">
        <f t="shared" si="0"/>
        <v>30122360.911283731</v>
      </c>
    </row>
    <row r="33" spans="1:3" x14ac:dyDescent="0.25">
      <c r="A33" s="164">
        <f t="shared" si="1"/>
        <v>6000000</v>
      </c>
      <c r="B33" s="159">
        <f>((GSTRV!A33/$B$12)^$D$12)*$C$12*$F$12</f>
        <v>141692.83047993566</v>
      </c>
      <c r="C33" s="165">
        <f t="shared" si="0"/>
        <v>32014078.11863666</v>
      </c>
    </row>
    <row r="34" spans="1:3" x14ac:dyDescent="0.25">
      <c r="A34" s="164">
        <f t="shared" si="1"/>
        <v>6500000</v>
      </c>
      <c r="B34" s="159">
        <f>((GSTRV!A34/$B$12)^$D$12)*$C$12*$F$12</f>
        <v>149858.48932590534</v>
      </c>
      <c r="C34" s="165">
        <f t="shared" si="0"/>
        <v>33859027.078295052</v>
      </c>
    </row>
    <row r="35" spans="1:3" x14ac:dyDescent="0.25">
      <c r="A35" s="164">
        <f t="shared" si="1"/>
        <v>7000000</v>
      </c>
      <c r="B35" s="159">
        <f>((GSTRV!A35/$B$12)^$D$12)*$C$12*$F$12</f>
        <v>157837.6581625666</v>
      </c>
      <c r="C35" s="165">
        <f t="shared" si="0"/>
        <v>35661840.485250294</v>
      </c>
    </row>
    <row r="36" spans="1:3" x14ac:dyDescent="0.25">
      <c r="A36" s="164">
        <f t="shared" si="1"/>
        <v>7500000</v>
      </c>
      <c r="B36" s="159">
        <f>((GSTRV!A36/$B$12)^$D$12)*$C$12*$F$12</f>
        <v>165647.49971744206</v>
      </c>
      <c r="C36" s="165">
        <f t="shared" si="0"/>
        <v>37426396.086158857</v>
      </c>
    </row>
    <row r="37" spans="1:3" x14ac:dyDescent="0.25">
      <c r="A37" s="164">
        <f t="shared" si="1"/>
        <v>8000000</v>
      </c>
      <c r="B37" s="159">
        <f>((GSTRV!A37/$B$12)^$D$12)*$C$12*$F$12</f>
        <v>173302.56536838613</v>
      </c>
      <c r="C37" s="165">
        <f t="shared" si="0"/>
        <v>39155981.619333163</v>
      </c>
    </row>
    <row r="38" spans="1:3" x14ac:dyDescent="0.25">
      <c r="A38" s="164">
        <f t="shared" si="1"/>
        <v>8500000</v>
      </c>
      <c r="B38" s="159">
        <f>((GSTRV!A38/$B$12)^$D$12)*$C$12*$F$12</f>
        <v>180815.33013485884</v>
      </c>
      <c r="C38" s="165">
        <f t="shared" si="0"/>
        <v>40853415.690670006</v>
      </c>
    </row>
    <row r="39" spans="1:3" x14ac:dyDescent="0.25">
      <c r="A39" s="164">
        <f t="shared" si="1"/>
        <v>9000000</v>
      </c>
      <c r="B39" s="159">
        <f>((GSTRV!A39/$B$12)^$D$12)*$C$12*$F$12</f>
        <v>188196.59313453117</v>
      </c>
      <c r="C39" s="165">
        <f t="shared" si="0"/>
        <v>42521138.252815969</v>
      </c>
    </row>
    <row r="40" spans="1:3" x14ac:dyDescent="0.25">
      <c r="A40" s="164">
        <f t="shared" si="1"/>
        <v>9500000</v>
      </c>
      <c r="B40" s="159">
        <f>((GSTRV!A40/$B$12)^$D$12)*$C$12*$F$12</f>
        <v>195455.78291760079</v>
      </c>
      <c r="C40" s="165">
        <f t="shared" si="0"/>
        <v>44161279.592402726</v>
      </c>
    </row>
    <row r="41" spans="1:3" x14ac:dyDescent="0.25">
      <c r="A41" s="164">
        <f t="shared" si="1"/>
        <v>10000000</v>
      </c>
      <c r="B41" s="159">
        <f>((GSTRV!A41/$B$12)^$D$12)*$C$12*$F$12</f>
        <v>202601.19408057688</v>
      </c>
      <c r="C41" s="165">
        <f t="shared" si="0"/>
        <v>45775713.790565543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C4C20-FBC0-4B33-A3B9-74FC11CC9C81}">
  <sheetPr codeName="Sheet18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291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06"/>
      <c r="C4" s="607"/>
      <c r="D4" s="607"/>
      <c r="E4" s="607"/>
      <c r="F4" s="60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95" t="s">
        <v>8</v>
      </c>
      <c r="B7" s="600" t="s">
        <v>9</v>
      </c>
      <c r="C7" s="600"/>
      <c r="D7" s="600" t="s">
        <v>12</v>
      </c>
      <c r="E7" s="600"/>
      <c r="F7" s="600"/>
      <c r="G7" s="600" t="s">
        <v>124</v>
      </c>
      <c r="H7" s="600"/>
      <c r="I7" s="605"/>
    </row>
    <row r="8" spans="1:9" x14ac:dyDescent="0.25">
      <c r="A8" s="599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596"/>
      <c r="B9" s="157">
        <f>VAC_Optim_Scenario!G33</f>
        <v>8306901</v>
      </c>
      <c r="C9" s="157">
        <f>VAC_Optim_Scenario!H33</f>
        <v>27304858</v>
      </c>
      <c r="D9" s="158">
        <f>VAC_Optim_Scenario!I33</f>
        <v>17184732.018092591</v>
      </c>
      <c r="E9" s="84">
        <f>((GSTRTV_adt!D9/$B$12)^$D$12)*$C$12*$F$12</f>
        <v>119867.60693336466</v>
      </c>
      <c r="F9" s="84">
        <f>E9*F11</f>
        <v>119867.60693336466</v>
      </c>
      <c r="G9" s="76">
        <f>VAC_Optim_Scenario!E33</f>
        <v>10268452</v>
      </c>
      <c r="H9" s="159">
        <f>((GSTRTV_adt!G9/$B$12)^$D$12)*$C$12*$F$12</f>
        <v>83590.203851267303</v>
      </c>
      <c r="I9" s="160">
        <f>H9*F11</f>
        <v>83590.203851267303</v>
      </c>
    </row>
    <row r="10" spans="1:9" ht="15.75" thickBot="1" x14ac:dyDescent="0.3"/>
    <row r="11" spans="1:9" ht="48.95" customHeight="1" x14ac:dyDescent="0.25">
      <c r="A11" s="568" t="s">
        <v>15</v>
      </c>
      <c r="B11" s="340" t="s">
        <v>16</v>
      </c>
      <c r="C11" s="340" t="s">
        <v>17</v>
      </c>
      <c r="D11" s="340" t="s">
        <v>170</v>
      </c>
      <c r="E11" s="334" t="s">
        <v>126</v>
      </c>
      <c r="F11" s="161">
        <v>1</v>
      </c>
    </row>
    <row r="12" spans="1:9" ht="40.5" customHeight="1" thickBot="1" x14ac:dyDescent="0.3">
      <c r="A12" s="568"/>
      <c r="B12" s="162">
        <f>'[13]Streaming Video - Power'!$B$12</f>
        <v>13418576</v>
      </c>
      <c r="C12" s="162">
        <f>'[13]Streaming Video - Power'!$C$12</f>
        <v>100808.3256282994</v>
      </c>
      <c r="D12" s="329">
        <f>'[13]Streaming Video - Power'!$D$12</f>
        <v>0.7</v>
      </c>
      <c r="E12" s="334" t="s">
        <v>122</v>
      </c>
      <c r="F12" s="163">
        <f>VAC_Optim_Scenario!D33</f>
        <v>1</v>
      </c>
      <c r="G12" s="266">
        <f>B12*2</f>
        <v>26837152</v>
      </c>
    </row>
    <row r="13" spans="1:9" ht="18.75" customHeight="1" x14ac:dyDescent="0.25">
      <c r="A13" s="589" t="s">
        <v>171</v>
      </c>
      <c r="B13" s="590"/>
      <c r="C13" s="590"/>
      <c r="D13" s="590"/>
      <c r="E13" s="334" t="s">
        <v>172</v>
      </c>
      <c r="F13" s="334" t="s">
        <v>173</v>
      </c>
    </row>
    <row r="14" spans="1:9" ht="15.75" thickBot="1" x14ac:dyDescent="0.3">
      <c r="A14" s="592"/>
      <c r="B14" s="593"/>
      <c r="C14" s="593"/>
      <c r="D14" s="59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87" t="s">
        <v>34</v>
      </c>
      <c r="B16" s="340" t="s">
        <v>32</v>
      </c>
      <c r="C16" s="340" t="s">
        <v>31</v>
      </c>
      <c r="D16" s="341" t="s">
        <v>33</v>
      </c>
    </row>
    <row r="17" spans="1:4" ht="15.75" thickBot="1" x14ac:dyDescent="0.3">
      <c r="A17" s="588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8" t="s">
        <v>37</v>
      </c>
      <c r="B19" s="568"/>
      <c r="C19" s="568"/>
      <c r="D19" s="98"/>
    </row>
    <row r="20" spans="1:4" ht="25.5" x14ac:dyDescent="0.25">
      <c r="A20" s="334" t="s">
        <v>35</v>
      </c>
      <c r="B20" s="334" t="s">
        <v>177</v>
      </c>
      <c r="C20" s="334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750000</v>
      </c>
      <c r="B22" s="159">
        <f t="shared" ref="B22:B41" si="0">((A22/$B$12)^$D$12)*$C$12</f>
        <v>13385.813954759049</v>
      </c>
      <c r="C22" s="165">
        <f t="shared" ref="C22:C41" si="1">B22*$F$14</f>
        <v>3024390.8049382595</v>
      </c>
    </row>
    <row r="23" spans="1:4" x14ac:dyDescent="0.25">
      <c r="A23" s="164">
        <f t="shared" ref="A23:A41" si="2">A22+(($C$17-$B$17)/$D$17)</f>
        <v>1500000</v>
      </c>
      <c r="B23" s="159">
        <f t="shared" si="0"/>
        <v>21745.318923863546</v>
      </c>
      <c r="C23" s="165">
        <f t="shared" si="1"/>
        <v>4913137.3576577296</v>
      </c>
    </row>
    <row r="24" spans="1:4" x14ac:dyDescent="0.25">
      <c r="A24" s="164">
        <f t="shared" si="2"/>
        <v>2250000</v>
      </c>
      <c r="B24" s="159">
        <f t="shared" si="0"/>
        <v>28882.159557638814</v>
      </c>
      <c r="C24" s="165">
        <f t="shared" si="1"/>
        <v>6525635.1304529132</v>
      </c>
    </row>
    <row r="25" spans="1:4" x14ac:dyDescent="0.25">
      <c r="A25" s="164">
        <f t="shared" si="2"/>
        <v>3000000</v>
      </c>
      <c r="B25" s="159">
        <f t="shared" si="0"/>
        <v>35325.374810877525</v>
      </c>
      <c r="C25" s="165">
        <f t="shared" si="1"/>
        <v>7981415.1847696677</v>
      </c>
    </row>
    <row r="26" spans="1:4" x14ac:dyDescent="0.25">
      <c r="A26" s="164">
        <f t="shared" si="2"/>
        <v>3750000</v>
      </c>
      <c r="B26" s="159">
        <f t="shared" si="0"/>
        <v>41297.502450781918</v>
      </c>
      <c r="C26" s="165">
        <f t="shared" si="1"/>
        <v>9330757.7037296668</v>
      </c>
    </row>
    <row r="27" spans="1:4" x14ac:dyDescent="0.25">
      <c r="A27" s="164">
        <f t="shared" si="2"/>
        <v>4500000</v>
      </c>
      <c r="B27" s="159">
        <f t="shared" si="0"/>
        <v>46919.206625270555</v>
      </c>
      <c r="C27" s="165">
        <f t="shared" si="1"/>
        <v>10600925.544913629</v>
      </c>
    </row>
    <row r="28" spans="1:4" x14ac:dyDescent="0.25">
      <c r="A28" s="164">
        <f t="shared" si="2"/>
        <v>5250000</v>
      </c>
      <c r="B28" s="159">
        <f t="shared" si="0"/>
        <v>52265.295791567616</v>
      </c>
      <c r="C28" s="165">
        <f t="shared" si="1"/>
        <v>11808820.931146787</v>
      </c>
    </row>
    <row r="29" spans="1:4" x14ac:dyDescent="0.25">
      <c r="A29" s="164">
        <f t="shared" si="2"/>
        <v>6000000</v>
      </c>
      <c r="B29" s="159">
        <f t="shared" si="0"/>
        <v>57386.24068463494</v>
      </c>
      <c r="C29" s="165">
        <f t="shared" si="1"/>
        <v>12965847.220286418</v>
      </c>
    </row>
    <row r="30" spans="1:4" x14ac:dyDescent="0.25">
      <c r="A30" s="164">
        <f t="shared" si="2"/>
        <v>6750000</v>
      </c>
      <c r="B30" s="159">
        <f t="shared" si="0"/>
        <v>62318.148416841854</v>
      </c>
      <c r="C30" s="165">
        <f t="shared" si="1"/>
        <v>14080162.453301249</v>
      </c>
    </row>
    <row r="31" spans="1:4" x14ac:dyDescent="0.25">
      <c r="A31" s="164">
        <f t="shared" si="2"/>
        <v>7500000</v>
      </c>
      <c r="B31" s="159">
        <f t="shared" si="0"/>
        <v>67087.990658350245</v>
      </c>
      <c r="C31" s="165">
        <f t="shared" si="1"/>
        <v>15157860.609347655</v>
      </c>
    </row>
    <row r="32" spans="1:4" x14ac:dyDescent="0.25">
      <c r="A32" s="164">
        <f t="shared" si="2"/>
        <v>8250000</v>
      </c>
      <c r="B32" s="159">
        <f t="shared" si="0"/>
        <v>71716.595411188333</v>
      </c>
      <c r="C32" s="165">
        <f t="shared" si="1"/>
        <v>16203647.567203892</v>
      </c>
    </row>
    <row r="33" spans="1:3" x14ac:dyDescent="0.25">
      <c r="A33" s="164">
        <f t="shared" si="2"/>
        <v>9000000</v>
      </c>
      <c r="B33" s="159">
        <f t="shared" si="0"/>
        <v>76220.476033018742</v>
      </c>
      <c r="C33" s="165">
        <f t="shared" si="1"/>
        <v>17221254.354900256</v>
      </c>
    </row>
    <row r="34" spans="1:3" x14ac:dyDescent="0.25">
      <c r="A34" s="164">
        <f t="shared" si="2"/>
        <v>9750000</v>
      </c>
      <c r="B34" s="159">
        <f t="shared" si="0"/>
        <v>80613.00882564421</v>
      </c>
      <c r="C34" s="165">
        <f t="shared" si="1"/>
        <v>18213703.214066051</v>
      </c>
    </row>
    <row r="35" spans="1:3" x14ac:dyDescent="0.25">
      <c r="A35" s="164">
        <f t="shared" si="2"/>
        <v>10500000</v>
      </c>
      <c r="B35" s="159">
        <f t="shared" si="0"/>
        <v>84905.223505936534</v>
      </c>
      <c r="C35" s="165">
        <f t="shared" si="1"/>
        <v>19183486.198931299</v>
      </c>
    </row>
    <row r="36" spans="1:3" x14ac:dyDescent="0.25">
      <c r="A36" s="164">
        <f t="shared" si="2"/>
        <v>11250000</v>
      </c>
      <c r="B36" s="159">
        <f t="shared" si="0"/>
        <v>89106.352377727613</v>
      </c>
      <c r="C36" s="165">
        <f t="shared" si="1"/>
        <v>20132689.256223775</v>
      </c>
    </row>
    <row r="37" spans="1:3" x14ac:dyDescent="0.25">
      <c r="A37" s="164">
        <f t="shared" si="2"/>
        <v>12000000</v>
      </c>
      <c r="B37" s="159">
        <f t="shared" si="0"/>
        <v>93224.223027940854</v>
      </c>
      <c r="C37" s="165">
        <f t="shared" si="1"/>
        <v>21063080.950932957</v>
      </c>
    </row>
    <row r="38" spans="1:3" x14ac:dyDescent="0.25">
      <c r="A38" s="164">
        <f t="shared" si="2"/>
        <v>12750000</v>
      </c>
      <c r="B38" s="159">
        <f t="shared" si="0"/>
        <v>97265.546113132033</v>
      </c>
      <c r="C38" s="165">
        <f t="shared" si="1"/>
        <v>21976177.488801051</v>
      </c>
    </row>
    <row r="39" spans="1:3" x14ac:dyDescent="0.25">
      <c r="A39" s="164">
        <f t="shared" si="2"/>
        <v>13500000</v>
      </c>
      <c r="B39" s="159">
        <f t="shared" si="0"/>
        <v>101236.13077612668</v>
      </c>
      <c r="C39" s="165">
        <f t="shared" si="1"/>
        <v>22873291.387558062</v>
      </c>
    </row>
    <row r="40" spans="1:3" x14ac:dyDescent="0.25">
      <c r="A40" s="164">
        <f t="shared" si="2"/>
        <v>14250000</v>
      </c>
      <c r="B40" s="159">
        <f t="shared" si="0"/>
        <v>105141.04889375818</v>
      </c>
      <c r="C40" s="165">
        <f t="shared" si="1"/>
        <v>23755568.587055724</v>
      </c>
    </row>
    <row r="41" spans="1:3" x14ac:dyDescent="0.25">
      <c r="A41" s="164">
        <f t="shared" si="2"/>
        <v>15000000</v>
      </c>
      <c r="B41" s="159">
        <f t="shared" si="0"/>
        <v>108984.76235793946</v>
      </c>
      <c r="C41" s="165">
        <f t="shared" si="1"/>
        <v>24624017.20715284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dimension ref="A1:R44"/>
  <sheetViews>
    <sheetView topLeftCell="A7" workbookViewId="0">
      <selection activeCell="A23" sqref="A23:A4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265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316" t="s">
        <v>102</v>
      </c>
      <c r="I2" s="317"/>
      <c r="J2" s="317"/>
      <c r="K2" s="317"/>
      <c r="L2" s="318"/>
    </row>
    <row r="3" spans="1:18" ht="13.5" thickBot="1" x14ac:dyDescent="0.25">
      <c r="A3" s="11" t="s">
        <v>3</v>
      </c>
      <c r="B3" s="12" t="s">
        <v>167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597" t="s">
        <v>106</v>
      </c>
      <c r="C4" s="597"/>
      <c r="D4" s="597"/>
      <c r="E4" s="597"/>
      <c r="F4" s="598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595" t="s">
        <v>8</v>
      </c>
      <c r="B7" s="600" t="s">
        <v>9</v>
      </c>
      <c r="C7" s="601"/>
      <c r="D7" s="602" t="s">
        <v>12</v>
      </c>
      <c r="E7" s="603"/>
      <c r="F7" s="604"/>
      <c r="G7" s="600" t="s">
        <v>124</v>
      </c>
      <c r="H7" s="600"/>
      <c r="I7" s="605"/>
      <c r="J7" s="98" t="s">
        <v>125</v>
      </c>
    </row>
    <row r="8" spans="1:18" ht="28.15" customHeight="1" x14ac:dyDescent="0.2">
      <c r="A8" s="599"/>
      <c r="B8" s="320" t="s">
        <v>10</v>
      </c>
      <c r="C8" s="17" t="s">
        <v>11</v>
      </c>
      <c r="D8" s="19" t="s">
        <v>20</v>
      </c>
      <c r="E8" s="320" t="s">
        <v>21</v>
      </c>
      <c r="F8" s="81" t="s">
        <v>117</v>
      </c>
      <c r="G8" s="319" t="s">
        <v>22</v>
      </c>
      <c r="H8" s="320" t="s">
        <v>23</v>
      </c>
      <c r="I8" s="88" t="s">
        <v>123</v>
      </c>
    </row>
    <row r="9" spans="1:18" ht="14.65" customHeight="1" thickBot="1" x14ac:dyDescent="0.25">
      <c r="A9" s="596"/>
      <c r="B9" s="95">
        <f>VAC_Optim_Scenario!G24</f>
        <v>1600000</v>
      </c>
      <c r="C9" s="95">
        <f>VAC_Optim_Scenario!H24</f>
        <v>7000000</v>
      </c>
      <c r="D9" s="68">
        <f>VAC_Optim_Scenario!I24</f>
        <v>5208923.3353606053</v>
      </c>
      <c r="E9" s="84">
        <f>((($R$12/(1+EXP($P$12+$Q$12*D9)))-1) - ($F$12-$C$12))*$I$12</f>
        <v>209206.85139871389</v>
      </c>
      <c r="F9" s="89">
        <f>E9*$G$12</f>
        <v>209206.85139871389</v>
      </c>
      <c r="G9" s="95">
        <f>VAC_Optim_Scenario!E24</f>
        <v>3540000</v>
      </c>
      <c r="H9" s="85">
        <f>((($R$12/(1+EXP($P$12+$Q$12*G9)))-1) - ($F$12-$C$12))*$I$12</f>
        <v>173899.1701768022</v>
      </c>
      <c r="I9" s="90">
        <f>H9*$G$12</f>
        <v>173899.1701768022</v>
      </c>
      <c r="J9" s="87">
        <f>G9/I9</f>
        <v>20.356623878083514</v>
      </c>
      <c r="K9" s="98" t="s">
        <v>198</v>
      </c>
    </row>
    <row r="10" spans="1:18" ht="13.5" thickBot="1" x14ac:dyDescent="0.25"/>
    <row r="11" spans="1:18" ht="51.6" customHeight="1" x14ac:dyDescent="0.2">
      <c r="A11" s="595" t="s">
        <v>15</v>
      </c>
      <c r="B11" s="322" t="s">
        <v>16</v>
      </c>
      <c r="C11" s="322" t="s">
        <v>17</v>
      </c>
      <c r="D11" s="322" t="s">
        <v>18</v>
      </c>
      <c r="E11" s="322" t="s">
        <v>19</v>
      </c>
      <c r="F11" s="323" t="s">
        <v>109</v>
      </c>
      <c r="G11" s="321" t="s">
        <v>118</v>
      </c>
      <c r="H11" s="322" t="s">
        <v>119</v>
      </c>
      <c r="I11" s="92" t="s">
        <v>122</v>
      </c>
      <c r="K11" s="587" t="s">
        <v>25</v>
      </c>
      <c r="L11" s="322" t="s">
        <v>110</v>
      </c>
      <c r="M11" s="322" t="s">
        <v>111</v>
      </c>
      <c r="N11" s="322" t="s">
        <v>112</v>
      </c>
      <c r="O11" s="322" t="s">
        <v>113</v>
      </c>
      <c r="P11" s="322" t="s">
        <v>26</v>
      </c>
      <c r="Q11" s="322" t="s">
        <v>27</v>
      </c>
      <c r="R11" s="323" t="s">
        <v>28</v>
      </c>
    </row>
    <row r="12" spans="1:18" ht="15" customHeight="1" thickBot="1" x14ac:dyDescent="0.25">
      <c r="A12" s="596"/>
      <c r="B12" s="95">
        <f>'[14]HCC Display'!$B$12</f>
        <v>1648357.37</v>
      </c>
      <c r="C12" s="95">
        <f>'[14]HCC Display'!$C$12</f>
        <v>104116.3698638577</v>
      </c>
      <c r="D12" s="95">
        <f>'[14]HCC Display'!$D$12</f>
        <v>0</v>
      </c>
      <c r="E12" s="95">
        <f>'[14]HCC Display'!$E$12</f>
        <v>260290.92465964428</v>
      </c>
      <c r="F12" s="95">
        <f>'[14]HCC Display'!$F$12</f>
        <v>8649234</v>
      </c>
      <c r="G12" s="91">
        <f>VAC_Optim_Scenario!$D$46</f>
        <v>1</v>
      </c>
      <c r="H12" s="71">
        <f>C12*G12</f>
        <v>104116.3698638577</v>
      </c>
      <c r="I12" s="115">
        <f>VAC_Optim_Scenario!D22</f>
        <v>1</v>
      </c>
      <c r="K12" s="588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589" t="s">
        <v>114</v>
      </c>
      <c r="B13" s="590"/>
      <c r="C13" s="590"/>
      <c r="D13" s="590"/>
      <c r="E13" s="590"/>
      <c r="F13" s="591"/>
      <c r="G13" s="320" t="s">
        <v>150</v>
      </c>
      <c r="H13" s="320" t="s">
        <v>151</v>
      </c>
      <c r="K13" s="589" t="s">
        <v>115</v>
      </c>
      <c r="L13" s="590"/>
      <c r="M13" s="590"/>
      <c r="N13" s="590"/>
      <c r="O13" s="590"/>
      <c r="P13" s="590"/>
      <c r="Q13" s="590"/>
      <c r="R13" s="591"/>
    </row>
    <row r="14" spans="1:18" ht="33.6" customHeight="1" thickBot="1" x14ac:dyDescent="0.25">
      <c r="A14" s="592"/>
      <c r="B14" s="593"/>
      <c r="C14" s="593"/>
      <c r="D14" s="593"/>
      <c r="E14" s="593"/>
      <c r="F14" s="594"/>
      <c r="G14" s="95">
        <f>VAC_Optim_Scenario!$I$46</f>
        <v>225.94</v>
      </c>
      <c r="H14" s="95">
        <f>VAC_Optim_Scenario!$F$46</f>
        <v>225.94</v>
      </c>
      <c r="K14" s="592"/>
      <c r="L14" s="593"/>
      <c r="M14" s="593"/>
      <c r="N14" s="593"/>
      <c r="O14" s="593"/>
      <c r="P14" s="593"/>
      <c r="Q14" s="593"/>
      <c r="R14" s="594"/>
    </row>
    <row r="16" spans="1:18" ht="13.5" thickBot="1" x14ac:dyDescent="0.25"/>
    <row r="17" spans="1:8" ht="42.6" customHeight="1" x14ac:dyDescent="0.2">
      <c r="A17" s="587" t="s">
        <v>34</v>
      </c>
      <c r="B17" s="322" t="s">
        <v>32</v>
      </c>
      <c r="C17" s="322" t="s">
        <v>31</v>
      </c>
      <c r="D17" s="323" t="s">
        <v>33</v>
      </c>
      <c r="F17" s="82"/>
      <c r="G17" s="82"/>
      <c r="H17" s="83"/>
    </row>
    <row r="18" spans="1:8" ht="23.65" customHeight="1" thickBot="1" x14ac:dyDescent="0.25">
      <c r="A18" s="588"/>
      <c r="B18" s="75">
        <v>0</v>
      </c>
      <c r="C18" s="76">
        <v>4000000</v>
      </c>
      <c r="D18" s="26">
        <v>20</v>
      </c>
    </row>
    <row r="20" spans="1:8" x14ac:dyDescent="0.2">
      <c r="A20" s="568" t="s">
        <v>37</v>
      </c>
      <c r="B20" s="568"/>
      <c r="C20" s="568"/>
    </row>
    <row r="21" spans="1:8" ht="25.5" x14ac:dyDescent="0.2">
      <c r="A21" s="320" t="s">
        <v>35</v>
      </c>
      <c r="B21" s="320" t="s">
        <v>120</v>
      </c>
      <c r="C21" s="320" t="s">
        <v>199</v>
      </c>
      <c r="D21" s="98" t="s">
        <v>121</v>
      </c>
      <c r="E21" s="320" t="s">
        <v>152</v>
      </c>
    </row>
    <row r="22" spans="1:8" x14ac:dyDescent="0.2">
      <c r="A22" s="86">
        <v>0</v>
      </c>
      <c r="B22" s="79">
        <f t="shared" ref="B22:B44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15557.504463624209</v>
      </c>
      <c r="C23" s="79">
        <f t="shared" ref="C23:C42" si="1">B23*$G$12</f>
        <v>15557.504463624209</v>
      </c>
      <c r="D23" s="98">
        <f>(B23-B22)/A23</f>
        <v>7.7787522318121041E-2</v>
      </c>
      <c r="E23" s="116">
        <f t="shared" ref="E23:E42" si="2">B23*$H$14</f>
        <v>3515062.5585112539</v>
      </c>
    </row>
    <row r="24" spans="1:8" x14ac:dyDescent="0.2">
      <c r="A24" s="86">
        <f t="shared" ref="A24:A44" si="3">A23+(($C$18-$B$18)/$D$18)</f>
        <v>400000</v>
      </c>
      <c r="B24" s="79">
        <f t="shared" si="0"/>
        <v>30210.178954537958</v>
      </c>
      <c r="C24" s="79">
        <f t="shared" si="1"/>
        <v>30210.178954537958</v>
      </c>
      <c r="D24" s="98">
        <f t="shared" ref="D24:D42" si="4">(B24-B23)/A24</f>
        <v>3.6631686227284369E-2</v>
      </c>
      <c r="E24" s="116">
        <f t="shared" si="2"/>
        <v>6825687.8329883059</v>
      </c>
    </row>
    <row r="25" spans="1:8" x14ac:dyDescent="0.2">
      <c r="A25" s="86">
        <f t="shared" si="3"/>
        <v>600000</v>
      </c>
      <c r="B25" s="79">
        <f t="shared" si="0"/>
        <v>44007.733169870451</v>
      </c>
      <c r="C25" s="79">
        <f t="shared" si="1"/>
        <v>44007.733169870451</v>
      </c>
      <c r="D25" s="98">
        <f t="shared" si="4"/>
        <v>2.299592369222082E-2</v>
      </c>
      <c r="E25" s="116">
        <f t="shared" si="2"/>
        <v>9943107.2324005291</v>
      </c>
    </row>
    <row r="26" spans="1:8" x14ac:dyDescent="0.2">
      <c r="A26" s="86">
        <f t="shared" si="3"/>
        <v>800000</v>
      </c>
      <c r="B26" s="79">
        <f t="shared" si="0"/>
        <v>56997.486703637987</v>
      </c>
      <c r="C26" s="79">
        <f t="shared" si="1"/>
        <v>56997.486703637987</v>
      </c>
      <c r="D26" s="98">
        <f t="shared" si="4"/>
        <v>1.6237191917209421E-2</v>
      </c>
      <c r="E26" s="116">
        <f t="shared" si="2"/>
        <v>12878012.145819968</v>
      </c>
    </row>
    <row r="27" spans="1:8" x14ac:dyDescent="0.2">
      <c r="A27" s="86">
        <f t="shared" si="3"/>
        <v>1000000</v>
      </c>
      <c r="B27" s="79">
        <f t="shared" si="0"/>
        <v>69224.443148005754</v>
      </c>
      <c r="C27" s="79">
        <f t="shared" si="1"/>
        <v>69224.443148005754</v>
      </c>
      <c r="D27" s="98">
        <f t="shared" si="4"/>
        <v>1.2226956444367767E-2</v>
      </c>
      <c r="E27" s="116">
        <f t="shared" si="2"/>
        <v>15640570.684860419</v>
      </c>
    </row>
    <row r="28" spans="1:8" x14ac:dyDescent="0.2">
      <c r="A28" s="86">
        <f t="shared" si="3"/>
        <v>1200000</v>
      </c>
      <c r="B28" s="79">
        <f t="shared" si="0"/>
        <v>80731.367248687893</v>
      </c>
      <c r="C28" s="79">
        <f t="shared" si="1"/>
        <v>80731.367248687893</v>
      </c>
      <c r="D28" s="98">
        <f t="shared" si="4"/>
        <v>9.5891034172351161E-3</v>
      </c>
      <c r="E28" s="116">
        <f t="shared" si="2"/>
        <v>18240445.116168544</v>
      </c>
    </row>
    <row r="29" spans="1:8" x14ac:dyDescent="0.2">
      <c r="A29" s="86">
        <f t="shared" si="3"/>
        <v>1400000</v>
      </c>
      <c r="B29" s="79">
        <f t="shared" si="0"/>
        <v>91558.864192372188</v>
      </c>
      <c r="C29" s="79">
        <f t="shared" si="1"/>
        <v>91558.864192372188</v>
      </c>
      <c r="D29" s="98">
        <f t="shared" si="4"/>
        <v>7.7339263883459252E-3</v>
      </c>
      <c r="E29" s="116">
        <f t="shared" si="2"/>
        <v>20686809.775624573</v>
      </c>
    </row>
    <row r="30" spans="1:8" x14ac:dyDescent="0.2">
      <c r="A30" s="86">
        <f t="shared" si="3"/>
        <v>1600000</v>
      </c>
      <c r="B30" s="79">
        <f t="shared" si="0"/>
        <v>101745.4602210708</v>
      </c>
      <c r="C30" s="79">
        <f t="shared" si="1"/>
        <v>101745.4602210708</v>
      </c>
      <c r="D30" s="98">
        <f t="shared" si="4"/>
        <v>6.3666225179366299E-3</v>
      </c>
      <c r="E30" s="116">
        <f t="shared" si="2"/>
        <v>22988369.282348737</v>
      </c>
    </row>
    <row r="31" spans="1:8" x14ac:dyDescent="0.2">
      <c r="A31" s="86">
        <f t="shared" si="3"/>
        <v>1800000</v>
      </c>
      <c r="B31" s="79">
        <f t="shared" si="0"/>
        <v>111327.68387522176</v>
      </c>
      <c r="C31" s="79">
        <f t="shared" si="1"/>
        <v>111327.68387522176</v>
      </c>
      <c r="D31" s="98">
        <f t="shared" si="4"/>
        <v>5.3234575856394234E-3</v>
      </c>
      <c r="E31" s="116">
        <f t="shared" si="2"/>
        <v>25153376.894767605</v>
      </c>
    </row>
    <row r="32" spans="1:8" x14ac:dyDescent="0.2">
      <c r="A32" s="86">
        <f t="shared" si="3"/>
        <v>2000000</v>
      </c>
      <c r="B32" s="79">
        <f t="shared" si="0"/>
        <v>120340.14726417325</v>
      </c>
      <c r="C32" s="79">
        <f t="shared" si="1"/>
        <v>120340.14726417325</v>
      </c>
      <c r="D32" s="98">
        <f t="shared" si="4"/>
        <v>4.506231694475748E-3</v>
      </c>
      <c r="E32" s="116">
        <f t="shared" si="2"/>
        <v>27189652.872867305</v>
      </c>
    </row>
    <row r="33" spans="1:5" x14ac:dyDescent="0.2">
      <c r="A33" s="86">
        <f t="shared" si="3"/>
        <v>2200000</v>
      </c>
      <c r="B33" s="79">
        <f t="shared" si="0"/>
        <v>128815.62685035542</v>
      </c>
      <c r="C33" s="79">
        <f t="shared" si="1"/>
        <v>128815.62685035542</v>
      </c>
      <c r="D33" s="98">
        <f t="shared" si="4"/>
        <v>3.8524907209918917E-3</v>
      </c>
      <c r="E33" s="116">
        <f t="shared" si="2"/>
        <v>29104602.730569303</v>
      </c>
    </row>
    <row r="34" spans="1:5" x14ac:dyDescent="0.2">
      <c r="A34" s="86">
        <f t="shared" si="3"/>
        <v>2400000</v>
      </c>
      <c r="B34" s="79">
        <f t="shared" si="0"/>
        <v>136785.1433120314</v>
      </c>
      <c r="C34" s="79">
        <f t="shared" si="1"/>
        <v>136785.1433120314</v>
      </c>
      <c r="D34" s="98">
        <f t="shared" si="4"/>
        <v>3.320631859031661E-3</v>
      </c>
      <c r="E34" s="116">
        <f t="shared" si="2"/>
        <v>30905235.279920373</v>
      </c>
    </row>
    <row r="35" spans="1:5" x14ac:dyDescent="0.2">
      <c r="A35" s="86">
        <f t="shared" si="3"/>
        <v>2600000</v>
      </c>
      <c r="B35" s="79">
        <f t="shared" si="0"/>
        <v>144278.04012008384</v>
      </c>
      <c r="C35" s="79">
        <f t="shared" si="1"/>
        <v>144278.04012008384</v>
      </c>
      <c r="D35" s="98">
        <f t="shared" si="4"/>
        <v>2.881883387712475E-3</v>
      </c>
      <c r="E35" s="116">
        <f t="shared" si="2"/>
        <v>32598180.384731743</v>
      </c>
    </row>
    <row r="36" spans="1:5" x14ac:dyDescent="0.2">
      <c r="A36" s="86">
        <f t="shared" si="3"/>
        <v>2800000</v>
      </c>
      <c r="B36" s="79">
        <f t="shared" si="0"/>
        <v>151322.0605268646</v>
      </c>
      <c r="C36" s="79">
        <f t="shared" si="1"/>
        <v>151322.0605268646</v>
      </c>
      <c r="D36" s="98">
        <f t="shared" si="4"/>
        <v>2.5157215738502731E-3</v>
      </c>
      <c r="E36" s="116">
        <f t="shared" si="2"/>
        <v>34189706.35543979</v>
      </c>
    </row>
    <row r="37" spans="1:5" x14ac:dyDescent="0.2">
      <c r="A37" s="86">
        <f t="shared" si="3"/>
        <v>3000000</v>
      </c>
      <c r="B37" s="79">
        <f t="shared" si="0"/>
        <v>157943.42272098549</v>
      </c>
      <c r="C37" s="79">
        <f t="shared" si="1"/>
        <v>157943.42272098549</v>
      </c>
      <c r="D37" s="98">
        <f t="shared" si="4"/>
        <v>2.2071207313736278E-3</v>
      </c>
      <c r="E37" s="116">
        <f t="shared" si="2"/>
        <v>35685736.929579459</v>
      </c>
    </row>
    <row r="38" spans="1:5" x14ac:dyDescent="0.2">
      <c r="A38" s="86">
        <f t="shared" si="3"/>
        <v>3200000</v>
      </c>
      <c r="B38" s="79">
        <f t="shared" si="0"/>
        <v>164166.89295089245</v>
      </c>
      <c r="C38" s="79">
        <f t="shared" si="1"/>
        <v>164166.89295089245</v>
      </c>
      <c r="D38" s="98">
        <f t="shared" si="4"/>
        <v>1.9448344468459254E-3</v>
      </c>
      <c r="E38" s="116">
        <f t="shared" si="2"/>
        <v>37091867.793324642</v>
      </c>
    </row>
    <row r="39" spans="1:5" x14ac:dyDescent="0.2">
      <c r="A39" s="86">
        <f t="shared" si="3"/>
        <v>3400000</v>
      </c>
      <c r="B39" s="79">
        <f t="shared" si="0"/>
        <v>170015.85646333545</v>
      </c>
      <c r="C39" s="79">
        <f t="shared" si="1"/>
        <v>170015.85646333545</v>
      </c>
      <c r="D39" s="98">
        <f t="shared" si="4"/>
        <v>1.7202833860126489E-3</v>
      </c>
      <c r="E39" s="116">
        <f t="shared" si="2"/>
        <v>38413382.609326012</v>
      </c>
    </row>
    <row r="40" spans="1:5" x14ac:dyDescent="0.2">
      <c r="A40" s="86">
        <f t="shared" si="3"/>
        <v>3600000</v>
      </c>
      <c r="B40" s="79">
        <f t="shared" si="0"/>
        <v>175512.38614063896</v>
      </c>
      <c r="C40" s="79">
        <f t="shared" si="1"/>
        <v>175512.38614063896</v>
      </c>
      <c r="D40" s="98">
        <f t="shared" si="4"/>
        <v>1.5268137992509743E-3</v>
      </c>
      <c r="E40" s="116">
        <f t="shared" si="2"/>
        <v>39655268.524615966</v>
      </c>
    </row>
    <row r="41" spans="1:5" x14ac:dyDescent="0.2">
      <c r="A41" s="86">
        <f t="shared" si="3"/>
        <v>3800000</v>
      </c>
      <c r="B41" s="79">
        <f t="shared" si="0"/>
        <v>180677.30875347368</v>
      </c>
      <c r="C41" s="79">
        <f t="shared" si="1"/>
        <v>180677.30875347368</v>
      </c>
      <c r="D41" s="98">
        <f t="shared" si="4"/>
        <v>1.3591901612722951E-3</v>
      </c>
      <c r="E41" s="116">
        <f t="shared" si="2"/>
        <v>40822231.139759846</v>
      </c>
    </row>
    <row r="42" spans="1:5" x14ac:dyDescent="0.2">
      <c r="A42" s="86">
        <f t="shared" si="3"/>
        <v>4000000</v>
      </c>
      <c r="B42" s="79">
        <f t="shared" si="0"/>
        <v>185530.26877435111</v>
      </c>
      <c r="C42" s="79">
        <f t="shared" si="1"/>
        <v>185530.26877435111</v>
      </c>
      <c r="D42" s="98">
        <f t="shared" si="4"/>
        <v>1.2132400052193553E-3</v>
      </c>
      <c r="E42" s="116">
        <f t="shared" si="2"/>
        <v>41918708.926876888</v>
      </c>
    </row>
    <row r="43" spans="1:5" x14ac:dyDescent="0.2">
      <c r="A43" s="86">
        <f t="shared" si="3"/>
        <v>4200000</v>
      </c>
      <c r="B43" s="79">
        <f t="shared" si="0"/>
        <v>190089.78972152248</v>
      </c>
    </row>
    <row r="44" spans="1:5" x14ac:dyDescent="0.2">
      <c r="A44" s="86">
        <f t="shared" si="3"/>
        <v>4400000</v>
      </c>
      <c r="B44" s="79">
        <f t="shared" si="0"/>
        <v>194373.33302392811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A5645-F7B0-434B-A606-23154799B373}">
  <sheetPr codeName="Sheet19">
    <tabColor theme="0" tint="-4.9989318521683403E-2"/>
  </sheetPr>
  <dimension ref="A1:I41"/>
  <sheetViews>
    <sheetView workbookViewId="0">
      <selection activeCell="D9" sqref="D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294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293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06"/>
      <c r="C4" s="607"/>
      <c r="D4" s="607"/>
      <c r="E4" s="607"/>
      <c r="F4" s="60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95" t="s">
        <v>8</v>
      </c>
      <c r="B7" s="600" t="s">
        <v>9</v>
      </c>
      <c r="C7" s="600"/>
      <c r="D7" s="600" t="s">
        <v>12</v>
      </c>
      <c r="E7" s="600"/>
      <c r="F7" s="600"/>
      <c r="G7" s="600" t="s">
        <v>124</v>
      </c>
      <c r="H7" s="600"/>
      <c r="I7" s="605"/>
    </row>
    <row r="8" spans="1:9" x14ac:dyDescent="0.25">
      <c r="A8" s="599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596"/>
      <c r="B9" s="157">
        <f>VAC_Optim_Scenario!G34</f>
        <v>2900000</v>
      </c>
      <c r="C9" s="157">
        <f>VAC_Optim_Scenario!H34</f>
        <v>5000000</v>
      </c>
      <c r="D9" s="158">
        <f>VAC_Optim_Scenario!I34</f>
        <v>5000000</v>
      </c>
      <c r="E9" s="84">
        <f>((GDISP_adt!D9/$B$12)^$D$12)*$C$12*$F$12</f>
        <v>106365.19760151411</v>
      </c>
      <c r="F9" s="84">
        <f>E9*F11</f>
        <v>106365.19760151411</v>
      </c>
      <c r="G9" s="76">
        <f>VAC_Optim_Scenario!E34</f>
        <v>4000000</v>
      </c>
      <c r="H9" s="159">
        <f>((GDISP_adt!G9/$B$12)^$D$12)*$C$12*$F$12</f>
        <v>93036.538435982438</v>
      </c>
      <c r="I9" s="160">
        <f>H9*F11</f>
        <v>93036.538435982438</v>
      </c>
    </row>
    <row r="10" spans="1:9" ht="15.75" thickBot="1" x14ac:dyDescent="0.3"/>
    <row r="11" spans="1:9" ht="48.95" customHeight="1" x14ac:dyDescent="0.25">
      <c r="A11" s="568" t="s">
        <v>15</v>
      </c>
      <c r="B11" s="340" t="s">
        <v>16</v>
      </c>
      <c r="C11" s="340" t="s">
        <v>17</v>
      </c>
      <c r="D11" s="340" t="s">
        <v>170</v>
      </c>
      <c r="E11" s="334" t="s">
        <v>126</v>
      </c>
      <c r="F11" s="161">
        <v>1</v>
      </c>
    </row>
    <row r="12" spans="1:9" ht="40.5" customHeight="1" thickBot="1" x14ac:dyDescent="0.3">
      <c r="A12" s="568"/>
      <c r="B12" s="162">
        <f>'[15]HCC Display - Power'!$B$12</f>
        <v>2859426.82</v>
      </c>
      <c r="C12" s="162">
        <f>'[15]HCC Display - Power'!$C$12</f>
        <v>76065.012406995462</v>
      </c>
      <c r="D12" s="329">
        <f>'[15]HCC Display - Power'!$D$12</f>
        <v>0.6</v>
      </c>
      <c r="E12" s="334" t="s">
        <v>122</v>
      </c>
      <c r="F12" s="163">
        <f>VAC_Optim_Scenario!D34</f>
        <v>1</v>
      </c>
      <c r="G12" s="266">
        <f>B12*2</f>
        <v>5718853.6399999997</v>
      </c>
    </row>
    <row r="13" spans="1:9" ht="18.75" customHeight="1" x14ac:dyDescent="0.25">
      <c r="A13" s="589" t="s">
        <v>171</v>
      </c>
      <c r="B13" s="590"/>
      <c r="C13" s="590"/>
      <c r="D13" s="590"/>
      <c r="E13" s="334" t="s">
        <v>172</v>
      </c>
      <c r="F13" s="334" t="s">
        <v>173</v>
      </c>
    </row>
    <row r="14" spans="1:9" ht="15.75" thickBot="1" x14ac:dyDescent="0.3">
      <c r="A14" s="592"/>
      <c r="B14" s="593"/>
      <c r="C14" s="593"/>
      <c r="D14" s="593"/>
      <c r="E14" s="95">
        <f>VAC_Optim_Scenario!$I$46</f>
        <v>225.94</v>
      </c>
      <c r="F14" s="95">
        <f>VAC_Optim_Scenario!$F$46</f>
        <v>225.94</v>
      </c>
    </row>
    <row r="15" spans="1:9" ht="15.75" thickBot="1" x14ac:dyDescent="0.3"/>
    <row r="16" spans="1:9" x14ac:dyDescent="0.25">
      <c r="A16" s="587" t="s">
        <v>34</v>
      </c>
      <c r="B16" s="340" t="s">
        <v>32</v>
      </c>
      <c r="C16" s="340" t="s">
        <v>31</v>
      </c>
      <c r="D16" s="341" t="s">
        <v>33</v>
      </c>
    </row>
    <row r="17" spans="1:4" ht="15.75" thickBot="1" x14ac:dyDescent="0.3">
      <c r="A17" s="588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8" t="s">
        <v>37</v>
      </c>
      <c r="B19" s="568"/>
      <c r="C19" s="568"/>
      <c r="D19" s="98"/>
    </row>
    <row r="20" spans="1:4" ht="25.5" x14ac:dyDescent="0.25">
      <c r="A20" s="334" t="s">
        <v>35</v>
      </c>
      <c r="B20" s="334" t="s">
        <v>177</v>
      </c>
      <c r="C20" s="334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17627.127824775001</v>
      </c>
      <c r="C22" s="165">
        <f t="shared" ref="C22:C41" si="1">B22*$F$14</f>
        <v>3982673.260729664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26717.729664007864</v>
      </c>
      <c r="C23" s="165">
        <f t="shared" si="1"/>
        <v>6036603.8402859364</v>
      </c>
    </row>
    <row r="24" spans="1:4" x14ac:dyDescent="0.25">
      <c r="A24" s="164">
        <f t="shared" si="2"/>
        <v>750000</v>
      </c>
      <c r="B24" s="159">
        <f t="shared" si="0"/>
        <v>34076.447014572113</v>
      </c>
      <c r="C24" s="165">
        <f t="shared" si="1"/>
        <v>7699232.4384724228</v>
      </c>
    </row>
    <row r="25" spans="1:4" x14ac:dyDescent="0.25">
      <c r="A25" s="164">
        <f t="shared" si="2"/>
        <v>1000000</v>
      </c>
      <c r="B25" s="159">
        <f t="shared" si="0"/>
        <v>40496.50547128301</v>
      </c>
      <c r="C25" s="165">
        <f t="shared" si="1"/>
        <v>9149780.4461816829</v>
      </c>
    </row>
    <row r="26" spans="1:4" x14ac:dyDescent="0.25">
      <c r="A26" s="164">
        <f t="shared" si="2"/>
        <v>1250000</v>
      </c>
      <c r="B26" s="159">
        <f t="shared" si="0"/>
        <v>46298.141343550837</v>
      </c>
      <c r="C26" s="165">
        <f t="shared" si="1"/>
        <v>10460602.055161877</v>
      </c>
    </row>
    <row r="27" spans="1:4" x14ac:dyDescent="0.25">
      <c r="A27" s="164">
        <f t="shared" si="2"/>
        <v>1500000</v>
      </c>
      <c r="B27" s="159">
        <f t="shared" si="0"/>
        <v>51650.235267800737</v>
      </c>
      <c r="C27" s="165">
        <f t="shared" si="1"/>
        <v>11669854.156406898</v>
      </c>
    </row>
    <row r="28" spans="1:4" x14ac:dyDescent="0.25">
      <c r="A28" s="164">
        <f t="shared" si="2"/>
        <v>1750000</v>
      </c>
      <c r="B28" s="159">
        <f t="shared" si="0"/>
        <v>56655.278384023426</v>
      </c>
      <c r="C28" s="165">
        <f t="shared" si="1"/>
        <v>12800693.598086253</v>
      </c>
    </row>
    <row r="29" spans="1:4" x14ac:dyDescent="0.25">
      <c r="A29" s="164">
        <f t="shared" si="2"/>
        <v>2000000</v>
      </c>
      <c r="B29" s="159">
        <f t="shared" si="0"/>
        <v>61381.22422860263</v>
      </c>
      <c r="C29" s="165">
        <f t="shared" si="1"/>
        <v>13868473.802210478</v>
      </c>
    </row>
    <row r="30" spans="1:4" x14ac:dyDescent="0.25">
      <c r="A30" s="164">
        <f t="shared" si="2"/>
        <v>2250000</v>
      </c>
      <c r="B30" s="159">
        <f t="shared" si="0"/>
        <v>65875.975523639368</v>
      </c>
      <c r="C30" s="165">
        <f t="shared" si="1"/>
        <v>14884017.90981108</v>
      </c>
    </row>
    <row r="31" spans="1:4" x14ac:dyDescent="0.25">
      <c r="A31" s="164">
        <f t="shared" si="2"/>
        <v>2500000</v>
      </c>
      <c r="B31" s="159">
        <f t="shared" si="0"/>
        <v>70174.859833059978</v>
      </c>
      <c r="C31" s="165">
        <f t="shared" si="1"/>
        <v>15855307.830681572</v>
      </c>
    </row>
    <row r="32" spans="1:4" x14ac:dyDescent="0.25">
      <c r="A32" s="164">
        <f t="shared" si="2"/>
        <v>2750000</v>
      </c>
      <c r="B32" s="159">
        <f t="shared" si="0"/>
        <v>74304.850537621896</v>
      </c>
      <c r="C32" s="165">
        <f t="shared" si="1"/>
        <v>16788437.930470292</v>
      </c>
    </row>
    <row r="33" spans="1:3" x14ac:dyDescent="0.25">
      <c r="A33" s="164">
        <f t="shared" si="2"/>
        <v>3000000</v>
      </c>
      <c r="B33" s="159">
        <f t="shared" si="0"/>
        <v>78287.117259565202</v>
      </c>
      <c r="C33" s="165">
        <f t="shared" si="1"/>
        <v>17688191.27362616</v>
      </c>
    </row>
    <row r="34" spans="1:3" x14ac:dyDescent="0.25">
      <c r="A34" s="164">
        <f t="shared" si="2"/>
        <v>3250000</v>
      </c>
      <c r="B34" s="159">
        <f t="shared" si="0"/>
        <v>82138.650862126422</v>
      </c>
      <c r="C34" s="165">
        <f t="shared" si="1"/>
        <v>18558406.775788844</v>
      </c>
    </row>
    <row r="35" spans="1:3" x14ac:dyDescent="0.25">
      <c r="A35" s="164">
        <f t="shared" si="2"/>
        <v>3500000</v>
      </c>
      <c r="B35" s="159">
        <f t="shared" si="0"/>
        <v>85873.344026922772</v>
      </c>
      <c r="C35" s="165">
        <f t="shared" si="1"/>
        <v>19402223.349442933</v>
      </c>
    </row>
    <row r="36" spans="1:3" x14ac:dyDescent="0.25">
      <c r="A36" s="164">
        <f t="shared" si="2"/>
        <v>3750000</v>
      </c>
      <c r="B36" s="159">
        <f t="shared" si="0"/>
        <v>89502.735559065375</v>
      </c>
      <c r="C36" s="165">
        <f t="shared" si="1"/>
        <v>20222248.072215229</v>
      </c>
    </row>
    <row r="37" spans="1:3" x14ac:dyDescent="0.25">
      <c r="A37" s="164">
        <f t="shared" si="2"/>
        <v>4000000</v>
      </c>
      <c r="B37" s="159">
        <f t="shared" si="0"/>
        <v>93036.538435982438</v>
      </c>
      <c r="C37" s="165">
        <f t="shared" si="1"/>
        <v>21020675.494225871</v>
      </c>
    </row>
    <row r="38" spans="1:3" x14ac:dyDescent="0.25">
      <c r="A38" s="164">
        <f t="shared" si="2"/>
        <v>4250000</v>
      </c>
      <c r="B38" s="159">
        <f t="shared" si="0"/>
        <v>96483.023973043382</v>
      </c>
      <c r="C38" s="165">
        <f t="shared" si="1"/>
        <v>21799374.436469421</v>
      </c>
    </row>
    <row r="39" spans="1:3" x14ac:dyDescent="0.25">
      <c r="A39" s="164">
        <f t="shared" si="2"/>
        <v>4500000</v>
      </c>
      <c r="B39" s="159">
        <f t="shared" si="0"/>
        <v>99849.307436213683</v>
      </c>
      <c r="C39" s="165">
        <f t="shared" si="1"/>
        <v>22559952.522138119</v>
      </c>
    </row>
    <row r="40" spans="1:3" x14ac:dyDescent="0.25">
      <c r="A40" s="164">
        <f t="shared" si="2"/>
        <v>4750000</v>
      </c>
      <c r="B40" s="159">
        <f t="shared" si="0"/>
        <v>103141.56443270072</v>
      </c>
      <c r="C40" s="165">
        <f t="shared" si="1"/>
        <v>23303805.067924399</v>
      </c>
    </row>
    <row r="41" spans="1:3" x14ac:dyDescent="0.25">
      <c r="A41" s="164">
        <f t="shared" si="2"/>
        <v>5000000</v>
      </c>
      <c r="B41" s="159">
        <f t="shared" si="0"/>
        <v>106365.19760151411</v>
      </c>
      <c r="C41" s="165">
        <f t="shared" si="1"/>
        <v>24032152.746086098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pageSetUpPr autoPageBreaks="0"/>
  </sheetPr>
  <dimension ref="A1:I41"/>
  <sheetViews>
    <sheetView workbookViewId="0">
      <selection activeCell="G4" sqref="G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303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266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06"/>
      <c r="C4" s="607"/>
      <c r="D4" s="607"/>
      <c r="E4" s="607"/>
      <c r="F4" s="60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0.7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95" t="s">
        <v>8</v>
      </c>
      <c r="B7" s="600" t="s">
        <v>9</v>
      </c>
      <c r="C7" s="600"/>
      <c r="D7" s="600" t="s">
        <v>12</v>
      </c>
      <c r="E7" s="600"/>
      <c r="F7" s="600"/>
      <c r="G7" s="600" t="s">
        <v>124</v>
      </c>
      <c r="H7" s="600"/>
      <c r="I7" s="605"/>
    </row>
    <row r="8" spans="1:9" x14ac:dyDescent="0.25">
      <c r="A8" s="599"/>
      <c r="B8" s="147" t="s">
        <v>10</v>
      </c>
      <c r="C8" s="147" t="s">
        <v>11</v>
      </c>
      <c r="D8" s="147" t="s">
        <v>20</v>
      </c>
      <c r="E8" s="147" t="s">
        <v>21</v>
      </c>
      <c r="F8" s="147" t="s">
        <v>117</v>
      </c>
      <c r="G8" s="147" t="s">
        <v>22</v>
      </c>
      <c r="H8" s="147" t="s">
        <v>23</v>
      </c>
      <c r="I8" s="4" t="s">
        <v>123</v>
      </c>
    </row>
    <row r="9" spans="1:9" ht="15.75" thickBot="1" x14ac:dyDescent="0.3">
      <c r="A9" s="596"/>
      <c r="B9" s="157">
        <f>VAC_Optim_Scenario!G25</f>
        <v>300000</v>
      </c>
      <c r="C9" s="157">
        <f>VAC_Optim_Scenario!H25</f>
        <v>400000</v>
      </c>
      <c r="D9" s="158">
        <f>VAC_Optim_Scenario!I25</f>
        <v>400000</v>
      </c>
      <c r="E9" s="84">
        <f>((GSEARCH!D9/$B$12)^$D$12)*$C$12*$F$12</f>
        <v>145038.35480357721</v>
      </c>
      <c r="F9" s="84">
        <f>E9*F11</f>
        <v>145038.35480357721</v>
      </c>
      <c r="G9" s="76">
        <f>VAC_Optim_Scenario!E25</f>
        <v>400000</v>
      </c>
      <c r="H9" s="159">
        <f>((GSEARCH!G9/$B$12)^$D$12)*$C$12*$F$12</f>
        <v>145038.35480357721</v>
      </c>
      <c r="I9" s="160">
        <f>H9*F11</f>
        <v>145038.35480357721</v>
      </c>
    </row>
    <row r="10" spans="1:9" ht="15.75" thickBot="1" x14ac:dyDescent="0.3"/>
    <row r="11" spans="1:9" ht="48.95" customHeight="1" x14ac:dyDescent="0.25">
      <c r="A11" s="568" t="s">
        <v>15</v>
      </c>
      <c r="B11" s="148" t="s">
        <v>16</v>
      </c>
      <c r="C11" s="148" t="s">
        <v>17</v>
      </c>
      <c r="D11" s="148" t="s">
        <v>170</v>
      </c>
      <c r="E11" s="147" t="s">
        <v>126</v>
      </c>
      <c r="F11" s="161">
        <v>1</v>
      </c>
    </row>
    <row r="12" spans="1:9" ht="40.5" customHeight="1" thickBot="1" x14ac:dyDescent="0.3">
      <c r="A12" s="568"/>
      <c r="B12" s="162">
        <f>'[16]HCC Paid Search - Power'!$B$12</f>
        <v>344707</v>
      </c>
      <c r="C12" s="162">
        <f>'[16]HCC Paid Search - Power'!$C$12</f>
        <v>130694.08808973072</v>
      </c>
      <c r="D12" s="314">
        <f>'[16]HCC Paid Search - Power'!$D$12</f>
        <v>0.7</v>
      </c>
      <c r="E12" s="147" t="s">
        <v>122</v>
      </c>
      <c r="F12" s="163">
        <f>VAC_Optim_Scenario!D25</f>
        <v>1</v>
      </c>
    </row>
    <row r="13" spans="1:9" ht="18.75" customHeight="1" x14ac:dyDescent="0.25">
      <c r="A13" s="589" t="s">
        <v>171</v>
      </c>
      <c r="B13" s="590"/>
      <c r="C13" s="590"/>
      <c r="D13" s="590"/>
      <c r="E13" s="147" t="s">
        <v>172</v>
      </c>
      <c r="F13" s="147" t="s">
        <v>173</v>
      </c>
    </row>
    <row r="14" spans="1:9" ht="15.75" thickBot="1" x14ac:dyDescent="0.3">
      <c r="A14" s="592"/>
      <c r="B14" s="593"/>
      <c r="C14" s="593"/>
      <c r="D14" s="59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87" t="s">
        <v>34</v>
      </c>
      <c r="B16" s="148" t="s">
        <v>32</v>
      </c>
      <c r="C16" s="148" t="s">
        <v>31</v>
      </c>
      <c r="D16" s="149" t="s">
        <v>33</v>
      </c>
    </row>
    <row r="17" spans="1:4" ht="15.75" thickBot="1" x14ac:dyDescent="0.3">
      <c r="A17" s="588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8" t="s">
        <v>37</v>
      </c>
      <c r="B19" s="568"/>
      <c r="C19" s="568"/>
      <c r="D19" s="98"/>
    </row>
    <row r="20" spans="1:4" ht="25.5" x14ac:dyDescent="0.25">
      <c r="A20" s="147" t="s">
        <v>35</v>
      </c>
      <c r="B20" s="147" t="s">
        <v>177</v>
      </c>
      <c r="C20" s="147" t="s">
        <v>174</v>
      </c>
    </row>
    <row r="21" spans="1:4" x14ac:dyDescent="0.25">
      <c r="A21" s="164">
        <f>B17</f>
        <v>0</v>
      </c>
      <c r="B21" s="159">
        <f>((GSEARCH!A21/$B$12)^$D$12)*$C$12*$F$12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150000</v>
      </c>
      <c r="B22" s="159">
        <f>((GSEARCH!A22/$B$12)^$D$12)*$C$12*$F$12</f>
        <v>72996.956333749695</v>
      </c>
      <c r="C22" s="165">
        <f t="shared" ref="C22:C41" si="0">B22*$F$14</f>
        <v>16492932.314047405</v>
      </c>
    </row>
    <row r="23" spans="1:4" x14ac:dyDescent="0.25">
      <c r="A23" s="164">
        <f t="shared" ref="A23:A41" si="1">A22+(($C$17-$B$17)/$D$17)</f>
        <v>300000</v>
      </c>
      <c r="B23" s="159">
        <f>((GSEARCH!A23/$B$12)^$D$12)*$C$12*$F$12</f>
        <v>118583.90541759932</v>
      </c>
      <c r="C23" s="165">
        <f t="shared" si="0"/>
        <v>26792847.590052392</v>
      </c>
    </row>
    <row r="24" spans="1:4" x14ac:dyDescent="0.25">
      <c r="A24" s="164">
        <f t="shared" si="1"/>
        <v>450000</v>
      </c>
      <c r="B24" s="159">
        <f>((GSEARCH!A24/$B$12)^$D$12)*$C$12*$F$12</f>
        <v>157503.29021297849</v>
      </c>
      <c r="C24" s="165">
        <f t="shared" si="0"/>
        <v>35586293.39072036</v>
      </c>
    </row>
    <row r="25" spans="1:4" x14ac:dyDescent="0.25">
      <c r="A25" s="164">
        <f t="shared" si="1"/>
        <v>600000</v>
      </c>
      <c r="B25" s="159">
        <f>((GSEARCH!A25/$B$12)^$D$12)*$C$12*$F$12</f>
        <v>192640.12268945246</v>
      </c>
      <c r="C25" s="165">
        <f t="shared" si="0"/>
        <v>43525109.320454888</v>
      </c>
    </row>
    <row r="26" spans="1:4" x14ac:dyDescent="0.25">
      <c r="A26" s="164">
        <f t="shared" si="1"/>
        <v>750000</v>
      </c>
      <c r="B26" s="159">
        <f>((GSEARCH!A26/$B$12)^$D$12)*$C$12*$F$12</f>
        <v>225207.96966708719</v>
      </c>
      <c r="C26" s="165">
        <f t="shared" si="0"/>
        <v>50883488.666581683</v>
      </c>
    </row>
    <row r="27" spans="1:4" x14ac:dyDescent="0.25">
      <c r="A27" s="164">
        <f t="shared" si="1"/>
        <v>900000</v>
      </c>
      <c r="B27" s="159">
        <f>((GSEARCH!A27/$B$12)^$D$12)*$C$12*$F$12</f>
        <v>255864.84981896676</v>
      </c>
      <c r="C27" s="165">
        <f t="shared" si="0"/>
        <v>57810104.168097347</v>
      </c>
    </row>
    <row r="28" spans="1:4" x14ac:dyDescent="0.25">
      <c r="A28" s="164">
        <f t="shared" si="1"/>
        <v>1050000</v>
      </c>
      <c r="B28" s="159">
        <f>((GSEARCH!A28/$B$12)^$D$12)*$C$12*$F$12</f>
        <v>285018.71664749639</v>
      </c>
      <c r="C28" s="165">
        <f t="shared" si="0"/>
        <v>64397128.83933533</v>
      </c>
    </row>
    <row r="29" spans="1:4" x14ac:dyDescent="0.25">
      <c r="A29" s="164">
        <f t="shared" si="1"/>
        <v>1200000</v>
      </c>
      <c r="B29" s="159">
        <f>((GSEARCH!A29/$B$12)^$D$12)*$C$12*$F$12</f>
        <v>312944.80257773394</v>
      </c>
      <c r="C29" s="165">
        <f t="shared" si="0"/>
        <v>70706748.6944132</v>
      </c>
    </row>
    <row r="30" spans="1:4" x14ac:dyDescent="0.25">
      <c r="A30" s="164">
        <f t="shared" si="1"/>
        <v>1350000</v>
      </c>
      <c r="B30" s="159">
        <f>((GSEARCH!A30/$B$12)^$D$12)*$C$12*$F$12</f>
        <v>339840.0107874666</v>
      </c>
      <c r="C30" s="165">
        <f t="shared" si="0"/>
        <v>76783452.037320197</v>
      </c>
    </row>
    <row r="31" spans="1:4" x14ac:dyDescent="0.25">
      <c r="A31" s="164">
        <f t="shared" si="1"/>
        <v>1500000</v>
      </c>
      <c r="B31" s="159">
        <f>((GSEARCH!A31/$B$12)^$D$12)*$C$12*$F$12</f>
        <v>365851.4260812279</v>
      </c>
      <c r="C31" s="165">
        <f t="shared" si="0"/>
        <v>82660471.208792627</v>
      </c>
    </row>
    <row r="32" spans="1:4" x14ac:dyDescent="0.25">
      <c r="A32" s="164">
        <f t="shared" si="1"/>
        <v>1650000</v>
      </c>
      <c r="B32" s="159">
        <f>((GSEARCH!A32/$B$12)^$D$12)*$C$12*$F$12</f>
        <v>391092.62995355454</v>
      </c>
      <c r="C32" s="165">
        <f t="shared" si="0"/>
        <v>88363468.811706111</v>
      </c>
    </row>
    <row r="33" spans="1:3" x14ac:dyDescent="0.25">
      <c r="A33" s="164">
        <f t="shared" si="1"/>
        <v>1800000</v>
      </c>
      <c r="B33" s="159">
        <f>((GSEARCH!A33/$B$12)^$D$12)*$C$12*$F$12</f>
        <v>415653.6748175681</v>
      </c>
      <c r="C33" s="165">
        <f t="shared" si="0"/>
        <v>93912791.288281336</v>
      </c>
    </row>
    <row r="34" spans="1:3" x14ac:dyDescent="0.25">
      <c r="A34" s="164">
        <f t="shared" si="1"/>
        <v>1950000</v>
      </c>
      <c r="B34" s="159">
        <f>((GSEARCH!A34/$B$12)^$D$12)*$C$12*$F$12</f>
        <v>439607.50575691467</v>
      </c>
      <c r="C34" s="165">
        <f t="shared" si="0"/>
        <v>99324919.850717306</v>
      </c>
    </row>
    <row r="35" spans="1:3" x14ac:dyDescent="0.25">
      <c r="A35" s="164">
        <f t="shared" si="1"/>
        <v>2100000</v>
      </c>
      <c r="B35" s="159">
        <f>((GSEARCH!A35/$B$12)^$D$12)*$C$12*$F$12</f>
        <v>463014.27120661555</v>
      </c>
      <c r="C35" s="165">
        <f t="shared" si="0"/>
        <v>104613444.43642272</v>
      </c>
    </row>
    <row r="36" spans="1:3" x14ac:dyDescent="0.25">
      <c r="A36" s="164">
        <f t="shared" si="1"/>
        <v>2250000</v>
      </c>
      <c r="B36" s="159">
        <f>((GSEARCH!A36/$B$12)^$D$12)*$C$12*$F$12</f>
        <v>485924.31775612396</v>
      </c>
      <c r="C36" s="165">
        <f t="shared" si="0"/>
        <v>109789740.35381864</v>
      </c>
    </row>
    <row r="37" spans="1:3" x14ac:dyDescent="0.25">
      <c r="A37" s="164">
        <f t="shared" si="1"/>
        <v>2400000</v>
      </c>
      <c r="B37" s="159">
        <f>((GSEARCH!A37/$B$12)^$D$12)*$C$12*$F$12</f>
        <v>508380.33164198685</v>
      </c>
      <c r="C37" s="165">
        <f t="shared" si="0"/>
        <v>114863452.13119051</v>
      </c>
    </row>
    <row r="38" spans="1:3" x14ac:dyDescent="0.25">
      <c r="A38" s="164">
        <f t="shared" si="1"/>
        <v>2550000</v>
      </c>
      <c r="B38" s="159">
        <f>((GSEARCH!A38/$B$12)^$D$12)*$C$12*$F$12</f>
        <v>530418.90813627536</v>
      </c>
      <c r="C38" s="165">
        <f t="shared" si="0"/>
        <v>119842848.10431005</v>
      </c>
    </row>
    <row r="39" spans="1:3" x14ac:dyDescent="0.25">
      <c r="A39" s="164">
        <f t="shared" si="1"/>
        <v>2700000</v>
      </c>
      <c r="B39" s="159">
        <f>((GSEARCH!A39/$B$12)^$D$12)*$C$12*$F$12</f>
        <v>552071.72627969738</v>
      </c>
      <c r="C39" s="165">
        <f t="shared" si="0"/>
        <v>124735085.83563483</v>
      </c>
    </row>
    <row r="40" spans="1:3" x14ac:dyDescent="0.25">
      <c r="A40" s="164">
        <f t="shared" si="1"/>
        <v>2850000</v>
      </c>
      <c r="B40" s="159">
        <f>((GSEARCH!A40/$B$12)^$D$12)*$C$12*$F$12</f>
        <v>573366.44457497681</v>
      </c>
      <c r="C40" s="165">
        <f t="shared" si="0"/>
        <v>129546414.48727025</v>
      </c>
    </row>
    <row r="41" spans="1:3" x14ac:dyDescent="0.25">
      <c r="A41" s="164">
        <f t="shared" si="1"/>
        <v>3000000</v>
      </c>
      <c r="B41" s="159">
        <f>((GSEARCH!A41/$B$12)^$D$12)*$C$12*$F$12</f>
        <v>594327.39508964703</v>
      </c>
      <c r="C41" s="165">
        <f t="shared" si="0"/>
        <v>134282331.64655486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A2EF1-40E7-413E-B8EF-40E14461DED8}">
  <sheetPr codeName="Sheet20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295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296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06"/>
      <c r="C4" s="607"/>
      <c r="D4" s="607"/>
      <c r="E4" s="607"/>
      <c r="F4" s="60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95" t="s">
        <v>8</v>
      </c>
      <c r="B7" s="600" t="s">
        <v>9</v>
      </c>
      <c r="C7" s="600"/>
      <c r="D7" s="600" t="s">
        <v>12</v>
      </c>
      <c r="E7" s="600"/>
      <c r="F7" s="600"/>
      <c r="G7" s="600" t="s">
        <v>124</v>
      </c>
      <c r="H7" s="600"/>
      <c r="I7" s="605"/>
    </row>
    <row r="8" spans="1:9" x14ac:dyDescent="0.25">
      <c r="A8" s="599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596"/>
      <c r="B9" s="157">
        <f>VAC_Optim_Scenario!G35</f>
        <v>100000</v>
      </c>
      <c r="C9" s="157">
        <f>VAC_Optim_Scenario!H35</f>
        <v>200000</v>
      </c>
      <c r="D9" s="158">
        <f>VAC_Optim_Scenario!I35</f>
        <v>200000</v>
      </c>
      <c r="E9" s="84">
        <f>((GPDSRCH_adt!D9/$B$12)^$D$12)*$C$12*$F$12</f>
        <v>79531.473375019181</v>
      </c>
      <c r="F9" s="84">
        <f>E9*F11</f>
        <v>79531.473375019181</v>
      </c>
      <c r="G9" s="76">
        <f>VAC_Optim_Scenario!E35</f>
        <v>200000</v>
      </c>
      <c r="H9" s="159">
        <f>((GPDSRCH_adt!G9/$B$12)^$D$12)*$C$12*$F$12</f>
        <v>79531.473375019181</v>
      </c>
      <c r="I9" s="160">
        <f>H9*F11</f>
        <v>79531.473375019181</v>
      </c>
    </row>
    <row r="10" spans="1:9" ht="15.75" thickBot="1" x14ac:dyDescent="0.3"/>
    <row r="11" spans="1:9" ht="48.95" customHeight="1" x14ac:dyDescent="0.25">
      <c r="A11" s="568" t="s">
        <v>15</v>
      </c>
      <c r="B11" s="340" t="s">
        <v>16</v>
      </c>
      <c r="C11" s="340" t="s">
        <v>17</v>
      </c>
      <c r="D11" s="340" t="s">
        <v>170</v>
      </c>
      <c r="E11" s="334" t="s">
        <v>126</v>
      </c>
      <c r="F11" s="161">
        <v>1</v>
      </c>
    </row>
    <row r="12" spans="1:9" ht="40.5" customHeight="1" thickBot="1" x14ac:dyDescent="0.3">
      <c r="A12" s="568"/>
      <c r="B12" s="162">
        <f>'[17]HCC Paid Search - Power'!$B$12</f>
        <v>50000</v>
      </c>
      <c r="C12" s="162">
        <f>'[17]HCC Paid Search - Power'!$C$12</f>
        <v>30136.792938374307</v>
      </c>
      <c r="D12" s="329">
        <f>'[17]HCC Paid Search - Power'!$D$12</f>
        <v>0.7</v>
      </c>
      <c r="E12" s="334" t="s">
        <v>122</v>
      </c>
      <c r="F12" s="163">
        <f>VAC_Optim_Scenario!D35</f>
        <v>1</v>
      </c>
      <c r="G12" s="266">
        <f>B12*2</f>
        <v>100000</v>
      </c>
    </row>
    <row r="13" spans="1:9" ht="18.75" customHeight="1" x14ac:dyDescent="0.25">
      <c r="A13" s="589" t="s">
        <v>171</v>
      </c>
      <c r="B13" s="590"/>
      <c r="C13" s="590"/>
      <c r="D13" s="590"/>
      <c r="E13" s="334" t="s">
        <v>172</v>
      </c>
      <c r="F13" s="334" t="s">
        <v>173</v>
      </c>
    </row>
    <row r="14" spans="1:9" ht="15.75" thickBot="1" x14ac:dyDescent="0.3">
      <c r="A14" s="592"/>
      <c r="B14" s="593"/>
      <c r="C14" s="593"/>
      <c r="D14" s="59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87" t="s">
        <v>34</v>
      </c>
      <c r="B16" s="340" t="s">
        <v>32</v>
      </c>
      <c r="C16" s="340" t="s">
        <v>31</v>
      </c>
      <c r="D16" s="341" t="s">
        <v>33</v>
      </c>
    </row>
    <row r="17" spans="1:4" ht="15.75" thickBot="1" x14ac:dyDescent="0.3">
      <c r="A17" s="588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8" t="s">
        <v>37</v>
      </c>
      <c r="B19" s="568"/>
      <c r="C19" s="568"/>
      <c r="D19" s="98"/>
    </row>
    <row r="20" spans="1:4" ht="25.5" x14ac:dyDescent="0.25">
      <c r="A20" s="334" t="s">
        <v>35</v>
      </c>
      <c r="B20" s="334" t="s">
        <v>177</v>
      </c>
      <c r="C20" s="334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92977.108783791031</v>
      </c>
      <c r="C22" s="165">
        <f t="shared" ref="C22:C41" si="1">B22*$F$14</f>
        <v>21007247.958609745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151041.75883181734</v>
      </c>
      <c r="C23" s="165">
        <f t="shared" si="1"/>
        <v>34126374.990460806</v>
      </c>
    </row>
    <row r="24" spans="1:4" x14ac:dyDescent="0.25">
      <c r="A24" s="164">
        <f t="shared" si="2"/>
        <v>750000</v>
      </c>
      <c r="B24" s="159">
        <f t="shared" si="0"/>
        <v>200613.85136364179</v>
      </c>
      <c r="C24" s="165">
        <f t="shared" si="1"/>
        <v>45326693.577101223</v>
      </c>
    </row>
    <row r="25" spans="1:4" x14ac:dyDescent="0.25">
      <c r="A25" s="164">
        <f t="shared" si="2"/>
        <v>1000000</v>
      </c>
      <c r="B25" s="159">
        <f t="shared" si="0"/>
        <v>245368.06112200834</v>
      </c>
      <c r="C25" s="165">
        <f t="shared" si="1"/>
        <v>55438459.729906566</v>
      </c>
    </row>
    <row r="26" spans="1:4" x14ac:dyDescent="0.25">
      <c r="A26" s="164">
        <f t="shared" si="2"/>
        <v>1250000</v>
      </c>
      <c r="B26" s="159">
        <f t="shared" si="0"/>
        <v>286850.12288700556</v>
      </c>
      <c r="C26" s="165">
        <f t="shared" si="1"/>
        <v>64810916.765090033</v>
      </c>
    </row>
    <row r="27" spans="1:4" x14ac:dyDescent="0.25">
      <c r="A27" s="164">
        <f t="shared" si="2"/>
        <v>1500000</v>
      </c>
      <c r="B27" s="159">
        <f t="shared" si="0"/>
        <v>325898.16302474338</v>
      </c>
      <c r="C27" s="165">
        <f t="shared" si="1"/>
        <v>73633430.953810513</v>
      </c>
    </row>
    <row r="28" spans="1:4" x14ac:dyDescent="0.25">
      <c r="A28" s="164">
        <f t="shared" si="2"/>
        <v>1750000</v>
      </c>
      <c r="B28" s="159">
        <f t="shared" si="0"/>
        <v>363031.79685998178</v>
      </c>
      <c r="C28" s="165">
        <f t="shared" si="1"/>
        <v>82023404.182544276</v>
      </c>
    </row>
    <row r="29" spans="1:4" x14ac:dyDescent="0.25">
      <c r="A29" s="164">
        <f t="shared" si="2"/>
        <v>2000000</v>
      </c>
      <c r="B29" s="159">
        <f t="shared" si="0"/>
        <v>398601.59127126914</v>
      </c>
      <c r="C29" s="165">
        <f t="shared" si="1"/>
        <v>90060043.531830549</v>
      </c>
    </row>
    <row r="30" spans="1:4" x14ac:dyDescent="0.25">
      <c r="A30" s="164">
        <f t="shared" si="2"/>
        <v>2250000</v>
      </c>
      <c r="B30" s="159">
        <f t="shared" si="0"/>
        <v>432858.34422471898</v>
      </c>
      <c r="C30" s="165">
        <f t="shared" si="1"/>
        <v>97800014.294133008</v>
      </c>
    </row>
    <row r="31" spans="1:4" x14ac:dyDescent="0.25">
      <c r="A31" s="164">
        <f t="shared" si="2"/>
        <v>2500000</v>
      </c>
      <c r="B31" s="159">
        <f t="shared" si="0"/>
        <v>465989.39942010184</v>
      </c>
      <c r="C31" s="165">
        <f t="shared" si="1"/>
        <v>105285644.90497781</v>
      </c>
    </row>
    <row r="32" spans="1:4" x14ac:dyDescent="0.25">
      <c r="A32" s="164">
        <f t="shared" si="2"/>
        <v>2750000</v>
      </c>
      <c r="B32" s="159">
        <f t="shared" si="0"/>
        <v>498139.42698482808</v>
      </c>
      <c r="C32" s="165">
        <f t="shared" si="1"/>
        <v>112549622.13295205</v>
      </c>
    </row>
    <row r="33" spans="1:3" x14ac:dyDescent="0.25">
      <c r="A33" s="164">
        <f t="shared" si="2"/>
        <v>3000000</v>
      </c>
      <c r="B33" s="159">
        <f t="shared" si="0"/>
        <v>529423.1277698857</v>
      </c>
      <c r="C33" s="165">
        <f t="shared" si="1"/>
        <v>119617861.48832798</v>
      </c>
    </row>
    <row r="34" spans="1:3" x14ac:dyDescent="0.25">
      <c r="A34" s="164">
        <f t="shared" si="2"/>
        <v>3250000</v>
      </c>
      <c r="B34" s="159">
        <f t="shared" si="0"/>
        <v>559933.41281318781</v>
      </c>
      <c r="C34" s="165">
        <f t="shared" si="1"/>
        <v>126511355.29101165</v>
      </c>
    </row>
    <row r="35" spans="1:3" x14ac:dyDescent="0.25">
      <c r="A35" s="164">
        <f t="shared" si="2"/>
        <v>3500000</v>
      </c>
      <c r="B35" s="159">
        <f t="shared" si="0"/>
        <v>589746.89390606096</v>
      </c>
      <c r="C35" s="165">
        <f t="shared" si="1"/>
        <v>133247413.20913541</v>
      </c>
    </row>
    <row r="36" spans="1:3" x14ac:dyDescent="0.25">
      <c r="A36" s="164">
        <f t="shared" si="2"/>
        <v>3750000</v>
      </c>
      <c r="B36" s="159">
        <f t="shared" si="0"/>
        <v>618927.69811022875</v>
      </c>
      <c r="C36" s="165">
        <f t="shared" si="1"/>
        <v>139840524.11102509</v>
      </c>
    </row>
    <row r="37" spans="1:3" x14ac:dyDescent="0.25">
      <c r="A37" s="164">
        <f t="shared" si="2"/>
        <v>4000000</v>
      </c>
      <c r="B37" s="159">
        <f t="shared" si="0"/>
        <v>647530.19540299417</v>
      </c>
      <c r="C37" s="165">
        <f t="shared" si="1"/>
        <v>146302972.34935251</v>
      </c>
    </row>
    <row r="38" spans="1:3" x14ac:dyDescent="0.25">
      <c r="A38" s="164">
        <f t="shared" si="2"/>
        <v>4250000</v>
      </c>
      <c r="B38" s="159">
        <f t="shared" si="0"/>
        <v>675600.99762631929</v>
      </c>
      <c r="C38" s="165">
        <f t="shared" si="1"/>
        <v>152645289.40369058</v>
      </c>
    </row>
    <row r="39" spans="1:3" x14ac:dyDescent="0.25">
      <c r="A39" s="164">
        <f t="shared" si="2"/>
        <v>4500000</v>
      </c>
      <c r="B39" s="159">
        <f t="shared" si="0"/>
        <v>703180.45475864061</v>
      </c>
      <c r="C39" s="165">
        <f t="shared" si="1"/>
        <v>158876591.94816726</v>
      </c>
    </row>
    <row r="40" spans="1:3" x14ac:dyDescent="0.25">
      <c r="A40" s="164">
        <f t="shared" si="2"/>
        <v>4750000</v>
      </c>
      <c r="B40" s="159">
        <f t="shared" si="0"/>
        <v>730303.79577039415</v>
      </c>
      <c r="C40" s="165">
        <f t="shared" si="1"/>
        <v>165004839.61636284</v>
      </c>
    </row>
    <row r="41" spans="1:3" x14ac:dyDescent="0.25">
      <c r="A41" s="164">
        <f t="shared" si="2"/>
        <v>5000000</v>
      </c>
      <c r="B41" s="159">
        <f t="shared" si="0"/>
        <v>757002.0127111614</v>
      </c>
      <c r="C41" s="165">
        <f t="shared" si="1"/>
        <v>171037034.7519598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pageSetUpPr autoPageBreaks="0"/>
  </sheetPr>
  <dimension ref="A1:I41"/>
  <sheetViews>
    <sheetView workbookViewId="0">
      <selection activeCell="B9" sqref="B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192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06"/>
      <c r="C4" s="607"/>
      <c r="D4" s="607"/>
      <c r="E4" s="607"/>
      <c r="F4" s="60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95" t="s">
        <v>8</v>
      </c>
      <c r="B7" s="600" t="s">
        <v>9</v>
      </c>
      <c r="C7" s="600"/>
      <c r="D7" s="600" t="s">
        <v>12</v>
      </c>
      <c r="E7" s="600"/>
      <c r="F7" s="600"/>
      <c r="G7" s="600" t="s">
        <v>124</v>
      </c>
      <c r="H7" s="600"/>
      <c r="I7" s="605"/>
    </row>
    <row r="8" spans="1:9" x14ac:dyDescent="0.25">
      <c r="A8" s="599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596"/>
      <c r="B9" s="157">
        <f>VAC_Optim_Scenario!G26</f>
        <v>1400000</v>
      </c>
      <c r="C9" s="157">
        <f>VAC_Optim_Scenario!H26</f>
        <v>4800000</v>
      </c>
      <c r="D9" s="158">
        <f>VAC_Optim_Scenario!I26</f>
        <v>4800000</v>
      </c>
      <c r="E9" s="159">
        <f>((GRADIO!D9/$B$12)^$D$12)*$C$12*$F$12</f>
        <v>145504.50354692468</v>
      </c>
      <c r="F9" s="84">
        <f>E9*F11</f>
        <v>145504.50354692468</v>
      </c>
      <c r="G9" s="76">
        <f>VAC_Optim_Scenario!E26</f>
        <v>2220000</v>
      </c>
      <c r="H9" s="159">
        <f>((GRADIO!G9/$B$12)^$D$12)*$C$12*$F$12</f>
        <v>91610.125423352103</v>
      </c>
      <c r="I9" s="160">
        <f>H9*F11</f>
        <v>91610.125423352103</v>
      </c>
    </row>
    <row r="10" spans="1:9" ht="15.75" thickBot="1" x14ac:dyDescent="0.3"/>
    <row r="11" spans="1:9" ht="48.95" customHeight="1" x14ac:dyDescent="0.25">
      <c r="A11" s="568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568"/>
      <c r="B12" s="162">
        <f>'[18]Radio - Power'!$B$12</f>
        <v>1437048.41</v>
      </c>
      <c r="C12" s="162">
        <f>'[18]Radio - Power'!$C$12</f>
        <v>70569.092436493243</v>
      </c>
      <c r="D12" s="314">
        <f>'[18]Radio - Power'!$D$12</f>
        <v>0.6</v>
      </c>
      <c r="E12" s="144" t="s">
        <v>122</v>
      </c>
      <c r="F12" s="163">
        <f>VAC_Optim_Scenario!D26</f>
        <v>1</v>
      </c>
    </row>
    <row r="13" spans="1:9" ht="18.75" customHeight="1" x14ac:dyDescent="0.25">
      <c r="A13" s="589" t="s">
        <v>171</v>
      </c>
      <c r="B13" s="590"/>
      <c r="C13" s="590"/>
      <c r="D13" s="590"/>
      <c r="E13" s="144" t="s">
        <v>172</v>
      </c>
      <c r="F13" s="144" t="s">
        <v>173</v>
      </c>
    </row>
    <row r="14" spans="1:9" ht="15.75" thickBot="1" x14ac:dyDescent="0.3">
      <c r="A14" s="592"/>
      <c r="B14" s="593"/>
      <c r="C14" s="593"/>
      <c r="D14" s="59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87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588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8" t="s">
        <v>37</v>
      </c>
      <c r="B19" s="568"/>
      <c r="C19" s="568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((GRADIO!A21/$B$12)^$D$12)*$C$12*$F$12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200000</v>
      </c>
      <c r="B22" s="159">
        <f>((GRADIO!A22/$B$12)^$D$12)*$C$12*$F$12</f>
        <v>21614.723805655918</v>
      </c>
      <c r="C22" s="165">
        <f t="shared" ref="C22:C41" si="0">B22*$F$14</f>
        <v>4883630.6966498978</v>
      </c>
    </row>
    <row r="23" spans="1:4" x14ac:dyDescent="0.25">
      <c r="A23" s="164">
        <f t="shared" ref="A23:A41" si="1">A22+(($C$17-$B$17)/$D$17)</f>
        <v>400000</v>
      </c>
      <c r="B23" s="159">
        <f>((GRADIO!A23/$B$12)^$D$12)*$C$12*$F$12</f>
        <v>32761.79495277935</v>
      </c>
      <c r="C23" s="165">
        <f t="shared" si="0"/>
        <v>7402199.9516309658</v>
      </c>
    </row>
    <row r="24" spans="1:4" x14ac:dyDescent="0.25">
      <c r="A24" s="164">
        <f t="shared" si="1"/>
        <v>600000</v>
      </c>
      <c r="B24" s="159">
        <f>((GRADIO!A24/$B$12)^$D$12)*$C$12*$F$12</f>
        <v>41785.195967253159</v>
      </c>
      <c r="C24" s="165">
        <f t="shared" si="0"/>
        <v>9440947.1768411789</v>
      </c>
    </row>
    <row r="25" spans="1:4" x14ac:dyDescent="0.25">
      <c r="A25" s="164">
        <f t="shared" si="1"/>
        <v>800000</v>
      </c>
      <c r="B25" s="159">
        <f>((GRADIO!A25/$B$12)^$D$12)*$C$12*$F$12</f>
        <v>49657.595358544408</v>
      </c>
      <c r="C25" s="165">
        <f t="shared" si="0"/>
        <v>11219637.095309524</v>
      </c>
    </row>
    <row r="26" spans="1:4" x14ac:dyDescent="0.25">
      <c r="A26" s="164">
        <f t="shared" si="1"/>
        <v>1000000</v>
      </c>
      <c r="B26" s="159">
        <f>((GRADIO!A26/$B$12)^$D$12)*$C$12*$F$12</f>
        <v>56771.673060063273</v>
      </c>
      <c r="C26" s="165">
        <f t="shared" si="0"/>
        <v>12826991.811190696</v>
      </c>
    </row>
    <row r="27" spans="1:4" x14ac:dyDescent="0.25">
      <c r="A27" s="164">
        <f t="shared" si="1"/>
        <v>1200000</v>
      </c>
      <c r="B27" s="159">
        <f>((GRADIO!A27/$B$12)^$D$12)*$C$12*$F$12</f>
        <v>63334.513762449089</v>
      </c>
      <c r="C27" s="165">
        <f t="shared" si="0"/>
        <v>14309800.039487747</v>
      </c>
    </row>
    <row r="28" spans="1:4" x14ac:dyDescent="0.25">
      <c r="A28" s="164">
        <f t="shared" si="1"/>
        <v>1400000</v>
      </c>
      <c r="B28" s="159">
        <f>((GRADIO!A28/$B$12)^$D$12)*$C$12*$F$12</f>
        <v>69471.794076517137</v>
      </c>
      <c r="C28" s="165">
        <f t="shared" si="0"/>
        <v>15696457.153648281</v>
      </c>
    </row>
    <row r="29" spans="1:4" x14ac:dyDescent="0.25">
      <c r="A29" s="164">
        <f t="shared" si="1"/>
        <v>1600000</v>
      </c>
      <c r="B29" s="159">
        <f>((GRADIO!A29/$B$12)^$D$12)*$C$12*$F$12</f>
        <v>75266.839938015604</v>
      </c>
      <c r="C29" s="165">
        <f t="shared" si="0"/>
        <v>17005789.815595247</v>
      </c>
    </row>
    <row r="30" spans="1:4" x14ac:dyDescent="0.25">
      <c r="A30" s="164">
        <f t="shared" si="1"/>
        <v>1800000</v>
      </c>
      <c r="B30" s="159">
        <f>((GRADIO!A30/$B$12)^$D$12)*$C$12*$F$12</f>
        <v>80778.390587848902</v>
      </c>
      <c r="C30" s="165">
        <f t="shared" si="0"/>
        <v>18251069.569418579</v>
      </c>
    </row>
    <row r="31" spans="1:4" x14ac:dyDescent="0.25">
      <c r="A31" s="164">
        <f t="shared" si="1"/>
        <v>2000000</v>
      </c>
      <c r="B31" s="159">
        <f>((GRADIO!A31/$B$12)^$D$12)*$C$12*$F$12</f>
        <v>86049.765365649961</v>
      </c>
      <c r="C31" s="165">
        <f t="shared" si="0"/>
        <v>19442083.986714952</v>
      </c>
    </row>
    <row r="32" spans="1:4" x14ac:dyDescent="0.25">
      <c r="A32" s="164">
        <f t="shared" si="1"/>
        <v>2200000</v>
      </c>
      <c r="B32" s="159">
        <f>((GRADIO!A32/$B$12)^$D$12)*$C$12*$F$12</f>
        <v>91114.039550668633</v>
      </c>
      <c r="C32" s="165">
        <f t="shared" si="0"/>
        <v>20586306.096078072</v>
      </c>
    </row>
    <row r="33" spans="1:3" x14ac:dyDescent="0.25">
      <c r="A33" s="164">
        <f t="shared" si="1"/>
        <v>2400000</v>
      </c>
      <c r="B33" s="159">
        <f>((GRADIO!A33/$B$12)^$D$12)*$C$12*$F$12</f>
        <v>95997.171741624887</v>
      </c>
      <c r="C33" s="165">
        <f t="shared" si="0"/>
        <v>21689600.983302727</v>
      </c>
    </row>
    <row r="34" spans="1:3" x14ac:dyDescent="0.25">
      <c r="A34" s="164">
        <f t="shared" si="1"/>
        <v>2600000</v>
      </c>
      <c r="B34" s="159">
        <f>((GRADIO!A34/$B$12)^$D$12)*$C$12*$F$12</f>
        <v>100719.99646242571</v>
      </c>
      <c r="C34" s="165">
        <f t="shared" si="0"/>
        <v>22756676.000720464</v>
      </c>
    </row>
    <row r="35" spans="1:3" x14ac:dyDescent="0.25">
      <c r="A35" s="164">
        <f t="shared" si="1"/>
        <v>2800000</v>
      </c>
      <c r="B35" s="159">
        <f>((GRADIO!A35/$B$12)^$D$12)*$C$12*$F$12</f>
        <v>105299.54918697597</v>
      </c>
      <c r="C35" s="165">
        <f t="shared" si="0"/>
        <v>23791380.14330535</v>
      </c>
    </row>
    <row r="36" spans="1:3" x14ac:dyDescent="0.25">
      <c r="A36" s="164">
        <f t="shared" si="1"/>
        <v>3000000</v>
      </c>
      <c r="B36" s="159">
        <f>((GRADIO!A36/$B$12)^$D$12)*$C$12*$F$12</f>
        <v>109749.97902045058</v>
      </c>
      <c r="C36" s="165">
        <f t="shared" si="0"/>
        <v>24796910.259880606</v>
      </c>
    </row>
    <row r="37" spans="1:3" x14ac:dyDescent="0.25">
      <c r="A37" s="164">
        <f t="shared" si="1"/>
        <v>3200000</v>
      </c>
      <c r="B37" s="159">
        <f>((GRADIO!A37/$B$12)^$D$12)*$C$12*$F$12</f>
        <v>114083.19620293671</v>
      </c>
      <c r="C37" s="165">
        <f t="shared" si="0"/>
        <v>25775957.350091521</v>
      </c>
    </row>
    <row r="38" spans="1:3" x14ac:dyDescent="0.25">
      <c r="A38" s="164">
        <f t="shared" si="1"/>
        <v>3400000</v>
      </c>
      <c r="B38" s="159">
        <f>((GRADIO!A38/$B$12)^$D$12)*$C$12*$F$12</f>
        <v>118309.34318072496</v>
      </c>
      <c r="C38" s="165">
        <f t="shared" si="0"/>
        <v>26730812.998252995</v>
      </c>
    </row>
    <row r="39" spans="1:3" x14ac:dyDescent="0.25">
      <c r="A39" s="164">
        <f t="shared" si="1"/>
        <v>3600000</v>
      </c>
      <c r="B39" s="159">
        <f>((GRADIO!A39/$B$12)^$D$12)*$C$12*$F$12</f>
        <v>122437.14483005021</v>
      </c>
      <c r="C39" s="165">
        <f t="shared" si="0"/>
        <v>27663448.502901543</v>
      </c>
    </row>
    <row r="40" spans="1:3" x14ac:dyDescent="0.25">
      <c r="A40" s="164">
        <f t="shared" si="1"/>
        <v>3800000</v>
      </c>
      <c r="B40" s="159">
        <f>((GRADIO!A40/$B$12)^$D$12)*$C$12*$F$12</f>
        <v>126474.1737994713</v>
      </c>
      <c r="C40" s="165">
        <f t="shared" si="0"/>
        <v>28575574.828252546</v>
      </c>
    </row>
    <row r="41" spans="1:3" x14ac:dyDescent="0.25">
      <c r="A41" s="164">
        <f t="shared" si="1"/>
        <v>4000000</v>
      </c>
      <c r="B41" s="159">
        <f>((GRADIO!A41/$B$12)^$D$12)*$C$12*$F$12</f>
        <v>130427.05490904833</v>
      </c>
      <c r="C41" s="165">
        <f t="shared" si="0"/>
        <v>29468688.786150377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1E6C3-0BE1-40F9-AE2E-3008B9161E99}">
  <sheetPr codeName="Sheet13">
    <tabColor theme="0" tint="-4.9989318521683403E-2"/>
  </sheetPr>
  <dimension ref="A1:I41"/>
  <sheetViews>
    <sheetView zoomScaleNormal="100" workbookViewId="0">
      <selection activeCell="E9" sqref="E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282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283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06"/>
      <c r="C4" s="607"/>
      <c r="D4" s="607"/>
      <c r="E4" s="607"/>
      <c r="F4" s="60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1.3</v>
      </c>
      <c r="D6" s="98"/>
      <c r="E6" s="98"/>
      <c r="F6" s="98"/>
      <c r="G6" s="98"/>
      <c r="H6" s="98"/>
      <c r="I6" s="98"/>
    </row>
    <row r="7" spans="1:9" x14ac:dyDescent="0.25">
      <c r="A7" s="595" t="s">
        <v>8</v>
      </c>
      <c r="B7" s="600" t="s">
        <v>9</v>
      </c>
      <c r="C7" s="600"/>
      <c r="D7" s="600" t="s">
        <v>12</v>
      </c>
      <c r="E7" s="600"/>
      <c r="F7" s="600"/>
      <c r="G7" s="600" t="s">
        <v>124</v>
      </c>
      <c r="H7" s="600"/>
      <c r="I7" s="605"/>
    </row>
    <row r="8" spans="1:9" x14ac:dyDescent="0.25">
      <c r="A8" s="599"/>
      <c r="B8" s="326" t="s">
        <v>10</v>
      </c>
      <c r="C8" s="326" t="s">
        <v>11</v>
      </c>
      <c r="D8" s="326" t="s">
        <v>20</v>
      </c>
      <c r="E8" s="326" t="s">
        <v>21</v>
      </c>
      <c r="F8" s="326" t="s">
        <v>117</v>
      </c>
      <c r="G8" s="326" t="s">
        <v>22</v>
      </c>
      <c r="H8" s="326" t="s">
        <v>23</v>
      </c>
      <c r="I8" s="4" t="s">
        <v>123</v>
      </c>
    </row>
    <row r="9" spans="1:9" ht="15.75" thickBot="1" x14ac:dyDescent="0.3">
      <c r="A9" s="596"/>
      <c r="B9" s="157">
        <f>VAC_Optim_Scenario!G37</f>
        <v>500000</v>
      </c>
      <c r="C9" s="157">
        <f>VAC_Optim_Scenario!H37</f>
        <v>2200000</v>
      </c>
      <c r="D9" s="158">
        <f>VAC_Optim_Scenario!I37</f>
        <v>2200000</v>
      </c>
      <c r="E9" s="84">
        <f>((GAUDIO!D9/$B$12)^$D$12)*$C$12*$F$12</f>
        <v>37608.450193722703</v>
      </c>
      <c r="F9" s="84">
        <f>E9*F11</f>
        <v>37608.450193722703</v>
      </c>
      <c r="G9" s="76">
        <f>VAC_Optim_Scenario!E37</f>
        <v>1500000</v>
      </c>
      <c r="H9" s="159">
        <f>((GAUDIO!G9/$B$12)^$D$12)*$C$12*$F$12</f>
        <v>32266.574959240672</v>
      </c>
      <c r="I9" s="160">
        <f>H9*F11</f>
        <v>32266.574959240672</v>
      </c>
    </row>
    <row r="10" spans="1:9" ht="15.75" thickBot="1" x14ac:dyDescent="0.3"/>
    <row r="11" spans="1:9" ht="48.95" customHeight="1" x14ac:dyDescent="0.25">
      <c r="A11" s="568" t="s">
        <v>15</v>
      </c>
      <c r="B11" s="327" t="s">
        <v>16</v>
      </c>
      <c r="C11" s="327" t="s">
        <v>17</v>
      </c>
      <c r="D11" s="327" t="s">
        <v>170</v>
      </c>
      <c r="E11" s="326" t="s">
        <v>126</v>
      </c>
      <c r="F11" s="161">
        <v>1</v>
      </c>
    </row>
    <row r="12" spans="1:9" ht="40.5" customHeight="1" thickBot="1" x14ac:dyDescent="0.3">
      <c r="A12" s="568"/>
      <c r="B12" s="162">
        <f>'[19]Radio - Power'!$B$12</f>
        <v>923975</v>
      </c>
      <c r="C12" s="162">
        <f>'[19]Radio - Power'!$C$12</f>
        <v>26581.559263521289</v>
      </c>
      <c r="D12" s="329">
        <f>'[19]Radio - Power'!$D$12</f>
        <v>0.4</v>
      </c>
      <c r="E12" s="326" t="s">
        <v>122</v>
      </c>
      <c r="F12" s="163">
        <f>[20]VAC_Optim_Scenario!D24</f>
        <v>1</v>
      </c>
      <c r="G12" s="266">
        <f>B12*2</f>
        <v>1847950</v>
      </c>
    </row>
    <row r="13" spans="1:9" ht="18.75" customHeight="1" x14ac:dyDescent="0.25">
      <c r="A13" s="589" t="s">
        <v>171</v>
      </c>
      <c r="B13" s="590"/>
      <c r="C13" s="590"/>
      <c r="D13" s="590"/>
      <c r="E13" s="326" t="s">
        <v>172</v>
      </c>
      <c r="F13" s="326" t="s">
        <v>173</v>
      </c>
    </row>
    <row r="14" spans="1:9" ht="15.75" thickBot="1" x14ac:dyDescent="0.3">
      <c r="A14" s="592"/>
      <c r="B14" s="593"/>
      <c r="C14" s="593"/>
      <c r="D14" s="59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87" t="s">
        <v>34</v>
      </c>
      <c r="B16" s="327" t="s">
        <v>32</v>
      </c>
      <c r="C16" s="327" t="s">
        <v>31</v>
      </c>
      <c r="D16" s="328" t="s">
        <v>33</v>
      </c>
    </row>
    <row r="17" spans="1:4" ht="15.75" thickBot="1" x14ac:dyDescent="0.3">
      <c r="A17" s="588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8" t="s">
        <v>37</v>
      </c>
      <c r="B19" s="568"/>
      <c r="C19" s="568"/>
      <c r="D19" s="98"/>
    </row>
    <row r="20" spans="1:4" ht="25.5" x14ac:dyDescent="0.25">
      <c r="A20" s="326" t="s">
        <v>35</v>
      </c>
      <c r="B20" s="326" t="s">
        <v>177</v>
      </c>
      <c r="C20" s="326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15757.683313448728</v>
      </c>
      <c r="C22" s="165">
        <f t="shared" ref="C22:C41" si="1">B22*$F$14</f>
        <v>3560290.9678406054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20792.387787549629</v>
      </c>
      <c r="C23" s="165">
        <f t="shared" si="1"/>
        <v>4697832.0967189632</v>
      </c>
    </row>
    <row r="24" spans="1:4" x14ac:dyDescent="0.25">
      <c r="A24" s="164">
        <f t="shared" si="2"/>
        <v>750000</v>
      </c>
      <c r="B24" s="159">
        <f t="shared" si="0"/>
        <v>24453.49110513533</v>
      </c>
      <c r="C24" s="165">
        <f t="shared" si="1"/>
        <v>5525021.7802942768</v>
      </c>
    </row>
    <row r="25" spans="1:4" x14ac:dyDescent="0.25">
      <c r="A25" s="164">
        <f t="shared" si="2"/>
        <v>1000000</v>
      </c>
      <c r="B25" s="159">
        <f t="shared" si="0"/>
        <v>27435.720169529453</v>
      </c>
      <c r="C25" s="165">
        <f t="shared" si="1"/>
        <v>6198826.6151034851</v>
      </c>
    </row>
    <row r="26" spans="1:4" x14ac:dyDescent="0.25">
      <c r="A26" s="164">
        <f t="shared" si="2"/>
        <v>1250000</v>
      </c>
      <c r="B26" s="159">
        <f t="shared" si="0"/>
        <v>29997.175904684151</v>
      </c>
      <c r="C26" s="165">
        <f t="shared" si="1"/>
        <v>6777561.923904337</v>
      </c>
    </row>
    <row r="27" spans="1:4" x14ac:dyDescent="0.25">
      <c r="A27" s="164">
        <f t="shared" si="2"/>
        <v>1500000</v>
      </c>
      <c r="B27" s="159">
        <f t="shared" si="0"/>
        <v>32266.574959240672</v>
      </c>
      <c r="C27" s="165">
        <f t="shared" si="1"/>
        <v>7290309.9462908376</v>
      </c>
    </row>
    <row r="28" spans="1:4" x14ac:dyDescent="0.25">
      <c r="A28" s="164">
        <f t="shared" si="2"/>
        <v>1750000</v>
      </c>
      <c r="B28" s="159">
        <f t="shared" si="0"/>
        <v>34318.759723325085</v>
      </c>
      <c r="C28" s="165">
        <f t="shared" si="1"/>
        <v>7753980.5718880696</v>
      </c>
    </row>
    <row r="29" spans="1:4" x14ac:dyDescent="0.25">
      <c r="A29" s="164">
        <f t="shared" si="2"/>
        <v>2000000</v>
      </c>
      <c r="B29" s="159">
        <f t="shared" si="0"/>
        <v>36201.649801445565</v>
      </c>
      <c r="C29" s="165">
        <f t="shared" si="1"/>
        <v>8179400.7561386107</v>
      </c>
    </row>
    <row r="30" spans="1:4" x14ac:dyDescent="0.25">
      <c r="A30" s="164">
        <f t="shared" si="2"/>
        <v>2250000</v>
      </c>
      <c r="B30" s="159">
        <f t="shared" si="0"/>
        <v>37948.041938282877</v>
      </c>
      <c r="C30" s="165">
        <f t="shared" si="1"/>
        <v>8573980.5955356322</v>
      </c>
    </row>
    <row r="31" spans="1:4" x14ac:dyDescent="0.25">
      <c r="A31" s="164">
        <f t="shared" si="2"/>
        <v>2500000</v>
      </c>
      <c r="B31" s="159">
        <f t="shared" si="0"/>
        <v>39581.510907076787</v>
      </c>
      <c r="C31" s="165">
        <f t="shared" si="1"/>
        <v>8943046.5743449293</v>
      </c>
    </row>
    <row r="32" spans="1:4" x14ac:dyDescent="0.25">
      <c r="A32" s="164">
        <f t="shared" si="2"/>
        <v>2750000</v>
      </c>
      <c r="B32" s="159">
        <f t="shared" si="0"/>
        <v>41119.653101601129</v>
      </c>
      <c r="C32" s="165">
        <f t="shared" si="1"/>
        <v>9290574.4217757583</v>
      </c>
    </row>
    <row r="33" spans="1:3" x14ac:dyDescent="0.25">
      <c r="A33" s="164">
        <f t="shared" si="2"/>
        <v>3000000</v>
      </c>
      <c r="B33" s="159">
        <f t="shared" si="0"/>
        <v>42576.000912264644</v>
      </c>
      <c r="C33" s="165">
        <f t="shared" si="1"/>
        <v>9619621.6461170744</v>
      </c>
    </row>
    <row r="34" spans="1:3" x14ac:dyDescent="0.25">
      <c r="A34" s="164">
        <f t="shared" si="2"/>
        <v>3250000</v>
      </c>
      <c r="B34" s="159">
        <f t="shared" si="0"/>
        <v>43961.217233910902</v>
      </c>
      <c r="C34" s="165">
        <f t="shared" si="1"/>
        <v>9932597.421829829</v>
      </c>
    </row>
    <row r="35" spans="1:3" x14ac:dyDescent="0.25">
      <c r="A35" s="164">
        <f t="shared" si="2"/>
        <v>3500000</v>
      </c>
      <c r="B35" s="159">
        <f t="shared" si="0"/>
        <v>45283.874942841634</v>
      </c>
      <c r="C35" s="165">
        <f t="shared" si="1"/>
        <v>10231438.704585638</v>
      </c>
    </row>
    <row r="36" spans="1:3" x14ac:dyDescent="0.25">
      <c r="A36" s="164">
        <f t="shared" si="2"/>
        <v>3750000</v>
      </c>
      <c r="B36" s="159">
        <f t="shared" si="0"/>
        <v>46550.984657644571</v>
      </c>
      <c r="C36" s="165">
        <f t="shared" si="1"/>
        <v>10517729.473548215</v>
      </c>
    </row>
    <row r="37" spans="1:3" x14ac:dyDescent="0.25">
      <c r="A37" s="164">
        <f t="shared" si="2"/>
        <v>4000000</v>
      </c>
      <c r="B37" s="159">
        <f t="shared" si="0"/>
        <v>47768.363296037402</v>
      </c>
      <c r="C37" s="165">
        <f t="shared" si="1"/>
        <v>10792784.003106691</v>
      </c>
    </row>
    <row r="38" spans="1:3" x14ac:dyDescent="0.25">
      <c r="A38" s="164">
        <f t="shared" si="2"/>
        <v>4250000</v>
      </c>
      <c r="B38" s="159">
        <f t="shared" si="0"/>
        <v>48940.898319309759</v>
      </c>
      <c r="C38" s="165">
        <f t="shared" si="1"/>
        <v>11057706.566264847</v>
      </c>
    </row>
    <row r="39" spans="1:3" x14ac:dyDescent="0.25">
      <c r="A39" s="164">
        <f t="shared" si="2"/>
        <v>4500000</v>
      </c>
      <c r="B39" s="159">
        <f t="shared" si="0"/>
        <v>50072.741535905814</v>
      </c>
      <c r="C39" s="165">
        <f t="shared" si="1"/>
        <v>11313435.22262256</v>
      </c>
    </row>
    <row r="40" spans="1:3" x14ac:dyDescent="0.25">
      <c r="A40" s="164">
        <f t="shared" si="2"/>
        <v>4750000</v>
      </c>
      <c r="B40" s="159">
        <f t="shared" si="0"/>
        <v>51167.454079337178</v>
      </c>
      <c r="C40" s="165">
        <f t="shared" si="1"/>
        <v>11560774.574685441</v>
      </c>
    </row>
    <row r="41" spans="1:3" x14ac:dyDescent="0.25">
      <c r="A41" s="164">
        <f t="shared" si="2"/>
        <v>5000000</v>
      </c>
      <c r="B41" s="159">
        <f t="shared" si="0"/>
        <v>52228.116762231417</v>
      </c>
      <c r="C41" s="165">
        <f t="shared" si="1"/>
        <v>11800420.701258566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pageSetUpPr autoPageBreaks="0"/>
  </sheetPr>
  <dimension ref="A1:I41"/>
  <sheetViews>
    <sheetView workbookViewId="0">
      <selection activeCell="B9" sqref="B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06"/>
      <c r="C4" s="607"/>
      <c r="D4" s="607"/>
      <c r="E4" s="607"/>
      <c r="F4" s="60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95" t="s">
        <v>8</v>
      </c>
      <c r="B7" s="600" t="s">
        <v>9</v>
      </c>
      <c r="C7" s="600"/>
      <c r="D7" s="600" t="s">
        <v>12</v>
      </c>
      <c r="E7" s="600"/>
      <c r="F7" s="600"/>
      <c r="G7" s="600" t="s">
        <v>124</v>
      </c>
      <c r="H7" s="600"/>
      <c r="I7" s="605"/>
    </row>
    <row r="8" spans="1:9" x14ac:dyDescent="0.25">
      <c r="A8" s="599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596"/>
      <c r="B9" s="157">
        <f>VAC_Optim_Scenario!G27</f>
        <v>16888801</v>
      </c>
      <c r="C9" s="157">
        <f>VAC_Optim_Scenario!H27</f>
        <v>16888801</v>
      </c>
      <c r="D9" s="158">
        <f>VAC_Optim_Scenario!I27</f>
        <v>16888801</v>
      </c>
      <c r="E9" s="84">
        <f>((GTV!D9/$B$12)^$D$12)*$C$12*$F$12</f>
        <v>296690.17284619244</v>
      </c>
      <c r="F9" s="84">
        <f>E9*F11</f>
        <v>296690.17284619244</v>
      </c>
      <c r="G9" s="76">
        <f>VAC_Optim_Scenario!E27</f>
        <v>16888801</v>
      </c>
      <c r="H9" s="159">
        <f>((GTV!G9/$B$12)^$D$12)*$C$12*$F$12</f>
        <v>296690.17284619244</v>
      </c>
      <c r="I9" s="160">
        <f>H9*F11</f>
        <v>296690.17284619244</v>
      </c>
    </row>
    <row r="10" spans="1:9" ht="15.75" thickBot="1" x14ac:dyDescent="0.3"/>
    <row r="11" spans="1:9" ht="48.95" customHeight="1" x14ac:dyDescent="0.25">
      <c r="A11" s="568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568"/>
      <c r="B12" s="162">
        <f>'[21]TV - Power'!$B$12</f>
        <v>13503524.99</v>
      </c>
      <c r="C12" s="162">
        <f>'[21]TV - Power'!$C$12</f>
        <v>253686.28893952153</v>
      </c>
      <c r="D12" s="314">
        <f>'[21]TV - Power'!$D$12</f>
        <v>0.7</v>
      </c>
      <c r="E12" s="144" t="s">
        <v>122</v>
      </c>
      <c r="F12" s="163">
        <f>VAC_Optim_Scenario!D27</f>
        <v>1</v>
      </c>
    </row>
    <row r="13" spans="1:9" ht="18.75" customHeight="1" x14ac:dyDescent="0.25">
      <c r="A13" s="589" t="s">
        <v>171</v>
      </c>
      <c r="B13" s="590"/>
      <c r="C13" s="590"/>
      <c r="D13" s="590"/>
      <c r="E13" s="144" t="s">
        <v>172</v>
      </c>
      <c r="F13" s="144" t="s">
        <v>173</v>
      </c>
    </row>
    <row r="14" spans="1:9" ht="15.75" thickBot="1" x14ac:dyDescent="0.3">
      <c r="A14" s="592"/>
      <c r="B14" s="593"/>
      <c r="C14" s="593"/>
      <c r="D14" s="59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87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588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8" t="s">
        <v>37</v>
      </c>
      <c r="B19" s="568"/>
      <c r="C19" s="568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((GTV!A21/$B$12)^$D$12)*$C$12*$F$12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1250000</v>
      </c>
      <c r="B22" s="159">
        <f>((GTV!A22/$B$12)^$D$12)*$C$12*$F$12</f>
        <v>47953.575867360239</v>
      </c>
      <c r="C22" s="165">
        <f t="shared" ref="C22:C41" si="0">B22*$F$14</f>
        <v>10834630.931471372</v>
      </c>
    </row>
    <row r="23" spans="1:4" x14ac:dyDescent="0.25">
      <c r="A23" s="164">
        <f t="shared" ref="A23:A41" si="1">A22+(($C$17-$B$17)/$D$17)</f>
        <v>2500000</v>
      </c>
      <c r="B23" s="159">
        <f>((GTV!A23/$B$12)^$D$12)*$C$12*$F$12</f>
        <v>77900.813824227807</v>
      </c>
      <c r="C23" s="165">
        <f t="shared" si="0"/>
        <v>17600909.875446029</v>
      </c>
    </row>
    <row r="24" spans="1:4" x14ac:dyDescent="0.25">
      <c r="A24" s="164">
        <f t="shared" si="1"/>
        <v>3750000</v>
      </c>
      <c r="B24" s="159">
        <f>((GTV!A24/$B$12)^$D$12)*$C$12*$F$12</f>
        <v>103467.95751393421</v>
      </c>
      <c r="C24" s="165">
        <f t="shared" si="0"/>
        <v>23377550.320698295</v>
      </c>
    </row>
    <row r="25" spans="1:4" x14ac:dyDescent="0.25">
      <c r="A25" s="164">
        <f t="shared" si="1"/>
        <v>5000000</v>
      </c>
      <c r="B25" s="159">
        <f>((GTV!A25/$B$12)^$D$12)*$C$12*$F$12</f>
        <v>126550.24541365997</v>
      </c>
      <c r="C25" s="165">
        <f t="shared" si="0"/>
        <v>28592762.448762335</v>
      </c>
    </row>
    <row r="26" spans="1:4" x14ac:dyDescent="0.25">
      <c r="A26" s="164">
        <f t="shared" si="1"/>
        <v>6250000</v>
      </c>
      <c r="B26" s="159">
        <f>((GTV!A26/$B$12)^$D$12)*$C$12*$F$12</f>
        <v>147944.9007433716</v>
      </c>
      <c r="C26" s="165">
        <f t="shared" si="0"/>
        <v>33426670.873957381</v>
      </c>
    </row>
    <row r="27" spans="1:4" x14ac:dyDescent="0.25">
      <c r="A27" s="164">
        <f t="shared" si="1"/>
        <v>7500000</v>
      </c>
      <c r="B27" s="159">
        <f>((GTV!A27/$B$12)^$D$12)*$C$12*$F$12</f>
        <v>168084.19287355643</v>
      </c>
      <c r="C27" s="165">
        <f t="shared" si="0"/>
        <v>37976942.537851341</v>
      </c>
    </row>
    <row r="28" spans="1:4" x14ac:dyDescent="0.25">
      <c r="A28" s="164">
        <f t="shared" si="1"/>
        <v>8750000</v>
      </c>
      <c r="B28" s="159">
        <f>((GTV!A28/$B$12)^$D$12)*$C$12*$F$12</f>
        <v>187236.11694004576</v>
      </c>
      <c r="C28" s="165">
        <f t="shared" si="0"/>
        <v>42304128.261433937</v>
      </c>
    </row>
    <row r="29" spans="1:4" x14ac:dyDescent="0.25">
      <c r="A29" s="164">
        <f t="shared" si="1"/>
        <v>10000000</v>
      </c>
      <c r="B29" s="159">
        <f>((GTV!A29/$B$12)^$D$12)*$C$12*$F$12</f>
        <v>205581.48019343003</v>
      </c>
      <c r="C29" s="165">
        <f t="shared" si="0"/>
        <v>46449079.63490358</v>
      </c>
    </row>
    <row r="30" spans="1:4" x14ac:dyDescent="0.25">
      <c r="A30" s="164">
        <f t="shared" si="1"/>
        <v>11250000</v>
      </c>
      <c r="B30" s="159">
        <f>((GTV!A30/$B$12)^$D$12)*$C$12*$F$12</f>
        <v>223249.63338953216</v>
      </c>
      <c r="C30" s="165">
        <f t="shared" si="0"/>
        <v>50441022.168030895</v>
      </c>
    </row>
    <row r="31" spans="1:4" x14ac:dyDescent="0.25">
      <c r="A31" s="164">
        <f t="shared" si="1"/>
        <v>12500000</v>
      </c>
      <c r="B31" s="159">
        <f>((GTV!A31/$B$12)^$D$12)*$C$12*$F$12</f>
        <v>240337.20031497802</v>
      </c>
      <c r="C31" s="165">
        <f t="shared" si="0"/>
        <v>54301787.03916613</v>
      </c>
    </row>
    <row r="32" spans="1:4" x14ac:dyDescent="0.25">
      <c r="A32" s="164">
        <f t="shared" si="1"/>
        <v>13750000</v>
      </c>
      <c r="B32" s="159">
        <f>((GTV!A32/$B$12)^$D$12)*$C$12*$F$12</f>
        <v>256918.795571375</v>
      </c>
      <c r="C32" s="165">
        <f t="shared" si="0"/>
        <v>58048232.671396464</v>
      </c>
    </row>
    <row r="33" spans="1:3" x14ac:dyDescent="0.25">
      <c r="A33" s="164">
        <f t="shared" si="1"/>
        <v>15000000</v>
      </c>
      <c r="B33" s="159">
        <f>((GTV!A33/$B$12)^$D$12)*$C$12*$F$12</f>
        <v>273053.57690229977</v>
      </c>
      <c r="C33" s="165">
        <f t="shared" si="0"/>
        <v>61693725.165305607</v>
      </c>
    </row>
    <row r="34" spans="1:3" x14ac:dyDescent="0.25">
      <c r="A34" s="164">
        <f t="shared" si="1"/>
        <v>16250000</v>
      </c>
      <c r="B34" s="159">
        <f>((GTV!A34/$B$12)^$D$12)*$C$12*$F$12</f>
        <v>288789.46380711853</v>
      </c>
      <c r="C34" s="165">
        <f t="shared" si="0"/>
        <v>65249091.452580363</v>
      </c>
    </row>
    <row r="35" spans="1:3" x14ac:dyDescent="0.25">
      <c r="A35" s="164">
        <f t="shared" si="1"/>
        <v>17500000</v>
      </c>
      <c r="B35" s="159">
        <f>((GTV!A35/$B$12)^$D$12)*$C$12*$F$12</f>
        <v>304165.969337977</v>
      </c>
      <c r="C35" s="165">
        <f t="shared" si="0"/>
        <v>68723259.112222522</v>
      </c>
    </row>
    <row r="36" spans="1:3" x14ac:dyDescent="0.25">
      <c r="A36" s="164">
        <f t="shared" si="1"/>
        <v>18750000</v>
      </c>
      <c r="B36" s="159">
        <f>((GTV!A36/$B$12)^$D$12)*$C$12*$F$12</f>
        <v>319216.16746286326</v>
      </c>
      <c r="C36" s="165">
        <f t="shared" si="0"/>
        <v>72123700.876559317</v>
      </c>
    </row>
    <row r="37" spans="1:3" x14ac:dyDescent="0.25">
      <c r="A37" s="164">
        <f t="shared" si="1"/>
        <v>20000000</v>
      </c>
      <c r="B37" s="159">
        <f>((GTV!A37/$B$12)^$D$12)*$C$12*$F$12</f>
        <v>333968.099867151</v>
      </c>
      <c r="C37" s="165">
        <f t="shared" si="0"/>
        <v>75456752.483984098</v>
      </c>
    </row>
    <row r="38" spans="1:3" x14ac:dyDescent="0.25">
      <c r="A38" s="164">
        <f t="shared" si="1"/>
        <v>21250000</v>
      </c>
      <c r="B38" s="159">
        <f>((GTV!A38/$B$12)^$D$12)*$C$12*$F$12</f>
        <v>348445.80692517635</v>
      </c>
      <c r="C38" s="165">
        <f t="shared" si="0"/>
        <v>78727845.616674349</v>
      </c>
    </row>
    <row r="39" spans="1:3" x14ac:dyDescent="0.25">
      <c r="A39" s="164">
        <f t="shared" si="1"/>
        <v>22500000</v>
      </c>
      <c r="B39" s="159">
        <f>((GTV!A39/$B$12)^$D$12)*$C$12*$F$12</f>
        <v>362670.09941259713</v>
      </c>
      <c r="C39" s="165">
        <f t="shared" si="0"/>
        <v>81941682.261282191</v>
      </c>
    </row>
    <row r="40" spans="1:3" x14ac:dyDescent="0.25">
      <c r="A40" s="164">
        <f t="shared" si="1"/>
        <v>23750000</v>
      </c>
      <c r="B40" s="159">
        <f>((GTV!A40/$B$12)^$D$12)*$C$12*$F$12</f>
        <v>376659.1469103847</v>
      </c>
      <c r="C40" s="165">
        <f t="shared" si="0"/>
        <v>85102367.652932316</v>
      </c>
    </row>
    <row r="41" spans="1:3" x14ac:dyDescent="0.25">
      <c r="A41" s="164">
        <f t="shared" si="1"/>
        <v>25000000</v>
      </c>
      <c r="B41" s="159">
        <f>((GTV!A41/$B$12)^$D$12)*$C$12*$F$12</f>
        <v>390428.93377877894</v>
      </c>
      <c r="C41" s="165">
        <f t="shared" si="0"/>
        <v>88213513.297977313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162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597" t="s">
        <v>106</v>
      </c>
      <c r="C4" s="597"/>
      <c r="D4" s="597"/>
      <c r="E4" s="597"/>
      <c r="F4" s="598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595" t="s">
        <v>8</v>
      </c>
      <c r="B7" s="600" t="s">
        <v>9</v>
      </c>
      <c r="C7" s="601"/>
      <c r="D7" s="602" t="s">
        <v>12</v>
      </c>
      <c r="E7" s="603"/>
      <c r="F7" s="604"/>
      <c r="G7" s="600" t="s">
        <v>124</v>
      </c>
      <c r="H7" s="600"/>
      <c r="I7" s="605"/>
      <c r="J7" s="98" t="s">
        <v>125</v>
      </c>
    </row>
    <row r="8" spans="1:18" ht="28.15" customHeight="1" x14ac:dyDescent="0.2">
      <c r="A8" s="599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96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198</v>
      </c>
    </row>
    <row r="10" spans="1:18" ht="13.5" thickBot="1" x14ac:dyDescent="0.25"/>
    <row r="11" spans="1:18" ht="51.6" customHeight="1" x14ac:dyDescent="0.2">
      <c r="A11" s="595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587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96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VAC_Optim_Scenario!$D$46</f>
        <v>1</v>
      </c>
      <c r="H12" s="71">
        <f>C12*G12</f>
        <v>54924.559200000003</v>
      </c>
      <c r="I12" s="115" t="e">
        <f>VAC_Optim_Scenario!#REF!</f>
        <v>#REF!</v>
      </c>
      <c r="K12" s="588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589" t="s">
        <v>114</v>
      </c>
      <c r="B13" s="590"/>
      <c r="C13" s="590"/>
      <c r="D13" s="590"/>
      <c r="E13" s="590"/>
      <c r="F13" s="591"/>
      <c r="G13" s="119" t="s">
        <v>150</v>
      </c>
      <c r="H13" s="119" t="s">
        <v>151</v>
      </c>
      <c r="K13" s="589" t="s">
        <v>115</v>
      </c>
      <c r="L13" s="590"/>
      <c r="M13" s="590"/>
      <c r="N13" s="590"/>
      <c r="O13" s="590"/>
      <c r="P13" s="590"/>
      <c r="Q13" s="590"/>
      <c r="R13" s="591"/>
    </row>
    <row r="14" spans="1:18" ht="33.6" customHeight="1" thickBot="1" x14ac:dyDescent="0.25">
      <c r="A14" s="592"/>
      <c r="B14" s="593"/>
      <c r="C14" s="593"/>
      <c r="D14" s="593"/>
      <c r="E14" s="593"/>
      <c r="F14" s="594"/>
      <c r="G14" s="95">
        <f>VAC_Optim_Scenario!I46</f>
        <v>225.94</v>
      </c>
      <c r="H14" s="95">
        <f>VAC_Optim_Scenario!G46</f>
        <v>225.94</v>
      </c>
      <c r="K14" s="592"/>
      <c r="L14" s="593"/>
      <c r="M14" s="593"/>
      <c r="N14" s="593"/>
      <c r="O14" s="593"/>
      <c r="P14" s="593"/>
      <c r="Q14" s="593"/>
      <c r="R14" s="594"/>
    </row>
    <row r="16" spans="1:18" ht="13.5" thickBot="1" x14ac:dyDescent="0.25"/>
    <row r="17" spans="1:8" ht="42.6" customHeight="1" x14ac:dyDescent="0.2">
      <c r="A17" s="587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88"/>
      <c r="B18" s="75">
        <v>0</v>
      </c>
      <c r="C18" s="76">
        <v>4000000</v>
      </c>
      <c r="D18" s="26">
        <v>20</v>
      </c>
    </row>
    <row r="20" spans="1:8" x14ac:dyDescent="0.2">
      <c r="A20" s="568" t="s">
        <v>37</v>
      </c>
      <c r="B20" s="568"/>
      <c r="C20" s="568"/>
    </row>
    <row r="21" spans="1:8" ht="25.5" x14ac:dyDescent="0.2">
      <c r="A21" s="119" t="s">
        <v>35</v>
      </c>
      <c r="B21" s="119" t="s">
        <v>120</v>
      </c>
      <c r="C21" s="119" t="s">
        <v>199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6939-4481-4B34-A669-A679D8B180C4}">
  <sheetPr codeName="Sheet21">
    <tabColor theme="0" tint="-4.9989318521683403E-2"/>
  </sheetPr>
  <dimension ref="A1:I42"/>
  <sheetViews>
    <sheetView workbookViewId="0">
      <selection activeCell="E14" sqref="E14:F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297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297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298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06"/>
      <c r="C4" s="607"/>
      <c r="D4" s="607"/>
      <c r="E4" s="607"/>
      <c r="F4" s="60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95" t="s">
        <v>8</v>
      </c>
      <c r="B7" s="600" t="s">
        <v>9</v>
      </c>
      <c r="C7" s="600"/>
      <c r="D7" s="600" t="s">
        <v>12</v>
      </c>
      <c r="E7" s="600"/>
      <c r="F7" s="600"/>
      <c r="G7" s="600" t="s">
        <v>124</v>
      </c>
      <c r="H7" s="600"/>
      <c r="I7" s="605"/>
    </row>
    <row r="8" spans="1:9" x14ac:dyDescent="0.25">
      <c r="A8" s="599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596"/>
      <c r="B9" s="157">
        <f>VAC_Optim_Scenario!G36</f>
        <v>28089211</v>
      </c>
      <c r="C9" s="157">
        <f>VAC_Optim_Scenario!H36</f>
        <v>28089211</v>
      </c>
      <c r="D9" s="158">
        <f>VAC_Optim_Scenario!I36</f>
        <v>28089211</v>
      </c>
      <c r="E9" s="84">
        <f>((GLINEARTV_adt!D9/$B$12)^$D$12)*$C$12*$F$12</f>
        <v>178786.88879772768</v>
      </c>
      <c r="F9" s="84">
        <f>E9*F11</f>
        <v>178786.88879772768</v>
      </c>
      <c r="G9" s="76">
        <f>VAC_Optim_Scenario!E36</f>
        <v>28089211</v>
      </c>
      <c r="H9" s="159">
        <f>((GLINEARTV_adt!G9/$B$12)^$D$12)*$C$12*$F$12</f>
        <v>178786.88879772768</v>
      </c>
      <c r="I9" s="160">
        <f>H9*F11</f>
        <v>178786.88879772768</v>
      </c>
    </row>
    <row r="10" spans="1:9" ht="15.75" thickBot="1" x14ac:dyDescent="0.3"/>
    <row r="11" spans="1:9" ht="48.95" customHeight="1" x14ac:dyDescent="0.25">
      <c r="A11" s="568" t="s">
        <v>15</v>
      </c>
      <c r="B11" s="340" t="s">
        <v>16</v>
      </c>
      <c r="C11" s="340" t="s">
        <v>17</v>
      </c>
      <c r="D11" s="340" t="s">
        <v>170</v>
      </c>
      <c r="E11" s="334" t="s">
        <v>126</v>
      </c>
      <c r="F11" s="161">
        <v>1</v>
      </c>
    </row>
    <row r="12" spans="1:9" ht="40.5" customHeight="1" thickBot="1" x14ac:dyDescent="0.3">
      <c r="A12" s="568"/>
      <c r="B12" s="162">
        <f>'[22]TV - Power'!$B$12</f>
        <v>25810928.600000001</v>
      </c>
      <c r="C12" s="162">
        <f>'[22]TV - Power'!$C$12</f>
        <v>168508.00202805389</v>
      </c>
      <c r="D12" s="329">
        <f>'[22]TV - Power'!$D$12</f>
        <v>0.7</v>
      </c>
      <c r="E12" s="334" t="s">
        <v>122</v>
      </c>
      <c r="F12" s="163">
        <f>VAC_Optim_Scenario!D36</f>
        <v>1</v>
      </c>
      <c r="G12" s="266">
        <f>B12*2</f>
        <v>51621857.200000003</v>
      </c>
    </row>
    <row r="13" spans="1:9" ht="18.75" customHeight="1" x14ac:dyDescent="0.25">
      <c r="A13" s="589" t="s">
        <v>171</v>
      </c>
      <c r="B13" s="590"/>
      <c r="C13" s="590"/>
      <c r="D13" s="590"/>
      <c r="E13" s="334" t="s">
        <v>172</v>
      </c>
      <c r="F13" s="334" t="s">
        <v>173</v>
      </c>
    </row>
    <row r="14" spans="1:9" ht="15.75" thickBot="1" x14ac:dyDescent="0.3">
      <c r="A14" s="592"/>
      <c r="B14" s="593"/>
      <c r="C14" s="593"/>
      <c r="D14" s="59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87" t="s">
        <v>34</v>
      </c>
      <c r="B16" s="340" t="s">
        <v>32</v>
      </c>
      <c r="C16" s="340" t="s">
        <v>31</v>
      </c>
      <c r="D16" s="341" t="s">
        <v>33</v>
      </c>
    </row>
    <row r="17" spans="1:4" ht="15.75" thickBot="1" x14ac:dyDescent="0.3">
      <c r="A17" s="588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68" t="s">
        <v>37</v>
      </c>
      <c r="B19" s="568"/>
      <c r="C19" s="568"/>
      <c r="D19" s="98"/>
    </row>
    <row r="20" spans="1:4" ht="25.5" x14ac:dyDescent="0.25">
      <c r="A20" s="334" t="s">
        <v>35</v>
      </c>
      <c r="B20" s="334" t="s">
        <v>177</v>
      </c>
      <c r="C20" s="334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1500000</v>
      </c>
      <c r="B22" s="159">
        <f t="shared" ref="B22:B42" si="0">((A22/$B$12)^$D$12)*$C$12</f>
        <v>22994.388781683774</v>
      </c>
      <c r="C22" s="165">
        <f t="shared" ref="C22:C41" si="1">B22*$F$14</f>
        <v>5195352.2013336318</v>
      </c>
    </row>
    <row r="23" spans="1:4" x14ac:dyDescent="0.25">
      <c r="A23" s="164">
        <f t="shared" ref="A23:A42" si="2">A22+(($C$17-$B$17)/$D$17)</f>
        <v>3000000</v>
      </c>
      <c r="B23" s="159">
        <f t="shared" si="0"/>
        <v>37354.494781339148</v>
      </c>
      <c r="C23" s="165">
        <f t="shared" si="1"/>
        <v>8439874.5508957673</v>
      </c>
    </row>
    <row r="24" spans="1:4" x14ac:dyDescent="0.25">
      <c r="A24" s="164">
        <f t="shared" si="2"/>
        <v>4500000</v>
      </c>
      <c r="B24" s="159">
        <f t="shared" si="0"/>
        <v>49614.286286031464</v>
      </c>
      <c r="C24" s="165">
        <f t="shared" si="1"/>
        <v>11209851.843465948</v>
      </c>
    </row>
    <row r="25" spans="1:4" x14ac:dyDescent="0.25">
      <c r="A25" s="164">
        <f t="shared" si="2"/>
        <v>6000000</v>
      </c>
      <c r="B25" s="159">
        <f t="shared" si="0"/>
        <v>60682.555801638446</v>
      </c>
      <c r="C25" s="165">
        <f t="shared" si="1"/>
        <v>13710616.65782219</v>
      </c>
    </row>
    <row r="26" spans="1:4" x14ac:dyDescent="0.25">
      <c r="A26" s="164">
        <f t="shared" si="2"/>
        <v>7500000</v>
      </c>
      <c r="B26" s="159">
        <f t="shared" si="0"/>
        <v>70941.582654239959</v>
      </c>
      <c r="C26" s="165">
        <f t="shared" si="1"/>
        <v>16028541.184898976</v>
      </c>
    </row>
    <row r="27" spans="1:4" x14ac:dyDescent="0.25">
      <c r="A27" s="164">
        <f t="shared" si="2"/>
        <v>9000000</v>
      </c>
      <c r="B27" s="159">
        <f t="shared" si="0"/>
        <v>80598.645858666729</v>
      </c>
      <c r="C27" s="165">
        <f t="shared" si="1"/>
        <v>18210458.045307159</v>
      </c>
    </row>
    <row r="28" spans="1:4" x14ac:dyDescent="0.25">
      <c r="A28" s="164">
        <f t="shared" si="2"/>
        <v>10500000</v>
      </c>
      <c r="B28" s="159">
        <f t="shared" si="0"/>
        <v>89782.252710432149</v>
      </c>
      <c r="C28" s="165">
        <f t="shared" si="1"/>
        <v>20285402.177395038</v>
      </c>
    </row>
    <row r="29" spans="1:4" x14ac:dyDescent="0.25">
      <c r="A29" s="164">
        <f t="shared" si="2"/>
        <v>12000000</v>
      </c>
      <c r="B29" s="159">
        <f t="shared" si="0"/>
        <v>98579.102733803622</v>
      </c>
      <c r="C29" s="165">
        <f t="shared" si="1"/>
        <v>22272962.47167559</v>
      </c>
    </row>
    <row r="30" spans="1:4" x14ac:dyDescent="0.25">
      <c r="A30" s="164">
        <f t="shared" si="2"/>
        <v>13500000</v>
      </c>
      <c r="B30" s="159">
        <f t="shared" si="0"/>
        <v>107051.22136723484</v>
      </c>
      <c r="C30" s="165">
        <f t="shared" si="1"/>
        <v>24187152.955713041</v>
      </c>
    </row>
    <row r="31" spans="1:4" x14ac:dyDescent="0.25">
      <c r="A31" s="164">
        <f t="shared" si="2"/>
        <v>15000000</v>
      </c>
      <c r="B31" s="159">
        <f t="shared" si="0"/>
        <v>115244.9410244207</v>
      </c>
      <c r="C31" s="165">
        <f t="shared" si="1"/>
        <v>26038441.975057613</v>
      </c>
    </row>
    <row r="32" spans="1:4" x14ac:dyDescent="0.25">
      <c r="A32" s="164">
        <f t="shared" si="2"/>
        <v>16500000</v>
      </c>
      <c r="B32" s="159">
        <f t="shared" si="0"/>
        <v>123196.0404168987</v>
      </c>
      <c r="C32" s="165">
        <f t="shared" si="1"/>
        <v>27834913.371794093</v>
      </c>
    </row>
    <row r="33" spans="1:3" x14ac:dyDescent="0.25">
      <c r="A33" s="164">
        <f t="shared" si="2"/>
        <v>18000000</v>
      </c>
      <c r="B33" s="159">
        <f t="shared" si="0"/>
        <v>130932.88648353927</v>
      </c>
      <c r="C33" s="165">
        <f t="shared" si="1"/>
        <v>29582976.372090865</v>
      </c>
    </row>
    <row r="34" spans="1:3" x14ac:dyDescent="0.25">
      <c r="A34" s="164">
        <f t="shared" si="2"/>
        <v>19500000</v>
      </c>
      <c r="B34" s="159">
        <f t="shared" si="0"/>
        <v>138478.45727298054</v>
      </c>
      <c r="C34" s="165">
        <f t="shared" si="1"/>
        <v>31287822.636257224</v>
      </c>
    </row>
    <row r="35" spans="1:3" x14ac:dyDescent="0.25">
      <c r="A35" s="164">
        <f t="shared" si="2"/>
        <v>21000000</v>
      </c>
      <c r="B35" s="159">
        <f t="shared" si="0"/>
        <v>145851.69982861925</v>
      </c>
      <c r="C35" s="165">
        <f t="shared" si="1"/>
        <v>32953733.059278235</v>
      </c>
    </row>
    <row r="36" spans="1:3" x14ac:dyDescent="0.25">
      <c r="A36" s="164">
        <f t="shared" si="2"/>
        <v>22500000</v>
      </c>
      <c r="B36" s="159">
        <f t="shared" si="0"/>
        <v>153068.47356583198</v>
      </c>
      <c r="C36" s="165">
        <f t="shared" si="1"/>
        <v>34584290.917464077</v>
      </c>
    </row>
    <row r="37" spans="1:3" x14ac:dyDescent="0.25">
      <c r="A37" s="164">
        <f t="shared" si="2"/>
        <v>24000000</v>
      </c>
      <c r="B37" s="159">
        <f t="shared" si="0"/>
        <v>160142.22485235901</v>
      </c>
      <c r="C37" s="165">
        <f t="shared" si="1"/>
        <v>36182534.283141993</v>
      </c>
    </row>
    <row r="38" spans="1:3" x14ac:dyDescent="0.25">
      <c r="A38" s="164">
        <f t="shared" si="2"/>
        <v>25500000</v>
      </c>
      <c r="B38" s="159">
        <f t="shared" si="0"/>
        <v>167084.48137313194</v>
      </c>
      <c r="C38" s="165">
        <f t="shared" si="1"/>
        <v>37751067.721445434</v>
      </c>
    </row>
    <row r="39" spans="1:3" x14ac:dyDescent="0.25">
      <c r="A39" s="164">
        <f t="shared" si="2"/>
        <v>27000000</v>
      </c>
      <c r="B39" s="159">
        <f t="shared" si="0"/>
        <v>173905.2221767967</v>
      </c>
      <c r="C39" s="165">
        <f t="shared" si="1"/>
        <v>39292145.898625448</v>
      </c>
    </row>
    <row r="40" spans="1:3" x14ac:dyDescent="0.25">
      <c r="A40" s="164">
        <f t="shared" si="2"/>
        <v>28500000</v>
      </c>
      <c r="B40" s="159">
        <f t="shared" si="0"/>
        <v>180613.15982339281</v>
      </c>
      <c r="C40" s="165">
        <f t="shared" si="1"/>
        <v>40807737.330497369</v>
      </c>
    </row>
    <row r="41" spans="1:3" x14ac:dyDescent="0.25">
      <c r="A41" s="164">
        <f t="shared" si="2"/>
        <v>30000000</v>
      </c>
      <c r="B41" s="159">
        <f t="shared" si="0"/>
        <v>187215.95903003748</v>
      </c>
      <c r="C41" s="165">
        <f t="shared" si="1"/>
        <v>42299573.783246666</v>
      </c>
    </row>
    <row r="42" spans="1:3" x14ac:dyDescent="0.25">
      <c r="A42" s="164">
        <f t="shared" si="2"/>
        <v>31500000</v>
      </c>
      <c r="B42" s="159">
        <f t="shared" si="0"/>
        <v>193720.40856021506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BE814-7810-447C-AB9A-0A5176BD85C2}">
  <sheetPr codeName="Sheet22">
    <tabColor theme="3" tint="0.79998168889431442"/>
  </sheetPr>
  <dimension ref="A1:R42"/>
  <sheetViews>
    <sheetView topLeftCell="A2" zoomScaleNormal="100" workbookViewId="0">
      <selection activeCell="G14" sqref="G14:H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305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94" t="s">
        <v>102</v>
      </c>
      <c r="I2" s="395"/>
      <c r="J2" s="395"/>
      <c r="K2" s="395"/>
      <c r="L2" s="396"/>
    </row>
    <row r="3" spans="1:18" ht="13.5" thickBot="1" x14ac:dyDescent="0.25">
      <c r="A3" s="11" t="s">
        <v>3</v>
      </c>
      <c r="B3" s="12" t="s">
        <v>306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97" t="s">
        <v>106</v>
      </c>
      <c r="C4" s="597"/>
      <c r="D4" s="597"/>
      <c r="E4" s="597"/>
      <c r="F4" s="598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[23]VAC_Optim_Scenario!$G$14</f>
        <v>0.5</v>
      </c>
      <c r="C6" s="94">
        <f>[23]VAC_Optim_Scenario!$H$14</f>
        <v>2</v>
      </c>
    </row>
    <row r="7" spans="1:18" ht="27.75" customHeight="1" x14ac:dyDescent="0.2">
      <c r="A7" s="595" t="s">
        <v>8</v>
      </c>
      <c r="B7" s="600" t="s">
        <v>9</v>
      </c>
      <c r="C7" s="601"/>
      <c r="D7" s="602" t="s">
        <v>12</v>
      </c>
      <c r="E7" s="603"/>
      <c r="F7" s="604"/>
      <c r="G7" s="600" t="s">
        <v>124</v>
      </c>
      <c r="H7" s="600"/>
      <c r="I7" s="605"/>
      <c r="J7" s="98" t="s">
        <v>125</v>
      </c>
    </row>
    <row r="8" spans="1:18" ht="28.35" customHeight="1" x14ac:dyDescent="0.2">
      <c r="A8" s="599"/>
      <c r="B8" s="393" t="s">
        <v>10</v>
      </c>
      <c r="C8" s="17" t="s">
        <v>11</v>
      </c>
      <c r="D8" s="19" t="s">
        <v>20</v>
      </c>
      <c r="E8" s="393" t="s">
        <v>21</v>
      </c>
      <c r="F8" s="81" t="s">
        <v>117</v>
      </c>
      <c r="G8" s="397" t="s">
        <v>22</v>
      </c>
      <c r="H8" s="393" t="s">
        <v>23</v>
      </c>
      <c r="I8" s="88" t="s">
        <v>123</v>
      </c>
    </row>
    <row r="9" spans="1:18" ht="14.45" customHeight="1" thickBot="1" x14ac:dyDescent="0.25">
      <c r="A9" s="596"/>
      <c r="B9" s="95">
        <f>VAC_Optim_Scenario!G38</f>
        <v>3200000</v>
      </c>
      <c r="C9" s="95">
        <f>VAC_Optim_Scenario!H38</f>
        <v>3200000</v>
      </c>
      <c r="D9" s="95">
        <f>VAC_Optim_Scenario!I38</f>
        <v>3200000</v>
      </c>
      <c r="E9" s="84">
        <f>((($R$12/(1+EXP($P$12+$Q$12*D9)))-1) - ($F$12-$C$12))*$I$12</f>
        <v>22412.309442908503</v>
      </c>
      <c r="F9" s="89">
        <f>E9*$G$12</f>
        <v>22412.309442908503</v>
      </c>
      <c r="G9" s="95">
        <f>VAC_Optim_Scenario!E38</f>
        <v>3200000</v>
      </c>
      <c r="H9" s="85">
        <f>((($R$12/(1+EXP($P$12+$Q$12*G9)))-1) - ($F$12-$C$12))*$I$12</f>
        <v>22412.309442908503</v>
      </c>
      <c r="I9" s="90">
        <f>H9*$G$12</f>
        <v>22412.309442908503</v>
      </c>
      <c r="J9" s="87">
        <f>G9/I9</f>
        <v>142.77868187352351</v>
      </c>
      <c r="K9" s="98" t="s">
        <v>180</v>
      </c>
    </row>
    <row r="10" spans="1:18" ht="13.5" thickBot="1" x14ac:dyDescent="0.25"/>
    <row r="11" spans="1:18" ht="51.6" customHeight="1" x14ac:dyDescent="0.2">
      <c r="A11" s="595" t="s">
        <v>15</v>
      </c>
      <c r="B11" s="399" t="s">
        <v>16</v>
      </c>
      <c r="C11" s="399" t="s">
        <v>17</v>
      </c>
      <c r="D11" s="399" t="s">
        <v>18</v>
      </c>
      <c r="E11" s="399" t="s">
        <v>19</v>
      </c>
      <c r="F11" s="400" t="s">
        <v>109</v>
      </c>
      <c r="G11" s="398" t="s">
        <v>181</v>
      </c>
      <c r="H11" s="399" t="s">
        <v>119</v>
      </c>
      <c r="I11" s="92" t="s">
        <v>122</v>
      </c>
      <c r="K11" s="587" t="s">
        <v>25</v>
      </c>
      <c r="L11" s="399" t="s">
        <v>110</v>
      </c>
      <c r="M11" s="399" t="s">
        <v>111</v>
      </c>
      <c r="N11" s="399" t="s">
        <v>112</v>
      </c>
      <c r="O11" s="399" t="s">
        <v>113</v>
      </c>
      <c r="P11" s="399" t="s">
        <v>26</v>
      </c>
      <c r="Q11" s="399" t="s">
        <v>27</v>
      </c>
      <c r="R11" s="400" t="s">
        <v>28</v>
      </c>
    </row>
    <row r="12" spans="1:18" ht="15" customHeight="1" thickBot="1" x14ac:dyDescent="0.25">
      <c r="A12" s="596"/>
      <c r="B12" s="352">
        <f>'[24]HCC PHARMACY SCurve'!$B$12</f>
        <v>2411882</v>
      </c>
      <c r="C12" s="153">
        <f>'[24]HCC PHARMACY SCurve'!$C$12</f>
        <v>18205.431530494821</v>
      </c>
      <c r="D12" s="153">
        <f>'[24]HCC PHARMACY SCurve'!$D$12</f>
        <v>0</v>
      </c>
      <c r="E12" s="153">
        <f>'[24]HCC PHARMACY SCurve'!$E$12</f>
        <v>45513.578826237055</v>
      </c>
      <c r="F12" s="153">
        <f>'[24]HCC PHARMACY SCurve'!$F$12</f>
        <v>4647854</v>
      </c>
      <c r="G12" s="353">
        <f>[23]VAC_Optim_Scenario!$D$33</f>
        <v>1</v>
      </c>
      <c r="H12" s="71">
        <f>C12*G12</f>
        <v>18205.431530494821</v>
      </c>
      <c r="I12" s="354">
        <f>[23]VAC_Optim_Scenario!D26</f>
        <v>1</v>
      </c>
      <c r="K12" s="588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24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589" t="s">
        <v>182</v>
      </c>
      <c r="B13" s="590"/>
      <c r="C13" s="590"/>
      <c r="D13" s="590"/>
      <c r="E13" s="590"/>
      <c r="F13" s="591"/>
      <c r="G13" s="393" t="s">
        <v>150</v>
      </c>
      <c r="H13" s="393" t="s">
        <v>151</v>
      </c>
      <c r="K13" s="589" t="s">
        <v>115</v>
      </c>
      <c r="L13" s="590"/>
      <c r="M13" s="590"/>
      <c r="N13" s="590"/>
      <c r="O13" s="590"/>
      <c r="P13" s="590"/>
      <c r="Q13" s="590"/>
      <c r="R13" s="591"/>
    </row>
    <row r="14" spans="1:18" ht="33.6" customHeight="1" thickBot="1" x14ac:dyDescent="0.25">
      <c r="A14" s="592"/>
      <c r="B14" s="593"/>
      <c r="C14" s="593"/>
      <c r="D14" s="593"/>
      <c r="E14" s="593"/>
      <c r="F14" s="594"/>
      <c r="G14" s="95">
        <f>VAC_Optim_Scenario!I46</f>
        <v>225.94</v>
      </c>
      <c r="H14" s="95">
        <f>VAC_Optim_Scenario!G46</f>
        <v>225.94</v>
      </c>
      <c r="K14" s="592"/>
      <c r="L14" s="593"/>
      <c r="M14" s="593"/>
      <c r="N14" s="593"/>
      <c r="O14" s="593"/>
      <c r="P14" s="593"/>
      <c r="Q14" s="593"/>
      <c r="R14" s="594"/>
    </row>
    <row r="16" spans="1:18" ht="13.5" thickBot="1" x14ac:dyDescent="0.25"/>
    <row r="17" spans="1:8" ht="42.6" customHeight="1" x14ac:dyDescent="0.2">
      <c r="A17" s="587" t="s">
        <v>34</v>
      </c>
      <c r="B17" s="399" t="s">
        <v>32</v>
      </c>
      <c r="C17" s="399" t="s">
        <v>31</v>
      </c>
      <c r="D17" s="400" t="s">
        <v>33</v>
      </c>
      <c r="F17" s="96"/>
      <c r="G17" s="96"/>
      <c r="H17" s="355"/>
    </row>
    <row r="18" spans="1:8" ht="23.45" customHeight="1" thickBot="1" x14ac:dyDescent="0.25">
      <c r="A18" s="588"/>
      <c r="B18" s="75">
        <v>0</v>
      </c>
      <c r="C18" s="76">
        <v>4000000</v>
      </c>
      <c r="D18" s="26">
        <v>20</v>
      </c>
    </row>
    <row r="20" spans="1:8" x14ac:dyDescent="0.2">
      <c r="A20" s="568" t="s">
        <v>37</v>
      </c>
      <c r="B20" s="568"/>
      <c r="C20" s="568"/>
    </row>
    <row r="21" spans="1:8" ht="25.5" x14ac:dyDescent="0.2">
      <c r="A21" s="393" t="s">
        <v>35</v>
      </c>
      <c r="B21" s="393" t="s">
        <v>183</v>
      </c>
      <c r="C21" s="393" t="s">
        <v>184</v>
      </c>
      <c r="D21" s="98" t="s">
        <v>185</v>
      </c>
      <c r="E21" s="393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573" t="s">
        <v>100</v>
      </c>
      <c r="G2" s="574"/>
      <c r="H2" s="574"/>
      <c r="I2" s="574"/>
      <c r="J2" s="574"/>
      <c r="K2" s="574"/>
      <c r="L2" s="575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576" t="s">
        <v>72</v>
      </c>
      <c r="G3" s="577"/>
      <c r="H3" s="577"/>
      <c r="I3" s="577"/>
      <c r="J3" s="577"/>
      <c r="K3" s="577"/>
      <c r="L3" s="578"/>
    </row>
    <row r="4" spans="1:12" ht="13.5" thickBot="1" x14ac:dyDescent="0.25">
      <c r="A4" s="29" t="s">
        <v>38</v>
      </c>
      <c r="B4" s="609" t="s">
        <v>39</v>
      </c>
      <c r="C4" s="609"/>
      <c r="D4" s="610"/>
    </row>
    <row r="6" spans="1:12" ht="13.5" thickBot="1" x14ac:dyDescent="0.25"/>
    <row r="7" spans="1:12" ht="27.75" customHeight="1" x14ac:dyDescent="0.2">
      <c r="A7" s="595" t="s">
        <v>8</v>
      </c>
      <c r="B7" s="600" t="s">
        <v>9</v>
      </c>
      <c r="C7" s="601"/>
      <c r="D7" s="602" t="s">
        <v>12</v>
      </c>
      <c r="E7" s="604"/>
      <c r="F7" s="603" t="s">
        <v>24</v>
      </c>
      <c r="G7" s="617"/>
    </row>
    <row r="8" spans="1:12" ht="25.5" x14ac:dyDescent="0.2">
      <c r="A8" s="59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596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595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595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596"/>
      <c r="B12" s="12">
        <v>20</v>
      </c>
      <c r="C12" s="12">
        <v>30</v>
      </c>
      <c r="D12" s="12">
        <v>0</v>
      </c>
      <c r="E12" s="14">
        <v>70</v>
      </c>
      <c r="G12" s="596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589" t="s">
        <v>30</v>
      </c>
      <c r="B13" s="590"/>
      <c r="C13" s="590"/>
      <c r="D13" s="590"/>
      <c r="E13" s="591"/>
      <c r="G13" s="611" t="s">
        <v>29</v>
      </c>
      <c r="H13" s="612"/>
      <c r="I13" s="612"/>
      <c r="J13" s="613"/>
    </row>
    <row r="14" spans="1:12" ht="33.6" customHeight="1" x14ac:dyDescent="0.2">
      <c r="A14" s="592"/>
      <c r="B14" s="593"/>
      <c r="C14" s="593"/>
      <c r="D14" s="593"/>
      <c r="E14" s="594"/>
      <c r="G14" s="614"/>
      <c r="H14" s="615"/>
      <c r="I14" s="615"/>
      <c r="J14" s="616"/>
    </row>
    <row r="16" spans="1:12" ht="13.5" thickBot="1" x14ac:dyDescent="0.25"/>
    <row r="17" spans="1:4" ht="16.899999999999999" customHeight="1" x14ac:dyDescent="0.2">
      <c r="A17" s="587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588"/>
      <c r="B18" s="12">
        <v>0</v>
      </c>
      <c r="C18" s="12">
        <v>100</v>
      </c>
      <c r="D18" s="26">
        <v>20</v>
      </c>
    </row>
    <row r="20" spans="1:4" x14ac:dyDescent="0.2">
      <c r="A20" s="568" t="s">
        <v>37</v>
      </c>
      <c r="B20" s="568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573" t="s">
        <v>100</v>
      </c>
      <c r="G2" s="574"/>
      <c r="H2" s="574"/>
      <c r="I2" s="574"/>
      <c r="J2" s="574"/>
      <c r="K2" s="574"/>
      <c r="L2" s="575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576" t="s">
        <v>72</v>
      </c>
      <c r="G3" s="577"/>
      <c r="H3" s="577"/>
      <c r="I3" s="577"/>
      <c r="J3" s="577"/>
      <c r="K3" s="577"/>
      <c r="L3" s="578"/>
    </row>
    <row r="4" spans="1:12" ht="31.9" customHeight="1" thickBot="1" x14ac:dyDescent="0.25">
      <c r="A4" s="29" t="s">
        <v>38</v>
      </c>
      <c r="B4" s="618" t="s">
        <v>41</v>
      </c>
      <c r="C4" s="619"/>
      <c r="D4" s="620"/>
    </row>
    <row r="6" spans="1:12" ht="13.5" thickBot="1" x14ac:dyDescent="0.25"/>
    <row r="7" spans="1:12" ht="27.75" customHeight="1" x14ac:dyDescent="0.2">
      <c r="A7" s="595" t="s">
        <v>8</v>
      </c>
      <c r="B7" s="600" t="s">
        <v>9</v>
      </c>
      <c r="C7" s="601"/>
      <c r="D7" s="602" t="s">
        <v>12</v>
      </c>
      <c r="E7" s="604"/>
      <c r="F7" s="603" t="s">
        <v>24</v>
      </c>
      <c r="G7" s="617"/>
      <c r="H7" s="1" t="s">
        <v>54</v>
      </c>
    </row>
    <row r="8" spans="1:12" ht="25.5" x14ac:dyDescent="0.2">
      <c r="A8" s="59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596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595" t="s">
        <v>42</v>
      </c>
      <c r="B11" s="557" t="s">
        <v>47</v>
      </c>
      <c r="C11" s="622" t="s">
        <v>46</v>
      </c>
      <c r="D11" s="603"/>
      <c r="E11" s="603"/>
      <c r="F11" s="3" t="s">
        <v>48</v>
      </c>
      <c r="G11" s="33"/>
      <c r="H11" s="32"/>
      <c r="I11" s="32"/>
      <c r="J11" s="32"/>
    </row>
    <row r="12" spans="1:12" x14ac:dyDescent="0.2">
      <c r="A12" s="623"/>
      <c r="B12" s="556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624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621" t="s">
        <v>52</v>
      </c>
      <c r="B14" s="621"/>
      <c r="C14" s="621"/>
      <c r="D14" s="621"/>
      <c r="E14" s="621"/>
      <c r="F14" s="621"/>
      <c r="G14" s="38"/>
      <c r="H14" s="39"/>
      <c r="I14" s="39"/>
      <c r="J14" s="39"/>
    </row>
    <row r="15" spans="1:12" ht="30.6" customHeight="1" x14ac:dyDescent="0.2">
      <c r="A15" s="621"/>
      <c r="B15" s="621"/>
      <c r="C15" s="621"/>
      <c r="D15" s="621"/>
      <c r="E15" s="621"/>
      <c r="F15" s="621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587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588"/>
      <c r="B19" s="12">
        <v>0</v>
      </c>
      <c r="C19" s="12">
        <v>20000000</v>
      </c>
      <c r="D19" s="26">
        <v>20</v>
      </c>
    </row>
    <row r="21" spans="1:4" x14ac:dyDescent="0.2">
      <c r="A21" s="568" t="s">
        <v>37</v>
      </c>
      <c r="B21" s="568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625" t="s">
        <v>106</v>
      </c>
      <c r="C4" s="625"/>
      <c r="D4" s="625"/>
      <c r="E4" s="625"/>
      <c r="F4" s="626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595" t="s">
        <v>8</v>
      </c>
      <c r="B7" s="600" t="s">
        <v>9</v>
      </c>
      <c r="C7" s="601"/>
      <c r="D7" s="602" t="s">
        <v>12</v>
      </c>
      <c r="E7" s="604"/>
      <c r="F7" s="603" t="s">
        <v>24</v>
      </c>
      <c r="G7" s="617"/>
    </row>
    <row r="8" spans="1:15" ht="25.5" x14ac:dyDescent="0.2">
      <c r="A8" s="599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596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595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587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596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588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589" t="s">
        <v>114</v>
      </c>
      <c r="B13" s="590"/>
      <c r="C13" s="590"/>
      <c r="D13" s="590"/>
      <c r="E13" s="590"/>
      <c r="F13" s="591"/>
      <c r="H13" s="589" t="s">
        <v>115</v>
      </c>
      <c r="I13" s="590"/>
      <c r="J13" s="590"/>
      <c r="K13" s="590"/>
      <c r="L13" s="590"/>
      <c r="M13" s="590"/>
      <c r="N13" s="590"/>
      <c r="O13" s="591"/>
    </row>
    <row r="14" spans="1:15" ht="33.6" customHeight="1" x14ac:dyDescent="0.2">
      <c r="A14" s="592"/>
      <c r="B14" s="593"/>
      <c r="C14" s="593"/>
      <c r="D14" s="593"/>
      <c r="E14" s="593"/>
      <c r="F14" s="594"/>
      <c r="H14" s="592"/>
      <c r="I14" s="593"/>
      <c r="J14" s="593"/>
      <c r="K14" s="593"/>
      <c r="L14" s="593"/>
      <c r="M14" s="593"/>
      <c r="N14" s="593"/>
      <c r="O14" s="594"/>
    </row>
    <row r="16" spans="1:15" ht="13.5" thickBot="1" x14ac:dyDescent="0.25"/>
    <row r="17" spans="1:4" ht="16.899999999999999" customHeight="1" x14ac:dyDescent="0.2">
      <c r="A17" s="587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588"/>
      <c r="B18" s="75">
        <v>0</v>
      </c>
      <c r="C18" s="76">
        <v>200000000</v>
      </c>
      <c r="D18" s="26">
        <v>20</v>
      </c>
    </row>
    <row r="20" spans="1:4" x14ac:dyDescent="0.2">
      <c r="A20" s="568" t="s">
        <v>37</v>
      </c>
      <c r="B20" s="568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573" t="s">
        <v>100</v>
      </c>
      <c r="G2" s="574"/>
      <c r="H2" s="574"/>
      <c r="I2" s="574"/>
      <c r="J2" s="574"/>
      <c r="K2" s="574"/>
      <c r="L2" s="575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576" t="s">
        <v>72</v>
      </c>
      <c r="G3" s="577"/>
      <c r="H3" s="577"/>
      <c r="I3" s="577"/>
      <c r="J3" s="577"/>
      <c r="K3" s="577"/>
      <c r="L3" s="578"/>
    </row>
    <row r="4" spans="1:14" ht="13.5" thickBot="1" x14ac:dyDescent="0.25">
      <c r="A4" s="29" t="s">
        <v>38</v>
      </c>
      <c r="B4" s="609" t="s">
        <v>57</v>
      </c>
      <c r="C4" s="609"/>
      <c r="D4" s="610"/>
    </row>
    <row r="6" spans="1:14" ht="13.5" thickBot="1" x14ac:dyDescent="0.25"/>
    <row r="7" spans="1:14" ht="27.75" customHeight="1" x14ac:dyDescent="0.2">
      <c r="A7" s="595" t="s">
        <v>8</v>
      </c>
      <c r="B7" s="600" t="s">
        <v>9</v>
      </c>
      <c r="C7" s="601"/>
      <c r="D7" s="602" t="s">
        <v>12</v>
      </c>
      <c r="E7" s="604"/>
      <c r="F7" s="603" t="s">
        <v>24</v>
      </c>
      <c r="G7" s="617"/>
      <c r="I7" s="629" t="s">
        <v>73</v>
      </c>
      <c r="J7" s="629"/>
      <c r="K7" s="629"/>
      <c r="L7" s="629"/>
      <c r="N7" s="47" t="s">
        <v>58</v>
      </c>
    </row>
    <row r="8" spans="1:14" ht="25.5" x14ac:dyDescent="0.2">
      <c r="A8" s="59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629"/>
      <c r="J8" s="629"/>
      <c r="K8" s="629"/>
      <c r="L8" s="629"/>
      <c r="N8" s="47" t="s">
        <v>59</v>
      </c>
    </row>
    <row r="9" spans="1:14" ht="13.5" thickBot="1" x14ac:dyDescent="0.25">
      <c r="A9" s="596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568" t="s">
        <v>60</v>
      </c>
      <c r="B11" s="3" t="s">
        <v>61</v>
      </c>
      <c r="C11" s="3" t="s">
        <v>62</v>
      </c>
      <c r="D11" s="32"/>
      <c r="E11" s="627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568"/>
      <c r="B12" s="41">
        <v>0</v>
      </c>
      <c r="C12" s="41">
        <v>0</v>
      </c>
      <c r="D12" s="32"/>
      <c r="E12" s="628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568"/>
      <c r="B13" s="41">
        <v>1</v>
      </c>
      <c r="C13" s="41">
        <v>0.75</v>
      </c>
      <c r="D13" s="32"/>
      <c r="E13" s="628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568"/>
      <c r="B14" s="41">
        <v>2</v>
      </c>
      <c r="C14" s="41">
        <v>0</v>
      </c>
      <c r="D14" s="32"/>
      <c r="E14" s="628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568"/>
      <c r="B15" s="41">
        <v>3</v>
      </c>
      <c r="C15" s="41">
        <v>-1</v>
      </c>
      <c r="D15" s="32"/>
      <c r="E15" s="628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568"/>
      <c r="B16" s="41">
        <v>4</v>
      </c>
      <c r="C16" s="41">
        <v>3</v>
      </c>
      <c r="D16" s="32"/>
      <c r="E16" s="628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568"/>
      <c r="B17" s="42">
        <v>5</v>
      </c>
      <c r="C17" s="42">
        <v>3</v>
      </c>
      <c r="D17" s="40"/>
      <c r="E17" s="628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630" t="s">
        <v>74</v>
      </c>
      <c r="B18" s="631"/>
      <c r="C18" s="632"/>
      <c r="D18" s="33"/>
      <c r="E18" s="621" t="s">
        <v>75</v>
      </c>
      <c r="F18" s="621"/>
      <c r="G18" s="621"/>
      <c r="H18" s="621"/>
      <c r="I18" s="621"/>
      <c r="J18" s="621"/>
      <c r="K18" s="621"/>
      <c r="L18" s="621"/>
      <c r="M18" s="621"/>
    </row>
    <row r="19" spans="1:13" ht="35.65" customHeight="1" x14ac:dyDescent="0.2">
      <c r="A19" s="592"/>
      <c r="B19" s="593"/>
      <c r="C19" s="594"/>
      <c r="D19" s="33"/>
      <c r="E19" s="621"/>
      <c r="F19" s="621"/>
      <c r="G19" s="621"/>
      <c r="H19" s="621"/>
      <c r="I19" s="621"/>
      <c r="J19" s="621"/>
      <c r="K19" s="621"/>
      <c r="L19" s="621"/>
      <c r="M19" s="621"/>
    </row>
    <row r="21" spans="1:13" ht="13.5" thickBot="1" x14ac:dyDescent="0.25"/>
    <row r="22" spans="1:13" ht="16.899999999999999" customHeight="1" x14ac:dyDescent="0.2">
      <c r="A22" s="587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588"/>
      <c r="B23" s="12">
        <v>0</v>
      </c>
      <c r="C23" s="12">
        <v>5</v>
      </c>
      <c r="D23" s="26">
        <v>20</v>
      </c>
    </row>
    <row r="25" spans="1:13" x14ac:dyDescent="0.2">
      <c r="A25" s="568" t="s">
        <v>37</v>
      </c>
      <c r="B25" s="568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YOY Curve comparison</vt:lpstr>
      <vt:lpstr>Scenario summary</vt:lpstr>
      <vt:lpstr>Chart - Combined</vt:lpstr>
      <vt:lpstr>Scenario deep dive</vt:lpstr>
      <vt:lpstr>Scenario deep dive_2023</vt:lpstr>
      <vt:lpstr>Senstivity</vt:lpstr>
      <vt:lpstr>Sensitivity - Template</vt:lpstr>
      <vt:lpstr>Contribution, promo eff, ROI</vt:lpstr>
      <vt:lpstr>Scenario summary_23_dz</vt:lpstr>
      <vt:lpstr>Scenario deep dive_23_dz</vt:lpstr>
      <vt:lpstr>VAC_Optim_Scenario</vt:lpstr>
      <vt:lpstr>GINOFF</vt:lpstr>
      <vt:lpstr>GINOFF_adt</vt:lpstr>
      <vt:lpstr>GMCM</vt:lpstr>
      <vt:lpstr>GMCM_adt</vt:lpstr>
      <vt:lpstr>GSOC</vt:lpstr>
      <vt:lpstr>GSOCIAL_adt</vt:lpstr>
      <vt:lpstr>GOLV</vt:lpstr>
      <vt:lpstr>GOLV_adt</vt:lpstr>
      <vt:lpstr>GSTRV</vt:lpstr>
      <vt:lpstr>GSTRTV_adt</vt:lpstr>
      <vt:lpstr>GDISP</vt:lpstr>
      <vt:lpstr>GDISP_adt</vt:lpstr>
      <vt:lpstr>GSEARCH</vt:lpstr>
      <vt:lpstr>GPDSRCH_adt</vt:lpstr>
      <vt:lpstr>GRADIO</vt:lpstr>
      <vt:lpstr>GAUDIO</vt:lpstr>
      <vt:lpstr>GTV</vt:lpstr>
      <vt:lpstr>GPRNT</vt:lpstr>
      <vt:lpstr>GLINEARTV_adt</vt:lpstr>
      <vt:lpstr>GPHRMCY_adt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A, Sarath</cp:lastModifiedBy>
  <cp:lastPrinted>2013-05-08T17:24:00Z</cp:lastPrinted>
  <dcterms:created xsi:type="dcterms:W3CDTF">2013-03-17T16:17:06Z</dcterms:created>
  <dcterms:modified xsi:type="dcterms:W3CDTF">2023-10-09T07:25:47Z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