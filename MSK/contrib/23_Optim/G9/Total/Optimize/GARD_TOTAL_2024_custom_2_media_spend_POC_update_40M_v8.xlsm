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Total\Optimize\"/>
    </mc:Choice>
  </mc:AlternateContent>
  <xr:revisionPtr revIDLastSave="0" documentId="13_ncr:1_{BC41FF6C-0E9B-462D-8DC1-F81203110A22}" xr6:coauthVersionLast="47" xr6:coauthVersionMax="47" xr10:uidLastSave="{00000000-0000-0000-0000-000000000000}"/>
  <bookViews>
    <workbookView xWindow="-120" yWindow="-120" windowWidth="20730" windowHeight="11160" tabRatio="709" firstSheet="13" activeTab="16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state="hidden" r:id="rId9"/>
    <sheet name="Scenario deep dive_24_10M" sheetId="102" state="hidden" r:id="rId10"/>
    <sheet name="Scenario deep dive_24_20M" sheetId="91" state="hidden" r:id="rId11"/>
    <sheet name="Scenario deep dive_24_20M_rm_mc" sheetId="103" state="hidden" r:id="rId12"/>
    <sheet name="Case1_Constraints" sheetId="106" r:id="rId13"/>
    <sheet name="Case2_Constraints" sheetId="107" r:id="rId14"/>
    <sheet name="Scenario deep dive_24_40M_case1" sheetId="105" r:id="rId15"/>
    <sheet name="Scenario deep dive_24_40M_case2" sheetId="104" r:id="rId16"/>
    <sheet name="VAC_Optim_Scenario" sheetId="23" r:id="rId17"/>
    <sheet name="Case_Constraints" sheetId="108" r:id="rId18"/>
    <sheet name="GINOFF" sheetId="51" r:id="rId19"/>
    <sheet name="GINOFF_adt" sheetId="93" r:id="rId20"/>
    <sheet name="GMCM" sheetId="50" r:id="rId21"/>
    <sheet name="GMCM_adt" sheetId="94" r:id="rId22"/>
    <sheet name="GSOC" sheetId="82" r:id="rId23"/>
    <sheet name="GSOCIAL_adt" sheetId="95" r:id="rId24"/>
    <sheet name="GOLV" sheetId="59" r:id="rId25"/>
    <sheet name="GOLV_adt" sheetId="96" r:id="rId26"/>
    <sheet name="GSTRV" sheetId="84" r:id="rId27"/>
    <sheet name="GSTRTV_adt" sheetId="97" r:id="rId28"/>
    <sheet name="GDISP" sheetId="88" r:id="rId29"/>
    <sheet name="GDISP_adt" sheetId="98" r:id="rId30"/>
    <sheet name="GSEARCH" sheetId="77" r:id="rId31"/>
    <sheet name="GPDSRCH_adt" sheetId="99" r:id="rId32"/>
    <sheet name="GRADIO" sheetId="75" r:id="rId33"/>
    <sheet name="GAUDIO" sheetId="90" r:id="rId34"/>
    <sheet name="GTV" sheetId="74" r:id="rId35"/>
    <sheet name="GPRNT" sheetId="48" state="hidden" r:id="rId36"/>
    <sheet name="GLINEARTV_adt" sheetId="100" r:id="rId37"/>
    <sheet name="GPHRMCY_adt" sheetId="101" r:id="rId38"/>
    <sheet name="Fn.Templates ==&gt;" sheetId="3" r:id="rId39"/>
    <sheet name="FT_SCurveEst" sheetId="2" r:id="rId40"/>
    <sheet name="FT_Equation" sheetId="4" r:id="rId41"/>
    <sheet name="FT_SCurve3Est" sheetId="13" r:id="rId42"/>
    <sheet name="FT_Interpolate" sheetId="5" r:id="rId43"/>
  </sheets>
  <functionGroups builtInGroupCount="19"/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</externalReferences>
  <definedNames>
    <definedName name="_xlnm._FilterDatabase" localSheetId="7" hidden="1">'Contribution, promo eff, ROI'!$E$26:$F$35</definedName>
    <definedName name="_xlnm._FilterDatabase" localSheetId="16" hidden="1">VAC_Optim_Scenario!$H$21:$H$29</definedName>
    <definedName name="solver_adj" localSheetId="16" hidden="1">VAC_Optim_Scenario!$I$21:$I$29,VAC_Optim_Scenario!$I$31:$I$40</definedName>
    <definedName name="solver_cvg" localSheetId="6" hidden="1">0.0001</definedName>
    <definedName name="solver_cvg" localSheetId="5" hidden="1">0.0001</definedName>
    <definedName name="solver_cvg" localSheetId="16" hidden="1">0.0001</definedName>
    <definedName name="solver_drv" localSheetId="6" hidden="1">1</definedName>
    <definedName name="solver_drv" localSheetId="5" hidden="1">1</definedName>
    <definedName name="solver_drv" localSheetId="16" hidden="1">1</definedName>
    <definedName name="solver_eng" localSheetId="37" hidden="1">1</definedName>
    <definedName name="solver_eng" localSheetId="6" hidden="1">1</definedName>
    <definedName name="solver_eng" localSheetId="5" hidden="1">1</definedName>
    <definedName name="solver_eng" localSheetId="16" hidden="1">1</definedName>
    <definedName name="solver_est" localSheetId="6" hidden="1">1</definedName>
    <definedName name="solver_est" localSheetId="5" hidden="1">1</definedName>
    <definedName name="solver_est" localSheetId="16" hidden="1">1</definedName>
    <definedName name="solver_itr" localSheetId="6" hidden="1">2147483647</definedName>
    <definedName name="solver_itr" localSheetId="5" hidden="1">2147483647</definedName>
    <definedName name="solver_itr" localSheetId="16" hidden="1">2147483647</definedName>
    <definedName name="solver_lhs0" localSheetId="16" hidden="1">VAC_Optim_Scenario!$I$42</definedName>
    <definedName name="solver_lhs1" localSheetId="16" hidden="1">VAC_Optim_Scenario!$B$16</definedName>
    <definedName name="solver_lhs10" localSheetId="16" hidden="1">VAC_Optim_Scenario!$I$41</definedName>
    <definedName name="solver_lhs11" localSheetId="16" hidden="1">VAC_Optim_Scenario!$I$41</definedName>
    <definedName name="solver_lhs2" localSheetId="16" hidden="1">VAC_Optim_Scenario!$G$14:$G$15</definedName>
    <definedName name="solver_lhs3" localSheetId="16" hidden="1">VAC_Optim_Scenario!$G$14:$G$15</definedName>
    <definedName name="solver_lhs4" localSheetId="16" hidden="1">VAC_Optim_Scenario!$I$21:$I$29</definedName>
    <definedName name="solver_lhs5" localSheetId="16" hidden="1">VAC_Optim_Scenario!$I$21:$I$29</definedName>
    <definedName name="solver_lhs6" localSheetId="16" hidden="1">VAC_Optim_Scenario!$I$31:$I$40</definedName>
    <definedName name="solver_lhs7" localSheetId="16" hidden="1">VAC_Optim_Scenario!$I$31:$I$40</definedName>
    <definedName name="solver_lhs8" localSheetId="16" hidden="1">VAC_Optim_Scenario!$I$31:$I$40</definedName>
    <definedName name="solver_lhs9" localSheetId="16" hidden="1">VAC_Optim_Scenario!$I$31:$I$40</definedName>
    <definedName name="solver_mip" localSheetId="6" hidden="1">2147483647</definedName>
    <definedName name="solver_mip" localSheetId="5" hidden="1">2147483647</definedName>
    <definedName name="solver_mip" localSheetId="16" hidden="1">2147483647</definedName>
    <definedName name="solver_mni" localSheetId="6" hidden="1">30</definedName>
    <definedName name="solver_mni" localSheetId="5" hidden="1">30</definedName>
    <definedName name="solver_mni" localSheetId="16" hidden="1">30</definedName>
    <definedName name="solver_mrt" localSheetId="6" hidden="1">0.075</definedName>
    <definedName name="solver_mrt" localSheetId="5" hidden="1">0.075</definedName>
    <definedName name="solver_mrt" localSheetId="16" hidden="1">0.075</definedName>
    <definedName name="solver_msl" localSheetId="6" hidden="1">2</definedName>
    <definedName name="solver_msl" localSheetId="5" hidden="1">2</definedName>
    <definedName name="solver_msl" localSheetId="16" hidden="1">2</definedName>
    <definedName name="solver_neg" localSheetId="37" hidden="1">1</definedName>
    <definedName name="solver_neg" localSheetId="6" hidden="1">1</definedName>
    <definedName name="solver_neg" localSheetId="5" hidden="1">1</definedName>
    <definedName name="solver_neg" localSheetId="16" hidden="1">1</definedName>
    <definedName name="solver_nod" localSheetId="6" hidden="1">2147483647</definedName>
    <definedName name="solver_nod" localSheetId="5" hidden="1">2147483647</definedName>
    <definedName name="solver_nod" localSheetId="16" hidden="1">2147483647</definedName>
    <definedName name="solver_num" localSheetId="37" hidden="1">0</definedName>
    <definedName name="solver_num" localSheetId="6" hidden="1">0</definedName>
    <definedName name="solver_num" localSheetId="5" hidden="1">0</definedName>
    <definedName name="solver_num" localSheetId="16" hidden="1">7</definedName>
    <definedName name="solver_nwt" localSheetId="6" hidden="1">1</definedName>
    <definedName name="solver_nwt" localSheetId="5" hidden="1">1</definedName>
    <definedName name="solver_nwt" localSheetId="16" hidden="1">1</definedName>
    <definedName name="solver_opt" localSheetId="37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6" hidden="1">VAC_Optim_Scenario!$B$11</definedName>
    <definedName name="solver_pre" localSheetId="6" hidden="1">0.000001</definedName>
    <definedName name="solver_pre" localSheetId="5" hidden="1">0.000001</definedName>
    <definedName name="solver_pre" localSheetId="16" hidden="1">0.00000001</definedName>
    <definedName name="solver_rbv" localSheetId="6" hidden="1">1</definedName>
    <definedName name="solver_rbv" localSheetId="5" hidden="1">1</definedName>
    <definedName name="solver_rbv" localSheetId="16" hidden="1">1</definedName>
    <definedName name="solver_rel0" localSheetId="16" hidden="1">3</definedName>
    <definedName name="solver_rel1" localSheetId="16" hidden="1">2</definedName>
    <definedName name="solver_rel10" localSheetId="16" hidden="1">3</definedName>
    <definedName name="solver_rel11" localSheetId="16" hidden="1">3</definedName>
    <definedName name="solver_rel2" localSheetId="16" hidden="1">1</definedName>
    <definedName name="solver_rel3" localSheetId="16" hidden="1">3</definedName>
    <definedName name="solver_rel4" localSheetId="16" hidden="1">1</definedName>
    <definedName name="solver_rel5" localSheetId="16" hidden="1">3</definedName>
    <definedName name="solver_rel6" localSheetId="16" hidden="1">1</definedName>
    <definedName name="solver_rel7" localSheetId="16" hidden="1">3</definedName>
    <definedName name="solver_rel8" localSheetId="16" hidden="1">3</definedName>
    <definedName name="solver_rel9" localSheetId="16" hidden="1">3</definedName>
    <definedName name="solver_rhs0" localSheetId="16" hidden="1">VAC_Optim_Scenario!$C$16</definedName>
    <definedName name="solver_rhs1" localSheetId="16" hidden="1">VAC_Optim_Scenario!$I$42</definedName>
    <definedName name="solver_rhs10" localSheetId="16" hidden="1">VAC_Optim_Scenario!$G$41</definedName>
    <definedName name="solver_rhs11" localSheetId="16" hidden="1">VAC_Optim_Scenario!$G$41</definedName>
    <definedName name="solver_rhs2" localSheetId="16" hidden="1">VAC_Optim_Scenario!$D$14:$D$15</definedName>
    <definedName name="solver_rhs3" localSheetId="16" hidden="1">VAC_Optim_Scenario!$C$14:$C$15</definedName>
    <definedName name="solver_rhs4" localSheetId="16" hidden="1">VAC_Optim_Scenario!$H$21:$H$29</definedName>
    <definedName name="solver_rhs5" localSheetId="16" hidden="1">VAC_Optim_Scenario!$G$21:$G$29</definedName>
    <definedName name="solver_rhs6" localSheetId="16" hidden="1">VAC_Optim_Scenario!$H$31:$H$40</definedName>
    <definedName name="solver_rhs7" localSheetId="16" hidden="1">VAC_Optim_Scenario!$G$31:$G$40</definedName>
    <definedName name="solver_rhs8" localSheetId="16" hidden="1">VAC_Optim_Scenario!$G$31:$G$40</definedName>
    <definedName name="solver_rhs9" localSheetId="16" hidden="1">VAC_Optim_Scenario!$G$31:$G$40</definedName>
    <definedName name="solver_rlx" localSheetId="6" hidden="1">2</definedName>
    <definedName name="solver_rlx" localSheetId="5" hidden="1">2</definedName>
    <definedName name="solver_rlx" localSheetId="16" hidden="1">2</definedName>
    <definedName name="solver_rsd" localSheetId="6" hidden="1">0</definedName>
    <definedName name="solver_rsd" localSheetId="5" hidden="1">0</definedName>
    <definedName name="solver_rsd" localSheetId="16" hidden="1">0</definedName>
    <definedName name="solver_scl" localSheetId="6" hidden="1">1</definedName>
    <definedName name="solver_scl" localSheetId="5" hidden="1">1</definedName>
    <definedName name="solver_scl" localSheetId="16" hidden="1">1</definedName>
    <definedName name="solver_sho" localSheetId="6" hidden="1">2</definedName>
    <definedName name="solver_sho" localSheetId="5" hidden="1">2</definedName>
    <definedName name="solver_sho" localSheetId="16" hidden="1">2</definedName>
    <definedName name="solver_ssz" localSheetId="6" hidden="1">100</definedName>
    <definedName name="solver_ssz" localSheetId="5" hidden="1">100</definedName>
    <definedName name="solver_ssz" localSheetId="16" hidden="1">100</definedName>
    <definedName name="solver_tim" localSheetId="6" hidden="1">2147483647</definedName>
    <definedName name="solver_tim" localSheetId="5" hidden="1">2147483647</definedName>
    <definedName name="solver_tim" localSheetId="16" hidden="1">2147483647</definedName>
    <definedName name="solver_tol" localSheetId="6" hidden="1">0.01</definedName>
    <definedName name="solver_tol" localSheetId="5" hidden="1">0.01</definedName>
    <definedName name="solver_tol" localSheetId="16" hidden="1">0.01</definedName>
    <definedName name="solver_typ" localSheetId="37" hidden="1">1</definedName>
    <definedName name="solver_typ" localSheetId="6" hidden="1">1</definedName>
    <definedName name="solver_typ" localSheetId="5" hidden="1">1</definedName>
    <definedName name="solver_typ" localSheetId="16" hidden="1">1</definedName>
    <definedName name="solver_val" localSheetId="37" hidden="1">0</definedName>
    <definedName name="solver_val" localSheetId="6" hidden="1">0</definedName>
    <definedName name="solver_val" localSheetId="5" hidden="1">0</definedName>
    <definedName name="solver_val" localSheetId="16" hidden="1">0</definedName>
    <definedName name="solver_ver" localSheetId="37" hidden="1">3</definedName>
    <definedName name="solver_ver" localSheetId="6" hidden="1">3</definedName>
    <definedName name="solver_ver" localSheetId="5" hidden="1">3</definedName>
    <definedName name="solver_ver" localSheetId="1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2" i="23" l="1"/>
  <c r="H33" i="23"/>
  <c r="H34" i="23"/>
  <c r="H35" i="23"/>
  <c r="H36" i="23"/>
  <c r="H37" i="23"/>
  <c r="H38" i="23"/>
  <c r="H39" i="23"/>
  <c r="H40" i="23"/>
  <c r="H31" i="23"/>
  <c r="H29" i="23"/>
  <c r="H28" i="23"/>
  <c r="H27" i="23"/>
  <c r="H26" i="23"/>
  <c r="H25" i="23"/>
  <c r="H24" i="23"/>
  <c r="H23" i="23"/>
  <c r="H22" i="23"/>
  <c r="H21" i="23"/>
  <c r="E10" i="23"/>
  <c r="E9" i="23"/>
  <c r="E23" i="108"/>
  <c r="D23" i="108"/>
  <c r="E22" i="108"/>
  <c r="D22" i="108"/>
  <c r="E12" i="108"/>
  <c r="D12" i="108"/>
  <c r="G23" i="108"/>
  <c r="G22" i="108"/>
  <c r="G12" i="108"/>
  <c r="F23" i="108"/>
  <c r="F22" i="108"/>
  <c r="F12" i="108"/>
  <c r="C15" i="23" l="1"/>
  <c r="C14" i="23"/>
  <c r="C16" i="23" s="1"/>
  <c r="G23" i="107"/>
  <c r="F23" i="107"/>
  <c r="E23" i="107"/>
  <c r="D23" i="107"/>
  <c r="E12" i="107"/>
  <c r="E24" i="107" s="1"/>
  <c r="D12" i="107"/>
  <c r="D24" i="107" s="1"/>
  <c r="G11" i="107"/>
  <c r="G12" i="107" s="1"/>
  <c r="F11" i="107"/>
  <c r="F10" i="107"/>
  <c r="F8" i="107"/>
  <c r="F7" i="107"/>
  <c r="F4" i="107"/>
  <c r="F3" i="107"/>
  <c r="F12" i="107" s="1"/>
  <c r="F24" i="107" s="1"/>
  <c r="E24" i="106"/>
  <c r="G24" i="106"/>
  <c r="D24" i="106"/>
  <c r="E23" i="106"/>
  <c r="F23" i="106"/>
  <c r="G23" i="106"/>
  <c r="D23" i="106"/>
  <c r="E12" i="106"/>
  <c r="D12" i="106"/>
  <c r="G11" i="106"/>
  <c r="G24" i="107" l="1"/>
  <c r="F12" i="106"/>
  <c r="F24" i="106" s="1"/>
  <c r="G12" i="106"/>
  <c r="R55" i="105" l="1"/>
  <c r="L55" i="105"/>
  <c r="F55" i="105"/>
  <c r="T54" i="105"/>
  <c r="R69" i="105" s="1"/>
  <c r="R60" i="105" s="1"/>
  <c r="S54" i="105"/>
  <c r="R54" i="105"/>
  <c r="R65" i="105" s="1"/>
  <c r="R58" i="105" s="1"/>
  <c r="H54" i="105"/>
  <c r="G54" i="105"/>
  <c r="F54" i="105"/>
  <c r="B54" i="105"/>
  <c r="T53" i="105"/>
  <c r="S53" i="105"/>
  <c r="R53" i="105"/>
  <c r="H53" i="105"/>
  <c r="G53" i="105"/>
  <c r="F53" i="105"/>
  <c r="B53" i="105"/>
  <c r="T52" i="105"/>
  <c r="S52" i="105"/>
  <c r="R52" i="105"/>
  <c r="P52" i="105"/>
  <c r="O52" i="105"/>
  <c r="N52" i="105"/>
  <c r="L52" i="105"/>
  <c r="K52" i="105"/>
  <c r="J52" i="105"/>
  <c r="H52" i="105"/>
  <c r="G52" i="105"/>
  <c r="F52" i="105"/>
  <c r="T51" i="105"/>
  <c r="S51" i="105"/>
  <c r="R51" i="105"/>
  <c r="P51" i="105"/>
  <c r="O51" i="105"/>
  <c r="N51" i="105"/>
  <c r="L51" i="105"/>
  <c r="K51" i="105"/>
  <c r="J51" i="105"/>
  <c r="H51" i="105"/>
  <c r="G51" i="105"/>
  <c r="F51" i="105"/>
  <c r="T50" i="105"/>
  <c r="S50" i="105"/>
  <c r="R50" i="105"/>
  <c r="P50" i="105"/>
  <c r="O50" i="105"/>
  <c r="N50" i="105"/>
  <c r="L50" i="105"/>
  <c r="K50" i="105"/>
  <c r="J50" i="105"/>
  <c r="H50" i="105"/>
  <c r="G50" i="105"/>
  <c r="F50" i="105"/>
  <c r="T49" i="105"/>
  <c r="S49" i="105"/>
  <c r="R49" i="105"/>
  <c r="P49" i="105"/>
  <c r="O49" i="105"/>
  <c r="N49" i="105"/>
  <c r="L49" i="105"/>
  <c r="K49" i="105"/>
  <c r="J49" i="105"/>
  <c r="H49" i="105"/>
  <c r="G49" i="105"/>
  <c r="F49" i="105"/>
  <c r="T48" i="105"/>
  <c r="S48" i="105"/>
  <c r="R48" i="105"/>
  <c r="P48" i="105"/>
  <c r="O48" i="105"/>
  <c r="N48" i="105"/>
  <c r="L48" i="105"/>
  <c r="K48" i="105"/>
  <c r="J48" i="105"/>
  <c r="H48" i="105"/>
  <c r="G48" i="105"/>
  <c r="F48" i="105"/>
  <c r="T47" i="105"/>
  <c r="S47" i="105"/>
  <c r="R47" i="105"/>
  <c r="P47" i="105"/>
  <c r="O47" i="105"/>
  <c r="N47" i="105"/>
  <c r="L47" i="105"/>
  <c r="K47" i="105"/>
  <c r="J47" i="105"/>
  <c r="H47" i="105"/>
  <c r="G47" i="105"/>
  <c r="F47" i="105"/>
  <c r="T46" i="105"/>
  <c r="S46" i="105"/>
  <c r="R46" i="105"/>
  <c r="P46" i="105"/>
  <c r="O46" i="105"/>
  <c r="N46" i="105"/>
  <c r="L46" i="105"/>
  <c r="K46" i="105"/>
  <c r="J46" i="105"/>
  <c r="H46" i="105"/>
  <c r="G46" i="105"/>
  <c r="F46" i="105"/>
  <c r="T45" i="105"/>
  <c r="S45" i="105"/>
  <c r="R45" i="105"/>
  <c r="P45" i="105"/>
  <c r="O45" i="105"/>
  <c r="N45" i="105"/>
  <c r="L45" i="105"/>
  <c r="K45" i="105"/>
  <c r="J45" i="105"/>
  <c r="H45" i="105"/>
  <c r="G45" i="105"/>
  <c r="F45" i="105"/>
  <c r="T44" i="105"/>
  <c r="S44" i="105"/>
  <c r="R44" i="105"/>
  <c r="P44" i="105"/>
  <c r="O44" i="105"/>
  <c r="N44" i="105"/>
  <c r="L44" i="105"/>
  <c r="K44" i="105"/>
  <c r="J44" i="105"/>
  <c r="H44" i="105"/>
  <c r="G44" i="105"/>
  <c r="F44" i="105"/>
  <c r="T43" i="105"/>
  <c r="S43" i="105"/>
  <c r="R43" i="105"/>
  <c r="P43" i="105"/>
  <c r="O43" i="105"/>
  <c r="N43" i="105"/>
  <c r="L43" i="105"/>
  <c r="K43" i="105"/>
  <c r="J43" i="105"/>
  <c r="H43" i="105"/>
  <c r="G43" i="105"/>
  <c r="F43" i="105"/>
  <c r="T42" i="105"/>
  <c r="S42" i="105"/>
  <c r="R42" i="105"/>
  <c r="P42" i="105"/>
  <c r="O42" i="105"/>
  <c r="N42" i="105"/>
  <c r="L42" i="105"/>
  <c r="K42" i="105"/>
  <c r="J42" i="105"/>
  <c r="H42" i="105"/>
  <c r="G42" i="105"/>
  <c r="F42" i="105"/>
  <c r="T41" i="105"/>
  <c r="S41" i="105"/>
  <c r="R41" i="105"/>
  <c r="P41" i="105"/>
  <c r="O41" i="105"/>
  <c r="N41" i="105"/>
  <c r="L41" i="105"/>
  <c r="K41" i="105"/>
  <c r="J41" i="105"/>
  <c r="H41" i="105"/>
  <c r="G41" i="105"/>
  <c r="F41" i="105"/>
  <c r="T40" i="105"/>
  <c r="S40" i="105"/>
  <c r="R40" i="105"/>
  <c r="P40" i="105"/>
  <c r="O40" i="105"/>
  <c r="N40" i="105"/>
  <c r="L40" i="105"/>
  <c r="K40" i="105"/>
  <c r="J40" i="105"/>
  <c r="H40" i="105"/>
  <c r="G40" i="105"/>
  <c r="F40" i="105"/>
  <c r="T39" i="105"/>
  <c r="S39" i="105"/>
  <c r="R39" i="105"/>
  <c r="P39" i="105"/>
  <c r="O39" i="105"/>
  <c r="N39" i="105"/>
  <c r="L39" i="105"/>
  <c r="K39" i="105"/>
  <c r="J39" i="105"/>
  <c r="H39" i="105"/>
  <c r="G39" i="105"/>
  <c r="F39" i="105"/>
  <c r="T38" i="105"/>
  <c r="S38" i="105"/>
  <c r="R38" i="105"/>
  <c r="P38" i="105"/>
  <c r="O38" i="105"/>
  <c r="N38" i="105"/>
  <c r="L38" i="105"/>
  <c r="K38" i="105"/>
  <c r="J38" i="105"/>
  <c r="H38" i="105"/>
  <c r="G38" i="105"/>
  <c r="F38" i="105"/>
  <c r="T37" i="105"/>
  <c r="S37" i="105"/>
  <c r="R37" i="105"/>
  <c r="P37" i="105"/>
  <c r="O37" i="105"/>
  <c r="N37" i="105"/>
  <c r="L37" i="105"/>
  <c r="K37" i="105"/>
  <c r="J37" i="105"/>
  <c r="H37" i="105"/>
  <c r="G37" i="105"/>
  <c r="F37" i="105"/>
  <c r="T36" i="105"/>
  <c r="S36" i="105"/>
  <c r="R36" i="105"/>
  <c r="P36" i="105"/>
  <c r="O36" i="105"/>
  <c r="N36" i="105"/>
  <c r="L36" i="105"/>
  <c r="K36" i="105"/>
  <c r="J36" i="105"/>
  <c r="H36" i="105"/>
  <c r="G36" i="105"/>
  <c r="F36" i="105"/>
  <c r="T35" i="105"/>
  <c r="S35" i="105"/>
  <c r="R35" i="105"/>
  <c r="P35" i="105"/>
  <c r="O35" i="105"/>
  <c r="N35" i="105"/>
  <c r="L35" i="105"/>
  <c r="K35" i="105"/>
  <c r="J35" i="105"/>
  <c r="H35" i="105"/>
  <c r="G35" i="105"/>
  <c r="F35" i="105"/>
  <c r="T34" i="105"/>
  <c r="S34" i="105"/>
  <c r="R34" i="105"/>
  <c r="P34" i="105"/>
  <c r="O34" i="105"/>
  <c r="N34" i="105"/>
  <c r="L34" i="105"/>
  <c r="K34" i="105"/>
  <c r="J34" i="105"/>
  <c r="H34" i="105"/>
  <c r="G34" i="105"/>
  <c r="F34" i="105"/>
  <c r="R32" i="105"/>
  <c r="N32" i="105"/>
  <c r="J32" i="105"/>
  <c r="F32" i="105"/>
  <c r="F31" i="105"/>
  <c r="L30" i="105"/>
  <c r="H29" i="105"/>
  <c r="T28" i="105"/>
  <c r="T55" i="105" s="1"/>
  <c r="R28" i="105"/>
  <c r="P28" i="105"/>
  <c r="P29" i="105" s="1"/>
  <c r="N28" i="105"/>
  <c r="N55" i="105" s="1"/>
  <c r="L28" i="105"/>
  <c r="L29" i="105" s="1"/>
  <c r="J28" i="105"/>
  <c r="J55" i="105" s="1"/>
  <c r="H28" i="105"/>
  <c r="H55" i="105" s="1"/>
  <c r="F28" i="105"/>
  <c r="P27" i="105"/>
  <c r="P54" i="105" s="1"/>
  <c r="N27" i="105"/>
  <c r="N54" i="105" s="1"/>
  <c r="L27" i="105"/>
  <c r="L54" i="105" s="1"/>
  <c r="J27" i="105"/>
  <c r="J54" i="105" s="1"/>
  <c r="P26" i="105"/>
  <c r="P53" i="105" s="1"/>
  <c r="N26" i="105"/>
  <c r="N53" i="105" s="1"/>
  <c r="L26" i="105"/>
  <c r="L53" i="105" s="1"/>
  <c r="J26" i="105"/>
  <c r="J53" i="105" s="1"/>
  <c r="AB25" i="105"/>
  <c r="AA25" i="105"/>
  <c r="Z25" i="105"/>
  <c r="C25" i="105"/>
  <c r="B25" i="105"/>
  <c r="B52" i="105" s="1"/>
  <c r="A25" i="105"/>
  <c r="A52" i="105" s="1"/>
  <c r="AB24" i="105"/>
  <c r="AA24" i="105"/>
  <c r="Z24" i="105"/>
  <c r="C24" i="105"/>
  <c r="C51" i="105" s="1"/>
  <c r="B24" i="105"/>
  <c r="B51" i="105" s="1"/>
  <c r="A24" i="105"/>
  <c r="A51" i="105" s="1"/>
  <c r="AB23" i="105"/>
  <c r="AA23" i="105"/>
  <c r="Z23" i="105"/>
  <c r="C23" i="105"/>
  <c r="C50" i="105" s="1"/>
  <c r="B23" i="105"/>
  <c r="B50" i="105" s="1"/>
  <c r="A23" i="105"/>
  <c r="A50" i="105" s="1"/>
  <c r="AB22" i="105"/>
  <c r="AA22" i="105"/>
  <c r="Z22" i="105"/>
  <c r="C22" i="105"/>
  <c r="C49" i="105" s="1"/>
  <c r="B22" i="105"/>
  <c r="B49" i="105" s="1"/>
  <c r="A22" i="105"/>
  <c r="A49" i="105" s="1"/>
  <c r="AB21" i="105"/>
  <c r="AA21" i="105"/>
  <c r="Z21" i="105"/>
  <c r="C21" i="105"/>
  <c r="B21" i="105"/>
  <c r="B48" i="105" s="1"/>
  <c r="A21" i="105"/>
  <c r="A48" i="105" s="1"/>
  <c r="AB20" i="105"/>
  <c r="AA20" i="105"/>
  <c r="Z20" i="105"/>
  <c r="C20" i="105"/>
  <c r="C47" i="105" s="1"/>
  <c r="B20" i="105"/>
  <c r="B47" i="105" s="1"/>
  <c r="A20" i="105"/>
  <c r="A47" i="105" s="1"/>
  <c r="AB19" i="105"/>
  <c r="AA19" i="105"/>
  <c r="Z19" i="105"/>
  <c r="C19" i="105"/>
  <c r="C46" i="105" s="1"/>
  <c r="B19" i="105"/>
  <c r="B46" i="105" s="1"/>
  <c r="A19" i="105"/>
  <c r="A46" i="105" s="1"/>
  <c r="AB18" i="105"/>
  <c r="AA18" i="105"/>
  <c r="Z18" i="105"/>
  <c r="C18" i="105"/>
  <c r="C45" i="105" s="1"/>
  <c r="B18" i="105"/>
  <c r="B45" i="105" s="1"/>
  <c r="A18" i="105"/>
  <c r="A45" i="105" s="1"/>
  <c r="AB17" i="105"/>
  <c r="AA17" i="105"/>
  <c r="Z17" i="105"/>
  <c r="C17" i="105"/>
  <c r="C44" i="105" s="1"/>
  <c r="B17" i="105"/>
  <c r="B44" i="105" s="1"/>
  <c r="A17" i="105"/>
  <c r="A44" i="105" s="1"/>
  <c r="AB16" i="105"/>
  <c r="AA16" i="105"/>
  <c r="Z16" i="105"/>
  <c r="C16" i="105"/>
  <c r="B16" i="105"/>
  <c r="B43" i="105" s="1"/>
  <c r="A16" i="105"/>
  <c r="A43" i="105" s="1"/>
  <c r="AB15" i="105"/>
  <c r="AA15" i="105"/>
  <c r="Z15" i="105"/>
  <c r="C15" i="105"/>
  <c r="C42" i="105" s="1"/>
  <c r="B15" i="105"/>
  <c r="B42" i="105" s="1"/>
  <c r="AB14" i="105"/>
  <c r="AA14" i="105"/>
  <c r="Z14" i="105"/>
  <c r="C14" i="105"/>
  <c r="C41" i="105" s="1"/>
  <c r="B14" i="105"/>
  <c r="B41" i="105" s="1"/>
  <c r="AB13" i="105"/>
  <c r="AA13" i="105"/>
  <c r="Z13" i="105"/>
  <c r="C13" i="105"/>
  <c r="C40" i="105" s="1"/>
  <c r="B13" i="105"/>
  <c r="B40" i="105" s="1"/>
  <c r="AB12" i="105"/>
  <c r="AA12" i="105"/>
  <c r="Z12" i="105"/>
  <c r="C12" i="105"/>
  <c r="C39" i="105" s="1"/>
  <c r="B12" i="105"/>
  <c r="B39" i="105" s="1"/>
  <c r="AB11" i="105"/>
  <c r="AA11" i="105"/>
  <c r="Z11" i="105"/>
  <c r="C11" i="105"/>
  <c r="C38" i="105" s="1"/>
  <c r="B11" i="105"/>
  <c r="B38" i="105" s="1"/>
  <c r="A11" i="105"/>
  <c r="A38" i="105" s="1"/>
  <c r="AB10" i="105"/>
  <c r="AA10" i="105"/>
  <c r="Z10" i="105"/>
  <c r="C10" i="105"/>
  <c r="C37" i="105" s="1"/>
  <c r="B10" i="105"/>
  <c r="B37" i="105" s="1"/>
  <c r="AB9" i="105"/>
  <c r="AA9" i="105"/>
  <c r="Z9" i="105"/>
  <c r="C9" i="105"/>
  <c r="C36" i="105" s="1"/>
  <c r="B9" i="105"/>
  <c r="B36" i="105" s="1"/>
  <c r="AB8" i="105"/>
  <c r="AA8" i="105"/>
  <c r="Z8" i="105"/>
  <c r="C8" i="105"/>
  <c r="C35" i="105" s="1"/>
  <c r="B8" i="105"/>
  <c r="B35" i="105" s="1"/>
  <c r="AB7" i="105"/>
  <c r="AA7" i="105"/>
  <c r="Z7" i="105"/>
  <c r="C7" i="105"/>
  <c r="C34" i="105" s="1"/>
  <c r="B7" i="105"/>
  <c r="B34" i="105" s="1"/>
  <c r="P55" i="105" l="1"/>
  <c r="C27" i="105"/>
  <c r="O27" i="105" s="1"/>
  <c r="O54" i="105" s="1"/>
  <c r="N63" i="105"/>
  <c r="N57" i="105" s="1"/>
  <c r="J63" i="105"/>
  <c r="J57" i="105" s="1"/>
  <c r="F67" i="105"/>
  <c r="F59" i="105" s="1"/>
  <c r="F65" i="105"/>
  <c r="F58" i="105" s="1"/>
  <c r="F69" i="105"/>
  <c r="F60" i="105" s="1"/>
  <c r="N61" i="105"/>
  <c r="N56" i="105" s="1"/>
  <c r="C26" i="105"/>
  <c r="C54" i="105"/>
  <c r="J69" i="105"/>
  <c r="J60" i="105" s="1"/>
  <c r="J67" i="105"/>
  <c r="J59" i="105" s="1"/>
  <c r="J65" i="105"/>
  <c r="J58" i="105" s="1"/>
  <c r="R63" i="105"/>
  <c r="R57" i="105" s="1"/>
  <c r="R61" i="105"/>
  <c r="R56" i="105" s="1"/>
  <c r="C48" i="105"/>
  <c r="C52" i="105"/>
  <c r="C28" i="105"/>
  <c r="K28" i="105" s="1"/>
  <c r="K55" i="105" s="1"/>
  <c r="B3" i="105"/>
  <c r="K27" i="105"/>
  <c r="K54" i="105" s="1"/>
  <c r="N67" i="105"/>
  <c r="N59" i="105" s="1"/>
  <c r="N65" i="105"/>
  <c r="N58" i="105" s="1"/>
  <c r="N69" i="105"/>
  <c r="N60" i="105" s="1"/>
  <c r="P30" i="105"/>
  <c r="C43" i="105"/>
  <c r="J61" i="105"/>
  <c r="J56" i="105" s="1"/>
  <c r="F61" i="105"/>
  <c r="F56" i="105" s="1"/>
  <c r="H30" i="105"/>
  <c r="F63" i="105"/>
  <c r="F57" i="105" s="1"/>
  <c r="R67" i="105"/>
  <c r="R59" i="105" s="1"/>
  <c r="G28" i="105" l="1"/>
  <c r="G55" i="105" s="1"/>
  <c r="C53" i="105"/>
  <c r="O26" i="105"/>
  <c r="O53" i="105" s="1"/>
  <c r="K26" i="105"/>
  <c r="K53" i="105" s="1"/>
  <c r="S28" i="105"/>
  <c r="S55" i="105" s="1"/>
  <c r="C55" i="105"/>
  <c r="O28" i="105"/>
  <c r="O55" i="105" s="1"/>
  <c r="L27" i="104" l="1"/>
  <c r="J27" i="104"/>
  <c r="L26" i="104"/>
  <c r="L53" i="104" s="1"/>
  <c r="J26" i="104"/>
  <c r="R65" i="104"/>
  <c r="R58" i="104"/>
  <c r="R55" i="104"/>
  <c r="T54" i="104"/>
  <c r="R69" i="104" s="1"/>
  <c r="R60" i="104" s="1"/>
  <c r="S54" i="104"/>
  <c r="R54" i="104"/>
  <c r="L54" i="104"/>
  <c r="J54" i="104"/>
  <c r="H54" i="104"/>
  <c r="F67" i="104" s="1"/>
  <c r="F59" i="104" s="1"/>
  <c r="G54" i="104"/>
  <c r="F54" i="104"/>
  <c r="B54" i="104"/>
  <c r="T53" i="104"/>
  <c r="R63" i="104" s="1"/>
  <c r="R57" i="104" s="1"/>
  <c r="S53" i="104"/>
  <c r="R53" i="104"/>
  <c r="J53" i="104"/>
  <c r="H53" i="104"/>
  <c r="G53" i="104"/>
  <c r="F53" i="104"/>
  <c r="B53" i="104"/>
  <c r="T52" i="104"/>
  <c r="S52" i="104"/>
  <c r="R52" i="104"/>
  <c r="P52" i="104"/>
  <c r="O52" i="104"/>
  <c r="N52" i="104"/>
  <c r="L52" i="104"/>
  <c r="K52" i="104"/>
  <c r="J52" i="104"/>
  <c r="H52" i="104"/>
  <c r="G52" i="104"/>
  <c r="F52" i="104"/>
  <c r="T51" i="104"/>
  <c r="S51" i="104"/>
  <c r="R51" i="104"/>
  <c r="P51" i="104"/>
  <c r="O51" i="104"/>
  <c r="N51" i="104"/>
  <c r="L51" i="104"/>
  <c r="K51" i="104"/>
  <c r="J51" i="104"/>
  <c r="H51" i="104"/>
  <c r="G51" i="104"/>
  <c r="F51" i="104"/>
  <c r="T50" i="104"/>
  <c r="S50" i="104"/>
  <c r="R50" i="104"/>
  <c r="P50" i="104"/>
  <c r="O50" i="104"/>
  <c r="N50" i="104"/>
  <c r="L50" i="104"/>
  <c r="K50" i="104"/>
  <c r="J50" i="104"/>
  <c r="H50" i="104"/>
  <c r="G50" i="104"/>
  <c r="F50" i="104"/>
  <c r="T49" i="104"/>
  <c r="S49" i="104"/>
  <c r="R49" i="104"/>
  <c r="P49" i="104"/>
  <c r="O49" i="104"/>
  <c r="N49" i="104"/>
  <c r="L49" i="104"/>
  <c r="K49" i="104"/>
  <c r="J49" i="104"/>
  <c r="H49" i="104"/>
  <c r="G49" i="104"/>
  <c r="F49" i="104"/>
  <c r="T48" i="104"/>
  <c r="S48" i="104"/>
  <c r="R48" i="104"/>
  <c r="P48" i="104"/>
  <c r="O48" i="104"/>
  <c r="N48" i="104"/>
  <c r="L48" i="104"/>
  <c r="K48" i="104"/>
  <c r="J48" i="104"/>
  <c r="H48" i="104"/>
  <c r="G48" i="104"/>
  <c r="F48" i="104"/>
  <c r="T47" i="104"/>
  <c r="S47" i="104"/>
  <c r="R47" i="104"/>
  <c r="P47" i="104"/>
  <c r="O47" i="104"/>
  <c r="N47" i="104"/>
  <c r="L47" i="104"/>
  <c r="K47" i="104"/>
  <c r="J47" i="104"/>
  <c r="H47" i="104"/>
  <c r="G47" i="104"/>
  <c r="F47" i="104"/>
  <c r="T46" i="104"/>
  <c r="S46" i="104"/>
  <c r="R46" i="104"/>
  <c r="P46" i="104"/>
  <c r="O46" i="104"/>
  <c r="N46" i="104"/>
  <c r="L46" i="104"/>
  <c r="K46" i="104"/>
  <c r="J46" i="104"/>
  <c r="H46" i="104"/>
  <c r="G46" i="104"/>
  <c r="F46" i="104"/>
  <c r="T45" i="104"/>
  <c r="S45" i="104"/>
  <c r="R45" i="104"/>
  <c r="P45" i="104"/>
  <c r="O45" i="104"/>
  <c r="N45" i="104"/>
  <c r="L45" i="104"/>
  <c r="K45" i="104"/>
  <c r="J45" i="104"/>
  <c r="H45" i="104"/>
  <c r="G45" i="104"/>
  <c r="F45" i="104"/>
  <c r="T44" i="104"/>
  <c r="S44" i="104"/>
  <c r="R44" i="104"/>
  <c r="P44" i="104"/>
  <c r="O44" i="104"/>
  <c r="N44" i="104"/>
  <c r="L44" i="104"/>
  <c r="K44" i="104"/>
  <c r="J44" i="104"/>
  <c r="H44" i="104"/>
  <c r="G44" i="104"/>
  <c r="F44" i="104"/>
  <c r="T43" i="104"/>
  <c r="S43" i="104"/>
  <c r="R43" i="104"/>
  <c r="P43" i="104"/>
  <c r="O43" i="104"/>
  <c r="N43" i="104"/>
  <c r="L43" i="104"/>
  <c r="K43" i="104"/>
  <c r="J43" i="104"/>
  <c r="H43" i="104"/>
  <c r="G43" i="104"/>
  <c r="F43" i="104"/>
  <c r="T42" i="104"/>
  <c r="S42" i="104"/>
  <c r="R42" i="104"/>
  <c r="P42" i="104"/>
  <c r="O42" i="104"/>
  <c r="N42" i="104"/>
  <c r="L42" i="104"/>
  <c r="K42" i="104"/>
  <c r="J42" i="104"/>
  <c r="H42" i="104"/>
  <c r="G42" i="104"/>
  <c r="F42" i="104"/>
  <c r="T41" i="104"/>
  <c r="S41" i="104"/>
  <c r="R41" i="104"/>
  <c r="P41" i="104"/>
  <c r="O41" i="104"/>
  <c r="N41" i="104"/>
  <c r="L41" i="104"/>
  <c r="K41" i="104"/>
  <c r="J41" i="104"/>
  <c r="H41" i="104"/>
  <c r="G41" i="104"/>
  <c r="F41" i="104"/>
  <c r="T40" i="104"/>
  <c r="S40" i="104"/>
  <c r="R40" i="104"/>
  <c r="P40" i="104"/>
  <c r="O40" i="104"/>
  <c r="N40" i="104"/>
  <c r="L40" i="104"/>
  <c r="K40" i="104"/>
  <c r="J40" i="104"/>
  <c r="H40" i="104"/>
  <c r="G40" i="104"/>
  <c r="F40" i="104"/>
  <c r="T39" i="104"/>
  <c r="S39" i="104"/>
  <c r="R39" i="104"/>
  <c r="P39" i="104"/>
  <c r="O39" i="104"/>
  <c r="N39" i="104"/>
  <c r="L39" i="104"/>
  <c r="K39" i="104"/>
  <c r="J39" i="104"/>
  <c r="H39" i="104"/>
  <c r="G39" i="104"/>
  <c r="F39" i="104"/>
  <c r="T38" i="104"/>
  <c r="S38" i="104"/>
  <c r="R38" i="104"/>
  <c r="P38" i="104"/>
  <c r="O38" i="104"/>
  <c r="N38" i="104"/>
  <c r="L38" i="104"/>
  <c r="K38" i="104"/>
  <c r="J38" i="104"/>
  <c r="H38" i="104"/>
  <c r="G38" i="104"/>
  <c r="F38" i="104"/>
  <c r="T37" i="104"/>
  <c r="S37" i="104"/>
  <c r="R37" i="104"/>
  <c r="P37" i="104"/>
  <c r="O37" i="104"/>
  <c r="N37" i="104"/>
  <c r="L37" i="104"/>
  <c r="K37" i="104"/>
  <c r="J37" i="104"/>
  <c r="H37" i="104"/>
  <c r="G37" i="104"/>
  <c r="F37" i="104"/>
  <c r="T36" i="104"/>
  <c r="S36" i="104"/>
  <c r="R36" i="104"/>
  <c r="P36" i="104"/>
  <c r="O36" i="104"/>
  <c r="N36" i="104"/>
  <c r="L36" i="104"/>
  <c r="K36" i="104"/>
  <c r="J36" i="104"/>
  <c r="H36" i="104"/>
  <c r="G36" i="104"/>
  <c r="F36" i="104"/>
  <c r="T35" i="104"/>
  <c r="S35" i="104"/>
  <c r="R35" i="104"/>
  <c r="P35" i="104"/>
  <c r="O35" i="104"/>
  <c r="N35" i="104"/>
  <c r="L35" i="104"/>
  <c r="K35" i="104"/>
  <c r="J35" i="104"/>
  <c r="H35" i="104"/>
  <c r="G35" i="104"/>
  <c r="F35" i="104"/>
  <c r="T34" i="104"/>
  <c r="S34" i="104"/>
  <c r="R34" i="104"/>
  <c r="P34" i="104"/>
  <c r="O34" i="104"/>
  <c r="N34" i="104"/>
  <c r="L34" i="104"/>
  <c r="K34" i="104"/>
  <c r="J34" i="104"/>
  <c r="H34" i="104"/>
  <c r="G34" i="104"/>
  <c r="F34" i="104"/>
  <c r="R32" i="104"/>
  <c r="N32" i="104"/>
  <c r="J32" i="104"/>
  <c r="F32" i="104"/>
  <c r="F31" i="104"/>
  <c r="H29" i="104"/>
  <c r="T28" i="104"/>
  <c r="T55" i="104" s="1"/>
  <c r="R28" i="104"/>
  <c r="P28" i="104"/>
  <c r="P55" i="104" s="1"/>
  <c r="N28" i="104"/>
  <c r="N55" i="104" s="1"/>
  <c r="L28" i="104"/>
  <c r="L30" i="104" s="1"/>
  <c r="J28" i="104"/>
  <c r="J55" i="104" s="1"/>
  <c r="H28" i="104"/>
  <c r="H55" i="104" s="1"/>
  <c r="F28" i="104"/>
  <c r="F55" i="104" s="1"/>
  <c r="P27" i="104"/>
  <c r="P54" i="104" s="1"/>
  <c r="N27" i="104"/>
  <c r="N54" i="104" s="1"/>
  <c r="P26" i="104"/>
  <c r="P53" i="104" s="1"/>
  <c r="N26" i="104"/>
  <c r="N53" i="104" s="1"/>
  <c r="AB25" i="104"/>
  <c r="AA25" i="104"/>
  <c r="Z25" i="104"/>
  <c r="C25" i="104"/>
  <c r="C52" i="104" s="1"/>
  <c r="B25" i="104"/>
  <c r="B52" i="104" s="1"/>
  <c r="A25" i="104"/>
  <c r="A52" i="104" s="1"/>
  <c r="AB24" i="104"/>
  <c r="AA24" i="104"/>
  <c r="Z24" i="104"/>
  <c r="C24" i="104"/>
  <c r="C51" i="104" s="1"/>
  <c r="B24" i="104"/>
  <c r="B51" i="104" s="1"/>
  <c r="A24" i="104"/>
  <c r="A51" i="104" s="1"/>
  <c r="AB23" i="104"/>
  <c r="AA23" i="104"/>
  <c r="Z23" i="104"/>
  <c r="C23" i="104"/>
  <c r="C50" i="104" s="1"/>
  <c r="B23" i="104"/>
  <c r="B50" i="104" s="1"/>
  <c r="A23" i="104"/>
  <c r="A50" i="104" s="1"/>
  <c r="AB22" i="104"/>
  <c r="AA22" i="104"/>
  <c r="Z22" i="104"/>
  <c r="C22" i="104"/>
  <c r="C49" i="104" s="1"/>
  <c r="B22" i="104"/>
  <c r="B49" i="104" s="1"/>
  <c r="A22" i="104"/>
  <c r="A49" i="104" s="1"/>
  <c r="AB21" i="104"/>
  <c r="AA21" i="104"/>
  <c r="Z21" i="104"/>
  <c r="C21" i="104"/>
  <c r="C48" i="104" s="1"/>
  <c r="B21" i="104"/>
  <c r="B48" i="104" s="1"/>
  <c r="A21" i="104"/>
  <c r="A48" i="104" s="1"/>
  <c r="AB20" i="104"/>
  <c r="AA20" i="104"/>
  <c r="Z20" i="104"/>
  <c r="C20" i="104"/>
  <c r="C47" i="104" s="1"/>
  <c r="B20" i="104"/>
  <c r="B47" i="104" s="1"/>
  <c r="A20" i="104"/>
  <c r="A47" i="104" s="1"/>
  <c r="AB19" i="104"/>
  <c r="AA19" i="104"/>
  <c r="Z19" i="104"/>
  <c r="C19" i="104"/>
  <c r="C46" i="104" s="1"/>
  <c r="B19" i="104"/>
  <c r="B46" i="104" s="1"/>
  <c r="A19" i="104"/>
  <c r="A46" i="104" s="1"/>
  <c r="AB18" i="104"/>
  <c r="AA18" i="104"/>
  <c r="Z18" i="104"/>
  <c r="C18" i="104"/>
  <c r="C45" i="104" s="1"/>
  <c r="B18" i="104"/>
  <c r="B45" i="104" s="1"/>
  <c r="A18" i="104"/>
  <c r="A45" i="104" s="1"/>
  <c r="AB17" i="104"/>
  <c r="AA17" i="104"/>
  <c r="Z17" i="104"/>
  <c r="C17" i="104"/>
  <c r="C44" i="104" s="1"/>
  <c r="B17" i="104"/>
  <c r="B44" i="104" s="1"/>
  <c r="A17" i="104"/>
  <c r="A44" i="104" s="1"/>
  <c r="AB16" i="104"/>
  <c r="AA16" i="104"/>
  <c r="Z16" i="104"/>
  <c r="C16" i="104"/>
  <c r="C43" i="104" s="1"/>
  <c r="B16" i="104"/>
  <c r="B43" i="104" s="1"/>
  <c r="A16" i="104"/>
  <c r="A43" i="104" s="1"/>
  <c r="AB15" i="104"/>
  <c r="AA15" i="104"/>
  <c r="Z15" i="104"/>
  <c r="C15" i="104"/>
  <c r="C42" i="104" s="1"/>
  <c r="B15" i="104"/>
  <c r="B42" i="104" s="1"/>
  <c r="AB14" i="104"/>
  <c r="AA14" i="104"/>
  <c r="Z14" i="104"/>
  <c r="C14" i="104"/>
  <c r="C41" i="104" s="1"/>
  <c r="B14" i="104"/>
  <c r="B41" i="104" s="1"/>
  <c r="AB13" i="104"/>
  <c r="AA13" i="104"/>
  <c r="Z13" i="104"/>
  <c r="C13" i="104"/>
  <c r="C40" i="104" s="1"/>
  <c r="B13" i="104"/>
  <c r="B40" i="104" s="1"/>
  <c r="AB12" i="104"/>
  <c r="AA12" i="104"/>
  <c r="Z12" i="104"/>
  <c r="C12" i="104"/>
  <c r="C39" i="104" s="1"/>
  <c r="B12" i="104"/>
  <c r="B39" i="104" s="1"/>
  <c r="AB11" i="104"/>
  <c r="AA11" i="104"/>
  <c r="Z11" i="104"/>
  <c r="C11" i="104"/>
  <c r="C38" i="104" s="1"/>
  <c r="B11" i="104"/>
  <c r="B38" i="104" s="1"/>
  <c r="A11" i="104"/>
  <c r="A38" i="104" s="1"/>
  <c r="AB10" i="104"/>
  <c r="AA10" i="104"/>
  <c r="Z10" i="104"/>
  <c r="C10" i="104"/>
  <c r="C37" i="104" s="1"/>
  <c r="B10" i="104"/>
  <c r="B37" i="104" s="1"/>
  <c r="AB9" i="104"/>
  <c r="AA9" i="104"/>
  <c r="Z9" i="104"/>
  <c r="C9" i="104"/>
  <c r="C36" i="104" s="1"/>
  <c r="B9" i="104"/>
  <c r="B36" i="104" s="1"/>
  <c r="AB8" i="104"/>
  <c r="AA8" i="104"/>
  <c r="Z8" i="104"/>
  <c r="C8" i="104"/>
  <c r="C35" i="104" s="1"/>
  <c r="B8" i="104"/>
  <c r="B35" i="104" s="1"/>
  <c r="AB7" i="104"/>
  <c r="AA7" i="104"/>
  <c r="Z7" i="104"/>
  <c r="C7" i="104"/>
  <c r="C34" i="104" s="1"/>
  <c r="B7" i="104"/>
  <c r="B34" i="104" s="1"/>
  <c r="J63" i="104" l="1"/>
  <c r="J57" i="104" s="1"/>
  <c r="J69" i="104"/>
  <c r="J60" i="104" s="1"/>
  <c r="J65" i="104"/>
  <c r="J58" i="104" s="1"/>
  <c r="L55" i="104"/>
  <c r="J61" i="104" s="1"/>
  <c r="J56" i="104" s="1"/>
  <c r="R61" i="104"/>
  <c r="R56" i="104" s="1"/>
  <c r="N67" i="104"/>
  <c r="N59" i="104" s="1"/>
  <c r="N65" i="104"/>
  <c r="N58" i="104" s="1"/>
  <c r="N69" i="104"/>
  <c r="N60" i="104" s="1"/>
  <c r="F61" i="104"/>
  <c r="F56" i="104" s="1"/>
  <c r="N61" i="104"/>
  <c r="N56" i="104" s="1"/>
  <c r="C27" i="104"/>
  <c r="K27" i="104" s="1"/>
  <c r="K54" i="104" s="1"/>
  <c r="L29" i="104"/>
  <c r="H30" i="104"/>
  <c r="F63" i="104"/>
  <c r="F57" i="104" s="1"/>
  <c r="N63" i="104"/>
  <c r="N57" i="104" s="1"/>
  <c r="J67" i="104"/>
  <c r="J59" i="104" s="1"/>
  <c r="R67" i="104"/>
  <c r="R59" i="104" s="1"/>
  <c r="F69" i="104"/>
  <c r="F60" i="104" s="1"/>
  <c r="C26" i="104"/>
  <c r="C28" i="104"/>
  <c r="S28" i="104" s="1"/>
  <c r="S55" i="104" s="1"/>
  <c r="P29" i="104"/>
  <c r="F65" i="104"/>
  <c r="F58" i="104" s="1"/>
  <c r="B3" i="104"/>
  <c r="P30" i="104"/>
  <c r="C53" i="104" l="1"/>
  <c r="K26" i="104"/>
  <c r="K53" i="104" s="1"/>
  <c r="O26" i="104"/>
  <c r="O53" i="104" s="1"/>
  <c r="O28" i="104"/>
  <c r="O55" i="104" s="1"/>
  <c r="K28" i="104"/>
  <c r="K55" i="104" s="1"/>
  <c r="C55" i="104"/>
  <c r="G28" i="104"/>
  <c r="G55" i="104" s="1"/>
  <c r="O27" i="104"/>
  <c r="O54" i="104" s="1"/>
  <c r="C54" i="104"/>
  <c r="F12" i="94" l="1"/>
  <c r="E12" i="94"/>
  <c r="D12" i="94"/>
  <c r="C12" i="94"/>
  <c r="B12" i="94"/>
  <c r="F12" i="93"/>
  <c r="E12" i="93"/>
  <c r="D12" i="93"/>
  <c r="C12" i="93"/>
  <c r="B12" i="93"/>
  <c r="S27" i="103"/>
  <c r="T27" i="103"/>
  <c r="R27" i="103"/>
  <c r="T26" i="103"/>
  <c r="R26" i="103"/>
  <c r="F12" i="50" l="1"/>
  <c r="E12" i="50"/>
  <c r="D12" i="50"/>
  <c r="C12" i="50"/>
  <c r="B12" i="50"/>
  <c r="F12" i="51" l="1"/>
  <c r="E12" i="51"/>
  <c r="D12" i="51"/>
  <c r="C12" i="51"/>
  <c r="B12" i="51"/>
  <c r="L27" i="103" l="1"/>
  <c r="L54" i="103" s="1"/>
  <c r="L26" i="103"/>
  <c r="L53" i="103" s="1"/>
  <c r="L52" i="103"/>
  <c r="L45" i="103"/>
  <c r="L44" i="103"/>
  <c r="L28" i="103"/>
  <c r="L29" i="103" s="1"/>
  <c r="L42" i="103"/>
  <c r="L41" i="103"/>
  <c r="L40" i="103"/>
  <c r="L35" i="103"/>
  <c r="J27" i="103"/>
  <c r="J26" i="103"/>
  <c r="N26" i="103"/>
  <c r="K46" i="103"/>
  <c r="K45" i="103"/>
  <c r="K41" i="103"/>
  <c r="K39" i="103"/>
  <c r="K34" i="103"/>
  <c r="O52" i="103"/>
  <c r="O45" i="103"/>
  <c r="O43" i="103"/>
  <c r="P52" i="103"/>
  <c r="P50" i="103"/>
  <c r="P48" i="103"/>
  <c r="P44" i="103"/>
  <c r="P27" i="103"/>
  <c r="P54" i="103" s="1"/>
  <c r="P42" i="103"/>
  <c r="P41" i="103"/>
  <c r="P37" i="103"/>
  <c r="O37" i="103"/>
  <c r="O35" i="103"/>
  <c r="T54" i="103"/>
  <c r="S54" i="103"/>
  <c r="R54" i="103"/>
  <c r="H54" i="103"/>
  <c r="F67" i="103" s="1"/>
  <c r="F59" i="103" s="1"/>
  <c r="G54" i="103"/>
  <c r="F54" i="103"/>
  <c r="B54" i="103"/>
  <c r="T53" i="103"/>
  <c r="R53" i="103"/>
  <c r="H53" i="103"/>
  <c r="G53" i="103"/>
  <c r="F53" i="103"/>
  <c r="B53" i="103"/>
  <c r="T52" i="103"/>
  <c r="S52" i="103"/>
  <c r="R52" i="103"/>
  <c r="N52" i="103"/>
  <c r="K52" i="103"/>
  <c r="J52" i="103"/>
  <c r="H52" i="103"/>
  <c r="G52" i="103"/>
  <c r="F52" i="103"/>
  <c r="T51" i="103"/>
  <c r="S51" i="103"/>
  <c r="R51" i="103"/>
  <c r="P51" i="103"/>
  <c r="O51" i="103"/>
  <c r="N51" i="103"/>
  <c r="L51" i="103"/>
  <c r="K51" i="103"/>
  <c r="J51" i="103"/>
  <c r="H51" i="103"/>
  <c r="G51" i="103"/>
  <c r="F51" i="103"/>
  <c r="T50" i="103"/>
  <c r="S50" i="103"/>
  <c r="R50" i="103"/>
  <c r="O50" i="103"/>
  <c r="N50" i="103"/>
  <c r="L50" i="103"/>
  <c r="K50" i="103"/>
  <c r="J50" i="103"/>
  <c r="H50" i="103"/>
  <c r="G50" i="103"/>
  <c r="F50" i="103"/>
  <c r="T49" i="103"/>
  <c r="S49" i="103"/>
  <c r="R49" i="103"/>
  <c r="P49" i="103"/>
  <c r="O49" i="103"/>
  <c r="N49" i="103"/>
  <c r="L49" i="103"/>
  <c r="K49" i="103"/>
  <c r="J49" i="103"/>
  <c r="H49" i="103"/>
  <c r="G49" i="103"/>
  <c r="F49" i="103"/>
  <c r="T48" i="103"/>
  <c r="S48" i="103"/>
  <c r="R48" i="103"/>
  <c r="O48" i="103"/>
  <c r="N48" i="103"/>
  <c r="L48" i="103"/>
  <c r="K48" i="103"/>
  <c r="J48" i="103"/>
  <c r="H48" i="103"/>
  <c r="G48" i="103"/>
  <c r="F48" i="103"/>
  <c r="T47" i="103"/>
  <c r="S47" i="103"/>
  <c r="R47" i="103"/>
  <c r="P47" i="103"/>
  <c r="O47" i="103"/>
  <c r="N47" i="103"/>
  <c r="L47" i="103"/>
  <c r="K47" i="103"/>
  <c r="J47" i="103"/>
  <c r="H47" i="103"/>
  <c r="G47" i="103"/>
  <c r="F47" i="103"/>
  <c r="T46" i="103"/>
  <c r="S46" i="103"/>
  <c r="R46" i="103"/>
  <c r="P46" i="103"/>
  <c r="O46" i="103"/>
  <c r="N46" i="103"/>
  <c r="L46" i="103"/>
  <c r="J46" i="103"/>
  <c r="H46" i="103"/>
  <c r="G46" i="103"/>
  <c r="F46" i="103"/>
  <c r="T45" i="103"/>
  <c r="S45" i="103"/>
  <c r="R45" i="103"/>
  <c r="P45" i="103"/>
  <c r="N45" i="103"/>
  <c r="J45" i="103"/>
  <c r="H45" i="103"/>
  <c r="G45" i="103"/>
  <c r="F45" i="103"/>
  <c r="T44" i="103"/>
  <c r="S44" i="103"/>
  <c r="R44" i="103"/>
  <c r="O44" i="103"/>
  <c r="N44" i="103"/>
  <c r="K44" i="103"/>
  <c r="J44" i="103"/>
  <c r="H44" i="103"/>
  <c r="G44" i="103"/>
  <c r="F44" i="103"/>
  <c r="T43" i="103"/>
  <c r="S43" i="103"/>
  <c r="R43" i="103"/>
  <c r="P43" i="103"/>
  <c r="N43" i="103"/>
  <c r="L43" i="103"/>
  <c r="K43" i="103"/>
  <c r="J43" i="103"/>
  <c r="H43" i="103"/>
  <c r="G43" i="103"/>
  <c r="F43" i="103"/>
  <c r="T42" i="103"/>
  <c r="S42" i="103"/>
  <c r="R42" i="103"/>
  <c r="O42" i="103"/>
  <c r="N42" i="103"/>
  <c r="K42" i="103"/>
  <c r="J42" i="103"/>
  <c r="H42" i="103"/>
  <c r="G42" i="103"/>
  <c r="F42" i="103"/>
  <c r="T41" i="103"/>
  <c r="S41" i="103"/>
  <c r="R41" i="103"/>
  <c r="O41" i="103"/>
  <c r="N41" i="103"/>
  <c r="J41" i="103"/>
  <c r="H41" i="103"/>
  <c r="G41" i="103"/>
  <c r="F41" i="103"/>
  <c r="T40" i="103"/>
  <c r="S40" i="103"/>
  <c r="R40" i="103"/>
  <c r="P40" i="103"/>
  <c r="O40" i="103"/>
  <c r="N40" i="103"/>
  <c r="K40" i="103"/>
  <c r="J40" i="103"/>
  <c r="H40" i="103"/>
  <c r="G40" i="103"/>
  <c r="F40" i="103"/>
  <c r="T39" i="103"/>
  <c r="S39" i="103"/>
  <c r="R39" i="103"/>
  <c r="P39" i="103"/>
  <c r="O39" i="103"/>
  <c r="N39" i="103"/>
  <c r="L39" i="103"/>
  <c r="J39" i="103"/>
  <c r="H39" i="103"/>
  <c r="G39" i="103"/>
  <c r="F39" i="103"/>
  <c r="T38" i="103"/>
  <c r="S38" i="103"/>
  <c r="R38" i="103"/>
  <c r="P38" i="103"/>
  <c r="O38" i="103"/>
  <c r="N38" i="103"/>
  <c r="L38" i="103"/>
  <c r="K38" i="103"/>
  <c r="J38" i="103"/>
  <c r="H38" i="103"/>
  <c r="G38" i="103"/>
  <c r="F38" i="103"/>
  <c r="T37" i="103"/>
  <c r="S37" i="103"/>
  <c r="R37" i="103"/>
  <c r="N37" i="103"/>
  <c r="L37" i="103"/>
  <c r="K37" i="103"/>
  <c r="J37" i="103"/>
  <c r="H37" i="103"/>
  <c r="G37" i="103"/>
  <c r="F37" i="103"/>
  <c r="T36" i="103"/>
  <c r="S36" i="103"/>
  <c r="R36" i="103"/>
  <c r="P36" i="103"/>
  <c r="O36" i="103"/>
  <c r="N36" i="103"/>
  <c r="L36" i="103"/>
  <c r="K36" i="103"/>
  <c r="J36" i="103"/>
  <c r="H36" i="103"/>
  <c r="G36" i="103"/>
  <c r="F36" i="103"/>
  <c r="T35" i="103"/>
  <c r="S35" i="103"/>
  <c r="R35" i="103"/>
  <c r="P35" i="103"/>
  <c r="N35" i="103"/>
  <c r="K35" i="103"/>
  <c r="J35" i="103"/>
  <c r="H35" i="103"/>
  <c r="G35" i="103"/>
  <c r="F35" i="103"/>
  <c r="T34" i="103"/>
  <c r="S34" i="103"/>
  <c r="R34" i="103"/>
  <c r="P34" i="103"/>
  <c r="O34" i="103"/>
  <c r="N34" i="103"/>
  <c r="L34" i="103"/>
  <c r="J34" i="103"/>
  <c r="H34" i="103"/>
  <c r="G34" i="103"/>
  <c r="F34" i="103"/>
  <c r="R32" i="103"/>
  <c r="N32" i="103"/>
  <c r="J32" i="103"/>
  <c r="F32" i="103"/>
  <c r="F31" i="103"/>
  <c r="T28" i="103"/>
  <c r="T55" i="103" s="1"/>
  <c r="R28" i="103"/>
  <c r="N28" i="103"/>
  <c r="J28" i="103"/>
  <c r="H28" i="103"/>
  <c r="H29" i="103" s="1"/>
  <c r="F28" i="103"/>
  <c r="N27" i="103"/>
  <c r="AB25" i="103"/>
  <c r="AA25" i="103"/>
  <c r="Z25" i="103"/>
  <c r="C25" i="103"/>
  <c r="C52" i="103" s="1"/>
  <c r="B25" i="103"/>
  <c r="B52" i="103" s="1"/>
  <c r="A25" i="103"/>
  <c r="A52" i="103" s="1"/>
  <c r="AB24" i="103"/>
  <c r="AA24" i="103"/>
  <c r="Z24" i="103"/>
  <c r="C24" i="103"/>
  <c r="C51" i="103" s="1"/>
  <c r="B24" i="103"/>
  <c r="B51" i="103" s="1"/>
  <c r="A24" i="103"/>
  <c r="A51" i="103" s="1"/>
  <c r="AB23" i="103"/>
  <c r="AA23" i="103"/>
  <c r="Z23" i="103"/>
  <c r="C23" i="103"/>
  <c r="C50" i="103" s="1"/>
  <c r="B23" i="103"/>
  <c r="B50" i="103" s="1"/>
  <c r="A23" i="103"/>
  <c r="A50" i="103" s="1"/>
  <c r="AB22" i="103"/>
  <c r="AA22" i="103"/>
  <c r="Z22" i="103"/>
  <c r="C22" i="103"/>
  <c r="B22" i="103"/>
  <c r="B49" i="103" s="1"/>
  <c r="A22" i="103"/>
  <c r="A49" i="103" s="1"/>
  <c r="AB21" i="103"/>
  <c r="AA21" i="103"/>
  <c r="Z21" i="103"/>
  <c r="C21" i="103"/>
  <c r="C48" i="103" s="1"/>
  <c r="B21" i="103"/>
  <c r="B48" i="103" s="1"/>
  <c r="A21" i="103"/>
  <c r="A48" i="103" s="1"/>
  <c r="AB20" i="103"/>
  <c r="AA20" i="103"/>
  <c r="Z20" i="103"/>
  <c r="C20" i="103"/>
  <c r="C47" i="103" s="1"/>
  <c r="B20" i="103"/>
  <c r="B47" i="103" s="1"/>
  <c r="A20" i="103"/>
  <c r="A47" i="103" s="1"/>
  <c r="AB19" i="103"/>
  <c r="AA19" i="103"/>
  <c r="Z19" i="103"/>
  <c r="C19" i="103"/>
  <c r="C46" i="103" s="1"/>
  <c r="B19" i="103"/>
  <c r="B46" i="103" s="1"/>
  <c r="A19" i="103"/>
  <c r="A46" i="103" s="1"/>
  <c r="AB18" i="103"/>
  <c r="AA18" i="103"/>
  <c r="Z18" i="103"/>
  <c r="C18" i="103"/>
  <c r="C45" i="103" s="1"/>
  <c r="B18" i="103"/>
  <c r="B45" i="103" s="1"/>
  <c r="A18" i="103"/>
  <c r="A45" i="103" s="1"/>
  <c r="AB17" i="103"/>
  <c r="AA17" i="103"/>
  <c r="Z17" i="103"/>
  <c r="C17" i="103"/>
  <c r="C44" i="103" s="1"/>
  <c r="B17" i="103"/>
  <c r="B44" i="103" s="1"/>
  <c r="A17" i="103"/>
  <c r="A44" i="103" s="1"/>
  <c r="AB16" i="103"/>
  <c r="AA16" i="103"/>
  <c r="Z16" i="103"/>
  <c r="C16" i="103"/>
  <c r="C43" i="103" s="1"/>
  <c r="B16" i="103"/>
  <c r="B43" i="103" s="1"/>
  <c r="A16" i="103"/>
  <c r="A43" i="103" s="1"/>
  <c r="AB15" i="103"/>
  <c r="AA15" i="103"/>
  <c r="Z15" i="103"/>
  <c r="C15" i="103"/>
  <c r="C42" i="103" s="1"/>
  <c r="B15" i="103"/>
  <c r="B42" i="103" s="1"/>
  <c r="AB14" i="103"/>
  <c r="AA14" i="103"/>
  <c r="Z14" i="103"/>
  <c r="C14" i="103"/>
  <c r="C41" i="103" s="1"/>
  <c r="B14" i="103"/>
  <c r="B41" i="103" s="1"/>
  <c r="AB13" i="103"/>
  <c r="AA13" i="103"/>
  <c r="Z13" i="103"/>
  <c r="C13" i="103"/>
  <c r="C40" i="103" s="1"/>
  <c r="B13" i="103"/>
  <c r="B40" i="103" s="1"/>
  <c r="AB12" i="103"/>
  <c r="AA12" i="103"/>
  <c r="Z12" i="103"/>
  <c r="C12" i="103"/>
  <c r="C39" i="103" s="1"/>
  <c r="B12" i="103"/>
  <c r="B39" i="103" s="1"/>
  <c r="AB11" i="103"/>
  <c r="AA11" i="103"/>
  <c r="Z11" i="103"/>
  <c r="C11" i="103"/>
  <c r="C38" i="103" s="1"/>
  <c r="B11" i="103"/>
  <c r="B38" i="103" s="1"/>
  <c r="A11" i="103"/>
  <c r="A38" i="103" s="1"/>
  <c r="AB10" i="103"/>
  <c r="AA10" i="103"/>
  <c r="Z10" i="103"/>
  <c r="C10" i="103"/>
  <c r="C37" i="103" s="1"/>
  <c r="B10" i="103"/>
  <c r="B37" i="103" s="1"/>
  <c r="AB9" i="103"/>
  <c r="AA9" i="103"/>
  <c r="Z9" i="103"/>
  <c r="C9" i="103"/>
  <c r="C36" i="103" s="1"/>
  <c r="B9" i="103"/>
  <c r="B36" i="103" s="1"/>
  <c r="AB8" i="103"/>
  <c r="AA8" i="103"/>
  <c r="Z8" i="103"/>
  <c r="C8" i="103"/>
  <c r="C35" i="103" s="1"/>
  <c r="B8" i="103"/>
  <c r="B35" i="103" s="1"/>
  <c r="AB7" i="103"/>
  <c r="AA7" i="103"/>
  <c r="Z7" i="103"/>
  <c r="C7" i="103"/>
  <c r="B7" i="103"/>
  <c r="B34" i="103" s="1"/>
  <c r="B3" i="103" l="1"/>
  <c r="C26" i="103"/>
  <c r="C53" i="103"/>
  <c r="S26" i="103"/>
  <c r="S53" i="103" s="1"/>
  <c r="F55" i="103"/>
  <c r="G28" i="103"/>
  <c r="J53" i="103"/>
  <c r="K26" i="103"/>
  <c r="K53" i="103" s="1"/>
  <c r="J54" i="103"/>
  <c r="K27" i="103"/>
  <c r="J55" i="103"/>
  <c r="K28" i="103"/>
  <c r="N54" i="103"/>
  <c r="O27" i="103"/>
  <c r="N55" i="103"/>
  <c r="O28" i="103"/>
  <c r="N53" i="103"/>
  <c r="O26" i="103"/>
  <c r="O53" i="103" s="1"/>
  <c r="R55" i="103"/>
  <c r="S28" i="103"/>
  <c r="R67" i="103"/>
  <c r="R59" i="103" s="1"/>
  <c r="K54" i="103"/>
  <c r="J63" i="103"/>
  <c r="J57" i="103" s="1"/>
  <c r="J69" i="103"/>
  <c r="J60" i="103" s="1"/>
  <c r="P26" i="103"/>
  <c r="P53" i="103" s="1"/>
  <c r="P28" i="103"/>
  <c r="P29" i="103" s="1"/>
  <c r="N65" i="103"/>
  <c r="N58" i="103" s="1"/>
  <c r="N67" i="103"/>
  <c r="N59" i="103" s="1"/>
  <c r="N69" i="103"/>
  <c r="N60" i="103" s="1"/>
  <c r="R61" i="103"/>
  <c r="R56" i="103" s="1"/>
  <c r="C27" i="103"/>
  <c r="R65" i="103"/>
  <c r="R58" i="103" s="1"/>
  <c r="H30" i="103"/>
  <c r="H55" i="103"/>
  <c r="J67" i="103"/>
  <c r="J59" i="103" s="1"/>
  <c r="C28" i="103"/>
  <c r="L30" i="103"/>
  <c r="F65" i="103"/>
  <c r="F58" i="103" s="1"/>
  <c r="R69" i="103"/>
  <c r="R60" i="103" s="1"/>
  <c r="C34" i="103"/>
  <c r="C49" i="103"/>
  <c r="R63" i="103"/>
  <c r="R57" i="103" s="1"/>
  <c r="L55" i="103"/>
  <c r="J65" i="103"/>
  <c r="J58" i="103" s="1"/>
  <c r="F69" i="103"/>
  <c r="F60" i="103" s="1"/>
  <c r="F63" i="103"/>
  <c r="F57" i="103" s="1"/>
  <c r="N63" i="103" l="1"/>
  <c r="N57" i="103" s="1"/>
  <c r="P55" i="103"/>
  <c r="N61" i="103" s="1"/>
  <c r="N56" i="103" s="1"/>
  <c r="P30" i="103"/>
  <c r="C54" i="103"/>
  <c r="O54" i="103"/>
  <c r="J61" i="103"/>
  <c r="J56" i="103" s="1"/>
  <c r="S55" i="103"/>
  <c r="C55" i="103"/>
  <c r="G55" i="103"/>
  <c r="O55" i="103"/>
  <c r="F61" i="103"/>
  <c r="F56" i="103" s="1"/>
  <c r="K55" i="103"/>
  <c r="R32" i="102" l="1"/>
  <c r="R56" i="102"/>
  <c r="R60" i="102"/>
  <c r="N60" i="102"/>
  <c r="J60" i="102"/>
  <c r="F60" i="102"/>
  <c r="R59" i="102"/>
  <c r="N59" i="102"/>
  <c r="J59" i="102"/>
  <c r="F59" i="102"/>
  <c r="R58" i="102"/>
  <c r="N58" i="102"/>
  <c r="J58" i="102"/>
  <c r="F58" i="102"/>
  <c r="R57" i="102"/>
  <c r="N57" i="102"/>
  <c r="J57" i="102"/>
  <c r="F57" i="102"/>
  <c r="R61" i="102"/>
  <c r="R69" i="102"/>
  <c r="N69" i="102"/>
  <c r="J69" i="102"/>
  <c r="F69" i="102"/>
  <c r="R67" i="102"/>
  <c r="N67" i="102"/>
  <c r="J67" i="102"/>
  <c r="F67" i="102"/>
  <c r="R65" i="102"/>
  <c r="N65" i="102"/>
  <c r="J65" i="102"/>
  <c r="F65" i="102"/>
  <c r="R63" i="102"/>
  <c r="N63" i="102"/>
  <c r="J63" i="102"/>
  <c r="F63" i="102"/>
  <c r="R60" i="91"/>
  <c r="R59" i="91"/>
  <c r="R58" i="91"/>
  <c r="R57" i="91"/>
  <c r="N60" i="91"/>
  <c r="N59" i="91"/>
  <c r="N58" i="91"/>
  <c r="N57" i="91"/>
  <c r="J60" i="91"/>
  <c r="J59" i="91"/>
  <c r="J58" i="91"/>
  <c r="J57" i="91"/>
  <c r="F60" i="91"/>
  <c r="F59" i="91"/>
  <c r="F58" i="91"/>
  <c r="F57" i="91"/>
  <c r="R69" i="91"/>
  <c r="N69" i="91"/>
  <c r="J69" i="91"/>
  <c r="F69" i="91"/>
  <c r="R67" i="91"/>
  <c r="N67" i="91"/>
  <c r="J67" i="91"/>
  <c r="F67" i="91"/>
  <c r="R65" i="91"/>
  <c r="R63" i="91"/>
  <c r="N65" i="91"/>
  <c r="J65" i="91"/>
  <c r="F65" i="91"/>
  <c r="R56" i="91"/>
  <c r="R61" i="91"/>
  <c r="N63" i="91"/>
  <c r="J63" i="91"/>
  <c r="F63" i="91"/>
  <c r="L28" i="91" l="1"/>
  <c r="J28" i="91"/>
  <c r="R32" i="91"/>
  <c r="L28" i="102"/>
  <c r="L55" i="102" s="1"/>
  <c r="J28" i="102"/>
  <c r="J55" i="102" s="1"/>
  <c r="T54" i="102"/>
  <c r="S54" i="102"/>
  <c r="R54" i="102"/>
  <c r="B54" i="102"/>
  <c r="T53" i="102"/>
  <c r="S53" i="102"/>
  <c r="R53" i="102"/>
  <c r="B53" i="102"/>
  <c r="T52" i="102"/>
  <c r="S52" i="102"/>
  <c r="R52" i="102"/>
  <c r="P52" i="102"/>
  <c r="O52" i="102"/>
  <c r="N52" i="102"/>
  <c r="L52" i="102"/>
  <c r="K52" i="102"/>
  <c r="J52" i="102"/>
  <c r="H52" i="102"/>
  <c r="G52" i="102"/>
  <c r="F52" i="102"/>
  <c r="T51" i="102"/>
  <c r="S51" i="102"/>
  <c r="R51" i="102"/>
  <c r="P51" i="102"/>
  <c r="O51" i="102"/>
  <c r="N51" i="102"/>
  <c r="L51" i="102"/>
  <c r="K51" i="102"/>
  <c r="J51" i="102"/>
  <c r="H51" i="102"/>
  <c r="G51" i="102"/>
  <c r="F51" i="102"/>
  <c r="T50" i="102"/>
  <c r="S50" i="102"/>
  <c r="R50" i="102"/>
  <c r="P50" i="102"/>
  <c r="O50" i="102"/>
  <c r="N50" i="102"/>
  <c r="L50" i="102"/>
  <c r="K50" i="102"/>
  <c r="J50" i="102"/>
  <c r="H50" i="102"/>
  <c r="G50" i="102"/>
  <c r="F50" i="102"/>
  <c r="T49" i="102"/>
  <c r="S49" i="102"/>
  <c r="R49" i="102"/>
  <c r="P49" i="102"/>
  <c r="O49" i="102"/>
  <c r="N49" i="102"/>
  <c r="L49" i="102"/>
  <c r="K49" i="102"/>
  <c r="J49" i="102"/>
  <c r="H49" i="102"/>
  <c r="G49" i="102"/>
  <c r="F49" i="102"/>
  <c r="T48" i="102"/>
  <c r="S48" i="102"/>
  <c r="R48" i="102"/>
  <c r="P48" i="102"/>
  <c r="O48" i="102"/>
  <c r="N48" i="102"/>
  <c r="L48" i="102"/>
  <c r="K48" i="102"/>
  <c r="J48" i="102"/>
  <c r="H48" i="102"/>
  <c r="G48" i="102"/>
  <c r="F48" i="102"/>
  <c r="T47" i="102"/>
  <c r="S47" i="102"/>
  <c r="R47" i="102"/>
  <c r="P47" i="102"/>
  <c r="O47" i="102"/>
  <c r="N47" i="102"/>
  <c r="L47" i="102"/>
  <c r="K47" i="102"/>
  <c r="J47" i="102"/>
  <c r="H47" i="102"/>
  <c r="G47" i="102"/>
  <c r="F47" i="102"/>
  <c r="T46" i="102"/>
  <c r="S46" i="102"/>
  <c r="R46" i="102"/>
  <c r="P46" i="102"/>
  <c r="O46" i="102"/>
  <c r="N46" i="102"/>
  <c r="L46" i="102"/>
  <c r="K46" i="102"/>
  <c r="J46" i="102"/>
  <c r="H46" i="102"/>
  <c r="G46" i="102"/>
  <c r="F46" i="102"/>
  <c r="T45" i="102"/>
  <c r="S45" i="102"/>
  <c r="R45" i="102"/>
  <c r="P45" i="102"/>
  <c r="O45" i="102"/>
  <c r="N45" i="102"/>
  <c r="L45" i="102"/>
  <c r="K45" i="102"/>
  <c r="J45" i="102"/>
  <c r="H45" i="102"/>
  <c r="G45" i="102"/>
  <c r="F45" i="102"/>
  <c r="T44" i="102"/>
  <c r="S44" i="102"/>
  <c r="R44" i="102"/>
  <c r="P44" i="102"/>
  <c r="O44" i="102"/>
  <c r="N44" i="102"/>
  <c r="L44" i="102"/>
  <c r="K44" i="102"/>
  <c r="J44" i="102"/>
  <c r="H44" i="102"/>
  <c r="G44" i="102"/>
  <c r="F44" i="102"/>
  <c r="T43" i="102"/>
  <c r="S43" i="102"/>
  <c r="R43" i="102"/>
  <c r="P43" i="102"/>
  <c r="O43" i="102"/>
  <c r="N43" i="102"/>
  <c r="L43" i="102"/>
  <c r="K43" i="102"/>
  <c r="J43" i="102"/>
  <c r="H43" i="102"/>
  <c r="G43" i="102"/>
  <c r="F43" i="102"/>
  <c r="T42" i="102"/>
  <c r="S42" i="102"/>
  <c r="R42" i="102"/>
  <c r="P42" i="102"/>
  <c r="O42" i="102"/>
  <c r="N42" i="102"/>
  <c r="L42" i="102"/>
  <c r="K42" i="102"/>
  <c r="J42" i="102"/>
  <c r="H42" i="102"/>
  <c r="G42" i="102"/>
  <c r="F42" i="102"/>
  <c r="T41" i="102"/>
  <c r="S41" i="102"/>
  <c r="R41" i="102"/>
  <c r="P41" i="102"/>
  <c r="O41" i="102"/>
  <c r="N41" i="102"/>
  <c r="L41" i="102"/>
  <c r="K41" i="102"/>
  <c r="J41" i="102"/>
  <c r="H41" i="102"/>
  <c r="G41" i="102"/>
  <c r="F41" i="102"/>
  <c r="T40" i="102"/>
  <c r="S40" i="102"/>
  <c r="R40" i="102"/>
  <c r="P40" i="102"/>
  <c r="O40" i="102"/>
  <c r="N40" i="102"/>
  <c r="L40" i="102"/>
  <c r="K40" i="102"/>
  <c r="J40" i="102"/>
  <c r="H40" i="102"/>
  <c r="G40" i="102"/>
  <c r="F40" i="102"/>
  <c r="T39" i="102"/>
  <c r="S39" i="102"/>
  <c r="R39" i="102"/>
  <c r="P39" i="102"/>
  <c r="O39" i="102"/>
  <c r="N39" i="102"/>
  <c r="L39" i="102"/>
  <c r="K39" i="102"/>
  <c r="J39" i="102"/>
  <c r="H39" i="102"/>
  <c r="G39" i="102"/>
  <c r="F39" i="102"/>
  <c r="T38" i="102"/>
  <c r="S38" i="102"/>
  <c r="R38" i="102"/>
  <c r="P38" i="102"/>
  <c r="O38" i="102"/>
  <c r="N38" i="102"/>
  <c r="L38" i="102"/>
  <c r="K38" i="102"/>
  <c r="J38" i="102"/>
  <c r="H38" i="102"/>
  <c r="G38" i="102"/>
  <c r="F38" i="102"/>
  <c r="T37" i="102"/>
  <c r="S37" i="102"/>
  <c r="R37" i="102"/>
  <c r="P37" i="102"/>
  <c r="O37" i="102"/>
  <c r="N37" i="102"/>
  <c r="L37" i="102"/>
  <c r="K37" i="102"/>
  <c r="J37" i="102"/>
  <c r="H37" i="102"/>
  <c r="G37" i="102"/>
  <c r="F37" i="102"/>
  <c r="T36" i="102"/>
  <c r="S36" i="102"/>
  <c r="R36" i="102"/>
  <c r="P36" i="102"/>
  <c r="O36" i="102"/>
  <c r="N36" i="102"/>
  <c r="L36" i="102"/>
  <c r="K36" i="102"/>
  <c r="J36" i="102"/>
  <c r="H36" i="102"/>
  <c r="G36" i="102"/>
  <c r="F36" i="102"/>
  <c r="T35" i="102"/>
  <c r="S35" i="102"/>
  <c r="R35" i="102"/>
  <c r="P35" i="102"/>
  <c r="O35" i="102"/>
  <c r="N35" i="102"/>
  <c r="L35" i="102"/>
  <c r="K35" i="102"/>
  <c r="J35" i="102"/>
  <c r="H35" i="102"/>
  <c r="G35" i="102"/>
  <c r="F35" i="102"/>
  <c r="T34" i="102"/>
  <c r="S34" i="102"/>
  <c r="R34" i="102"/>
  <c r="P34" i="102"/>
  <c r="O34" i="102"/>
  <c r="N34" i="102"/>
  <c r="L34" i="102"/>
  <c r="K34" i="102"/>
  <c r="J34" i="102"/>
  <c r="H34" i="102"/>
  <c r="G34" i="102"/>
  <c r="F34" i="102"/>
  <c r="N32" i="102"/>
  <c r="J32" i="102"/>
  <c r="F32" i="102"/>
  <c r="F31" i="102"/>
  <c r="L30" i="102"/>
  <c r="L29" i="102"/>
  <c r="T28" i="102"/>
  <c r="T55" i="102" s="1"/>
  <c r="R28" i="102"/>
  <c r="P28" i="102"/>
  <c r="P55" i="102" s="1"/>
  <c r="N28" i="102"/>
  <c r="N55" i="102" s="1"/>
  <c r="H28" i="102"/>
  <c r="H30" i="102" s="1"/>
  <c r="F28" i="102"/>
  <c r="F55" i="102" s="1"/>
  <c r="P54" i="102"/>
  <c r="L54" i="102"/>
  <c r="J54" i="102"/>
  <c r="H27" i="102"/>
  <c r="H54" i="102" s="1"/>
  <c r="F27" i="102"/>
  <c r="F54" i="102" s="1"/>
  <c r="P53" i="102"/>
  <c r="L53" i="102"/>
  <c r="J53" i="102"/>
  <c r="H26" i="102"/>
  <c r="H53" i="102" s="1"/>
  <c r="F26" i="102"/>
  <c r="AB25" i="102"/>
  <c r="AA25" i="102"/>
  <c r="Z25" i="102"/>
  <c r="C25" i="102"/>
  <c r="C52" i="102" s="1"/>
  <c r="B25" i="102"/>
  <c r="B52" i="102" s="1"/>
  <c r="A25" i="102"/>
  <c r="A52" i="102" s="1"/>
  <c r="AB24" i="102"/>
  <c r="AA24" i="102"/>
  <c r="Z24" i="102"/>
  <c r="C24" i="102"/>
  <c r="C51" i="102" s="1"/>
  <c r="B24" i="102"/>
  <c r="B51" i="102" s="1"/>
  <c r="A24" i="102"/>
  <c r="A51" i="102" s="1"/>
  <c r="AB23" i="102"/>
  <c r="AA23" i="102"/>
  <c r="Z23" i="102"/>
  <c r="C23" i="102"/>
  <c r="C50" i="102" s="1"/>
  <c r="B23" i="102"/>
  <c r="B50" i="102" s="1"/>
  <c r="A23" i="102"/>
  <c r="A50" i="102" s="1"/>
  <c r="AB22" i="102"/>
  <c r="AA22" i="102"/>
  <c r="Z22" i="102"/>
  <c r="C22" i="102"/>
  <c r="C49" i="102" s="1"/>
  <c r="B22" i="102"/>
  <c r="B49" i="102" s="1"/>
  <c r="A22" i="102"/>
  <c r="A49" i="102" s="1"/>
  <c r="AB21" i="102"/>
  <c r="AA21" i="102"/>
  <c r="Z21" i="102"/>
  <c r="C21" i="102"/>
  <c r="C48" i="102" s="1"/>
  <c r="B21" i="102"/>
  <c r="B48" i="102" s="1"/>
  <c r="A21" i="102"/>
  <c r="A48" i="102" s="1"/>
  <c r="AB20" i="102"/>
  <c r="AA20" i="102"/>
  <c r="Z20" i="102"/>
  <c r="C20" i="102"/>
  <c r="C47" i="102" s="1"/>
  <c r="B20" i="102"/>
  <c r="B47" i="102" s="1"/>
  <c r="A20" i="102"/>
  <c r="A47" i="102" s="1"/>
  <c r="AB19" i="102"/>
  <c r="AA19" i="102"/>
  <c r="Z19" i="102"/>
  <c r="C19" i="102"/>
  <c r="C46" i="102" s="1"/>
  <c r="B19" i="102"/>
  <c r="B46" i="102" s="1"/>
  <c r="A19" i="102"/>
  <c r="A46" i="102" s="1"/>
  <c r="AB18" i="102"/>
  <c r="AA18" i="102"/>
  <c r="Z18" i="102"/>
  <c r="C18" i="102"/>
  <c r="C45" i="102" s="1"/>
  <c r="B18" i="102"/>
  <c r="B45" i="102" s="1"/>
  <c r="A18" i="102"/>
  <c r="A45" i="102" s="1"/>
  <c r="AB17" i="102"/>
  <c r="AA17" i="102"/>
  <c r="Z17" i="102"/>
  <c r="C17" i="102"/>
  <c r="C44" i="102" s="1"/>
  <c r="B17" i="102"/>
  <c r="B44" i="102" s="1"/>
  <c r="A17" i="102"/>
  <c r="A44" i="102" s="1"/>
  <c r="AB16" i="102"/>
  <c r="AA16" i="102"/>
  <c r="Z16" i="102"/>
  <c r="C16" i="102"/>
  <c r="C43" i="102" s="1"/>
  <c r="B16" i="102"/>
  <c r="B43" i="102" s="1"/>
  <c r="A16" i="102"/>
  <c r="A43" i="102" s="1"/>
  <c r="AB15" i="102"/>
  <c r="AA15" i="102"/>
  <c r="Z15" i="102"/>
  <c r="C15" i="102"/>
  <c r="C42" i="102" s="1"/>
  <c r="B15" i="102"/>
  <c r="B42" i="102" s="1"/>
  <c r="AB14" i="102"/>
  <c r="AA14" i="102"/>
  <c r="Z14" i="102"/>
  <c r="C14" i="102"/>
  <c r="C41" i="102" s="1"/>
  <c r="B14" i="102"/>
  <c r="B41" i="102" s="1"/>
  <c r="AB13" i="102"/>
  <c r="AA13" i="102"/>
  <c r="Z13" i="102"/>
  <c r="C13" i="102"/>
  <c r="C40" i="102" s="1"/>
  <c r="B13" i="102"/>
  <c r="B40" i="102" s="1"/>
  <c r="AB12" i="102"/>
  <c r="AA12" i="102"/>
  <c r="Z12" i="102"/>
  <c r="C12" i="102"/>
  <c r="C39" i="102" s="1"/>
  <c r="B12" i="102"/>
  <c r="B39" i="102" s="1"/>
  <c r="AB11" i="102"/>
  <c r="AA11" i="102"/>
  <c r="Z11" i="102"/>
  <c r="C11" i="102"/>
  <c r="C38" i="102" s="1"/>
  <c r="B11" i="102"/>
  <c r="B38" i="102" s="1"/>
  <c r="A11" i="102"/>
  <c r="A38" i="102" s="1"/>
  <c r="AB10" i="102"/>
  <c r="AA10" i="102"/>
  <c r="Z10" i="102"/>
  <c r="C10" i="102"/>
  <c r="C37" i="102" s="1"/>
  <c r="B10" i="102"/>
  <c r="B37" i="102" s="1"/>
  <c r="AB9" i="102"/>
  <c r="AA9" i="102"/>
  <c r="Z9" i="102"/>
  <c r="C9" i="102"/>
  <c r="C36" i="102" s="1"/>
  <c r="B9" i="102"/>
  <c r="B36" i="102" s="1"/>
  <c r="AB8" i="102"/>
  <c r="AA8" i="102"/>
  <c r="Z8" i="102"/>
  <c r="C8" i="102"/>
  <c r="C35" i="102" s="1"/>
  <c r="B8" i="102"/>
  <c r="B35" i="102" s="1"/>
  <c r="AB7" i="102"/>
  <c r="AA7" i="102"/>
  <c r="Z7" i="102"/>
  <c r="C7" i="102"/>
  <c r="C34" i="102" s="1"/>
  <c r="B7" i="102"/>
  <c r="B34" i="102" s="1"/>
  <c r="T28" i="91"/>
  <c r="T55" i="91" s="1"/>
  <c r="R28" i="91"/>
  <c r="T54" i="91"/>
  <c r="S54" i="91"/>
  <c r="R54" i="91"/>
  <c r="T53" i="91"/>
  <c r="S53" i="91"/>
  <c r="R53" i="91"/>
  <c r="T52" i="91"/>
  <c r="S52" i="91"/>
  <c r="R52" i="91"/>
  <c r="T51" i="91"/>
  <c r="S51" i="91"/>
  <c r="R51" i="91"/>
  <c r="T50" i="91"/>
  <c r="S50" i="91"/>
  <c r="R50" i="91"/>
  <c r="T49" i="91"/>
  <c r="S49" i="91"/>
  <c r="R49" i="91"/>
  <c r="T48" i="91"/>
  <c r="S48" i="91"/>
  <c r="R48" i="91"/>
  <c r="T47" i="91"/>
  <c r="S47" i="91"/>
  <c r="R47" i="91"/>
  <c r="T46" i="91"/>
  <c r="S46" i="91"/>
  <c r="R46" i="91"/>
  <c r="T45" i="91"/>
  <c r="S45" i="91"/>
  <c r="R45" i="91"/>
  <c r="T44" i="91"/>
  <c r="S44" i="91"/>
  <c r="R44" i="91"/>
  <c r="T43" i="91"/>
  <c r="S43" i="91"/>
  <c r="R43" i="91"/>
  <c r="T42" i="91"/>
  <c r="S42" i="91"/>
  <c r="R42" i="91"/>
  <c r="T41" i="91"/>
  <c r="S41" i="91"/>
  <c r="R41" i="91"/>
  <c r="T40" i="91"/>
  <c r="S40" i="91"/>
  <c r="R40" i="91"/>
  <c r="T39" i="91"/>
  <c r="S39" i="91"/>
  <c r="R39" i="91"/>
  <c r="T38" i="91"/>
  <c r="S38" i="91"/>
  <c r="R38" i="91"/>
  <c r="T37" i="91"/>
  <c r="S37" i="91"/>
  <c r="R37" i="91"/>
  <c r="T36" i="91"/>
  <c r="S36" i="91"/>
  <c r="R36" i="91"/>
  <c r="T35" i="91"/>
  <c r="S35" i="91"/>
  <c r="R35" i="91"/>
  <c r="T34" i="91"/>
  <c r="S34" i="91"/>
  <c r="R34" i="91"/>
  <c r="I14" i="23"/>
  <c r="P30" i="102" l="1"/>
  <c r="N61" i="102"/>
  <c r="N56" i="102" s="1"/>
  <c r="F53" i="102"/>
  <c r="N54" i="102"/>
  <c r="R55" i="102"/>
  <c r="H29" i="102"/>
  <c r="H55" i="102"/>
  <c r="J61" i="102"/>
  <c r="J56" i="102" s="1"/>
  <c r="N53" i="102"/>
  <c r="C26" i="102"/>
  <c r="C27" i="102"/>
  <c r="G27" i="102" s="1"/>
  <c r="G54" i="102" s="1"/>
  <c r="C28" i="102"/>
  <c r="S28" i="102" s="1"/>
  <c r="S55" i="102" s="1"/>
  <c r="B3" i="102"/>
  <c r="P29" i="102"/>
  <c r="R55" i="91"/>
  <c r="K28" i="102" l="1"/>
  <c r="K55" i="102" s="1"/>
  <c r="F61" i="102"/>
  <c r="F56" i="102" s="1"/>
  <c r="C54" i="102"/>
  <c r="K54" i="102"/>
  <c r="C55" i="102"/>
  <c r="O28" i="102"/>
  <c r="O55" i="102" s="1"/>
  <c r="C53" i="102"/>
  <c r="K53" i="102"/>
  <c r="O53" i="102"/>
  <c r="G28" i="102"/>
  <c r="G55" i="102" s="1"/>
  <c r="G26" i="102"/>
  <c r="G53" i="102" s="1"/>
  <c r="O54" i="102"/>
  <c r="B15" i="23" l="1"/>
  <c r="AB24" i="91"/>
  <c r="AB23" i="91"/>
  <c r="AB17" i="91"/>
  <c r="AB18" i="91"/>
  <c r="AB19" i="91"/>
  <c r="AB20" i="91"/>
  <c r="AB21" i="91"/>
  <c r="AB22" i="91"/>
  <c r="AB25" i="91"/>
  <c r="AB16" i="91"/>
  <c r="AB8" i="91"/>
  <c r="AB9" i="91"/>
  <c r="AB10" i="91"/>
  <c r="AB11" i="91"/>
  <c r="AB12" i="91"/>
  <c r="AB13" i="91"/>
  <c r="AB14" i="91"/>
  <c r="AB15" i="91"/>
  <c r="AB7" i="91"/>
  <c r="AA8" i="91"/>
  <c r="AA9" i="91"/>
  <c r="AA10" i="91"/>
  <c r="AA11" i="91"/>
  <c r="AA12" i="91"/>
  <c r="AA13" i="91"/>
  <c r="AA14" i="91"/>
  <c r="AA15" i="91"/>
  <c r="AA7" i="91"/>
  <c r="AA24" i="91"/>
  <c r="AA23" i="91"/>
  <c r="AA17" i="91"/>
  <c r="AA18" i="91"/>
  <c r="AA19" i="91"/>
  <c r="AA20" i="91"/>
  <c r="AA21" i="91"/>
  <c r="AA22" i="91"/>
  <c r="AA25" i="91"/>
  <c r="AA16" i="91"/>
  <c r="Z7" i="91"/>
  <c r="Z25" i="91"/>
  <c r="Z24" i="91"/>
  <c r="Z23" i="91"/>
  <c r="Z22" i="91"/>
  <c r="Z21" i="91"/>
  <c r="Z20" i="91"/>
  <c r="Z19" i="91"/>
  <c r="Z18" i="91"/>
  <c r="Z17" i="91"/>
  <c r="Z16" i="91"/>
  <c r="Z15" i="91"/>
  <c r="Z14" i="91"/>
  <c r="Z13" i="91"/>
  <c r="Z12" i="91"/>
  <c r="Z11" i="91"/>
  <c r="Z10" i="91"/>
  <c r="Z9" i="91"/>
  <c r="Z8" i="91"/>
  <c r="D15" i="23" l="1"/>
  <c r="I15" i="23"/>
  <c r="B14" i="23"/>
  <c r="H15" i="23" l="1"/>
  <c r="D14" i="23"/>
  <c r="H14" i="23" l="1"/>
  <c r="D16" i="23"/>
  <c r="F14" i="90"/>
  <c r="D14" i="80"/>
  <c r="D15" i="80"/>
  <c r="D16" i="80"/>
  <c r="D17" i="80"/>
  <c r="D18" i="80"/>
  <c r="D19" i="80"/>
  <c r="D20" i="80"/>
  <c r="D21" i="80"/>
  <c r="D22" i="80"/>
  <c r="D13" i="80"/>
  <c r="R15" i="80" a="1"/>
  <c r="R16" i="80" a="1"/>
  <c r="R13" i="80" a="1"/>
  <c r="Q18" i="80" a="1"/>
  <c r="R17" i="80" a="1"/>
  <c r="Q22" i="80" a="1"/>
  <c r="Q17" i="80" a="1"/>
  <c r="R18" i="80" a="1"/>
  <c r="Q21" i="80" a="1"/>
  <c r="R22" i="80" a="1"/>
  <c r="Q16" i="80" a="1"/>
  <c r="R20" i="80" a="1"/>
  <c r="R19" i="80" a="1"/>
  <c r="Q19" i="80" a="1"/>
  <c r="R21" i="80" a="1"/>
  <c r="Q15" i="80" a="1"/>
  <c r="Q20" i="80" a="1"/>
  <c r="Q13" i="80" a="1"/>
  <c r="R14" i="80" a="1"/>
  <c r="Q14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R4" i="80" a="1"/>
  <c r="R7" i="80" a="1"/>
  <c r="R9" i="80" a="1"/>
  <c r="Q6" i="80" a="1"/>
  <c r="Q7" i="80" a="1"/>
  <c r="Q10" i="80" a="1"/>
  <c r="R8" i="80" a="1"/>
  <c r="R6" i="80" a="1"/>
  <c r="R12" i="80" a="1"/>
  <c r="Q4" i="80" a="1"/>
  <c r="R11" i="80" a="1"/>
  <c r="Q11" i="80" a="1"/>
  <c r="Q9" i="80" a="1"/>
  <c r="R10" i="80" a="1"/>
  <c r="Q8" i="80" a="1"/>
  <c r="Q12" i="80" a="1"/>
  <c r="D23" i="80" l="1"/>
  <c r="Q4" i="80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H54" i="91"/>
  <c r="F54" i="91"/>
  <c r="F53" i="91"/>
  <c r="J54" i="91" l="1"/>
  <c r="J53" i="91"/>
  <c r="L54" i="91"/>
  <c r="L53" i="91"/>
  <c r="H53" i="91"/>
  <c r="G9" i="90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30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9" i="23"/>
  <c r="H70" i="23"/>
  <c r="D69" i="23"/>
  <c r="D70" i="23"/>
  <c r="C62" i="23"/>
  <c r="C63" i="23"/>
  <c r="C64" i="23"/>
  <c r="C65" i="23"/>
  <c r="C66" i="23"/>
  <c r="C67" i="23"/>
  <c r="C68" i="23"/>
  <c r="C69" i="23"/>
  <c r="C70" i="23"/>
  <c r="C61" i="23"/>
  <c r="B62" i="23"/>
  <c r="B63" i="23"/>
  <c r="B64" i="23"/>
  <c r="B65" i="23"/>
  <c r="B66" i="23"/>
  <c r="B67" i="23"/>
  <c r="B68" i="23"/>
  <c r="B69" i="23"/>
  <c r="B70" i="23"/>
  <c r="B71" i="23"/>
  <c r="B61" i="23"/>
  <c r="A60" i="23"/>
  <c r="C9" i="10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E12" i="101"/>
  <c r="D12" i="101"/>
  <c r="C12" i="101"/>
  <c r="B12" i="101"/>
  <c r="N12" i="101" s="1"/>
  <c r="C6" i="101"/>
  <c r="B6" i="101"/>
  <c r="K39" i="23"/>
  <c r="M39" i="23" s="1"/>
  <c r="K40" i="23"/>
  <c r="M40" i="23" s="1"/>
  <c r="B9" i="90"/>
  <c r="C9" i="90"/>
  <c r="I42" i="23"/>
  <c r="I41" i="23"/>
  <c r="E42" i="23"/>
  <c r="I16" i="23" s="1"/>
  <c r="J16" i="23" s="1"/>
  <c r="E41" i="23"/>
  <c r="D71" i="23" l="1"/>
  <c r="V25" i="104"/>
  <c r="W25" i="104" s="1"/>
  <c r="V25" i="105"/>
  <c r="V24" i="104"/>
  <c r="Y24" i="104" s="1"/>
  <c r="V24" i="105"/>
  <c r="V25" i="102"/>
  <c r="W25" i="102" s="1"/>
  <c r="V25" i="103"/>
  <c r="V24" i="102"/>
  <c r="Y24" i="102" s="1"/>
  <c r="V24" i="103"/>
  <c r="H12" i="101"/>
  <c r="L12" i="101"/>
  <c r="M12" i="101" s="1"/>
  <c r="P12" i="101" s="1"/>
  <c r="Q12" i="101" s="1"/>
  <c r="H71" i="23"/>
  <c r="K71" i="23" s="1"/>
  <c r="M71" i="23" s="1"/>
  <c r="I43" i="23"/>
  <c r="K69" i="23"/>
  <c r="M69" i="23" s="1"/>
  <c r="K70" i="23"/>
  <c r="M70" i="23" s="1"/>
  <c r="V25" i="91"/>
  <c r="V24" i="91"/>
  <c r="O12" i="101"/>
  <c r="Y25" i="104" l="1"/>
  <c r="W24" i="104"/>
  <c r="Y24" i="105"/>
  <c r="W24" i="105"/>
  <c r="Y25" i="105"/>
  <c r="W25" i="105"/>
  <c r="Y25" i="102"/>
  <c r="W24" i="102"/>
  <c r="Y24" i="103"/>
  <c r="W24" i="103"/>
  <c r="Y25" i="103"/>
  <c r="W25" i="103"/>
  <c r="R12" i="101"/>
  <c r="B40" i="101" s="1"/>
  <c r="W24" i="91"/>
  <c r="Y24" i="91"/>
  <c r="W25" i="91"/>
  <c r="Y25" i="91"/>
  <c r="B26" i="101"/>
  <c r="B30" i="101" l="1"/>
  <c r="B35" i="101"/>
  <c r="B38" i="101"/>
  <c r="B34" i="101"/>
  <c r="B33" i="101"/>
  <c r="B39" i="101"/>
  <c r="B42" i="101"/>
  <c r="E9" i="101"/>
  <c r="F9" i="101" s="1"/>
  <c r="J40" i="23" s="1"/>
  <c r="I70" i="23" s="1"/>
  <c r="B24" i="101"/>
  <c r="B22" i="101"/>
  <c r="B28" i="101"/>
  <c r="C28" i="101" s="1"/>
  <c r="B37" i="101"/>
  <c r="C37" i="101" s="1"/>
  <c r="B29" i="101"/>
  <c r="B32" i="101"/>
  <c r="D32" i="101" s="1"/>
  <c r="B41" i="101"/>
  <c r="B23" i="101"/>
  <c r="D24" i="101" s="1"/>
  <c r="B27" i="101"/>
  <c r="C27" i="101" s="1"/>
  <c r="B36" i="101"/>
  <c r="B25" i="101"/>
  <c r="D25" i="101" s="1"/>
  <c r="H9" i="101"/>
  <c r="I9" i="101" s="1"/>
  <c r="J9" i="101" s="1"/>
  <c r="B31" i="101"/>
  <c r="D31" i="101" s="1"/>
  <c r="D33" i="101"/>
  <c r="C33" i="101"/>
  <c r="C24" i="101"/>
  <c r="D30" i="101"/>
  <c r="C30" i="101"/>
  <c r="C35" i="101"/>
  <c r="C26" i="101"/>
  <c r="D27" i="101"/>
  <c r="C29" i="101"/>
  <c r="C40" i="101"/>
  <c r="D40" i="101"/>
  <c r="C38" i="101"/>
  <c r="C39" i="101"/>
  <c r="C32" i="101"/>
  <c r="C31" i="101" l="1"/>
  <c r="D41" i="101"/>
  <c r="D28" i="101"/>
  <c r="D23" i="101"/>
  <c r="D42" i="101"/>
  <c r="C41" i="101"/>
  <c r="F40" i="23"/>
  <c r="E22" i="80" s="1"/>
  <c r="I22" i="80" s="1"/>
  <c r="D39" i="101"/>
  <c r="D34" i="101"/>
  <c r="C42" i="101"/>
  <c r="D37" i="101"/>
  <c r="C34" i="101"/>
  <c r="D38" i="101"/>
  <c r="C25" i="101"/>
  <c r="C23" i="101"/>
  <c r="D29" i="101"/>
  <c r="D35" i="101"/>
  <c r="D26" i="101"/>
  <c r="D36" i="101"/>
  <c r="C22" i="101"/>
  <c r="C36" i="101"/>
  <c r="D12" i="100"/>
  <c r="C12" i="100"/>
  <c r="B12" i="100"/>
  <c r="F70" i="23" l="1"/>
  <c r="L40" i="23"/>
  <c r="N40" i="23" s="1"/>
  <c r="H22" i="80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I30" i="23" l="1"/>
  <c r="G16" i="23"/>
  <c r="G15" i="23"/>
  <c r="E30" i="23"/>
  <c r="D60" i="23" s="1"/>
  <c r="G14" i="23" l="1"/>
  <c r="H60" i="23"/>
  <c r="K60" i="23" s="1"/>
  <c r="M60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61" i="23"/>
  <c r="H62" i="23"/>
  <c r="H63" i="23"/>
  <c r="H64" i="23"/>
  <c r="H65" i="23"/>
  <c r="H66" i="23"/>
  <c r="H67" i="23"/>
  <c r="H68" i="23"/>
  <c r="D61" i="23"/>
  <c r="D62" i="23"/>
  <c r="D63" i="23"/>
  <c r="D64" i="23"/>
  <c r="D65" i="23"/>
  <c r="D66" i="23"/>
  <c r="D67" i="23"/>
  <c r="D68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Q32" i="23"/>
  <c r="Q33" i="23"/>
  <c r="C9" i="96"/>
  <c r="C9" i="97"/>
  <c r="Q36" i="23"/>
  <c r="C9" i="99"/>
  <c r="Q38" i="23"/>
  <c r="P32" i="23"/>
  <c r="B9" i="95"/>
  <c r="P34" i="23"/>
  <c r="P35" i="23"/>
  <c r="P36" i="23"/>
  <c r="B9" i="99"/>
  <c r="P38" i="23"/>
  <c r="K29" i="23"/>
  <c r="M29" i="23" s="1"/>
  <c r="K31" i="23"/>
  <c r="K32" i="23"/>
  <c r="M32" i="23" s="1"/>
  <c r="K33" i="23"/>
  <c r="M33" i="23" s="1"/>
  <c r="K34" i="23"/>
  <c r="M34" i="23" s="1"/>
  <c r="K35" i="23"/>
  <c r="M35" i="23" s="1"/>
  <c r="K36" i="23"/>
  <c r="M36" i="23" s="1"/>
  <c r="K37" i="23"/>
  <c r="M37" i="23" s="1"/>
  <c r="K38" i="23"/>
  <c r="M38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V21" i="104" l="1"/>
  <c r="W21" i="104" s="1"/>
  <c r="V21" i="105"/>
  <c r="V17" i="104"/>
  <c r="W17" i="104" s="1"/>
  <c r="V17" i="105"/>
  <c r="V20" i="104"/>
  <c r="Y20" i="104" s="1"/>
  <c r="V20" i="105"/>
  <c r="V16" i="104"/>
  <c r="Y16" i="104" s="1"/>
  <c r="V16" i="105"/>
  <c r="V23" i="104"/>
  <c r="W23" i="104" s="1"/>
  <c r="V23" i="105"/>
  <c r="V19" i="104"/>
  <c r="Y19" i="104" s="1"/>
  <c r="V19" i="105"/>
  <c r="V22" i="104"/>
  <c r="Y22" i="104" s="1"/>
  <c r="V22" i="105"/>
  <c r="V18" i="104"/>
  <c r="W18" i="104" s="1"/>
  <c r="V18" i="105"/>
  <c r="Y21" i="104"/>
  <c r="V20" i="102"/>
  <c r="W20" i="102" s="1"/>
  <c r="V20" i="103"/>
  <c r="V21" i="102"/>
  <c r="W21" i="102" s="1"/>
  <c r="V21" i="103"/>
  <c r="V19" i="102"/>
  <c r="W19" i="102" s="1"/>
  <c r="V19" i="103"/>
  <c r="V18" i="102"/>
  <c r="W18" i="102" s="1"/>
  <c r="V18" i="103"/>
  <c r="V17" i="102"/>
  <c r="Y17" i="102" s="1"/>
  <c r="V17" i="103"/>
  <c r="V16" i="102"/>
  <c r="Y16" i="102" s="1"/>
  <c r="V16" i="103"/>
  <c r="V23" i="102"/>
  <c r="Y23" i="102" s="1"/>
  <c r="V23" i="103"/>
  <c r="V22" i="102"/>
  <c r="W22" i="102" s="1"/>
  <c r="V22" i="103"/>
  <c r="Y20" i="102"/>
  <c r="F50" i="80"/>
  <c r="C43" i="91"/>
  <c r="C27" i="91"/>
  <c r="G41" i="23"/>
  <c r="H41" i="23"/>
  <c r="K41" i="23"/>
  <c r="M41" i="23" s="1"/>
  <c r="P31" i="23"/>
  <c r="C9" i="93"/>
  <c r="M31" i="23"/>
  <c r="K68" i="23"/>
  <c r="M68" i="23" s="1"/>
  <c r="K64" i="23"/>
  <c r="M64" i="23" s="1"/>
  <c r="K67" i="23"/>
  <c r="M67" i="23" s="1"/>
  <c r="K63" i="23"/>
  <c r="M63" i="23" s="1"/>
  <c r="K66" i="23"/>
  <c r="M66" i="23" s="1"/>
  <c r="K62" i="23"/>
  <c r="M62" i="23" s="1"/>
  <c r="K65" i="23"/>
  <c r="M65" i="23" s="1"/>
  <c r="K61" i="23"/>
  <c r="M61" i="23" s="1"/>
  <c r="L12" i="96"/>
  <c r="M12" i="96" s="1"/>
  <c r="B9" i="93"/>
  <c r="L29" i="91"/>
  <c r="H29" i="91"/>
  <c r="P29" i="91"/>
  <c r="L12" i="93"/>
  <c r="M12" i="93" s="1"/>
  <c r="P12" i="93" s="1"/>
  <c r="L12" i="94"/>
  <c r="M12" i="94" s="1"/>
  <c r="P12" i="94" s="1"/>
  <c r="O12" i="93"/>
  <c r="O12" i="94"/>
  <c r="C9" i="94"/>
  <c r="V23" i="91"/>
  <c r="V19" i="91"/>
  <c r="Y19" i="91" s="1"/>
  <c r="V22" i="91"/>
  <c r="V18" i="91"/>
  <c r="V21" i="91"/>
  <c r="V17" i="91"/>
  <c r="V20" i="91"/>
  <c r="V16" i="91"/>
  <c r="Y16" i="91" s="1"/>
  <c r="E9" i="95"/>
  <c r="F9" i="95" s="1"/>
  <c r="J33" i="23" s="1"/>
  <c r="I63" i="23" s="1"/>
  <c r="E9" i="99"/>
  <c r="F9" i="99" s="1"/>
  <c r="J37" i="23" s="1"/>
  <c r="I67" i="23" s="1"/>
  <c r="B21" i="100"/>
  <c r="C21" i="100" s="1"/>
  <c r="B9" i="94"/>
  <c r="C9" i="95"/>
  <c r="H9" i="95"/>
  <c r="I9" i="95" s="1"/>
  <c r="F33" i="23" s="1"/>
  <c r="H9" i="97"/>
  <c r="I9" i="97" s="1"/>
  <c r="F35" i="23" s="1"/>
  <c r="B9" i="98"/>
  <c r="B21" i="99"/>
  <c r="C21" i="99" s="1"/>
  <c r="H9" i="100"/>
  <c r="I9" i="100" s="1"/>
  <c r="F38" i="23" s="1"/>
  <c r="O38" i="23" s="1"/>
  <c r="Q37" i="23"/>
  <c r="Q35" i="23"/>
  <c r="Q31" i="23"/>
  <c r="B21" i="95"/>
  <c r="B9" i="97"/>
  <c r="E9" i="98"/>
  <c r="F9" i="98" s="1"/>
  <c r="J36" i="23" s="1"/>
  <c r="I66" i="23" s="1"/>
  <c r="C9" i="98"/>
  <c r="B9" i="100"/>
  <c r="P37" i="23"/>
  <c r="P33" i="23"/>
  <c r="B22" i="100"/>
  <c r="C22" i="100" s="1"/>
  <c r="H12" i="94"/>
  <c r="B9" i="96"/>
  <c r="H9" i="98"/>
  <c r="I9" i="98" s="1"/>
  <c r="F36" i="23" s="1"/>
  <c r="B21" i="98"/>
  <c r="E9" i="100"/>
  <c r="F9" i="100" s="1"/>
  <c r="J38" i="23" s="1"/>
  <c r="I68" i="23" s="1"/>
  <c r="C9" i="100"/>
  <c r="Q34" i="23"/>
  <c r="B21" i="97"/>
  <c r="C21" i="97" s="1"/>
  <c r="E9" i="97"/>
  <c r="F9" i="97" s="1"/>
  <c r="J35" i="23" s="1"/>
  <c r="I65" i="23" s="1"/>
  <c r="A23" i="100"/>
  <c r="G12" i="100"/>
  <c r="H9" i="99"/>
  <c r="I9" i="99" s="1"/>
  <c r="F37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Y23" i="104" l="1"/>
  <c r="W20" i="104"/>
  <c r="Y17" i="104"/>
  <c r="W22" i="104"/>
  <c r="V27" i="104"/>
  <c r="W27" i="104" s="1"/>
  <c r="Y18" i="104"/>
  <c r="W19" i="104"/>
  <c r="W16" i="104"/>
  <c r="W18" i="105"/>
  <c r="Y18" i="105"/>
  <c r="W19" i="105"/>
  <c r="Y19" i="105"/>
  <c r="W16" i="105"/>
  <c r="V27" i="105"/>
  <c r="Y16" i="105"/>
  <c r="W17" i="105"/>
  <c r="Y17" i="105"/>
  <c r="W22" i="105"/>
  <c r="Y22" i="105"/>
  <c r="Y23" i="105"/>
  <c r="W23" i="105"/>
  <c r="Y20" i="105"/>
  <c r="W20" i="105"/>
  <c r="Y21" i="105"/>
  <c r="W21" i="105"/>
  <c r="W17" i="102"/>
  <c r="W23" i="102"/>
  <c r="Y19" i="102"/>
  <c r="Y21" i="102"/>
  <c r="W16" i="102"/>
  <c r="Y18" i="102"/>
  <c r="V27" i="102"/>
  <c r="W27" i="102" s="1"/>
  <c r="Y22" i="102"/>
  <c r="Y22" i="103"/>
  <c r="W22" i="103"/>
  <c r="W18" i="103"/>
  <c r="Y18" i="103"/>
  <c r="W23" i="103"/>
  <c r="Y23" i="103"/>
  <c r="W19" i="103"/>
  <c r="Y19" i="103"/>
  <c r="Y16" i="103"/>
  <c r="W16" i="103"/>
  <c r="V27" i="103"/>
  <c r="Y21" i="103"/>
  <c r="W21" i="103"/>
  <c r="Y17" i="103"/>
  <c r="W17" i="103"/>
  <c r="Y20" i="103"/>
  <c r="W20" i="103"/>
  <c r="W23" i="91"/>
  <c r="Y23" i="91"/>
  <c r="W18" i="91"/>
  <c r="Y18" i="91"/>
  <c r="W21" i="91"/>
  <c r="Y21" i="91"/>
  <c r="W20" i="91"/>
  <c r="Y20" i="91"/>
  <c r="W22" i="91"/>
  <c r="Y22" i="91"/>
  <c r="W17" i="91"/>
  <c r="Y17" i="91"/>
  <c r="W16" i="91"/>
  <c r="V27" i="91"/>
  <c r="C54" i="91"/>
  <c r="K54" i="91"/>
  <c r="R12" i="96"/>
  <c r="P12" i="96"/>
  <c r="Q12" i="96" s="1"/>
  <c r="O27" i="91"/>
  <c r="O54" i="91" s="1"/>
  <c r="G54" i="91"/>
  <c r="Q12" i="94"/>
  <c r="R12" i="94"/>
  <c r="R12" i="93"/>
  <c r="Q12" i="93"/>
  <c r="F66" i="23"/>
  <c r="E18" i="80"/>
  <c r="I18" i="80" s="1"/>
  <c r="F53" i="80" s="1"/>
  <c r="O35" i="23"/>
  <c r="F65" i="23"/>
  <c r="E17" i="80"/>
  <c r="I17" i="80" s="1"/>
  <c r="F49" i="80" s="1"/>
  <c r="E19" i="80"/>
  <c r="I19" i="80" s="1"/>
  <c r="F56" i="80" s="1"/>
  <c r="F67" i="23"/>
  <c r="E20" i="80"/>
  <c r="I20" i="80" s="1"/>
  <c r="F48" i="80" s="1"/>
  <c r="F68" i="23"/>
  <c r="E15" i="80"/>
  <c r="I15" i="80" s="1"/>
  <c r="F51" i="80" s="1"/>
  <c r="F63" i="23"/>
  <c r="W19" i="91"/>
  <c r="L33" i="23"/>
  <c r="N33" i="23" s="1"/>
  <c r="L38" i="23"/>
  <c r="N38" i="23" s="1"/>
  <c r="L35" i="23"/>
  <c r="N35" i="23" s="1"/>
  <c r="O33" i="23"/>
  <c r="L37" i="23"/>
  <c r="N37" i="23" s="1"/>
  <c r="O37" i="23"/>
  <c r="O36" i="23"/>
  <c r="L36" i="23"/>
  <c r="N36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Y27" i="104" l="1"/>
  <c r="U27" i="104"/>
  <c r="Y27" i="105"/>
  <c r="U27" i="105"/>
  <c r="W27" i="105"/>
  <c r="H9" i="94"/>
  <c r="I9" i="94" s="1"/>
  <c r="B31" i="94"/>
  <c r="B41" i="94"/>
  <c r="C41" i="94" s="1"/>
  <c r="B28" i="94"/>
  <c r="C28" i="94" s="1"/>
  <c r="B34" i="94"/>
  <c r="B25" i="94"/>
  <c r="W27" i="103"/>
  <c r="Y27" i="103"/>
  <c r="B41" i="96"/>
  <c r="W27" i="91"/>
  <c r="Y27" i="91"/>
  <c r="B45" i="94"/>
  <c r="B43" i="94"/>
  <c r="B29" i="94"/>
  <c r="B44" i="94"/>
  <c r="B36" i="94"/>
  <c r="C36" i="94" s="1"/>
  <c r="B38" i="94"/>
  <c r="B22" i="94"/>
  <c r="C22" i="94" s="1"/>
  <c r="B35" i="94"/>
  <c r="B47" i="94"/>
  <c r="B32" i="94"/>
  <c r="D32" i="94" s="1"/>
  <c r="B33" i="94"/>
  <c r="C33" i="94" s="1"/>
  <c r="B46" i="94"/>
  <c r="B26" i="94"/>
  <c r="C26" i="94" s="1"/>
  <c r="B42" i="94"/>
  <c r="C42" i="94" s="1"/>
  <c r="B23" i="94"/>
  <c r="D23" i="94" s="1"/>
  <c r="B39" i="94"/>
  <c r="C39" i="94" s="1"/>
  <c r="B40" i="94"/>
  <c r="B37" i="94"/>
  <c r="B24" i="94"/>
  <c r="D24" i="94" s="1"/>
  <c r="B30" i="94"/>
  <c r="C30" i="94" s="1"/>
  <c r="E9" i="94"/>
  <c r="F9" i="94" s="1"/>
  <c r="J32" i="23" s="1"/>
  <c r="I62" i="23" s="1"/>
  <c r="B27" i="94"/>
  <c r="B37" i="93"/>
  <c r="C37" i="93" s="1"/>
  <c r="B23" i="96"/>
  <c r="B39" i="96"/>
  <c r="C39" i="96" s="1"/>
  <c r="H9" i="96"/>
  <c r="I9" i="96" s="1"/>
  <c r="J9" i="96" s="1"/>
  <c r="B31" i="96"/>
  <c r="E9" i="96"/>
  <c r="F9" i="96" s="1"/>
  <c r="J34" i="23" s="1"/>
  <c r="I64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B27" i="96"/>
  <c r="B26" i="96"/>
  <c r="C26" i="96" s="1"/>
  <c r="B32" i="96"/>
  <c r="C32" i="96" s="1"/>
  <c r="B34" i="96"/>
  <c r="C34" i="96" s="1"/>
  <c r="B33" i="96"/>
  <c r="B22" i="96"/>
  <c r="C22" i="96" s="1"/>
  <c r="B35" i="96"/>
  <c r="B24" i="96"/>
  <c r="C24" i="96" s="1"/>
  <c r="B40" i="96"/>
  <c r="B25" i="96"/>
  <c r="B23" i="93"/>
  <c r="C23" i="93" s="1"/>
  <c r="B24" i="93"/>
  <c r="C24" i="93" s="1"/>
  <c r="B26" i="93"/>
  <c r="C26" i="93" s="1"/>
  <c r="B41" i="93"/>
  <c r="B42" i="93"/>
  <c r="C42" i="93" s="1"/>
  <c r="B31" i="93"/>
  <c r="B28" i="93"/>
  <c r="C28" i="93" s="1"/>
  <c r="B34" i="93"/>
  <c r="C34" i="93" s="1"/>
  <c r="B30" i="93"/>
  <c r="H9" i="93"/>
  <c r="I9" i="93" s="1"/>
  <c r="F31" i="23" s="1"/>
  <c r="B35" i="93"/>
  <c r="C35" i="93" s="1"/>
  <c r="B32" i="93"/>
  <c r="C32" i="93" s="1"/>
  <c r="B25" i="93"/>
  <c r="C25" i="93" s="1"/>
  <c r="B22" i="93"/>
  <c r="C22" i="93" s="1"/>
  <c r="B39" i="93"/>
  <c r="C39" i="93" s="1"/>
  <c r="B40" i="93"/>
  <c r="B33" i="93"/>
  <c r="C33" i="93" s="1"/>
  <c r="B29" i="93"/>
  <c r="C29" i="93" s="1"/>
  <c r="B27" i="93"/>
  <c r="D27" i="93" s="1"/>
  <c r="E9" i="93"/>
  <c r="F9" i="93" s="1"/>
  <c r="J31" i="23" s="1"/>
  <c r="B36" i="93"/>
  <c r="C36" i="93" s="1"/>
  <c r="B38" i="93"/>
  <c r="C38" i="93" s="1"/>
  <c r="H20" i="80"/>
  <c r="H15" i="80"/>
  <c r="H19" i="80"/>
  <c r="H18" i="80"/>
  <c r="H17" i="80"/>
  <c r="J9" i="94"/>
  <c r="F32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35" i="96"/>
  <c r="C41" i="96"/>
  <c r="B25" i="95"/>
  <c r="A26" i="95"/>
  <c r="C24" i="94"/>
  <c r="C25" i="94"/>
  <c r="C34" i="94"/>
  <c r="D34" i="94"/>
  <c r="C31" i="94"/>
  <c r="C23" i="94"/>
  <c r="C31" i="93"/>
  <c r="D31" i="94" l="1"/>
  <c r="D41" i="94"/>
  <c r="D28" i="94"/>
  <c r="D38" i="93"/>
  <c r="J9" i="93"/>
  <c r="D31" i="93"/>
  <c r="D29" i="94"/>
  <c r="D25" i="94"/>
  <c r="D25" i="93"/>
  <c r="C42" i="96"/>
  <c r="F34" i="23"/>
  <c r="E16" i="80" s="1"/>
  <c r="I16" i="80" s="1"/>
  <c r="F52" i="80" s="1"/>
  <c r="C29" i="94"/>
  <c r="C27" i="94"/>
  <c r="D35" i="94"/>
  <c r="D38" i="96"/>
  <c r="D39" i="93"/>
  <c r="D42" i="94"/>
  <c r="D24" i="96"/>
  <c r="C35" i="94"/>
  <c r="C23" i="96"/>
  <c r="D30" i="94"/>
  <c r="D40" i="93"/>
  <c r="D35" i="96"/>
  <c r="C40" i="94"/>
  <c r="D26" i="94"/>
  <c r="D30" i="93"/>
  <c r="D40" i="94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61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2" i="23"/>
  <c r="E14" i="80"/>
  <c r="I14" i="80" s="1"/>
  <c r="F54" i="80" s="1"/>
  <c r="F61" i="23"/>
  <c r="E13" i="80"/>
  <c r="I13" i="80" s="1"/>
  <c r="F47" i="80" s="1"/>
  <c r="F64" i="23"/>
  <c r="L34" i="23"/>
  <c r="N34" i="23" s="1"/>
  <c r="O34" i="23"/>
  <c r="L31" i="23"/>
  <c r="O31" i="23"/>
  <c r="L32" i="23"/>
  <c r="N32" i="23" s="1"/>
  <c r="O32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31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J20" i="80"/>
  <c r="B41" i="100" l="1"/>
  <c r="C41" i="100" s="1"/>
  <c r="A42" i="100"/>
  <c r="B42" i="100" s="1"/>
  <c r="D15" i="92" l="1"/>
  <c r="D14" i="92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61" i="91" s="1"/>
  <c r="J56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28" i="91"/>
  <c r="H55" i="91"/>
  <c r="F61" i="91" s="1"/>
  <c r="F56" i="91" s="1"/>
  <c r="G8" i="92"/>
  <c r="P55" i="91"/>
  <c r="N61" i="91" s="1"/>
  <c r="N56" i="91" s="1"/>
  <c r="G6" i="92"/>
  <c r="F13" i="92" s="1"/>
  <c r="B3" i="91"/>
  <c r="C34" i="91"/>
  <c r="C38" i="91"/>
  <c r="C36" i="91"/>
  <c r="C40" i="91"/>
  <c r="H42" i="23"/>
  <c r="A21" i="90"/>
  <c r="F12" i="90"/>
  <c r="G12" i="90"/>
  <c r="S28" i="91" l="1"/>
  <c r="S55" i="91" s="1"/>
  <c r="K28" i="91"/>
  <c r="K55" i="91" s="1"/>
  <c r="C53" i="91"/>
  <c r="K53" i="91"/>
  <c r="C8" i="92"/>
  <c r="K8" i="92" s="1"/>
  <c r="G53" i="91"/>
  <c r="O26" i="91"/>
  <c r="O53" i="91" s="1"/>
  <c r="O28" i="91"/>
  <c r="O55" i="91" s="1"/>
  <c r="H30" i="23"/>
  <c r="F14" i="92"/>
  <c r="C55" i="91"/>
  <c r="G28" i="91"/>
  <c r="G55" i="91" s="1"/>
  <c r="B21" i="90"/>
  <c r="C21" i="90" s="1"/>
  <c r="H9" i="90"/>
  <c r="I9" i="90" s="1"/>
  <c r="F39" i="23" s="1"/>
  <c r="E9" i="90"/>
  <c r="F9" i="90" s="1"/>
  <c r="J39" i="23" s="1"/>
  <c r="I69" i="23" s="1"/>
  <c r="A22" i="90"/>
  <c r="E8" i="92" l="1"/>
  <c r="E7" i="92"/>
  <c r="C7" i="92" s="1"/>
  <c r="C14" i="92" s="1"/>
  <c r="C15" i="92"/>
  <c r="E6" i="92"/>
  <c r="C6" i="92" s="1"/>
  <c r="C13" i="92" s="1"/>
  <c r="L8" i="92"/>
  <c r="F41" i="23"/>
  <c r="F71" i="23" s="1"/>
  <c r="F69" i="23"/>
  <c r="E21" i="80"/>
  <c r="I21" i="80" s="1"/>
  <c r="F55" i="80" s="1"/>
  <c r="L39" i="23"/>
  <c r="J41" i="23"/>
  <c r="B22" i="90"/>
  <c r="C22" i="90" s="1"/>
  <c r="A23" i="90"/>
  <c r="K7" i="92" l="1"/>
  <c r="I71" i="23"/>
  <c r="K6" i="92"/>
  <c r="E14" i="92"/>
  <c r="L7" i="92"/>
  <c r="L6" i="92"/>
  <c r="H21" i="80"/>
  <c r="L41" i="23"/>
  <c r="N41" i="23" s="1"/>
  <c r="N39" i="23"/>
  <c r="E13" i="92"/>
  <c r="I13" i="92" s="1"/>
  <c r="A24" i="90"/>
  <c r="B23" i="90"/>
  <c r="C23" i="90" s="1"/>
  <c r="H13" i="92" l="1"/>
  <c r="I14" i="92"/>
  <c r="H14" i="92"/>
  <c r="B24" i="90"/>
  <c r="C24" i="90" s="1"/>
  <c r="A25" i="90"/>
  <c r="B25" i="90" l="1"/>
  <c r="C25" i="90" s="1"/>
  <c r="A26" i="90"/>
  <c r="A27" i="90" l="1"/>
  <c r="B26" i="90"/>
  <c r="C26" i="90" s="1"/>
  <c r="A28" i="90" l="1"/>
  <c r="B27" i="90"/>
  <c r="C27" i="90" s="1"/>
  <c r="J21" i="80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2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42" i="23"/>
  <c r="B9" i="88"/>
  <c r="G30" i="23" l="1"/>
  <c r="P30" i="23" s="1"/>
  <c r="E9" i="88"/>
  <c r="F9" i="88" s="1"/>
  <c r="J26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6" i="23"/>
  <c r="O26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9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8" i="23" l="1"/>
  <c r="G14" i="101" s="1"/>
  <c r="G14" i="88" l="1"/>
  <c r="G14" i="93"/>
  <c r="E14" i="98"/>
  <c r="G14" i="94"/>
  <c r="G14" i="96"/>
  <c r="E14" i="95"/>
  <c r="F48" i="23"/>
  <c r="G48" i="23"/>
  <c r="H14" i="101" l="1"/>
  <c r="E14" i="90"/>
  <c r="J70" i="23"/>
  <c r="G70" i="23"/>
  <c r="J69" i="23"/>
  <c r="G71" i="23"/>
  <c r="G69" i="23"/>
  <c r="J71" i="23"/>
  <c r="L71" i="23" s="1"/>
  <c r="N71" i="23" s="1"/>
  <c r="J65" i="23"/>
  <c r="J66" i="23"/>
  <c r="J68" i="23"/>
  <c r="J67" i="23"/>
  <c r="J63" i="23"/>
  <c r="J64" i="23"/>
  <c r="J62" i="23"/>
  <c r="G68" i="23"/>
  <c r="D23" i="105" s="1"/>
  <c r="D50" i="105" s="1"/>
  <c r="G63" i="23"/>
  <c r="D18" i="105" s="1"/>
  <c r="D45" i="105" s="1"/>
  <c r="G66" i="23"/>
  <c r="D21" i="105" s="1"/>
  <c r="D48" i="105" s="1"/>
  <c r="G67" i="23"/>
  <c r="D22" i="105" s="1"/>
  <c r="D49" i="105" s="1"/>
  <c r="G65" i="23"/>
  <c r="D20" i="105" s="1"/>
  <c r="D47" i="105" s="1"/>
  <c r="J61" i="23"/>
  <c r="G64" i="23"/>
  <c r="D19" i="105" s="1"/>
  <c r="D46" i="105" s="1"/>
  <c r="G61" i="23"/>
  <c r="D16" i="105" s="1"/>
  <c r="G62" i="23"/>
  <c r="D17" i="105" s="1"/>
  <c r="D44" i="105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D25" i="105" l="1"/>
  <c r="D52" i="105" s="1"/>
  <c r="D25" i="102"/>
  <c r="D52" i="102" s="1"/>
  <c r="D25" i="103"/>
  <c r="D52" i="103" s="1"/>
  <c r="D25" i="104"/>
  <c r="D52" i="104" s="1"/>
  <c r="D25" i="91"/>
  <c r="D52" i="91" s="1"/>
  <c r="F22" i="80"/>
  <c r="G22" i="80" s="1"/>
  <c r="D43" i="105"/>
  <c r="D27" i="105"/>
  <c r="D54" i="105" s="1"/>
  <c r="D24" i="105"/>
  <c r="D51" i="105" s="1"/>
  <c r="D24" i="102"/>
  <c r="D51" i="102" s="1"/>
  <c r="D24" i="103"/>
  <c r="D51" i="103" s="1"/>
  <c r="D24" i="91"/>
  <c r="D51" i="91" s="1"/>
  <c r="F21" i="80"/>
  <c r="G21" i="80" s="1"/>
  <c r="D24" i="104"/>
  <c r="D51" i="104" s="1"/>
  <c r="X25" i="105"/>
  <c r="X25" i="104"/>
  <c r="X25" i="91"/>
  <c r="X25" i="102"/>
  <c r="X25" i="103"/>
  <c r="L70" i="23"/>
  <c r="N70" i="23" s="1"/>
  <c r="X24" i="103"/>
  <c r="X24" i="104"/>
  <c r="X24" i="91"/>
  <c r="X24" i="105"/>
  <c r="X24" i="102"/>
  <c r="L69" i="23"/>
  <c r="N69" i="23" s="1"/>
  <c r="E26" i="101"/>
  <c r="E32" i="101"/>
  <c r="E24" i="101"/>
  <c r="E39" i="101"/>
  <c r="E31" i="101"/>
  <c r="E33" i="101"/>
  <c r="E30" i="101"/>
  <c r="E35" i="101"/>
  <c r="E29" i="101"/>
  <c r="E40" i="101"/>
  <c r="E38" i="101"/>
  <c r="E41" i="101"/>
  <c r="E23" i="101"/>
  <c r="E37" i="101"/>
  <c r="E25" i="101"/>
  <c r="E34" i="101"/>
  <c r="E42" i="101"/>
  <c r="E22" i="101"/>
  <c r="E28" i="101"/>
  <c r="E36" i="101"/>
  <c r="E27" i="101"/>
  <c r="X22" i="104"/>
  <c r="X22" i="105"/>
  <c r="X19" i="104"/>
  <c r="X19" i="105"/>
  <c r="X21" i="104"/>
  <c r="X21" i="105"/>
  <c r="X17" i="104"/>
  <c r="X17" i="105"/>
  <c r="X23" i="104"/>
  <c r="X23" i="105"/>
  <c r="X16" i="104"/>
  <c r="X16" i="105"/>
  <c r="X18" i="104"/>
  <c r="X18" i="105"/>
  <c r="X20" i="104"/>
  <c r="X20" i="105"/>
  <c r="D17" i="103"/>
  <c r="D44" i="103" s="1"/>
  <c r="D17" i="104"/>
  <c r="D44" i="104" s="1"/>
  <c r="D16" i="103"/>
  <c r="D16" i="104"/>
  <c r="D43" i="104" s="1"/>
  <c r="D22" i="103"/>
  <c r="D49" i="103" s="1"/>
  <c r="D22" i="104"/>
  <c r="D49" i="104" s="1"/>
  <c r="D19" i="103"/>
  <c r="D46" i="103" s="1"/>
  <c r="D19" i="104"/>
  <c r="D46" i="104" s="1"/>
  <c r="D21" i="103"/>
  <c r="D48" i="103" s="1"/>
  <c r="D21" i="104"/>
  <c r="D48" i="104" s="1"/>
  <c r="D20" i="103"/>
  <c r="D47" i="103" s="1"/>
  <c r="D20" i="104"/>
  <c r="D47" i="104" s="1"/>
  <c r="D23" i="103"/>
  <c r="D50" i="103" s="1"/>
  <c r="D23" i="104"/>
  <c r="D50" i="104" s="1"/>
  <c r="D18" i="103"/>
  <c r="D45" i="103" s="1"/>
  <c r="D18" i="104"/>
  <c r="D43" i="103"/>
  <c r="X17" i="102"/>
  <c r="X17" i="103"/>
  <c r="X19" i="102"/>
  <c r="X19" i="103"/>
  <c r="X16" i="102"/>
  <c r="X16" i="103"/>
  <c r="X18" i="102"/>
  <c r="X18" i="103"/>
  <c r="X22" i="102"/>
  <c r="X22" i="103"/>
  <c r="X23" i="102"/>
  <c r="X23" i="103"/>
  <c r="X21" i="102"/>
  <c r="X21" i="103"/>
  <c r="X20" i="102"/>
  <c r="X20" i="103"/>
  <c r="F14" i="80"/>
  <c r="G14" i="80" s="1"/>
  <c r="D17" i="102"/>
  <c r="D44" i="102" s="1"/>
  <c r="F17" i="80"/>
  <c r="G17" i="80" s="1"/>
  <c r="D20" i="102"/>
  <c r="D47" i="102" s="1"/>
  <c r="F20" i="80"/>
  <c r="G20" i="80" s="1"/>
  <c r="D23" i="102"/>
  <c r="D50" i="102" s="1"/>
  <c r="F13" i="80"/>
  <c r="G13" i="80" s="1"/>
  <c r="D16" i="102"/>
  <c r="F19" i="80"/>
  <c r="G19" i="80" s="1"/>
  <c r="D22" i="102"/>
  <c r="D49" i="102" s="1"/>
  <c r="F16" i="80"/>
  <c r="G16" i="80" s="1"/>
  <c r="D19" i="102"/>
  <c r="D46" i="102" s="1"/>
  <c r="F18" i="80"/>
  <c r="G18" i="80" s="1"/>
  <c r="D21" i="102"/>
  <c r="D48" i="102" s="1"/>
  <c r="F15" i="80"/>
  <c r="D18" i="102"/>
  <c r="D45" i="102" s="1"/>
  <c r="D17" i="91"/>
  <c r="D44" i="91" s="1"/>
  <c r="D20" i="91"/>
  <c r="D47" i="91" s="1"/>
  <c r="D23" i="91"/>
  <c r="D50" i="91" s="1"/>
  <c r="X22" i="91"/>
  <c r="L67" i="23"/>
  <c r="N67" i="23" s="1"/>
  <c r="D16" i="91"/>
  <c r="D22" i="91"/>
  <c r="D49" i="91" s="1"/>
  <c r="X17" i="91"/>
  <c r="L62" i="23"/>
  <c r="N62" i="23" s="1"/>
  <c r="X23" i="91"/>
  <c r="L68" i="23"/>
  <c r="N68" i="23" s="1"/>
  <c r="D19" i="91"/>
  <c r="D46" i="91" s="1"/>
  <c r="D21" i="91"/>
  <c r="D48" i="91" s="1"/>
  <c r="X19" i="91"/>
  <c r="L64" i="23"/>
  <c r="N64" i="23" s="1"/>
  <c r="X21" i="91"/>
  <c r="L66" i="23"/>
  <c r="N66" i="23" s="1"/>
  <c r="X16" i="91"/>
  <c r="L61" i="23"/>
  <c r="N61" i="23" s="1"/>
  <c r="G15" i="80"/>
  <c r="D18" i="91"/>
  <c r="D45" i="91" s="1"/>
  <c r="X18" i="91"/>
  <c r="L63" i="23"/>
  <c r="N63" i="23" s="1"/>
  <c r="X20" i="91"/>
  <c r="L65" i="23"/>
  <c r="N65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3" i="23"/>
  <c r="J22" i="80"/>
  <c r="J13" i="80"/>
  <c r="J16" i="80"/>
  <c r="J18" i="80"/>
  <c r="J15" i="80"/>
  <c r="J14" i="80"/>
  <c r="U54" i="105" l="1"/>
  <c r="U55" i="105" s="1"/>
  <c r="T65" i="105"/>
  <c r="V54" i="105"/>
  <c r="V55" i="105" s="1"/>
  <c r="P65" i="105"/>
  <c r="C69" i="105"/>
  <c r="C60" i="105" s="1"/>
  <c r="L65" i="105"/>
  <c r="W54" i="105"/>
  <c r="W55" i="105" s="1"/>
  <c r="C67" i="105"/>
  <c r="C59" i="105" s="1"/>
  <c r="H65" i="105"/>
  <c r="C65" i="105"/>
  <c r="C58" i="105" s="1"/>
  <c r="X27" i="104"/>
  <c r="X27" i="105"/>
  <c r="D27" i="103"/>
  <c r="D54" i="103" s="1"/>
  <c r="D45" i="104"/>
  <c r="D27" i="104"/>
  <c r="D54" i="104" s="1"/>
  <c r="X27" i="103"/>
  <c r="X27" i="102"/>
  <c r="D27" i="102"/>
  <c r="D43" i="102"/>
  <c r="X27" i="91"/>
  <c r="D43" i="91"/>
  <c r="D27" i="91"/>
  <c r="F12" i="84"/>
  <c r="D9" i="84"/>
  <c r="G9" i="84"/>
  <c r="K25" i="23"/>
  <c r="M25" i="23" s="1"/>
  <c r="U27" i="103" l="1"/>
  <c r="P69" i="105"/>
  <c r="P70" i="105" s="1"/>
  <c r="P67" i="105"/>
  <c r="P68" i="105" s="1"/>
  <c r="P66" i="105"/>
  <c r="L69" i="105"/>
  <c r="L70" i="105" s="1"/>
  <c r="L66" i="105"/>
  <c r="L67" i="105"/>
  <c r="L68" i="105" s="1"/>
  <c r="T66" i="105"/>
  <c r="T69" i="105"/>
  <c r="T70" i="105" s="1"/>
  <c r="T67" i="105"/>
  <c r="T68" i="105" s="1"/>
  <c r="H69" i="105"/>
  <c r="H70" i="105" s="1"/>
  <c r="H66" i="105"/>
  <c r="H67" i="105"/>
  <c r="H68" i="105" s="1"/>
  <c r="T65" i="104"/>
  <c r="H65" i="104"/>
  <c r="P65" i="104"/>
  <c r="U54" i="104"/>
  <c r="U55" i="104" s="1"/>
  <c r="L65" i="104"/>
  <c r="C69" i="104"/>
  <c r="C60" i="104" s="1"/>
  <c r="V54" i="104"/>
  <c r="V55" i="104" s="1"/>
  <c r="C67" i="104"/>
  <c r="C59" i="104" s="1"/>
  <c r="C65" i="104"/>
  <c r="C58" i="104" s="1"/>
  <c r="W54" i="104"/>
  <c r="W55" i="104" s="1"/>
  <c r="V54" i="103"/>
  <c r="V55" i="103" s="1"/>
  <c r="W54" i="103"/>
  <c r="W55" i="103" s="1"/>
  <c r="T65" i="103"/>
  <c r="L65" i="103"/>
  <c r="C67" i="103"/>
  <c r="C59" i="103" s="1"/>
  <c r="C69" i="103"/>
  <c r="C60" i="103" s="1"/>
  <c r="C65" i="103"/>
  <c r="C58" i="103" s="1"/>
  <c r="U54" i="103"/>
  <c r="U55" i="103" s="1"/>
  <c r="H65" i="103"/>
  <c r="P65" i="103"/>
  <c r="Y27" i="102"/>
  <c r="D54" i="102"/>
  <c r="T65" i="102" s="1"/>
  <c r="U27" i="102"/>
  <c r="D54" i="91"/>
  <c r="U27" i="91"/>
  <c r="B9" i="84"/>
  <c r="P25" i="23"/>
  <c r="C9" i="84"/>
  <c r="Q25" i="23"/>
  <c r="A22" i="84"/>
  <c r="A23" i="84" s="1"/>
  <c r="A21" i="84"/>
  <c r="F14" i="84"/>
  <c r="E14" i="84"/>
  <c r="H9" i="84"/>
  <c r="P69" i="104" l="1"/>
  <c r="P70" i="104" s="1"/>
  <c r="P66" i="104"/>
  <c r="P67" i="104"/>
  <c r="P68" i="104" s="1"/>
  <c r="H66" i="104"/>
  <c r="H69" i="104"/>
  <c r="H70" i="104" s="1"/>
  <c r="H67" i="104"/>
  <c r="H68" i="104" s="1"/>
  <c r="L66" i="104"/>
  <c r="L67" i="104"/>
  <c r="L68" i="104" s="1"/>
  <c r="L69" i="104"/>
  <c r="L70" i="104" s="1"/>
  <c r="T69" i="104"/>
  <c r="T70" i="104" s="1"/>
  <c r="T67" i="104"/>
  <c r="T68" i="104" s="1"/>
  <c r="T66" i="104"/>
  <c r="P66" i="103"/>
  <c r="P67" i="103"/>
  <c r="P68" i="103" s="1"/>
  <c r="P69" i="103"/>
  <c r="P70" i="103" s="1"/>
  <c r="L66" i="103"/>
  <c r="L67" i="103"/>
  <c r="L68" i="103" s="1"/>
  <c r="L69" i="103"/>
  <c r="L70" i="103" s="1"/>
  <c r="H66" i="103"/>
  <c r="H69" i="103"/>
  <c r="H70" i="103" s="1"/>
  <c r="H67" i="103"/>
  <c r="H68" i="103" s="1"/>
  <c r="T67" i="103"/>
  <c r="T68" i="103" s="1"/>
  <c r="T69" i="103"/>
  <c r="T70" i="103" s="1"/>
  <c r="T66" i="103"/>
  <c r="W54" i="91"/>
  <c r="W55" i="91" s="1"/>
  <c r="L65" i="91"/>
  <c r="H65" i="91"/>
  <c r="P65" i="91"/>
  <c r="T65" i="91"/>
  <c r="C65" i="91"/>
  <c r="C58" i="91" s="1"/>
  <c r="C69" i="91"/>
  <c r="C60" i="91" s="1"/>
  <c r="C67" i="91"/>
  <c r="C59" i="91" s="1"/>
  <c r="C69" i="102"/>
  <c r="C60" i="102" s="1"/>
  <c r="L65" i="102"/>
  <c r="C67" i="102"/>
  <c r="C59" i="102" s="1"/>
  <c r="P65" i="102"/>
  <c r="H65" i="102"/>
  <c r="C65" i="102"/>
  <c r="C58" i="102" s="1"/>
  <c r="W54" i="102"/>
  <c r="W55" i="102" s="1"/>
  <c r="U54" i="102"/>
  <c r="U55" i="102" s="1"/>
  <c r="V54" i="102"/>
  <c r="V55" i="102" s="1"/>
  <c r="V54" i="91"/>
  <c r="V55" i="91" s="1"/>
  <c r="U54" i="91"/>
  <c r="U55" i="91" s="1"/>
  <c r="I9" i="84"/>
  <c r="F25" i="23" s="1"/>
  <c r="B21" i="84"/>
  <c r="C21" i="84" s="1"/>
  <c r="E9" i="84"/>
  <c r="F9" i="84" s="1"/>
  <c r="J25" i="23" s="1"/>
  <c r="B23" i="84"/>
  <c r="C23" i="84" s="1"/>
  <c r="A24" i="84"/>
  <c r="B22" i="84"/>
  <c r="C22" i="84" s="1"/>
  <c r="P69" i="102" l="1"/>
  <c r="P70" i="102" s="1"/>
  <c r="P66" i="102"/>
  <c r="P67" i="102"/>
  <c r="P68" i="102" s="1"/>
  <c r="P66" i="91"/>
  <c r="P67" i="91"/>
  <c r="P68" i="91" s="1"/>
  <c r="P69" i="91"/>
  <c r="P70" i="91" s="1"/>
  <c r="H69" i="91"/>
  <c r="H70" i="91" s="1"/>
  <c r="H67" i="91"/>
  <c r="H68" i="91" s="1"/>
  <c r="H66" i="91"/>
  <c r="T69" i="102"/>
  <c r="T70" i="102" s="1"/>
  <c r="T66" i="102"/>
  <c r="T67" i="102"/>
  <c r="T68" i="102" s="1"/>
  <c r="L69" i="102"/>
  <c r="L70" i="102" s="1"/>
  <c r="L66" i="102"/>
  <c r="L67" i="102"/>
  <c r="L68" i="102" s="1"/>
  <c r="L66" i="91"/>
  <c r="L67" i="91"/>
  <c r="L68" i="91" s="1"/>
  <c r="L69" i="91"/>
  <c r="L70" i="91" s="1"/>
  <c r="H66" i="102"/>
  <c r="H67" i="102"/>
  <c r="H68" i="102" s="1"/>
  <c r="H69" i="102"/>
  <c r="H70" i="102" s="1"/>
  <c r="T66" i="91"/>
  <c r="T67" i="91"/>
  <c r="T68" i="91" s="1"/>
  <c r="T69" i="91"/>
  <c r="T70" i="91" s="1"/>
  <c r="E8" i="80"/>
  <c r="I8" i="80" s="1"/>
  <c r="O25" i="23"/>
  <c r="L25" i="23"/>
  <c r="N25" i="23" s="1"/>
  <c r="B24" i="84"/>
  <c r="C24" i="84" s="1"/>
  <c r="A25" i="84"/>
  <c r="I55" i="23"/>
  <c r="J55" i="23" s="1"/>
  <c r="H55" i="23"/>
  <c r="F55" i="23"/>
  <c r="G55" i="23" s="1"/>
  <c r="D55" i="23"/>
  <c r="C55" i="23"/>
  <c r="B55" i="23"/>
  <c r="B56" i="23"/>
  <c r="B57" i="23"/>
  <c r="B58" i="23"/>
  <c r="B59" i="23"/>
  <c r="V11" i="104" l="1"/>
  <c r="W11" i="104" s="1"/>
  <c r="V11" i="105"/>
  <c r="D11" i="104"/>
  <c r="D38" i="104" s="1"/>
  <c r="D11" i="105"/>
  <c r="D38" i="105" s="1"/>
  <c r="X11" i="104"/>
  <c r="X11" i="105"/>
  <c r="D11" i="102"/>
  <c r="D38" i="102" s="1"/>
  <c r="D11" i="103"/>
  <c r="D38" i="103" s="1"/>
  <c r="X11" i="102"/>
  <c r="X11" i="103"/>
  <c r="V11" i="102"/>
  <c r="W11" i="102" s="1"/>
  <c r="V11" i="103"/>
  <c r="D11" i="91"/>
  <c r="D38" i="91" s="1"/>
  <c r="F8" i="80"/>
  <c r="H8" i="80"/>
  <c r="Z11" i="89"/>
  <c r="AA11" i="89" s="1"/>
  <c r="V11" i="91"/>
  <c r="AB11" i="89"/>
  <c r="X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5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5" i="23"/>
  <c r="M55" i="23" s="1"/>
  <c r="L55" i="23"/>
  <c r="N55" i="23" s="1"/>
  <c r="Y11" i="104" l="1"/>
  <c r="W11" i="105"/>
  <c r="Y11" i="105"/>
  <c r="Y11" i="102"/>
  <c r="W11" i="103"/>
  <c r="Y11" i="103"/>
  <c r="W11" i="91"/>
  <c r="Y11" i="91"/>
  <c r="W26" i="79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3" i="23" s="1"/>
  <c r="O23" i="23" s="1"/>
  <c r="E9" i="82"/>
  <c r="F9" i="82" s="1"/>
  <c r="J23" i="23" s="1"/>
  <c r="G12" i="82"/>
  <c r="B21" i="82"/>
  <c r="C21" i="82" s="1"/>
  <c r="A24" i="82"/>
  <c r="B23" i="82"/>
  <c r="C23" i="82" s="1"/>
  <c r="B22" i="82"/>
  <c r="C22" i="82" s="1"/>
  <c r="F53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7" i="23" s="1"/>
  <c r="B21" i="77"/>
  <c r="C21" i="77" s="1"/>
  <c r="E9" i="77"/>
  <c r="F9" i="77" s="1"/>
  <c r="J27" i="23" s="1"/>
  <c r="B23" i="77"/>
  <c r="C23" i="77" s="1"/>
  <c r="A24" i="77"/>
  <c r="B22" i="77"/>
  <c r="C22" i="77" s="1"/>
  <c r="E10" i="80" l="1"/>
  <c r="I10" i="80" s="1"/>
  <c r="O27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9" i="23" s="1"/>
  <c r="E12" i="80" s="1"/>
  <c r="I12" i="80" s="1"/>
  <c r="A21" i="75"/>
  <c r="B21" i="75" s="1"/>
  <c r="C21" i="75" s="1"/>
  <c r="H9" i="75"/>
  <c r="I9" i="75" s="1"/>
  <c r="F28" i="23" s="1"/>
  <c r="E9" i="75"/>
  <c r="F9" i="75" s="1"/>
  <c r="J28" i="23" s="1"/>
  <c r="A21" i="74"/>
  <c r="A22" i="74" s="1"/>
  <c r="B22" i="74" s="1"/>
  <c r="C22" i="74" s="1"/>
  <c r="E9" i="74"/>
  <c r="F9" i="74" s="1"/>
  <c r="J29" i="23" s="1"/>
  <c r="L29" i="23" l="1"/>
  <c r="N29" i="23" s="1"/>
  <c r="H12" i="80"/>
  <c r="E11" i="80"/>
  <c r="I11" i="80" s="1"/>
  <c r="O28" i="23"/>
  <c r="O29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J12" i="80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2" i="23" l="1"/>
  <c r="C9" i="77" l="1"/>
  <c r="Q27" i="23"/>
  <c r="C6" i="48"/>
  <c r="B6" i="48"/>
  <c r="C6" i="59"/>
  <c r="B6" i="59"/>
  <c r="C6" i="50"/>
  <c r="B6" i="50"/>
  <c r="C6" i="51"/>
  <c r="B6" i="51"/>
  <c r="D59" i="23" l="1"/>
  <c r="H59" i="23"/>
  <c r="C53" i="23"/>
  <c r="D53" i="23"/>
  <c r="H53" i="23"/>
  <c r="C54" i="23"/>
  <c r="D54" i="23"/>
  <c r="H54" i="23"/>
  <c r="C56" i="23"/>
  <c r="D56" i="23"/>
  <c r="H56" i="23"/>
  <c r="C57" i="23"/>
  <c r="D57" i="23"/>
  <c r="H57" i="23"/>
  <c r="C58" i="23"/>
  <c r="D58" i="23"/>
  <c r="H58" i="23"/>
  <c r="V10" i="104" l="1"/>
  <c r="W10" i="104" s="1"/>
  <c r="V10" i="105"/>
  <c r="V12" i="104"/>
  <c r="Y12" i="104" s="1"/>
  <c r="V12" i="105"/>
  <c r="V13" i="104"/>
  <c r="Y13" i="104" s="1"/>
  <c r="V13" i="105"/>
  <c r="V15" i="104"/>
  <c r="Y15" i="104" s="1"/>
  <c r="V15" i="105"/>
  <c r="V14" i="104"/>
  <c r="W14" i="104" s="1"/>
  <c r="V14" i="105"/>
  <c r="V9" i="104"/>
  <c r="W9" i="104" s="1"/>
  <c r="V9" i="105"/>
  <c r="Y10" i="104"/>
  <c r="V9" i="102"/>
  <c r="Y9" i="102" s="1"/>
  <c r="V9" i="103"/>
  <c r="V12" i="102"/>
  <c r="Y12" i="102" s="1"/>
  <c r="V12" i="103"/>
  <c r="V10" i="102"/>
  <c r="W10" i="102" s="1"/>
  <c r="V10" i="103"/>
  <c r="V15" i="102"/>
  <c r="W15" i="102" s="1"/>
  <c r="V15" i="103"/>
  <c r="V13" i="102"/>
  <c r="W13" i="102" s="1"/>
  <c r="V13" i="103"/>
  <c r="V14" i="102"/>
  <c r="W14" i="102" s="1"/>
  <c r="V14" i="103"/>
  <c r="W9" i="102"/>
  <c r="Z10" i="89"/>
  <c r="AA10" i="89" s="1"/>
  <c r="V10" i="91"/>
  <c r="Z12" i="89"/>
  <c r="AA12" i="89" s="1"/>
  <c r="V12" i="91"/>
  <c r="Z13" i="89"/>
  <c r="AA13" i="89" s="1"/>
  <c r="V13" i="91"/>
  <c r="Z15" i="89"/>
  <c r="AA15" i="89" s="1"/>
  <c r="V15" i="91"/>
  <c r="Z14" i="89"/>
  <c r="AA14" i="89" s="1"/>
  <c r="V14" i="91"/>
  <c r="Z9" i="89"/>
  <c r="AA9" i="89" s="1"/>
  <c r="V9" i="9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6" i="23"/>
  <c r="M56" i="23" s="1"/>
  <c r="K59" i="23"/>
  <c r="M59" i="23" s="1"/>
  <c r="K58" i="23"/>
  <c r="M58" i="23" s="1"/>
  <c r="K54" i="23"/>
  <c r="M54" i="23" s="1"/>
  <c r="K57" i="23"/>
  <c r="M57" i="23" s="1"/>
  <c r="K53" i="23"/>
  <c r="M53" i="23" s="1"/>
  <c r="W15" i="104" l="1"/>
  <c r="Y14" i="104"/>
  <c r="W13" i="104"/>
  <c r="W12" i="104"/>
  <c r="Y9" i="104"/>
  <c r="Y12" i="105"/>
  <c r="W12" i="105"/>
  <c r="Y9" i="105"/>
  <c r="W9" i="105"/>
  <c r="Y15" i="105"/>
  <c r="W15" i="105"/>
  <c r="Y14" i="105"/>
  <c r="W14" i="105"/>
  <c r="Y13" i="105"/>
  <c r="W13" i="105"/>
  <c r="W10" i="105"/>
  <c r="Y10" i="105"/>
  <c r="Y13" i="102"/>
  <c r="Y10" i="102"/>
  <c r="Y14" i="102"/>
  <c r="W12" i="102"/>
  <c r="Y10" i="103"/>
  <c r="W10" i="103"/>
  <c r="Y15" i="102"/>
  <c r="W14" i="103"/>
  <c r="Y14" i="103"/>
  <c r="W12" i="103"/>
  <c r="Y12" i="103"/>
  <c r="Y15" i="103"/>
  <c r="W15" i="103"/>
  <c r="Y13" i="103"/>
  <c r="W13" i="103"/>
  <c r="Y9" i="103"/>
  <c r="W9" i="103"/>
  <c r="W9" i="91"/>
  <c r="Y9" i="91"/>
  <c r="W15" i="91"/>
  <c r="Y15" i="91"/>
  <c r="W14" i="91"/>
  <c r="Y14" i="91"/>
  <c r="W13" i="91"/>
  <c r="Y13" i="91"/>
  <c r="W10" i="91"/>
  <c r="Y10" i="91"/>
  <c r="W12" i="91"/>
  <c r="Y12" i="91"/>
  <c r="F24" i="79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3" i="23" l="1"/>
  <c r="M23" i="23" s="1"/>
  <c r="K24" i="23"/>
  <c r="M24" i="23" s="1"/>
  <c r="K26" i="23"/>
  <c r="M26" i="23" s="1"/>
  <c r="K27" i="23"/>
  <c r="M27" i="23" s="1"/>
  <c r="K28" i="23"/>
  <c r="M28" i="23" s="1"/>
  <c r="C9" i="82"/>
  <c r="C9" i="88"/>
  <c r="P29" i="23"/>
  <c r="Q29" i="23"/>
  <c r="P22" i="23"/>
  <c r="Q21" i="23"/>
  <c r="P21" i="23"/>
  <c r="G12" i="59"/>
  <c r="H12" i="59" s="1"/>
  <c r="N12" i="59"/>
  <c r="B9" i="82" l="1"/>
  <c r="P23" i="23"/>
  <c r="Q24" i="23"/>
  <c r="C9" i="59"/>
  <c r="P24" i="23"/>
  <c r="B9" i="59"/>
  <c r="P26" i="23"/>
  <c r="Q26" i="23"/>
  <c r="B9" i="77"/>
  <c r="P27" i="23"/>
  <c r="C9" i="75"/>
  <c r="Q28" i="23"/>
  <c r="B9" i="75"/>
  <c r="P28" i="23"/>
  <c r="B9" i="74"/>
  <c r="C9" i="74"/>
  <c r="L12" i="59"/>
  <c r="M12" i="59" s="1"/>
  <c r="O12" i="59"/>
  <c r="R12" i="59" l="1"/>
  <c r="P12" i="59"/>
  <c r="Q12" i="59" s="1"/>
  <c r="I58" i="23"/>
  <c r="I57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6" i="23" l="1"/>
  <c r="J24" i="23"/>
  <c r="I54" i="23" s="1"/>
  <c r="J54" i="23" s="1"/>
  <c r="J9" i="59"/>
  <c r="F24" i="23"/>
  <c r="D42" i="59"/>
  <c r="L27" i="23"/>
  <c r="N27" i="23" s="1"/>
  <c r="F57" i="23"/>
  <c r="L28" i="23"/>
  <c r="N28" i="23" s="1"/>
  <c r="F58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X10" i="104" l="1"/>
  <c r="X10" i="105"/>
  <c r="X10" i="102"/>
  <c r="X10" i="103"/>
  <c r="AB10" i="89"/>
  <c r="X10" i="91"/>
  <c r="E7" i="80"/>
  <c r="O24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4" i="23"/>
  <c r="N24" i="23" s="1"/>
  <c r="F54" i="23"/>
  <c r="F56" i="23"/>
  <c r="L26" i="23"/>
  <c r="N26" i="23" s="1"/>
  <c r="A59" i="23"/>
  <c r="A57" i="23"/>
  <c r="A58" i="23"/>
  <c r="A53" i="23"/>
  <c r="B53" i="23"/>
  <c r="A54" i="23"/>
  <c r="B54" i="23"/>
  <c r="A56" i="23"/>
  <c r="A10" i="91" l="1"/>
  <c r="A37" i="91" s="1"/>
  <c r="A10" i="105"/>
  <c r="A37" i="105" s="1"/>
  <c r="A10" i="104"/>
  <c r="A37" i="104" s="1"/>
  <c r="A10" i="103"/>
  <c r="A37" i="103" s="1"/>
  <c r="A10" i="102"/>
  <c r="A37" i="102" s="1"/>
  <c r="A15" i="91"/>
  <c r="A42" i="91" s="1"/>
  <c r="A15" i="105"/>
  <c r="A42" i="105" s="1"/>
  <c r="A15" i="104"/>
  <c r="A42" i="104" s="1"/>
  <c r="A15" i="103"/>
  <c r="A42" i="103" s="1"/>
  <c r="A15" i="102"/>
  <c r="A42" i="102" s="1"/>
  <c r="A9" i="91"/>
  <c r="A36" i="91" s="1"/>
  <c r="A9" i="105"/>
  <c r="A36" i="105" s="1"/>
  <c r="A9" i="104"/>
  <c r="A36" i="104" s="1"/>
  <c r="A9" i="103"/>
  <c r="A36" i="103" s="1"/>
  <c r="A9" i="102"/>
  <c r="A36" i="102" s="1"/>
  <c r="A13" i="91"/>
  <c r="A40" i="91" s="1"/>
  <c r="A13" i="105"/>
  <c r="A40" i="105" s="1"/>
  <c r="A13" i="104"/>
  <c r="A40" i="104" s="1"/>
  <c r="A13" i="103"/>
  <c r="A40" i="103" s="1"/>
  <c r="A13" i="102"/>
  <c r="A40" i="102" s="1"/>
  <c r="A12" i="91"/>
  <c r="A39" i="91" s="1"/>
  <c r="A12" i="105"/>
  <c r="A39" i="105" s="1"/>
  <c r="A12" i="104"/>
  <c r="A39" i="104" s="1"/>
  <c r="A12" i="103"/>
  <c r="A39" i="103" s="1"/>
  <c r="A12" i="102"/>
  <c r="A39" i="102" s="1"/>
  <c r="A14" i="91"/>
  <c r="A41" i="91" s="1"/>
  <c r="A14" i="105"/>
  <c r="A41" i="105" s="1"/>
  <c r="A14" i="104"/>
  <c r="A41" i="104" s="1"/>
  <c r="A14" i="103"/>
  <c r="A41" i="103" s="1"/>
  <c r="A14" i="102"/>
  <c r="A41" i="102" s="1"/>
  <c r="F32" i="80"/>
  <c r="I7" i="80"/>
  <c r="H7" i="80"/>
  <c r="F35" i="80"/>
  <c r="H52" i="23"/>
  <c r="H51" i="23"/>
  <c r="D52" i="23"/>
  <c r="B52" i="23"/>
  <c r="B51" i="23"/>
  <c r="A52" i="23"/>
  <c r="A51" i="23"/>
  <c r="A8" i="91" l="1"/>
  <c r="A35" i="91" s="1"/>
  <c r="A8" i="105"/>
  <c r="A35" i="105" s="1"/>
  <c r="A8" i="104"/>
  <c r="A35" i="104" s="1"/>
  <c r="A8" i="103"/>
  <c r="A35" i="103" s="1"/>
  <c r="A8" i="102"/>
  <c r="A35" i="102" s="1"/>
  <c r="A7" i="91"/>
  <c r="A34" i="91" s="1"/>
  <c r="A7" i="105"/>
  <c r="A34" i="105" s="1"/>
  <c r="A7" i="104"/>
  <c r="A34" i="104" s="1"/>
  <c r="A7" i="103"/>
  <c r="A34" i="103" s="1"/>
  <c r="A7" i="102"/>
  <c r="A34" i="102" s="1"/>
  <c r="V7" i="104"/>
  <c r="Y7" i="104" s="1"/>
  <c r="V7" i="105"/>
  <c r="V8" i="104"/>
  <c r="Y8" i="104" s="1"/>
  <c r="V8" i="105"/>
  <c r="W7" i="104"/>
  <c r="V8" i="102"/>
  <c r="W8" i="102" s="1"/>
  <c r="V8" i="103"/>
  <c r="V7" i="102"/>
  <c r="W7" i="102" s="1"/>
  <c r="V7" i="103"/>
  <c r="H72" i="23"/>
  <c r="Z7" i="89"/>
  <c r="AA7" i="89" s="1"/>
  <c r="V7" i="91"/>
  <c r="Y7" i="91" s="1"/>
  <c r="Z8" i="89"/>
  <c r="AA8" i="89" s="1"/>
  <c r="V8" i="9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2" i="23"/>
  <c r="M52" i="23" s="1"/>
  <c r="V28" i="104" l="1"/>
  <c r="W28" i="104" s="1"/>
  <c r="W8" i="104"/>
  <c r="V26" i="104"/>
  <c r="U26" i="104" s="1"/>
  <c r="Y8" i="105"/>
  <c r="W8" i="105"/>
  <c r="V26" i="105"/>
  <c r="Y7" i="105"/>
  <c r="W7" i="105"/>
  <c r="V28" i="105"/>
  <c r="W28" i="105" s="1"/>
  <c r="Y7" i="102"/>
  <c r="Y8" i="102"/>
  <c r="V26" i="102"/>
  <c r="W26" i="102" s="1"/>
  <c r="V28" i="102"/>
  <c r="W28" i="102" s="1"/>
  <c r="V26" i="103"/>
  <c r="Y7" i="103"/>
  <c r="W7" i="103"/>
  <c r="V28" i="103"/>
  <c r="W28" i="103" s="1"/>
  <c r="Y8" i="103"/>
  <c r="W8" i="103"/>
  <c r="W8" i="91"/>
  <c r="Y8" i="91"/>
  <c r="V26" i="91"/>
  <c r="V28" i="91"/>
  <c r="W28" i="91" s="1"/>
  <c r="W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7" i="23"/>
  <c r="J58" i="23"/>
  <c r="J56" i="23"/>
  <c r="G56" i="23"/>
  <c r="D12" i="105" s="1"/>
  <c r="D39" i="105" s="1"/>
  <c r="G57" i="23"/>
  <c r="G54" i="23"/>
  <c r="D10" i="105" s="1"/>
  <c r="D37" i="105" s="1"/>
  <c r="G58" i="23"/>
  <c r="H14" i="59"/>
  <c r="W26" i="104" l="1"/>
  <c r="Y26" i="104"/>
  <c r="Y26" i="105"/>
  <c r="U26" i="105"/>
  <c r="W26" i="105"/>
  <c r="X12" i="104"/>
  <c r="X12" i="105"/>
  <c r="X14" i="104"/>
  <c r="X14" i="105"/>
  <c r="D13" i="104"/>
  <c r="D40" i="104" s="1"/>
  <c r="D13" i="105"/>
  <c r="D40" i="105" s="1"/>
  <c r="X13" i="104"/>
  <c r="X13" i="105"/>
  <c r="D14" i="104"/>
  <c r="D41" i="104" s="1"/>
  <c r="D14" i="105"/>
  <c r="D41" i="105" s="1"/>
  <c r="D10" i="103"/>
  <c r="D37" i="103" s="1"/>
  <c r="D10" i="104"/>
  <c r="D37" i="104" s="1"/>
  <c r="D12" i="103"/>
  <c r="D39" i="103" s="1"/>
  <c r="D12" i="104"/>
  <c r="D39" i="104" s="1"/>
  <c r="D14" i="102"/>
  <c r="D41" i="102" s="1"/>
  <c r="D14" i="103"/>
  <c r="D41" i="103" s="1"/>
  <c r="D13" i="102"/>
  <c r="D40" i="102" s="1"/>
  <c r="D13" i="103"/>
  <c r="D40" i="103" s="1"/>
  <c r="X13" i="102"/>
  <c r="X13" i="103"/>
  <c r="X14" i="102"/>
  <c r="X14" i="103"/>
  <c r="X12" i="102"/>
  <c r="X12" i="103"/>
  <c r="Y26" i="103"/>
  <c r="W26" i="103"/>
  <c r="F9" i="80"/>
  <c r="G9" i="80" s="1"/>
  <c r="D12" i="102"/>
  <c r="D39" i="102" s="1"/>
  <c r="F7" i="80"/>
  <c r="G7" i="80" s="1"/>
  <c r="D10" i="102"/>
  <c r="D37" i="102" s="1"/>
  <c r="W26" i="91"/>
  <c r="Y26" i="91"/>
  <c r="D14" i="91"/>
  <c r="D41" i="91" s="1"/>
  <c r="F11" i="80"/>
  <c r="G11" i="80" s="1"/>
  <c r="D13" i="91"/>
  <c r="D40" i="91" s="1"/>
  <c r="F10" i="80"/>
  <c r="G10" i="80" s="1"/>
  <c r="P54" i="23"/>
  <c r="D10" i="91"/>
  <c r="D37" i="91" s="1"/>
  <c r="D12" i="91"/>
  <c r="D39" i="91" s="1"/>
  <c r="AB12" i="89"/>
  <c r="X12" i="91"/>
  <c r="AB13" i="89"/>
  <c r="X13" i="91"/>
  <c r="AB14" i="89"/>
  <c r="X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6" i="23"/>
  <c r="P58" i="23"/>
  <c r="P57" i="23"/>
  <c r="L28" i="79"/>
  <c r="H28" i="79"/>
  <c r="L27" i="79"/>
  <c r="X27" i="79"/>
  <c r="T27" i="79"/>
  <c r="V31" i="79"/>
  <c r="W16" i="79"/>
  <c r="W31" i="79" s="1"/>
  <c r="R31" i="79"/>
  <c r="S16" i="79"/>
  <c r="S31" i="79" s="1"/>
  <c r="D14" i="79"/>
  <c r="D29" i="79" s="1"/>
  <c r="A29" i="79" s="1"/>
  <c r="D13" i="79"/>
  <c r="D28" i="79" s="1"/>
  <c r="A28" i="79" s="1"/>
  <c r="D10" i="79"/>
  <c r="D25" i="79" s="1"/>
  <c r="A25" i="79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4" i="23"/>
  <c r="N54" i="23" s="1"/>
  <c r="L58" i="23"/>
  <c r="N58" i="23" s="1"/>
  <c r="L56" i="23"/>
  <c r="N56" i="23" s="1"/>
  <c r="L57" i="23"/>
  <c r="N57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9" i="23"/>
  <c r="F59" i="23"/>
  <c r="G59" i="23" s="1"/>
  <c r="D15" i="105" s="1"/>
  <c r="D42" i="105" s="1"/>
  <c r="J7" i="80"/>
  <c r="D15" i="103" l="1"/>
  <c r="D42" i="103" s="1"/>
  <c r="D15" i="104"/>
  <c r="D42" i="104" s="1"/>
  <c r="F12" i="80"/>
  <c r="G12" i="80" s="1"/>
  <c r="D15" i="102"/>
  <c r="D42" i="102" s="1"/>
  <c r="D15" i="91"/>
  <c r="D42" i="91" s="1"/>
  <c r="J59" i="23"/>
  <c r="X15" i="105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X15" i="103" l="1"/>
  <c r="X15" i="104"/>
  <c r="AB15" i="89"/>
  <c r="X15" i="102"/>
  <c r="I13" i="86"/>
  <c r="R13" i="86" s="1"/>
  <c r="E27" i="86"/>
  <c r="N27" i="86" s="1"/>
  <c r="I27" i="86"/>
  <c r="R27" i="86" s="1"/>
  <c r="E13" i="86"/>
  <c r="N13" i="86" s="1"/>
  <c r="L59" i="23"/>
  <c r="N59" i="23" s="1"/>
  <c r="G27" i="86"/>
  <c r="P27" i="86" s="1"/>
  <c r="P59" i="23"/>
  <c r="AB15" i="79"/>
  <c r="G13" i="86"/>
  <c r="P13" i="86" s="1"/>
  <c r="X15" i="91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21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3" i="23"/>
  <c r="I51" i="23"/>
  <c r="J9" i="48"/>
  <c r="J9" i="51"/>
  <c r="F21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D9" i="105" l="1"/>
  <c r="D36" i="105" s="1"/>
  <c r="K13" i="23"/>
  <c r="C3" i="105"/>
  <c r="D9" i="103"/>
  <c r="C3" i="103" s="1"/>
  <c r="D9" i="104"/>
  <c r="F6" i="80"/>
  <c r="G6" i="80" s="1"/>
  <c r="D9" i="102"/>
  <c r="A27" i="50"/>
  <c r="D9" i="91"/>
  <c r="E4" i="80"/>
  <c r="O21" i="23"/>
  <c r="F31" i="80"/>
  <c r="D9" i="79"/>
  <c r="L23" i="23"/>
  <c r="N23" i="23" s="1"/>
  <c r="I53" i="23"/>
  <c r="J53" i="23" s="1"/>
  <c r="F51" i="23"/>
  <c r="J51" i="23"/>
  <c r="D36" i="103" l="1"/>
  <c r="X7" i="104"/>
  <c r="X7" i="105"/>
  <c r="X9" i="104"/>
  <c r="X9" i="105"/>
  <c r="D36" i="104"/>
  <c r="C3" i="104"/>
  <c r="X9" i="102"/>
  <c r="X9" i="103"/>
  <c r="X7" i="102"/>
  <c r="X7" i="103"/>
  <c r="D36" i="102"/>
  <c r="C3" i="102"/>
  <c r="I4" i="80"/>
  <c r="F28" i="80" s="1"/>
  <c r="A28" i="50"/>
  <c r="H4" i="80"/>
  <c r="G51" i="23"/>
  <c r="C3" i="91"/>
  <c r="D36" i="91"/>
  <c r="AB9" i="89"/>
  <c r="X9" i="91"/>
  <c r="AB7" i="89"/>
  <c r="X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3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3" i="23"/>
  <c r="N53" i="23" s="1"/>
  <c r="D7" i="105" l="1"/>
  <c r="D7" i="103"/>
  <c r="D34" i="103" s="1"/>
  <c r="D7" i="104"/>
  <c r="D7" i="79"/>
  <c r="D22" i="79" s="1"/>
  <c r="A22" i="79" s="1"/>
  <c r="D7" i="102"/>
  <c r="D7" i="91"/>
  <c r="D34" i="91" s="1"/>
  <c r="F4" i="80"/>
  <c r="A29" i="50"/>
  <c r="P51" i="23"/>
  <c r="X22" i="79"/>
  <c r="H22" i="79"/>
  <c r="C9" i="51"/>
  <c r="B9" i="51"/>
  <c r="D34" i="105" l="1"/>
  <c r="D34" i="104"/>
  <c r="D34" i="102"/>
  <c r="A30" i="50"/>
  <c r="G4" i="80"/>
  <c r="B9" i="50"/>
  <c r="B9" i="48"/>
  <c r="C9" i="50"/>
  <c r="C9" i="48"/>
  <c r="A31" i="50" l="1"/>
  <c r="G14" i="51"/>
  <c r="D51" i="23"/>
  <c r="C49" i="23"/>
  <c r="C50" i="23"/>
  <c r="C51" i="23"/>
  <c r="D72" i="23" l="1"/>
  <c r="K11" i="23"/>
  <c r="A32" i="50"/>
  <c r="G14" i="50"/>
  <c r="K51" i="23"/>
  <c r="M51" i="23" s="1"/>
  <c r="A33" i="50" l="1"/>
  <c r="K72" i="23"/>
  <c r="M72" i="23" s="1"/>
  <c r="A34" i="50" l="1"/>
  <c r="K22" i="23"/>
  <c r="K21" i="23"/>
  <c r="A35" i="50" l="1"/>
  <c r="K42" i="23"/>
  <c r="M42" i="23" s="1"/>
  <c r="K30" i="23"/>
  <c r="M30" i="23" s="1"/>
  <c r="M22" i="23"/>
  <c r="M21" i="23"/>
  <c r="A36" i="50" l="1"/>
  <c r="L51" i="23"/>
  <c r="N51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21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3" i="5"/>
  <c r="B29" i="5"/>
  <c r="B45" i="5"/>
  <c r="B46" i="5"/>
  <c r="B34" i="5"/>
  <c r="B33" i="5"/>
  <c r="B37" i="5"/>
  <c r="B36" i="5"/>
  <c r="B47" i="5"/>
  <c r="B30" i="5"/>
  <c r="B38" i="5"/>
  <c r="B32" i="5"/>
  <c r="B31" i="5"/>
  <c r="B44" i="5"/>
  <c r="B28" i="5"/>
  <c r="E9" i="5"/>
  <c r="B41" i="5"/>
  <c r="B42" i="5"/>
  <c r="B27" i="5"/>
  <c r="B40" i="5"/>
  <c r="B35" i="5"/>
  <c r="B39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21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2" i="23" s="1"/>
  <c r="J42" i="23" s="1"/>
  <c r="B11" i="23" s="1"/>
  <c r="B39" i="50"/>
  <c r="B23" i="50"/>
  <c r="B30" i="50"/>
  <c r="B29" i="50"/>
  <c r="B32" i="50"/>
  <c r="B38" i="50"/>
  <c r="B35" i="50"/>
  <c r="B22" i="50"/>
  <c r="J30" i="23" l="1"/>
  <c r="E42" i="50"/>
  <c r="D42" i="50"/>
  <c r="C42" i="50"/>
  <c r="E22" i="50"/>
  <c r="C22" i="50"/>
  <c r="D29" i="50"/>
  <c r="E29" i="50"/>
  <c r="C29" i="50"/>
  <c r="I52" i="23"/>
  <c r="I72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2" i="23"/>
  <c r="F42" i="23" s="1"/>
  <c r="J9" i="50"/>
  <c r="J5" i="80"/>
  <c r="I60" i="23" l="1"/>
  <c r="J60" i="23" s="1"/>
  <c r="F30" i="23"/>
  <c r="F60" i="23" s="1"/>
  <c r="G60" i="23" s="1"/>
  <c r="O22" i="23"/>
  <c r="L22" i="23"/>
  <c r="L42" i="23" s="1"/>
  <c r="E5" i="80"/>
  <c r="E23" i="80" s="1"/>
  <c r="I23" i="80" s="1"/>
  <c r="F52" i="23"/>
  <c r="F72" i="23" s="1"/>
  <c r="J52" i="23"/>
  <c r="X8" i="104" l="1"/>
  <c r="X28" i="104" s="1"/>
  <c r="X29" i="104" s="1"/>
  <c r="X8" i="105"/>
  <c r="X8" i="102"/>
  <c r="X26" i="102" s="1"/>
  <c r="X8" i="103"/>
  <c r="L60" i="23"/>
  <c r="N60" i="23" s="1"/>
  <c r="J72" i="23"/>
  <c r="M17" i="23" s="1"/>
  <c r="I5" i="80"/>
  <c r="N42" i="23"/>
  <c r="L30" i="23"/>
  <c r="N30" i="23" s="1"/>
  <c r="N22" i="23"/>
  <c r="AB8" i="89"/>
  <c r="AB16" i="89" s="1"/>
  <c r="X8" i="9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2" i="23"/>
  <c r="F34" i="80"/>
  <c r="D8" i="104" l="1"/>
  <c r="K12" i="23"/>
  <c r="D8" i="105"/>
  <c r="X26" i="104"/>
  <c r="X26" i="105"/>
  <c r="X28" i="105"/>
  <c r="X29" i="105" s="1"/>
  <c r="D35" i="104"/>
  <c r="D26" i="104"/>
  <c r="D53" i="104" s="1"/>
  <c r="D28" i="104"/>
  <c r="D29" i="104" s="1"/>
  <c r="D8" i="102"/>
  <c r="D35" i="102" s="1"/>
  <c r="D8" i="103"/>
  <c r="X28" i="102"/>
  <c r="X29" i="102" s="1"/>
  <c r="X26" i="103"/>
  <c r="X28" i="103"/>
  <c r="X29" i="103" s="1"/>
  <c r="X28" i="91"/>
  <c r="X29" i="91" s="1"/>
  <c r="X26" i="91"/>
  <c r="F5" i="80"/>
  <c r="F23" i="80" s="1"/>
  <c r="G72" i="23"/>
  <c r="D8" i="91"/>
  <c r="P52" i="23"/>
  <c r="X23" i="79"/>
  <c r="X16" i="79"/>
  <c r="L52" i="23"/>
  <c r="N52" i="23" s="1"/>
  <c r="D8" i="79"/>
  <c r="H16" i="79"/>
  <c r="L16" i="79"/>
  <c r="P16" i="79"/>
  <c r="T16" i="79"/>
  <c r="D26" i="102" l="1"/>
  <c r="D35" i="105"/>
  <c r="D28" i="105"/>
  <c r="D26" i="105"/>
  <c r="D53" i="105" s="1"/>
  <c r="D55" i="104"/>
  <c r="D30" i="104"/>
  <c r="T63" i="104"/>
  <c r="T64" i="104" s="1"/>
  <c r="H63" i="104"/>
  <c r="H64" i="104" s="1"/>
  <c r="L63" i="104"/>
  <c r="L64" i="104" s="1"/>
  <c r="W53" i="104"/>
  <c r="C63" i="104"/>
  <c r="C57" i="104" s="1"/>
  <c r="P63" i="104"/>
  <c r="P64" i="104" s="1"/>
  <c r="U53" i="104"/>
  <c r="V53" i="104"/>
  <c r="D28" i="102"/>
  <c r="D29" i="102" s="1"/>
  <c r="D35" i="103"/>
  <c r="D26" i="103"/>
  <c r="D28" i="103"/>
  <c r="D53" i="102"/>
  <c r="U26" i="102"/>
  <c r="Y26" i="102"/>
  <c r="D28" i="91"/>
  <c r="D30" i="91" s="1"/>
  <c r="D26" i="91"/>
  <c r="G5" i="80"/>
  <c r="D35" i="91"/>
  <c r="D23" i="79"/>
  <c r="A23" i="79" s="1"/>
  <c r="D16" i="79"/>
  <c r="L72" i="23"/>
  <c r="N72" i="23" s="1"/>
  <c r="L17" i="23"/>
  <c r="L31" i="79"/>
  <c r="G9" i="78"/>
  <c r="K9" i="78" s="1"/>
  <c r="T31" i="79"/>
  <c r="G7" i="78"/>
  <c r="G6" i="78"/>
  <c r="X31" i="79"/>
  <c r="P31" i="79"/>
  <c r="G10" i="78"/>
  <c r="H31" i="79"/>
  <c r="G8" i="78"/>
  <c r="V53" i="105" l="1"/>
  <c r="C63" i="105"/>
  <c r="C57" i="105" s="1"/>
  <c r="U53" i="105"/>
  <c r="L63" i="105"/>
  <c r="L64" i="105" s="1"/>
  <c r="P63" i="105"/>
  <c r="P64" i="105" s="1"/>
  <c r="H63" i="105"/>
  <c r="H64" i="105" s="1"/>
  <c r="W53" i="105"/>
  <c r="T63" i="105"/>
  <c r="T64" i="105" s="1"/>
  <c r="D30" i="105"/>
  <c r="D55" i="105"/>
  <c r="D29" i="105"/>
  <c r="D30" i="102"/>
  <c r="D55" i="102"/>
  <c r="T61" i="102" s="1"/>
  <c r="T62" i="102" s="1"/>
  <c r="P61" i="104"/>
  <c r="P62" i="104" s="1"/>
  <c r="T61" i="104"/>
  <c r="T62" i="104" s="1"/>
  <c r="C61" i="104"/>
  <c r="C56" i="104" s="1"/>
  <c r="H61" i="104"/>
  <c r="H62" i="104" s="1"/>
  <c r="L61" i="104"/>
  <c r="L62" i="104" s="1"/>
  <c r="D30" i="103"/>
  <c r="D55" i="103"/>
  <c r="D29" i="103"/>
  <c r="D53" i="103"/>
  <c r="U26" i="103"/>
  <c r="P63" i="102"/>
  <c r="P64" i="102" s="1"/>
  <c r="H63" i="102"/>
  <c r="H64" i="102" s="1"/>
  <c r="T63" i="102"/>
  <c r="T64" i="102" s="1"/>
  <c r="L63" i="102"/>
  <c r="L64" i="102" s="1"/>
  <c r="C63" i="102"/>
  <c r="C57" i="102" s="1"/>
  <c r="L61" i="102"/>
  <c r="L62" i="102" s="1"/>
  <c r="H61" i="102"/>
  <c r="H62" i="102" s="1"/>
  <c r="C61" i="102"/>
  <c r="C56" i="102" s="1"/>
  <c r="P61" i="102"/>
  <c r="P62" i="102" s="1"/>
  <c r="W53" i="102"/>
  <c r="U53" i="102"/>
  <c r="V53" i="102"/>
  <c r="D29" i="91"/>
  <c r="D53" i="91"/>
  <c r="U26" i="91"/>
  <c r="F8" i="92"/>
  <c r="D55" i="91"/>
  <c r="T61" i="91" s="1"/>
  <c r="T62" i="91" s="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L61" i="105" l="1"/>
  <c r="L62" i="105" s="1"/>
  <c r="C61" i="105"/>
  <c r="C56" i="105" s="1"/>
  <c r="T61" i="105"/>
  <c r="T62" i="105" s="1"/>
  <c r="P61" i="105"/>
  <c r="P62" i="105" s="1"/>
  <c r="H61" i="105"/>
  <c r="H62" i="105" s="1"/>
  <c r="W53" i="103"/>
  <c r="V53" i="103"/>
  <c r="H63" i="103"/>
  <c r="H64" i="103" s="1"/>
  <c r="L63" i="103"/>
  <c r="L64" i="103" s="1"/>
  <c r="T63" i="103"/>
  <c r="T64" i="103" s="1"/>
  <c r="P63" i="103"/>
  <c r="P64" i="103" s="1"/>
  <c r="C63" i="103"/>
  <c r="C57" i="103" s="1"/>
  <c r="U53" i="103"/>
  <c r="L61" i="103"/>
  <c r="L62" i="103" s="1"/>
  <c r="H61" i="103"/>
  <c r="H62" i="103" s="1"/>
  <c r="C61" i="103"/>
  <c r="C56" i="103" s="1"/>
  <c r="T61" i="103"/>
  <c r="T62" i="103" s="1"/>
  <c r="P61" i="103"/>
  <c r="P62" i="103" s="1"/>
  <c r="W53" i="91"/>
  <c r="L63" i="91"/>
  <c r="L64" i="91" s="1"/>
  <c r="T63" i="91"/>
  <c r="T64" i="91" s="1"/>
  <c r="H63" i="91"/>
  <c r="H64" i="91" s="1"/>
  <c r="P63" i="91"/>
  <c r="P64" i="91" s="1"/>
  <c r="C63" i="91"/>
  <c r="C57" i="91" s="1"/>
  <c r="V53" i="91"/>
  <c r="U53" i="91"/>
  <c r="C61" i="91"/>
  <c r="C56" i="91" s="1"/>
  <c r="L61" i="91"/>
  <c r="L62" i="91" s="1"/>
  <c r="P61" i="91"/>
  <c r="P62" i="91" s="1"/>
  <c r="H61" i="91"/>
  <c r="H62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<sst xmlns="http://schemas.openxmlformats.org/spreadsheetml/2006/main" count="2440" uniqueCount="453">
  <si>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</si>
  <si>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</si>
  <si>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</si>
  <si>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</si>
  <si>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</si>
  <si>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</si>
  <si>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</si>
  <si>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</si>
  <si>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</si>
  <si>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</si>
  <si>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</si>
  <si>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</si>
  <si>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</si>
  <si>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</si>
  <si>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</si>
  <si>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</si>
  <si>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</si>
  <si>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</si>
  <si>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</si>
  <si>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</si>
  <si>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</si>
  <si>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</si>
  <si>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</si>
  <si>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</si>
  <si>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</si>
  <si>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</si>
  <si>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</si>
  <si>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</si>
  <si>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</si>
  <si>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</si>
  <si>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</si>
  <si>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</si>
  <si>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</si>
  <si>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</si>
  <si>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</si>
  <si>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</si>
  <si>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</si>
  <si>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</si>
  <si>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</si>
  <si>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</si>
  <si>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</si>
  <si>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</si>
  <si>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</si>
  <si>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</si>
  <si>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</si>
  <si>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</si>
  <si>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</si>
  <si>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</si>
  <si>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</si>
  <si>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</si>
  <si>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</si>
  <si>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</si>
  <si>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</si>
  <si>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</si>
  <si>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</si>
  <si>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</si>
  <si>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</si>
  <si>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</si>
  <si>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</si>
  <si>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</si>
  <si>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</si>
  <si>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</si>
  <si>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</si>
  <si>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</si>
  <si>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</si>
  <si>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</si>
  <si>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</si>
  <si>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</si>
  <si>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</si>
  <si>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</si>
  <si>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</si>
  <si>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</si>
  <si>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</si>
  <si>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</si>
  <si>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</si>
  <si>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</si>
  <si>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</si>
  <si>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</si>
  <si>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</si>
  <si>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</si>
  <si>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</si>
  <si>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</si>
  <si>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</si>
  <si>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</si>
  <si>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</si>
  <si>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</si>
  <si>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</si>
  <si>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</si>
  <si>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</si>
  <si>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</si>
  <si>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</si>
  <si>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</si>
  <si>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</si>
  <si>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</si>
  <si>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</si>
  <si>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</si>
  <si>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</si>
  <si>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</si>
  <si>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</si>
  <si>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</si>
  <si>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</si>
  <si>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</si>
  <si>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</si>
  <si>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</si>
  <si>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</si>
  <si>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</si>
  <si>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</si>
  <si>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</si>
  <si>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</si>
  <si>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</si>
  <si>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</si>
  <si>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</si>
  <si>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</si>
  <si>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</si>
  <si>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</si>
  <si>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</si>
  <si>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</si>
  <si>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</si>
  <si>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</si>
  <si>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</si>
  <si>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</si>
  <si>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</si>
  <si>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</si>
  <si>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</si>
  <si>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</si>
  <si>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</si>
  <si>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</si>
  <si>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</si>
  <si>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</si>
  <si>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</si>
  <si>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</si>
  <si>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</si>
  <si>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</si>
  <si>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</si>
  <si>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</si>
  <si>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</si>
  <si>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</si>
  <si>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</si>
  <si>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</si>
  <si>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</si>
  <si>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</si>
  <si>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</si>
  <si>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</si>
  <si>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</si>
  <si>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</si>
  <si>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</si>
  <si>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</si>
  <si>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</si>
  <si>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</si>
  <si>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</si>
  <si>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</si>
  <si>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</si>
  <si>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</si>
  <si>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</si>
  <si>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</si>
  <si>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</si>
  <si>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</si>
  <si>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</si>
  <si>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</si>
  <si>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</si>
  <si>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</si>
  <si>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</si>
  <si>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</si>
  <si>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</si>
  <si>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</si>
  <si>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</si>
  <si>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</si>
  <si>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</si>
  <si>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</si>
  <si>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</si>
  <si>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</si>
  <si>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</si>
  <si>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</si>
  <si>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</si>
  <si>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</si>
  <si>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</si>
  <si>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</si>
  <si>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</si>
  <si>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</si>
  <si>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</si>
  <si>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</si>
  <si>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</si>
  <si>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</si>
  <si>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</si>
  <si>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</si>
  <si>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</si>
  <si>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</si>
  <si>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</si>
  <si>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</si>
  <si>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</si>
  <si>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</si>
  <si>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</si>
  <si>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</si>
  <si>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</si>
  <si>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</si>
  <si>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</si>
  <si>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</si>
  <si>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</si>
  <si>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</si>
  <si>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</si>
  <si>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</si>
  <si>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</si>
  <si>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</si>
  <si>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</si>
  <si>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</si>
  <si>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</si>
  <si>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</si>
  <si>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</si>
  <si>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</si>
  <si>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</si>
  <si>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</si>
  <si>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</si>
  <si>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</si>
  <si>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</si>
  <si>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</si>
  <si>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</si>
  <si>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</si>
  <si>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</si>
  <si>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</si>
  <si>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</si>
  <si>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</si>
  <si>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</si>
  <si>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</si>
  <si>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</si>
  <si>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</si>
  <si>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</si>
  <si>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</si>
  <si>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</si>
  <si>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</si>
  <si>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</si>
  <si>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</si>
  <si>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</si>
  <si>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</si>
  <si>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</si>
  <si>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</si>
  <si>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</si>
  <si>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</si>
  <si>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</si>
  <si>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</si>
  <si>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</si>
  <si>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</si>
  <si>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</si>
  <si>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</si>
  <si>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</si>
  <si>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</si>
  <si>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</si>
  <si>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</si>
  <si>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</si>
  <si>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</si>
  <si>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</si>
  <si>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</si>
  <si>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</si>
  <si>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</si>
  <si>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</si>
  <si>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</si>
  <si>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</si>
  <si>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</si>
  <si>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</si>
  <si>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</si>
  <si>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</si>
  <si>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</si>
  <si>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</si>
  <si>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</si>
  <si>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</si>
  <si>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</si>
  <si>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</si>
  <si>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</si>
  <si>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</si>
  <si>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</si>
  <si>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</si>
  <si>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</si>
  <si>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</si>
  <si>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</si>
  <si>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</si>
  <si>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</si>
  <si>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</si>
  <si>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</si>
  <si>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</si>
  <si>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</si>
  <si>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</si>
  <si>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</si>
  <si>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</si>
  <si>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</si>
  <si>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</si>
  <si>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</si>
  <si>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</si>
  <si>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</si>
  <si>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</si>
  <si>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</si>
  <si>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</si>
  <si>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</si>
  <si>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</si>
  <si>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</si>
  <si>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</si>
  <si>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</si>
  <si>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</si>
  <si>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</si>
  <si>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</si>
  <si>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</si>
  <si>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</si>
  <si>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</si>
  <si>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</si>
  <si>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</si>
  <si>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</si>
  <si>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</si>
  <si>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</si>
  <si>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</si>
  <si>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Δ Pre-tax Revenue w.r.t 2023 Current baseline</t>
  </si>
  <si>
    <t>Current 2023 Baseline</t>
  </si>
  <si>
    <t>2023 adol Projected Promotion Efficiency</t>
  </si>
  <si>
    <t>Current Optimal ($92MM)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</si>
  <si>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</si>
  <si>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</si>
  <si>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</si>
  <si>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</si>
  <si>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</si>
  <si>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</si>
  <si>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</si>
  <si>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</si>
  <si>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</si>
  <si>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</si>
  <si>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</si>
  <si>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</si>
  <si>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</si>
  <si>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</si>
  <si>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</si>
  <si>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</si>
  <si>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</si>
  <si>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</si>
  <si>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</si>
  <si>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</si>
  <si>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</si>
  <si>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</si>
  <si>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</si>
  <si>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</si>
  <si>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</si>
  <si>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</si>
  <si>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-50% / +200%</t>
  </si>
  <si>
    <t>Indication</t>
  </si>
  <si>
    <t>In-Scope Promotion</t>
  </si>
  <si>
    <t>Gardasil : HCC In Office, HCP MCM, HCC Digital, TV &amp; HCC Print.</t>
  </si>
  <si>
    <t>2024 Current Baseline ($MM)</t>
  </si>
  <si>
    <t>BASE Case: Vary promotion type spend using custom constraints and global spend by + or - 20%.</t>
  </si>
  <si>
    <t>Current optimal Overall vs Individual</t>
  </si>
  <si>
    <t>10M increase Overall vs Individual</t>
  </si>
  <si>
    <t>20M increase Overall vs Individual</t>
  </si>
  <si>
    <t xml:space="preserve">10M increase in total budget </t>
  </si>
  <si>
    <t>+$7(1%)</t>
  </si>
  <si>
    <t>Adol Constraints</t>
  </si>
  <si>
    <t>Adult Constraints</t>
  </si>
  <si>
    <t>Optimal channel spend allowed to vary based on custom constraints of the 2024 channel spend</t>
  </si>
  <si>
    <t>20M increase in total budget ( Global Max 130%)</t>
  </si>
  <si>
    <t>20M increase in total budget ( Global Max 140%)</t>
  </si>
  <si>
    <t>10M increase in total budget ( Global Max 120%)</t>
  </si>
  <si>
    <t>10M increase in total budget ( Global Max 130%)</t>
  </si>
  <si>
    <t>20M increase in total budget (10M increase in adult and adolescent in each)</t>
  </si>
  <si>
    <t>Δ Pre-tax Revenue w.r.t 2024 Current baseline</t>
  </si>
  <si>
    <t>Δ Adolescents Pre-tax Revenue w.r.t 2024 Current baseline</t>
  </si>
  <si>
    <t>Δ Pre-tax Adult Revenue w.r.t 2024 Current baseline</t>
  </si>
  <si>
    <t>Δ  Pre-tax Adult Projected Revenue w.r.t 2024 Current baseline</t>
  </si>
  <si>
    <t>Δ  Pre-tax Adult Revenue w.r.t 2024 Current baseline (Total doses)</t>
  </si>
  <si>
    <t>+$71(14%)</t>
  </si>
  <si>
    <t>+$76(15%)</t>
  </si>
  <si>
    <t>+$84(16%)</t>
  </si>
  <si>
    <t>+$7(1.4%)</t>
  </si>
  <si>
    <t>+$1(0.5%)</t>
  </si>
  <si>
    <t>+$6(2.6%)</t>
  </si>
  <si>
    <t>+$7(2.6%)</t>
  </si>
  <si>
    <t>+$5(2.6%)</t>
  </si>
  <si>
    <t>+$47(16%)</t>
  </si>
  <si>
    <t>+$24(11%)</t>
  </si>
  <si>
    <t>+$30(11%)</t>
  </si>
  <si>
    <t>+$19(11%)</t>
  </si>
  <si>
    <t>+$54(19%)</t>
  </si>
  <si>
    <t>+$21(10%)</t>
  </si>
  <si>
    <t>+$27(10%)</t>
  </si>
  <si>
    <t>+$17(10%)</t>
  </si>
  <si>
    <t>+$68(23%)</t>
  </si>
  <si>
    <t>+$16(7%)</t>
  </si>
  <si>
    <t>+$20(7%)</t>
  </si>
  <si>
    <t>+$13(7%)</t>
  </si>
  <si>
    <t>+$44(9%)</t>
  </si>
  <si>
    <t>+$26(9%)</t>
  </si>
  <si>
    <t>+$17(8%)</t>
  </si>
  <si>
    <t>+$21(8%)</t>
  </si>
  <si>
    <t>+$14(8%)</t>
  </si>
  <si>
    <t>+$51(10%)</t>
  </si>
  <si>
    <t>+$39(13%)</t>
  </si>
  <si>
    <t>+$12(5%)</t>
  </si>
  <si>
    <t>+$15(5%)</t>
  </si>
  <si>
    <t>+$9(5%)</t>
  </si>
  <si>
    <t>+$54(11%)</t>
  </si>
  <si>
    <t>+$0(0%)</t>
  </si>
  <si>
    <t>Note: 1.Removed media cost from Adult and Adol budget 2. Adol TV spend corrected</t>
  </si>
  <si>
    <t>Removed Agency Fees; 
Corrected Adol TV Spend; increased max spend constraint by % for Adult HCP MCM and Adult HCC Radio</t>
  </si>
  <si>
    <t>Removed Agency Fees; 
Corrected Adol TV Spend; lowered Adult spend to $74MM</t>
  </si>
  <si>
    <t>2023 Spend (MM)</t>
  </si>
  <si>
    <t>2024 Budget Breakout</t>
  </si>
  <si>
    <t>Min Budget</t>
  </si>
  <si>
    <t xml:space="preserve">Max Budget </t>
  </si>
  <si>
    <t>HCC In-office</t>
  </si>
  <si>
    <t xml:space="preserve">Gardasil Adolescents Total </t>
  </si>
  <si>
    <t xml:space="preserve">Gardasil Adults Total </t>
  </si>
  <si>
    <t>Case 1_Scenario 1</t>
  </si>
  <si>
    <t>Case 1_Scenario 2</t>
  </si>
  <si>
    <t>Case 2_Scenario 1</t>
  </si>
  <si>
    <t>Case 2_Scenario 2</t>
  </si>
  <si>
    <t>Gardasil Adolescents HCC In Office</t>
  </si>
  <si>
    <t>Gardasil Adolescents HCP MCM</t>
  </si>
  <si>
    <t>Gardasil Adolescents HCC Social</t>
  </si>
  <si>
    <t>Gardasil Adolescents HCC Online Video</t>
  </si>
  <si>
    <t>Gardasil Adolescents HCC Streaming Video</t>
  </si>
  <si>
    <t>Gardasil Adolescents HCC Display</t>
  </si>
  <si>
    <t>Gardasil Adolescents HCC Paid Search</t>
  </si>
  <si>
    <t>Gardasil Adolescents HCC Audio</t>
  </si>
  <si>
    <t>Gardasil Adolescents HCC TV</t>
  </si>
  <si>
    <t>Gardasil Adults HCC InOffice</t>
  </si>
  <si>
    <t>Gardasil Adults HCP MCM</t>
  </si>
  <si>
    <t>Gardasil Adults HCC Social</t>
  </si>
  <si>
    <t>Gardasil Adults HCC Online Video</t>
  </si>
  <si>
    <t>Gardasil Adults HCC Streaming Video</t>
  </si>
  <si>
    <t>Gardasil Adults HCC Display</t>
  </si>
  <si>
    <t>Gardasil Adults HCC Paid Search</t>
  </si>
  <si>
    <t>Gardasil Adults HCC Linear TV</t>
  </si>
  <si>
    <t>Gardasil Adults HCC Radio</t>
  </si>
  <si>
    <t>Gardasil Adults HCC Pharmacy</t>
  </si>
  <si>
    <t>Note3: GREEN cells will refresh based on dropdown selection provided at cell E8</t>
  </si>
  <si>
    <t>40M increase in total budget (Adol/Adult split: $20MM/$20MM)</t>
  </si>
  <si>
    <t>40M increase in total budget (Adol/Adult split: $24MM/$16MM)</t>
  </si>
  <si>
    <t>+$16(3.3%)</t>
  </si>
  <si>
    <t>+$9(3.3%)</t>
  </si>
  <si>
    <t>+$7(3.3%)</t>
  </si>
  <si>
    <t>+$6(3.3%)</t>
  </si>
  <si>
    <t>+$80(28%)</t>
  </si>
  <si>
    <t>+$37(17%)</t>
  </si>
  <si>
    <t>+$90(32%)</t>
  </si>
  <si>
    <t>+$91(32%)</t>
  </si>
  <si>
    <t>Max limit is 145M</t>
  </si>
  <si>
    <t>+$122(24%)</t>
  </si>
  <si>
    <t>+$42(19%)</t>
  </si>
  <si>
    <t>+$52(19%)</t>
  </si>
  <si>
    <t>+$34(19%)</t>
  </si>
  <si>
    <t>+$128(26%)</t>
  </si>
  <si>
    <t>+$46(17%)</t>
  </si>
  <si>
    <t>+$29(17%)</t>
  </si>
  <si>
    <t>+$115(23%)</t>
  </si>
  <si>
    <t>+$35(16%)</t>
  </si>
  <si>
    <t>+$43(16%)</t>
  </si>
  <si>
    <t>+$28(16%)</t>
  </si>
  <si>
    <t>+$24(14%)</t>
  </si>
  <si>
    <t>+$37(14%)</t>
  </si>
  <si>
    <t>+$30(14%)</t>
  </si>
  <si>
    <t>+$120(24%)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</si>
</sst>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5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00B05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9.5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70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5" fillId="0" borderId="0" xfId="0" applyFont="1"/>
    <xf numFmtId="9" fontId="45" fillId="0" borderId="84" xfId="3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1" fillId="0" borderId="0" xfId="4" applyNumberFormat="1" applyFont="1" applyBorder="1"/>
    <xf numFmtId="5" fontId="1" fillId="2" borderId="2" xfId="4" applyNumberFormat="1" applyFont="1" applyFill="1" applyBorder="1" applyAlignment="1">
      <alignment horizontal="center"/>
    </xf>
    <xf numFmtId="166" fontId="0" fillId="43" borderId="0" xfId="4" applyNumberFormat="1" applyFont="1" applyFill="1" applyAlignment="1">
      <alignment horizontal="center"/>
    </xf>
    <xf numFmtId="3" fontId="1" fillId="0" borderId="0" xfId="0" applyNumberFormat="1" applyFont="1"/>
    <xf numFmtId="166" fontId="0" fillId="0" borderId="47" xfId="0" applyNumberFormat="1" applyBorder="1"/>
    <xf numFmtId="166" fontId="0" fillId="0" borderId="40" xfId="0" applyNumberFormat="1" applyBorder="1"/>
    <xf numFmtId="166" fontId="0" fillId="0" borderId="25" xfId="0" applyNumberFormat="1" applyBorder="1"/>
    <xf numFmtId="166" fontId="0" fillId="0" borderId="12" xfId="0" applyNumberFormat="1" applyBorder="1"/>
    <xf numFmtId="166" fontId="0" fillId="0" borderId="37" xfId="0" applyNumberFormat="1" applyBorder="1"/>
    <xf numFmtId="166" fontId="0" fillId="0" borderId="32" xfId="0" applyNumberFormat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26" fillId="0" borderId="0" xfId="0" applyFont="1" applyFill="1" applyAlignment="1">
      <alignment horizontal="center" vertical="center"/>
    </xf>
    <xf numFmtId="3" fontId="0" fillId="0" borderId="0" xfId="0" applyNumberFormat="1"/>
    <xf numFmtId="168" fontId="0" fillId="0" borderId="0" xfId="0" applyNumberFormat="1"/>
    <xf numFmtId="6" fontId="1" fillId="0" borderId="0" xfId="0" applyNumberFormat="1" applyFont="1"/>
    <xf numFmtId="164" fontId="1" fillId="0" borderId="10" xfId="0" applyNumberFormat="1" applyFont="1" applyFill="1" applyBorder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166" fontId="28" fillId="48" borderId="0" xfId="4" applyNumberFormat="1" applyFont="1" applyFill="1" applyBorder="1" applyAlignment="1">
      <alignment horizontal="center" vertical="center" wrapText="1"/>
    </xf>
    <xf numFmtId="0" fontId="44" fillId="48" borderId="88" xfId="0" applyFont="1" applyFill="1" applyBorder="1" applyAlignment="1">
      <alignment horizontal="left" vertical="center" wrapText="1" indent="1"/>
    </xf>
    <xf numFmtId="170" fontId="44" fillId="48" borderId="89" xfId="0" applyNumberFormat="1" applyFont="1" applyFill="1" applyBorder="1" applyAlignment="1">
      <alignment horizontal="center" vertical="center"/>
    </xf>
    <xf numFmtId="166" fontId="44" fillId="48" borderId="90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70" fontId="44" fillId="48" borderId="91" xfId="4" applyNumberFormat="1" applyFont="1" applyFill="1" applyBorder="1" applyAlignment="1">
      <alignment horizontal="center" vertical="center" wrapText="1"/>
    </xf>
    <xf numFmtId="166" fontId="44" fillId="48" borderId="93" xfId="4" applyNumberFormat="1" applyFont="1" applyFill="1" applyBorder="1" applyAlignment="1">
      <alignment horizontal="center" vertical="center" wrapText="1"/>
    </xf>
    <xf numFmtId="166" fontId="44" fillId="48" borderId="0" xfId="4" applyNumberFormat="1" applyFont="1" applyFill="1" applyBorder="1" applyAlignment="1">
      <alignment horizontal="center" vertical="center" wrapText="1"/>
    </xf>
    <xf numFmtId="166" fontId="44" fillId="48" borderId="89" xfId="0" applyNumberFormat="1" applyFont="1" applyFill="1" applyBorder="1" applyAlignment="1">
      <alignment horizontal="center" vertical="center"/>
    </xf>
    <xf numFmtId="166" fontId="44" fillId="48" borderId="91" xfId="4" applyNumberFormat="1" applyFont="1" applyFill="1" applyBorder="1" applyAlignment="1">
      <alignment horizontal="center" vertical="center" wrapText="1"/>
    </xf>
    <xf numFmtId="9" fontId="44" fillId="48" borderId="92" xfId="3" applyFont="1" applyFill="1" applyBorder="1" applyAlignment="1">
      <alignment horizontal="center" vertical="center"/>
    </xf>
    <xf numFmtId="170" fontId="44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166" fontId="47" fillId="48" borderId="0" xfId="4" quotePrefix="1" applyNumberFormat="1" applyFont="1" applyFill="1" applyBorder="1" applyAlignment="1">
      <alignment horizontal="center" vertical="center" wrapText="1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0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5" fillId="0" borderId="70" xfId="0" applyFont="1" applyBorder="1" applyAlignment="1">
      <alignment horizontal="left" vertical="center" wrapText="1" indent="1"/>
    </xf>
    <xf numFmtId="0" fontId="45" fillId="0" borderId="70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78" xfId="0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4" fillId="0" borderId="0" xfId="0" applyFont="1"/>
    <xf numFmtId="0" fontId="49" fillId="0" borderId="0" xfId="0" applyFont="1" applyFill="1" applyAlignment="1">
      <alignment horizontal="center"/>
    </xf>
    <xf numFmtId="0" fontId="49" fillId="47" borderId="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170" fontId="50" fillId="48" borderId="91" xfId="4" applyNumberFormat="1" applyFont="1" applyFill="1" applyBorder="1" applyAlignment="1">
      <alignment horizontal="center" vertical="center" wrapText="1"/>
    </xf>
    <xf numFmtId="166" fontId="50" fillId="48" borderId="93" xfId="4" applyNumberFormat="1" applyFont="1" applyFill="1" applyBorder="1" applyAlignment="1">
      <alignment horizontal="center" vertical="center" wrapText="1"/>
    </xf>
    <xf numFmtId="9" fontId="50" fillId="48" borderId="92" xfId="3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170" fontId="51" fillId="0" borderId="82" xfId="4" applyNumberFormat="1" applyFont="1" applyBorder="1" applyAlignment="1">
      <alignment horizontal="center" vertical="center"/>
    </xf>
    <xf numFmtId="9" fontId="51" fillId="0" borderId="80" xfId="3" applyFont="1" applyBorder="1" applyAlignment="1">
      <alignment horizontal="center" vertical="center"/>
    </xf>
    <xf numFmtId="170" fontId="51" fillId="0" borderId="83" xfId="4" applyNumberFormat="1" applyFont="1" applyBorder="1" applyAlignment="1">
      <alignment horizontal="center" vertical="center"/>
    </xf>
    <xf numFmtId="170" fontId="51" fillId="0" borderId="86" xfId="4" applyNumberFormat="1" applyFont="1" applyBorder="1" applyAlignment="1">
      <alignment horizontal="center" vertical="center"/>
    </xf>
    <xf numFmtId="170" fontId="51" fillId="0" borderId="87" xfId="4" applyNumberFormat="1" applyFont="1" applyBorder="1" applyAlignment="1">
      <alignment horizontal="center" vertical="center"/>
    </xf>
    <xf numFmtId="170" fontId="50" fillId="48" borderId="93" xfId="4" applyNumberFormat="1" applyFont="1" applyFill="1" applyBorder="1" applyAlignment="1">
      <alignment horizontal="center" vertical="center" wrapText="1"/>
    </xf>
    <xf numFmtId="166" fontId="51" fillId="0" borderId="83" xfId="4" applyNumberFormat="1" applyFont="1" applyBorder="1" applyAlignment="1">
      <alignment horizontal="center" vertical="center"/>
    </xf>
    <xf numFmtId="166" fontId="51" fillId="0" borderId="87" xfId="4" applyNumberFormat="1" applyFont="1" applyBorder="1" applyAlignment="1">
      <alignment horizontal="center" vertical="center"/>
    </xf>
    <xf numFmtId="6" fontId="52" fillId="0" borderId="2" xfId="0" applyNumberFormat="1" applyFont="1" applyBorder="1" applyAlignment="1">
      <alignment horizontal="center" vertical="center" readingOrder="1"/>
    </xf>
    <xf numFmtId="0" fontId="52" fillId="0" borderId="2" xfId="0" applyFont="1" applyBorder="1" applyAlignment="1">
      <alignment horizontal="left" vertical="center" readingOrder="1"/>
    </xf>
    <xf numFmtId="0" fontId="45" fillId="0" borderId="2" xfId="0" applyFont="1" applyFill="1" applyBorder="1" applyAlignment="1">
      <alignment horizontal="left"/>
    </xf>
    <xf numFmtId="0" fontId="45" fillId="0" borderId="2" xfId="0" applyFont="1" applyBorder="1" applyAlignment="1">
      <alignment horizontal="left"/>
    </xf>
    <xf numFmtId="0" fontId="42" fillId="0" borderId="2" xfId="0" applyFont="1" applyBorder="1"/>
    <xf numFmtId="0" fontId="53" fillId="7" borderId="2" xfId="0" applyFont="1" applyFill="1" applyBorder="1" applyAlignment="1">
      <alignment horizontal="left" vertical="center" wrapText="1" readingOrder="1"/>
    </xf>
    <xf numFmtId="0" fontId="53" fillId="7" borderId="2" xfId="0" applyFont="1" applyFill="1" applyBorder="1" applyAlignment="1">
      <alignment horizontal="center" vertical="center" readingOrder="1"/>
    </xf>
    <xf numFmtId="6" fontId="53" fillId="7" borderId="2" xfId="0" applyNumberFormat="1" applyFont="1" applyFill="1" applyBorder="1" applyAlignment="1">
      <alignment horizontal="center" vertical="center" readingOrder="1"/>
    </xf>
    <xf numFmtId="6" fontId="54" fillId="49" borderId="2" xfId="0" applyNumberFormat="1" applyFont="1" applyFill="1" applyBorder="1" applyAlignment="1">
      <alignment horizontal="center" vertical="center" readingOrder="1"/>
    </xf>
    <xf numFmtId="0" fontId="55" fillId="0" borderId="2" xfId="0" applyFont="1" applyBorder="1" applyAlignment="1">
      <alignment horizontal="left" vertical="center" readingOrder="1"/>
    </xf>
    <xf numFmtId="6" fontId="55" fillId="0" borderId="2" xfId="0" applyNumberFormat="1" applyFont="1" applyBorder="1" applyAlignment="1">
      <alignment horizontal="center" vertical="center" readingOrder="1"/>
    </xf>
    <xf numFmtId="0" fontId="45" fillId="0" borderId="2" xfId="0" applyFont="1" applyBorder="1"/>
    <xf numFmtId="166" fontId="1" fillId="2" borderId="49" xfId="4" applyNumberFormat="1" applyFont="1" applyFill="1" applyBorder="1" applyAlignment="1">
      <alignment horizontal="center"/>
    </xf>
    <xf numFmtId="166" fontId="1" fillId="2" borderId="66" xfId="4" applyNumberFormat="1" applyFont="1" applyFill="1" applyBorder="1" applyAlignment="1">
      <alignment horizontal="center"/>
    </xf>
    <xf numFmtId="166" fontId="1" fillId="2" borderId="27" xfId="4" applyNumberFormat="1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9" fontId="2" fillId="3" borderId="12" xfId="3" applyFont="1" applyFill="1" applyBorder="1" applyAlignment="1">
      <alignment horizontal="center" vertical="center" wrapText="1"/>
    </xf>
    <xf numFmtId="9" fontId="2" fillId="3" borderId="37" xfId="3" applyFont="1" applyFill="1" applyBorder="1" applyAlignment="1">
      <alignment horizontal="center" vertical="center" wrapText="1"/>
    </xf>
    <xf numFmtId="9" fontId="2" fillId="3" borderId="32" xfId="3" applyFont="1" applyFill="1" applyBorder="1" applyAlignment="1">
      <alignment horizontal="center" vertical="center" wrapText="1"/>
    </xf>
    <xf numFmtId="0" fontId="2" fillId="3" borderId="0" xfId="0" applyFont="1" applyFill="1" applyBorder="1"/>
    <xf numFmtId="166" fontId="1" fillId="2" borderId="47" xfId="4" applyNumberFormat="1" applyFont="1" applyFill="1" applyBorder="1" applyAlignment="1">
      <alignment horizontal="center"/>
    </xf>
    <xf numFmtId="166" fontId="1" fillId="2" borderId="40" xfId="4" applyNumberFormat="1" applyFont="1" applyFill="1" applyBorder="1" applyAlignment="1">
      <alignment horizontal="center"/>
    </xf>
    <xf numFmtId="166" fontId="1" fillId="2" borderId="25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2" fillId="8" borderId="66" xfId="2" applyNumberFormat="1" applyFont="1" applyFill="1" applyBorder="1" applyAlignment="1">
      <alignment horizontal="center"/>
    </xf>
    <xf numFmtId="166" fontId="12" fillId="8" borderId="27" xfId="2" applyNumberFormat="1" applyFont="1" applyFill="1" applyBorder="1" applyAlignment="1">
      <alignment horizontal="center"/>
    </xf>
    <xf numFmtId="166" fontId="1" fillId="6" borderId="32" xfId="4" applyNumberFormat="1" applyFont="1" applyFill="1" applyBorder="1" applyAlignment="1">
      <alignment horizontal="center"/>
    </xf>
    <xf numFmtId="166" fontId="1" fillId="6" borderId="37" xfId="4" applyNumberFormat="1" applyFont="1" applyFill="1" applyBorder="1" applyAlignment="1">
      <alignment horizontal="center"/>
    </xf>
    <xf numFmtId="5" fontId="1" fillId="7" borderId="2" xfId="4" applyNumberFormat="1" applyFont="1" applyFill="1" applyBorder="1" applyAlignment="1">
      <alignment horizontal="center"/>
    </xf>
    <xf numFmtId="166" fontId="1" fillId="7" borderId="12" xfId="4" applyNumberFormat="1" applyFont="1" applyFill="1" applyBorder="1" applyAlignment="1">
      <alignment horizontal="center"/>
    </xf>
    <xf numFmtId="166" fontId="1" fillId="7" borderId="37" xfId="4" applyNumberFormat="1" applyFont="1" applyFill="1" applyBorder="1" applyAlignment="1">
      <alignment horizontal="center"/>
    </xf>
    <xf numFmtId="166" fontId="1" fillId="7" borderId="32" xfId="4" applyNumberFormat="1" applyFont="1" applyFill="1" applyBorder="1" applyAlignment="1">
      <alignment horizontal="center"/>
    </xf>
    <xf numFmtId="0" fontId="25" fillId="49" borderId="32" xfId="0" applyFont="1" applyFill="1" applyBorder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6" fillId="0" borderId="105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49" fillId="47" borderId="0" xfId="0" applyFont="1" applyFill="1" applyBorder="1" applyAlignment="1">
      <alignment horizontal="center" vertical="center" wrapText="1"/>
    </xf>
    <xf numFmtId="0" fontId="44" fillId="0" borderId="73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wrapText="1"/>
    </xf>
    <xf numFmtId="0" fontId="49" fillId="47" borderId="67" xfId="0" applyFont="1" applyFill="1" applyBorder="1" applyAlignment="1">
      <alignment horizontal="center" vertical="center"/>
    </xf>
    <xf numFmtId="0" fontId="49" fillId="47" borderId="68" xfId="0" applyFont="1" applyFill="1" applyBorder="1" applyAlignment="1">
      <alignment horizontal="center" vertical="center"/>
    </xf>
    <xf numFmtId="0" fontId="49" fillId="47" borderId="69" xfId="0" applyFont="1" applyFill="1" applyBorder="1" applyAlignment="1">
      <alignment horizontal="center" vertical="center"/>
    </xf>
    <xf numFmtId="0" fontId="49" fillId="47" borderId="67" xfId="0" applyFont="1" applyFill="1" applyBorder="1" applyAlignment="1">
      <alignment horizontal="center" vertical="center" wrapText="1"/>
    </xf>
    <xf numFmtId="0" fontId="49" fillId="47" borderId="68" xfId="0" applyFont="1" applyFill="1" applyBorder="1" applyAlignment="1">
      <alignment horizontal="center" vertical="center" wrapText="1"/>
    </xf>
    <xf numFmtId="0" fontId="49" fillId="47" borderId="69" xfId="0" applyFont="1" applyFill="1" applyBorder="1" applyAlignment="1">
      <alignment horizontal="center" vertical="center" wrapText="1"/>
    </xf>
    <xf numFmtId="0" fontId="25" fillId="47" borderId="67" xfId="0" applyFont="1" applyFill="1" applyBorder="1" applyAlignment="1">
      <alignment horizontal="center" vertical="center" wrapText="1"/>
    </xf>
    <xf numFmtId="0" fontId="25" fillId="47" borderId="68" xfId="0" applyFont="1" applyFill="1" applyBorder="1" applyAlignment="1">
      <alignment horizontal="center" vertical="center" wrapText="1"/>
    </xf>
    <xf numFmtId="0" fontId="25" fillId="47" borderId="69" xfId="0" applyFont="1" applyFill="1" applyBorder="1" applyAlignment="1">
      <alignment horizontal="center" vertical="center" wrapText="1"/>
    </xf>
    <xf numFmtId="0" fontId="53" fillId="7" borderId="2" xfId="0" applyFont="1" applyFill="1" applyBorder="1" applyAlignment="1">
      <alignment horizontal="center" vertical="center" readingOrder="1"/>
    </xf>
    <xf numFmtId="0" fontId="54" fillId="49" borderId="2" xfId="0" applyFont="1" applyFill="1" applyBorder="1" applyAlignment="1">
      <alignment horizontal="center" vertical="center" readingOrder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1" fillId="7" borderId="2" xfId="0" applyFont="1" applyFill="1" applyBorder="1" applyAlignment="1"/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43" borderId="0" xfId="0" applyFont="1" applyFill="1" applyAlignment="1">
      <alignment horizontal="center"/>
    </xf>
    <xf numFmtId="166" fontId="0" fillId="0" borderId="0" xfId="3" applyNumberFormat="1" applyFont="1"/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1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externalLink" Target="externalLinks/externalLink23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externalLink" Target="externalLinks/externalLink2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73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7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38513576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284160884.55212712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3731.9067859649658</c:v>
                </c:pt>
                <c:pt idx="2">
                  <c:v>7173.3086972367018</c:v>
                </c:pt>
                <c:pt idx="3">
                  <c:v>10346.61325889267</c:v>
                </c:pt>
                <c:pt idx="4">
                  <c:v>13272.530711770058</c:v>
                </c:pt>
                <c:pt idx="5">
                  <c:v>15970.197880234569</c:v>
                </c:pt>
                <c:pt idx="6">
                  <c:v>18457.293716503307</c:v>
                </c:pt>
                <c:pt idx="7">
                  <c:v>20750.14696871303</c:v>
                </c:pt>
                <c:pt idx="8">
                  <c:v>22863.836414532736</c:v>
                </c:pt>
                <c:pt idx="9">
                  <c:v>24812.284093238413</c:v>
                </c:pt>
                <c:pt idx="10">
                  <c:v>26608.341957086697</c:v>
                </c:pt>
                <c:pt idx="11">
                  <c:v>28263.872348684818</c:v>
                </c:pt>
                <c:pt idx="12">
                  <c:v>29789.822695303708</c:v>
                </c:pt>
                <c:pt idx="13">
                  <c:v>31196.294794134796</c:v>
                </c:pt>
                <c:pt idx="14">
                  <c:v>32492.609044991434</c:v>
                </c:pt>
                <c:pt idx="15">
                  <c:v>33687.363969050348</c:v>
                </c:pt>
                <c:pt idx="16">
                  <c:v>34788.491334240884</c:v>
                </c:pt>
                <c:pt idx="17">
                  <c:v>35803.30719011277</c:v>
                </c:pt>
                <c:pt idx="18">
                  <c:v>36738.559097478166</c:v>
                </c:pt>
                <c:pt idx="19">
                  <c:v>37600.469821108505</c:v>
                </c:pt>
                <c:pt idx="20">
                  <c:v>38394.777737218887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-9.3132257461547852E-10</c:v>
                </c:pt>
                <c:pt idx="1">
                  <c:v>40739.230897238478</c:v>
                </c:pt>
                <c:pt idx="2">
                  <c:v>78428.809096541256</c:v>
                </c:pt>
                <c:pt idx="3">
                  <c:v>113271.26307916827</c:v>
                </c:pt>
                <c:pt idx="4">
                  <c:v>145459.66681052744</c:v>
                </c:pt>
                <c:pt idx="5">
                  <c:v>175177.42119361833</c:v>
                </c:pt>
                <c:pt idx="6">
                  <c:v>202598.17686557397</c:v>
                </c:pt>
                <c:pt idx="7">
                  <c:v>227885.87447749265</c:v>
                </c:pt>
                <c:pt idx="8">
                  <c:v>251194.88106508367</c:v>
                </c:pt>
                <c:pt idx="9">
                  <c:v>272670.20355859026</c:v>
                </c:pt>
                <c:pt idx="10">
                  <c:v>292447.76282965764</c:v>
                </c:pt>
                <c:pt idx="11">
                  <c:v>310654.7138853576</c:v>
                </c:pt>
                <c:pt idx="12">
                  <c:v>327409.79986672848</c:v>
                </c:pt>
                <c:pt idx="13">
                  <c:v>342823.72937526181</c:v>
                </c:pt>
                <c:pt idx="14">
                  <c:v>356999.56833022274</c:v>
                </c:pt>
                <c:pt idx="15">
                  <c:v>370033.139053775</c:v>
                </c:pt>
                <c:pt idx="16">
                  <c:v>382013.42059681378</c:v>
                </c:pt>
                <c:pt idx="17">
                  <c:v>393022.94546622783</c:v>
                </c:pt>
                <c:pt idx="18">
                  <c:v>403138.18890681118</c:v>
                </c:pt>
                <c:pt idx="19">
                  <c:v>412429.94774184003</c:v>
                </c:pt>
                <c:pt idx="20">
                  <c:v>420963.7064994704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VAC_Optim_Scenario!$D$51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VAC_Optim_Scenario!$F$51</c:f>
              <c:numCache>
                <c:formatCode>#,##0</c:formatCode>
                <c:ptCount val="1"/>
                <c:pt idx="0">
                  <c:v>15970.197880234569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VAC_Optim_Scenario!$H$51</c:f>
              <c:numCache>
                <c:formatCode>_("$"* #,##0_);_("$"* \(#,##0\);_("$"* "-"??_);_(@_)</c:formatCode>
                <c:ptCount val="1"/>
                <c:pt idx="0">
                  <c:v>1540173.2513926297</c:v>
                </c:pt>
              </c:numCache>
            </c:numRef>
          </c:xVal>
          <c:yVal>
            <c:numRef>
              <c:f>VAC_Optim_Scenario!$I$51</c:f>
              <c:numCache>
                <c:formatCode>#,##0</c:formatCode>
                <c:ptCount val="1"/>
                <c:pt idx="0">
                  <c:v>22249.492859058082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342226.11897340976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13899615.099674361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443642.24573555775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VAC_Optim_Scenario!$F$59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VAC_Optim_Scenario!$I$59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VAC_Optim_Scenario!$D$58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VAC_Optim_Scenario!$F$58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VAC_Optim_Scenario!$H$58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VAC_Optim_Scenario!$I$58</c:f>
              <c:numCache>
                <c:formatCode>#,##0</c:formatCode>
                <c:ptCount val="1"/>
                <c:pt idx="0">
                  <c:v>145504.50354692468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6603674.6489330456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227404.21143627539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6500000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150303.3320306878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VAC_Optim_Scenario!$E$25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VAC_Optim_Scenario!$F$25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VAC_Optim_Scenario!$I$25</c:f>
              <c:numCache>
                <c:formatCode>"$"#,##0</c:formatCode>
                <c:ptCount val="1"/>
                <c:pt idx="0">
                  <c:v>12070112.999999998</c:v>
                </c:pt>
              </c:numCache>
            </c:numRef>
          </c:xVal>
          <c:yVal>
            <c:numRef>
              <c:f>VAC_Optim_Scenario!$J$25</c:f>
              <c:numCache>
                <c:formatCode>#,##0</c:formatCode>
                <c:ptCount val="1"/>
                <c:pt idx="0">
                  <c:v>231121.28094253899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1.5401732513926296</c:v>
                </c:pt>
                <c:pt idx="1">
                  <c:v>1.5401732513926296</c:v>
                </c:pt>
                <c:pt idx="2">
                  <c:v>1.5401732513926296</c:v>
                </c:pt>
                <c:pt idx="3">
                  <c:v>1.5401732513926296</c:v>
                </c:pt>
                <c:pt idx="4">
                  <c:v>1.5401732513926296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13.89961509967436</c:v>
                </c:pt>
                <c:pt idx="1">
                  <c:v>13.89961509967436</c:v>
                </c:pt>
                <c:pt idx="2">
                  <c:v>13.89961509967436</c:v>
                </c:pt>
                <c:pt idx="3">
                  <c:v>13.89961509967436</c:v>
                </c:pt>
                <c:pt idx="4">
                  <c:v>13.89961509967436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6.5</c:v>
                </c:pt>
                <c:pt idx="4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12.070112999999997</c:v>
                </c:pt>
                <c:pt idx="1">
                  <c:v>12.070112999999997</c:v>
                </c:pt>
                <c:pt idx="2">
                  <c:v>12.070112999999997</c:v>
                </c:pt>
                <c:pt idx="3">
                  <c:v>12.070112999999997</c:v>
                </c:pt>
                <c:pt idx="4">
                  <c:v>12.070112999999997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6.6036746489330458</c:v>
                </c:pt>
                <c:pt idx="1">
                  <c:v>6.6036746489330458</c:v>
                </c:pt>
                <c:pt idx="2">
                  <c:v>6.6036746489330458</c:v>
                </c:pt>
                <c:pt idx="3">
                  <c:v>6.6036746489330458</c:v>
                </c:pt>
                <c:pt idx="4">
                  <c:v>6.6036746489330458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55.691114230995083</c:v>
                </c:pt>
                <c:pt idx="1">
                  <c:v>62.616631772461922</c:v>
                </c:pt>
                <c:pt idx="2">
                  <c:v>39.647204915358948</c:v>
                </c:pt>
                <c:pt idx="3">
                  <c:v>26.103968382011573</c:v>
                </c:pt>
                <c:pt idx="4">
                  <c:v>81.210005271246729</c:v>
                </c:pt>
                <c:pt idx="5">
                  <c:v>24.233129140920326</c:v>
                </c:pt>
                <c:pt idx="6">
                  <c:v>22.721170503658026</c:v>
                </c:pt>
                <c:pt idx="7">
                  <c:v>20.356623878083514</c:v>
                </c:pt>
                <c:pt idx="8">
                  <c:v>2.7578911836232054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231.29294086026042</c:v>
                </c:pt>
                <c:pt idx="1">
                  <c:v>157.11001622596055</c:v>
                </c:pt>
                <c:pt idx="2">
                  <c:v>122.84276777540508</c:v>
                </c:pt>
                <c:pt idx="3">
                  <c:v>142.77868187352351</c:v>
                </c:pt>
                <c:pt idx="4">
                  <c:v>80.536294708145277</c:v>
                </c:pt>
                <c:pt idx="5">
                  <c:v>57.011933200722879</c:v>
                </c:pt>
                <c:pt idx="6">
                  <c:v>42.993860984546004</c:v>
                </c:pt>
                <c:pt idx="7">
                  <c:v>41.768293405531516</c:v>
                </c:pt>
                <c:pt idx="8">
                  <c:v>46.487735431938745</c:v>
                </c:pt>
                <c:pt idx="9">
                  <c:v>2.5147277110902859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584315376.29753828</c:v>
                </c:pt>
                <c:pt idx="1">
                  <c:v>579638942.31260693</c:v>
                </c:pt>
                <c:pt idx="2">
                  <c:v>515884477.51702702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107419239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499557845.58551407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Optimize/Custom_2/GARD_ADOL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_2/GARDADULT_2024_Spend_Alloc_custom2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_updat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_update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_updated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_updated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OY Curve comparison"/>
      <sheetName val="Scenario summary"/>
      <sheetName val="Chart - Combined"/>
      <sheetName val="Scenario deep dive_2023"/>
      <sheetName val="Senstivity"/>
      <sheetName val="Sensitivity - Template"/>
      <sheetName val="Contribution, promo eff, ROI"/>
      <sheetName val="Scenario deep dive"/>
      <sheetName val="Current Constraints"/>
      <sheetName val="VAC_Optim_Scenario"/>
      <sheetName val="GINOFF"/>
      <sheetName val="GMCM"/>
      <sheetName val="GSOC"/>
      <sheetName val="GOLV"/>
      <sheetName val="GSTRV"/>
      <sheetName val="GDISP"/>
      <sheetName val="GSEARCH"/>
      <sheetName val="GRADIO"/>
      <sheetName val="GTV"/>
      <sheetName val="GPRNT"/>
      <sheetName val="Fn.Templates ==&gt;"/>
      <sheetName val="FT_SCurveEst"/>
      <sheetName val="FT_Equation"/>
      <sheetName val="FT_SCurve3Est"/>
      <sheetName val="FT_Interpo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F7">
            <v>1000000</v>
          </cell>
          <cell r="J7">
            <v>1172914.3259099026</v>
          </cell>
          <cell r="N7">
            <v>1654588.7123287965</v>
          </cell>
        </row>
        <row r="8">
          <cell r="F8">
            <v>8003662.6738821417</v>
          </cell>
          <cell r="J8">
            <v>10781079.800402544</v>
          </cell>
          <cell r="N8">
            <v>12000000</v>
          </cell>
        </row>
        <row r="9">
          <cell r="F9">
            <v>1599500</v>
          </cell>
          <cell r="J9">
            <v>3987918.0972265243</v>
          </cell>
          <cell r="N9">
            <v>6500000</v>
          </cell>
        </row>
        <row r="10">
          <cell r="F10">
            <v>1000000</v>
          </cell>
          <cell r="J10">
            <v>1000000</v>
          </cell>
          <cell r="N10">
            <v>999999.99999999988</v>
          </cell>
        </row>
        <row r="11">
          <cell r="F11">
            <v>4817798</v>
          </cell>
          <cell r="J11">
            <v>5609041.4509816822</v>
          </cell>
          <cell r="N11">
            <v>10772356.891532868</v>
          </cell>
        </row>
        <row r="12">
          <cell r="F12">
            <v>3811839.4251255072</v>
          </cell>
          <cell r="J12">
            <v>5062622.3862681137</v>
          </cell>
          <cell r="N12">
            <v>5686630.4364398532</v>
          </cell>
        </row>
        <row r="13">
          <cell r="F13">
            <v>400000</v>
          </cell>
          <cell r="J13">
            <v>400000</v>
          </cell>
          <cell r="N13">
            <v>400000</v>
          </cell>
        </row>
        <row r="14">
          <cell r="F14">
            <v>2180775.9009923507</v>
          </cell>
          <cell r="J14">
            <v>4800000</v>
          </cell>
          <cell r="N14">
            <v>4800000</v>
          </cell>
        </row>
        <row r="15">
          <cell r="F15">
            <v>16888801</v>
          </cell>
          <cell r="J15">
            <v>16888801</v>
          </cell>
          <cell r="N15">
            <v>16888801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Scenario summary_incr_doses"/>
      <sheetName val="Chart - Combined"/>
      <sheetName val="Sensitivity"/>
      <sheetName val="Contribution, promo eff, ROI"/>
      <sheetName val="Scenario deep dive"/>
      <sheetName val="doses_contrib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900000</v>
          </cell>
          <cell r="J7">
            <v>900000</v>
          </cell>
          <cell r="N7">
            <v>1026598.0761272227</v>
          </cell>
        </row>
        <row r="8">
          <cell r="F8">
            <v>20332726.78651882</v>
          </cell>
          <cell r="J8">
            <v>21000000</v>
          </cell>
          <cell r="N8">
            <v>21000000</v>
          </cell>
        </row>
        <row r="9">
          <cell r="F9">
            <v>1800000</v>
          </cell>
          <cell r="J9">
            <v>4586515.2321627252</v>
          </cell>
          <cell r="N9">
            <v>6733228.4705905961</v>
          </cell>
        </row>
        <row r="10">
          <cell r="F10">
            <v>1103611.8378162181</v>
          </cell>
          <cell r="J10">
            <v>2538608.3579298854</v>
          </cell>
          <cell r="N10">
            <v>2784148.583448194</v>
          </cell>
        </row>
        <row r="11">
          <cell r="F11">
            <v>8306901</v>
          </cell>
          <cell r="J11">
            <v>11191328.353730984</v>
          </cell>
          <cell r="N11">
            <v>18672476.905886736</v>
          </cell>
        </row>
        <row r="12">
          <cell r="F12">
            <v>4273086.2126840986</v>
          </cell>
          <cell r="J12">
            <v>5000000</v>
          </cell>
          <cell r="N12">
            <v>5000000</v>
          </cell>
        </row>
        <row r="13">
          <cell r="F13">
            <v>200000</v>
          </cell>
          <cell r="J13">
            <v>200000</v>
          </cell>
          <cell r="N13">
            <v>200000</v>
          </cell>
        </row>
        <row r="14">
          <cell r="F14">
            <v>700126.17650413048</v>
          </cell>
          <cell r="J14">
            <v>2200000</v>
          </cell>
          <cell r="N14">
            <v>2200000</v>
          </cell>
        </row>
        <row r="15">
          <cell r="F15">
            <v>28089211</v>
          </cell>
          <cell r="J15">
            <v>28089211</v>
          </cell>
          <cell r="N15">
            <v>28089211</v>
          </cell>
        </row>
        <row r="16">
          <cell r="F16">
            <v>3200000</v>
          </cell>
          <cell r="J16">
            <v>3200000</v>
          </cell>
          <cell r="N16">
            <v>3200000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23857.888119863572</v>
          </cell>
          <cell r="D12">
            <v>0</v>
          </cell>
          <cell r="E12">
            <v>47715.776239727144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4624.4260378861645</v>
          </cell>
          <cell r="D12">
            <v>0</v>
          </cell>
          <cell r="E12">
            <v>9248.852075772329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271478.24772726599</v>
          </cell>
          <cell r="D12">
            <v>0</v>
          </cell>
          <cell r="E12">
            <v>515808.67068180529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286085.27480051044</v>
          </cell>
          <cell r="D12">
            <v>0</v>
          </cell>
          <cell r="E12">
            <v>715213.18700127606</v>
          </cell>
          <cell r="F12">
            <v>4647854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94" t="s">
        <v>201</v>
      </c>
      <c r="H4" s="594"/>
      <c r="I4" s="595" t="s">
        <v>202</v>
      </c>
      <c r="J4" s="595"/>
      <c r="K4" s="596" t="s">
        <v>203</v>
      </c>
      <c r="L4" s="596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253</v>
      </c>
      <c r="G5" s="275" t="s">
        <v>248</v>
      </c>
      <c r="H5" s="275"/>
      <c r="I5" s="275" t="s">
        <v>248</v>
      </c>
      <c r="J5" s="275"/>
      <c r="K5" s="275" t="s">
        <v>248</v>
      </c>
      <c r="L5" s="275"/>
      <c r="M5" s="276"/>
    </row>
    <row r="6" spans="2:13" x14ac:dyDescent="0.25">
      <c r="C6" s="169">
        <f>$C$8+E6</f>
        <v>46216291.200000003</v>
      </c>
      <c r="D6" s="170">
        <v>0.2</v>
      </c>
      <c r="E6" s="171">
        <f>D6*$C$8</f>
        <v>7702715.2000000002</v>
      </c>
      <c r="F6" s="169"/>
      <c r="G6" s="169">
        <f>'Scenario deep dive'!X16</f>
        <v>213450965.49504656</v>
      </c>
      <c r="H6" s="169"/>
      <c r="I6" s="169">
        <f t="shared" ref="I6:J10" si="0">G6-$F$8</f>
        <v>-70709919.057080567</v>
      </c>
      <c r="J6" s="169">
        <f t="shared" si="0"/>
        <v>-284160884.55212712</v>
      </c>
      <c r="K6" s="172">
        <f t="shared" ref="K6:L10" si="1">G6/$C6</f>
        <v>4.6185221694086636</v>
      </c>
      <c r="L6" s="172">
        <f t="shared" si="1"/>
        <v>0</v>
      </c>
    </row>
    <row r="7" spans="2:13" x14ac:dyDescent="0.25">
      <c r="C7" s="169">
        <f>$C$8+E7</f>
        <v>42364933.600000001</v>
      </c>
      <c r="D7" s="170">
        <v>0.1</v>
      </c>
      <c r="E7" s="171">
        <f>D7*$C$8</f>
        <v>3851357.6</v>
      </c>
      <c r="F7" s="169"/>
      <c r="G7" s="169">
        <f>'Scenario deep dive'!T16</f>
        <v>204849185.54615188</v>
      </c>
      <c r="H7" s="173"/>
      <c r="I7" s="169">
        <f t="shared" si="0"/>
        <v>-79311699.005975246</v>
      </c>
      <c r="J7" s="169">
        <f t="shared" si="0"/>
        <v>-284160884.55212712</v>
      </c>
      <c r="K7" s="172">
        <f t="shared" si="1"/>
        <v>4.8353477307504118</v>
      </c>
      <c r="L7" s="172">
        <f t="shared" si="1"/>
        <v>0</v>
      </c>
    </row>
    <row r="8" spans="2:13" x14ac:dyDescent="0.25">
      <c r="B8" s="174">
        <f>F8/C8</f>
        <v>7.3782004701959414</v>
      </c>
      <c r="C8" s="169">
        <f>'Scenario deep dive'!C16</f>
        <v>38513576</v>
      </c>
      <c r="D8" s="170">
        <v>0</v>
      </c>
      <c r="E8" s="171">
        <f>D8*$C$8</f>
        <v>0</v>
      </c>
      <c r="F8" s="169">
        <f>'Scenario deep dive'!D16</f>
        <v>284160884.55212712</v>
      </c>
      <c r="G8" s="169">
        <f>'Scenario deep dive'!H16</f>
        <v>195641074.52413151</v>
      </c>
      <c r="H8" s="169"/>
      <c r="I8" s="169">
        <f t="shared" si="0"/>
        <v>-88519810.027995616</v>
      </c>
      <c r="J8" s="169">
        <f t="shared" si="0"/>
        <v>-284160884.55212712</v>
      </c>
      <c r="K8" s="172">
        <f t="shared" si="1"/>
        <v>5.0797950967765626</v>
      </c>
      <c r="L8" s="172">
        <f t="shared" si="1"/>
        <v>0</v>
      </c>
    </row>
    <row r="9" spans="2:13" x14ac:dyDescent="0.25">
      <c r="C9" s="169">
        <f>$C$8+E9</f>
        <v>34662218.399999999</v>
      </c>
      <c r="D9" s="170">
        <v>-0.1</v>
      </c>
      <c r="E9" s="171">
        <f>D9*$C$8</f>
        <v>-3851357.6</v>
      </c>
      <c r="F9" s="169"/>
      <c r="G9" s="169">
        <f>'Scenario deep dive'!L16</f>
        <v>185600061.71028784</v>
      </c>
      <c r="H9" s="169"/>
      <c r="I9" s="169">
        <f t="shared" si="0"/>
        <v>-98560822.841839284</v>
      </c>
      <c r="J9" s="169">
        <f t="shared" si="0"/>
        <v>-284160884.55212712</v>
      </c>
      <c r="K9" s="172">
        <f t="shared" si="1"/>
        <v>5.3545350031689791</v>
      </c>
      <c r="L9" s="172">
        <f t="shared" si="1"/>
        <v>0</v>
      </c>
    </row>
    <row r="10" spans="2:13" x14ac:dyDescent="0.25">
      <c r="C10" s="169">
        <f>$C$8+E10</f>
        <v>30810860.800000001</v>
      </c>
      <c r="D10" s="170">
        <v>-0.2</v>
      </c>
      <c r="E10" s="171">
        <f>D10*$C$8</f>
        <v>-7702715.2000000002</v>
      </c>
      <c r="F10" s="169"/>
      <c r="G10" s="169">
        <f>'Scenario deep dive'!P16</f>
        <v>171847214.96344179</v>
      </c>
      <c r="H10" s="169"/>
      <c r="I10" s="169">
        <f t="shared" si="0"/>
        <v>-112313669.58868533</v>
      </c>
      <c r="J10" s="169">
        <f t="shared" si="0"/>
        <v>-284160884.55212712</v>
      </c>
      <c r="K10" s="172">
        <f t="shared" si="1"/>
        <v>5.5774882785307245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597" t="s">
        <v>207</v>
      </c>
      <c r="G13" s="597"/>
      <c r="H13" s="597" t="s">
        <v>208</v>
      </c>
      <c r="I13" s="597"/>
    </row>
    <row r="14" spans="2:13" x14ac:dyDescent="0.25">
      <c r="C14" s="166" t="s">
        <v>204</v>
      </c>
      <c r="D14" s="166" t="s">
        <v>205</v>
      </c>
      <c r="E14" s="97" t="s">
        <v>209</v>
      </c>
      <c r="F14" s="275" t="s">
        <v>248</v>
      </c>
      <c r="G14" s="168"/>
      <c r="H14" s="275" t="s">
        <v>248</v>
      </c>
      <c r="I14" s="168"/>
    </row>
    <row r="15" spans="2:13" x14ac:dyDescent="0.25">
      <c r="C15" s="176">
        <f t="shared" ref="C15:D19" si="2">C6</f>
        <v>46216291.200000003</v>
      </c>
      <c r="D15" s="177">
        <f t="shared" si="2"/>
        <v>0.2</v>
      </c>
      <c r="E15" s="176">
        <f>C15-C16</f>
        <v>3851357.6000000015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2.2334409946494391</v>
      </c>
      <c r="I15" s="172">
        <f t="shared" si="4"/>
        <v>0</v>
      </c>
    </row>
    <row r="16" spans="2:13" x14ac:dyDescent="0.25">
      <c r="C16" s="176">
        <f t="shared" si="2"/>
        <v>42364933.600000001</v>
      </c>
      <c r="D16" s="177">
        <f t="shared" si="2"/>
        <v>0.1</v>
      </c>
      <c r="E16" s="176">
        <f>C16-C17</f>
        <v>3851357.6000000015</v>
      </c>
      <c r="F16" s="178">
        <f>G7-G8</f>
        <v>9208111.0220203698</v>
      </c>
      <c r="G16" s="178">
        <f t="shared" si="3"/>
        <v>0</v>
      </c>
      <c r="H16" s="172">
        <f>F16/$E16</f>
        <v>2.3908740704889015</v>
      </c>
      <c r="I16" s="172">
        <f t="shared" si="4"/>
        <v>0</v>
      </c>
    </row>
    <row r="17" spans="3:9" x14ac:dyDescent="0.25">
      <c r="C17" s="176">
        <f t="shared" si="2"/>
        <v>38513576</v>
      </c>
      <c r="D17" s="177">
        <f t="shared" si="2"/>
        <v>0</v>
      </c>
      <c r="E17" s="176">
        <f>C17-C18</f>
        <v>3851357.6000000015</v>
      </c>
      <c r="F17" s="178">
        <f>G8-G9</f>
        <v>10041012.813843668</v>
      </c>
      <c r="G17" s="178">
        <f t="shared" si="3"/>
        <v>0</v>
      </c>
      <c r="H17" s="172">
        <f>F17/$E17</f>
        <v>2.607135939244817</v>
      </c>
      <c r="I17" s="172">
        <f t="shared" si="4"/>
        <v>0</v>
      </c>
    </row>
    <row r="18" spans="3:9" x14ac:dyDescent="0.25">
      <c r="C18" s="176">
        <f t="shared" si="2"/>
        <v>34662218.399999999</v>
      </c>
      <c r="D18" s="177">
        <f t="shared" si="2"/>
        <v>-0.1</v>
      </c>
      <c r="E18" s="176">
        <f>C18-C19</f>
        <v>3851357.5999999978</v>
      </c>
      <c r="F18" s="178">
        <f t="shared" si="3"/>
        <v>13752846.74684605</v>
      </c>
      <c r="G18" s="178">
        <f t="shared" si="3"/>
        <v>0</v>
      </c>
      <c r="H18" s="172">
        <f t="shared" si="4"/>
        <v>3.570908800275014</v>
      </c>
      <c r="I18" s="172">
        <f t="shared" si="4"/>
        <v>0</v>
      </c>
    </row>
    <row r="19" spans="3:9" x14ac:dyDescent="0.25">
      <c r="C19" s="176">
        <f t="shared" si="2"/>
        <v>30810860.800000001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02" t="s">
        <v>250</v>
      </c>
      <c r="G4" s="602"/>
      <c r="H4" s="602"/>
      <c r="I4" s="602"/>
      <c r="J4" s="602"/>
      <c r="K4" s="602"/>
      <c r="L4" s="602"/>
      <c r="M4" s="602"/>
      <c r="N4" s="602"/>
      <c r="O4" s="602"/>
      <c r="P4" s="602"/>
    </row>
    <row r="5" spans="1:28" x14ac:dyDescent="0.25">
      <c r="F5" s="598" t="s">
        <v>255</v>
      </c>
      <c r="G5" s="599"/>
      <c r="H5" s="600"/>
      <c r="I5" s="181"/>
      <c r="J5" s="598" t="s">
        <v>256</v>
      </c>
      <c r="K5" s="599"/>
      <c r="L5" s="600"/>
      <c r="M5" s="181"/>
      <c r="N5" s="598" t="s">
        <v>257</v>
      </c>
      <c r="O5" s="599"/>
      <c r="P5" s="600"/>
      <c r="R5" s="598" t="s">
        <v>258</v>
      </c>
      <c r="S5" s="599"/>
      <c r="T5" s="600"/>
      <c r="V5" s="598" t="s">
        <v>259</v>
      </c>
      <c r="W5" s="599"/>
      <c r="X5" s="600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VAC_Optim_Scenario!B21</f>
        <v>HCC In Office</v>
      </c>
      <c r="C7" s="185">
        <f>VAC_Optim_Scenario!E21</f>
        <v>1000000</v>
      </c>
      <c r="D7" s="185">
        <f>VAC_Optim_Scenario!G51</f>
        <v>3608306.5090601984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VAC_Optim_Scenario!$H51</f>
        <v>1540173.2513926297</v>
      </c>
      <c r="AA7" s="177">
        <f>(Z7-$C7)/$C7</f>
        <v>0.54017325139262973</v>
      </c>
      <c r="AB7" s="185">
        <f>VAC_Optim_Scenario!$J51</f>
        <v>5027050.4165755827</v>
      </c>
    </row>
    <row r="8" spans="1:28" x14ac:dyDescent="0.25">
      <c r="A8" s="180"/>
      <c r="B8" s="184" t="str">
        <f>VAC_Optim_Scenario!B22</f>
        <v>HCP MCM</v>
      </c>
      <c r="C8" s="185">
        <f>VAC_Optim_Scenario!E22</f>
        <v>7775778</v>
      </c>
      <c r="D8" s="185">
        <f>VAC_Optim_Scenario!G52</f>
        <v>77322569.320852205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VAC_Optim_Scenario!$H52</f>
        <v>13899615.099674361</v>
      </c>
      <c r="AA8" s="177">
        <f t="shared" ref="AA8:AA15" si="0">(Z8-$C8)/$C8</f>
        <v>0.78755297536456936</v>
      </c>
      <c r="AB8" s="185">
        <f>VAC_Optim_Scenario!$J52</f>
        <v>100236529.00149192</v>
      </c>
    </row>
    <row r="9" spans="1:28" x14ac:dyDescent="0.25">
      <c r="A9" s="180"/>
      <c r="B9" s="184" t="str">
        <f>VAC_Optim_Scenario!B23</f>
        <v>HCC Social</v>
      </c>
      <c r="C9" s="185">
        <f>VAC_Optim_Scenario!E23</f>
        <v>1840000</v>
      </c>
      <c r="D9" s="185">
        <f>VAC_Optim_Scenario!G53</f>
        <v>15925915.704314221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VAC_Optim_Scenario!$H53</f>
        <v>6500000</v>
      </c>
      <c r="AA9" s="177">
        <f t="shared" si="0"/>
        <v>2.5326086956521738</v>
      </c>
      <c r="AB9" s="185">
        <f>VAC_Optim_Scenario!$J53</f>
        <v>33959534.839013599</v>
      </c>
    </row>
    <row r="10" spans="1:28" x14ac:dyDescent="0.25">
      <c r="A10" s="180"/>
      <c r="B10" s="184" t="str">
        <f>VAC_Optim_Scenario!B24</f>
        <v>HCC Online Video</v>
      </c>
      <c r="C10" s="185">
        <f>VAC_Optim_Scenario!E24</f>
        <v>1220000</v>
      </c>
      <c r="D10" s="185">
        <f>VAC_Optim_Scenario!G54</f>
        <v>3394246.7935979273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VAC_Optim_Scenario!$H54</f>
        <v>1000000</v>
      </c>
      <c r="AA10" s="177">
        <f t="shared" si="0"/>
        <v>-0.18032786885245902</v>
      </c>
      <c r="AB10" s="185">
        <f>VAC_Optim_Scenario!$J54</f>
        <v>3357832.8692201264</v>
      </c>
    </row>
    <row r="11" spans="1:28" x14ac:dyDescent="0.25">
      <c r="A11" s="180"/>
      <c r="B11" s="184" t="str">
        <f>VAC_Optim_Scenario!B25</f>
        <v>HCC Streaming Video</v>
      </c>
      <c r="C11" s="185">
        <f>VAC_Optim_Scenario!E25</f>
        <v>4817798</v>
      </c>
      <c r="D11" s="185">
        <f>VAC_Optim_Scenario!G55</f>
        <v>27455486.015820313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VAC_Optim_Scenario!$H55</f>
        <v>12070112.999999998</v>
      </c>
      <c r="AA11" s="177">
        <f t="shared" si="0"/>
        <v>1.5053173669796862</v>
      </c>
      <c r="AB11" s="185">
        <f>VAC_Optim_Scenario!$J55</f>
        <v>52219542.216157258</v>
      </c>
    </row>
    <row r="12" spans="1:28" x14ac:dyDescent="0.25">
      <c r="A12" s="180"/>
      <c r="B12" s="184" t="str">
        <f>VAC_Optim_Scenario!B26</f>
        <v>HCC Display</v>
      </c>
      <c r="C12" s="185">
        <f>VAC_Optim_Scenario!E26</f>
        <v>3540000</v>
      </c>
      <c r="D12" s="185">
        <f>VAC_Optim_Scenario!G56</f>
        <v>39290778.509746693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VAC_Optim_Scenario!$H56</f>
        <v>6603674.6489330456</v>
      </c>
      <c r="AA12" s="177">
        <f t="shared" si="0"/>
        <v>0.86544481608278123</v>
      </c>
      <c r="AB12" s="185">
        <f>VAC_Optim_Scenario!$J56</f>
        <v>51379707.531912059</v>
      </c>
    </row>
    <row r="13" spans="1:28" x14ac:dyDescent="0.25">
      <c r="A13" s="180"/>
      <c r="B13" s="184" t="str">
        <f>VAC_Optim_Scenario!B27</f>
        <v>HCC Paid Search</v>
      </c>
      <c r="C13" s="185">
        <f>VAC_Optim_Scenario!E27</f>
        <v>400000</v>
      </c>
      <c r="D13" s="185">
        <f>VAC_Optim_Scenario!G57</f>
        <v>32769965.884320233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VAC_Optim_Scenario!$H57</f>
        <v>400000</v>
      </c>
      <c r="AA13" s="177">
        <f t="shared" si="0"/>
        <v>0</v>
      </c>
      <c r="AB13" s="185">
        <f>VAC_Optim_Scenario!$J57</f>
        <v>32769965.884320233</v>
      </c>
    </row>
    <row r="14" spans="1:28" x14ac:dyDescent="0.25">
      <c r="A14" s="180"/>
      <c r="B14" s="184" t="str">
        <f>VAC_Optim_Scenario!B28</f>
        <v>HCC Audio</v>
      </c>
      <c r="C14" s="185">
        <f>VAC_Optim_Scenario!E28</f>
        <v>2220000</v>
      </c>
      <c r="D14" s="185">
        <f>VAC_Optim_Scenario!G58</f>
        <v>20698391.738152172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VAC_Optim_Scenario!$H58</f>
        <v>4800000</v>
      </c>
      <c r="AA14" s="177">
        <f t="shared" si="0"/>
        <v>1.1621621621621621</v>
      </c>
      <c r="AB14" s="185">
        <f>VAC_Optim_Scenario!$J58</f>
        <v>32875287.531392161</v>
      </c>
    </row>
    <row r="15" spans="1:28" x14ac:dyDescent="0.25">
      <c r="A15" s="180"/>
      <c r="B15" s="184" t="str">
        <f>VAC_Optim_Scenario!B29</f>
        <v>HCC TV</v>
      </c>
      <c r="C15" s="185">
        <f>VAC_Optim_Scenario!E29</f>
        <v>15700000</v>
      </c>
      <c r="D15" s="185">
        <f>VAC_Optim_Scenario!G59</f>
        <v>63695224.07626316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VAC_Optim_Scenario!$H59</f>
        <v>15700000</v>
      </c>
      <c r="AA15" s="177">
        <f t="shared" si="0"/>
        <v>0</v>
      </c>
      <c r="AB15" s="185">
        <f>VAC_Optim_Scenario!$J59</f>
        <v>63695224.07626316</v>
      </c>
    </row>
    <row r="16" spans="1:28" ht="34.35" customHeight="1" x14ac:dyDescent="0.25">
      <c r="B16" s="187" t="s">
        <v>218</v>
      </c>
      <c r="C16" s="188">
        <f>SUM(C7:C15)</f>
        <v>38513576</v>
      </c>
      <c r="D16" s="188">
        <f>SUM(D7:D15)</f>
        <v>284160884.55212712</v>
      </c>
      <c r="E16" s="179"/>
      <c r="F16" s="188">
        <f>SUM(F7:F15)</f>
        <v>38354764.850000001</v>
      </c>
      <c r="G16" s="189">
        <f>(F16-$C$16)/$C$16</f>
        <v>-4.1235108887317682E-3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-0.10371115994108127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-0.2032988088016531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9.5464137307982422E-2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0.1950517879048467</v>
      </c>
      <c r="X16" s="188">
        <f>SUM(X7:X15)</f>
        <v>213450965.49504656</v>
      </c>
      <c r="Z16" s="188">
        <f>SUM(Z7:Z15)</f>
        <v>62513576.000000037</v>
      </c>
      <c r="AA16" s="189">
        <f>(Z16-$C$16)/$C$16</f>
        <v>0.62315688369213074</v>
      </c>
      <c r="AB16" s="188">
        <f>SUM(AB7:AB15)</f>
        <v>375520674.36634612</v>
      </c>
    </row>
    <row r="17" spans="1:24" x14ac:dyDescent="0.25">
      <c r="D17" s="97">
        <f>D16/C16</f>
        <v>7.3782004701959414</v>
      </c>
    </row>
    <row r="19" spans="1:24" ht="26.85" customHeight="1" x14ac:dyDescent="0.25">
      <c r="F19" s="602" t="str">
        <f>F4</f>
        <v>Optimal channel spend allowed to vary between +/- 30% of the 2021 channel spend</v>
      </c>
      <c r="G19" s="602"/>
      <c r="H19" s="602"/>
      <c r="I19" s="602"/>
      <c r="J19" s="602"/>
      <c r="K19" s="602"/>
      <c r="L19" s="602"/>
      <c r="M19" s="602"/>
      <c r="N19" s="602"/>
      <c r="O19" s="602"/>
      <c r="P19" s="602"/>
    </row>
    <row r="20" spans="1:24" ht="30.4" customHeight="1" x14ac:dyDescent="0.25">
      <c r="C20" s="607" t="s">
        <v>251</v>
      </c>
      <c r="D20" s="608"/>
      <c r="E20" s="190"/>
      <c r="F20" s="598" t="str">
        <f>F5</f>
        <v>Current Optimal ($38MM)</v>
      </c>
      <c r="G20" s="599"/>
      <c r="H20" s="600"/>
      <c r="I20" s="191"/>
      <c r="J20" s="598" t="str">
        <f>J5</f>
        <v>10% reduction optimal ($35M)</v>
      </c>
      <c r="K20" s="599"/>
      <c r="L20" s="600"/>
      <c r="M20" s="191"/>
      <c r="N20" s="598" t="str">
        <f>N5</f>
        <v>20% reduction optimal ($31M)</v>
      </c>
      <c r="O20" s="599"/>
      <c r="P20" s="600"/>
      <c r="R20" s="598" t="str">
        <f>R5</f>
        <v>10% increase optimal ($42M)</v>
      </c>
      <c r="S20" s="599"/>
      <c r="T20" s="600"/>
      <c r="V20" s="598" t="str">
        <f>V5</f>
        <v>20% increase optimal ($46M)</v>
      </c>
      <c r="W20" s="599"/>
      <c r="X20" s="600"/>
    </row>
    <row r="21" spans="1:24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4" x14ac:dyDescent="0.25">
      <c r="A22" s="172">
        <f>D22/C22</f>
        <v>3.6083065090601982</v>
      </c>
      <c r="B22" s="184" t="str">
        <f>B7</f>
        <v>HCC In Office</v>
      </c>
      <c r="C22" s="196">
        <f>C7/1000000</f>
        <v>1</v>
      </c>
      <c r="D22" s="282">
        <f>D7/1000000</f>
        <v>3.6083065090601982</v>
      </c>
      <c r="E22" s="198"/>
      <c r="F22" s="199">
        <f>F7/1000000</f>
        <v>3.081</v>
      </c>
      <c r="G22" s="200">
        <f>G7</f>
        <v>0.3</v>
      </c>
      <c r="H22" s="277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7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7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7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9.9440299505531424</v>
      </c>
      <c r="B23" s="184" t="str">
        <f t="shared" ref="B23:B30" si="2">B8</f>
        <v>HCP MCM</v>
      </c>
      <c r="C23" s="202">
        <f t="shared" ref="C23:D23" si="3">C8/1000000</f>
        <v>7.7757779999999999</v>
      </c>
      <c r="D23" s="283">
        <f t="shared" si="3"/>
        <v>77.32256932085221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8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8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8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8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8.6553889697359896</v>
      </c>
      <c r="B24" s="184" t="str">
        <f t="shared" si="2"/>
        <v>HCC Social</v>
      </c>
      <c r="C24" s="202">
        <f t="shared" ref="C24:D24" si="19">C9/1000000</f>
        <v>1.84</v>
      </c>
      <c r="D24" s="283">
        <f t="shared" si="19"/>
        <v>15.925915704314221</v>
      </c>
      <c r="E24" s="198"/>
      <c r="F24" s="204">
        <f t="shared" si="4"/>
        <v>2.9380000000000002</v>
      </c>
      <c r="G24" s="205">
        <f t="shared" si="5"/>
        <v>0.3</v>
      </c>
      <c r="H24" s="278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8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8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8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2.7821695029491207</v>
      </c>
      <c r="B25" s="184" t="str">
        <f t="shared" si="2"/>
        <v>HCC Online Video</v>
      </c>
      <c r="C25" s="202">
        <f t="shared" ref="C25:D25" si="20">C10/1000000</f>
        <v>1.22</v>
      </c>
      <c r="D25" s="283">
        <f t="shared" si="20"/>
        <v>3.3942467935979272</v>
      </c>
      <c r="E25" s="198"/>
      <c r="F25" s="204">
        <f t="shared" si="4"/>
        <v>0.69299999999999995</v>
      </c>
      <c r="G25" s="205">
        <f t="shared" si="5"/>
        <v>-0.3</v>
      </c>
      <c r="H25" s="278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8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8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8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5.6987623839397816</v>
      </c>
      <c r="B26" s="184" t="str">
        <f t="shared" si="2"/>
        <v>HCC Streaming Video</v>
      </c>
      <c r="C26" s="202">
        <f t="shared" ref="C26:D26" si="21">C11/1000000</f>
        <v>4.8177979999999998</v>
      </c>
      <c r="D26" s="283">
        <f t="shared" si="21"/>
        <v>27.455486015820313</v>
      </c>
      <c r="E26" s="198"/>
      <c r="F26" s="204">
        <f t="shared" si="4"/>
        <v>3.9416439999999997</v>
      </c>
      <c r="G26" s="205">
        <f t="shared" si="5"/>
        <v>-0.3000000000000001</v>
      </c>
      <c r="H26" s="278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8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8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8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11.099089974504716</v>
      </c>
      <c r="B27" s="184" t="str">
        <f t="shared" si="2"/>
        <v>HCC Display</v>
      </c>
      <c r="C27" s="202">
        <f t="shared" ref="C27:D27" si="22">C12/1000000</f>
        <v>3.54</v>
      </c>
      <c r="D27" s="283">
        <f t="shared" si="22"/>
        <v>39.290778509746694</v>
      </c>
      <c r="E27" s="198"/>
      <c r="F27" s="204">
        <f t="shared" si="4"/>
        <v>1.9214</v>
      </c>
      <c r="G27" s="205">
        <f t="shared" si="5"/>
        <v>0.3</v>
      </c>
      <c r="H27" s="278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8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8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8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81.924914710800579</v>
      </c>
      <c r="B28" s="184" t="str">
        <f t="shared" si="2"/>
        <v>HCC Paid Search</v>
      </c>
      <c r="C28" s="202">
        <f t="shared" ref="C28:D28" si="23">C13/1000000</f>
        <v>0.4</v>
      </c>
      <c r="D28" s="283">
        <f t="shared" si="23"/>
        <v>32.769965884320236</v>
      </c>
      <c r="E28" s="198"/>
      <c r="F28" s="204">
        <f t="shared" si="4"/>
        <v>1.232</v>
      </c>
      <c r="G28" s="205">
        <f t="shared" si="5"/>
        <v>-0.3</v>
      </c>
      <c r="H28" s="278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8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8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8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9.3235998820505266</v>
      </c>
      <c r="B29" s="184" t="str">
        <f t="shared" si="2"/>
        <v>HCC Audio</v>
      </c>
      <c r="C29" s="202">
        <f t="shared" ref="C29:D29" si="24">C14/1000000</f>
        <v>2.2200000000000002</v>
      </c>
      <c r="D29" s="283">
        <f t="shared" si="24"/>
        <v>20.698391738152171</v>
      </c>
      <c r="E29" s="198"/>
      <c r="F29" s="204">
        <f t="shared" si="4"/>
        <v>1.5996708943365674</v>
      </c>
      <c r="G29" s="205">
        <f t="shared" si="5"/>
        <v>0.22552253957265472</v>
      </c>
      <c r="H29" s="278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8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8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8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4.0570206418002011</v>
      </c>
      <c r="B30" s="184" t="str">
        <f t="shared" si="2"/>
        <v>HCC TV</v>
      </c>
      <c r="C30" s="202">
        <f t="shared" ref="C30:D30" si="25">C15/1000000</f>
        <v>15.7</v>
      </c>
      <c r="D30" s="283">
        <f t="shared" si="25"/>
        <v>63.695224076263159</v>
      </c>
      <c r="E30" s="198"/>
      <c r="F30" s="204">
        <f t="shared" si="4"/>
        <v>15.034299955663437</v>
      </c>
      <c r="G30" s="205">
        <f t="shared" si="5"/>
        <v>-8.7339507991325518E-2</v>
      </c>
      <c r="H30" s="278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8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8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8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218</v>
      </c>
      <c r="C31" s="208">
        <f>C16/1000000</f>
        <v>38.513576</v>
      </c>
      <c r="D31" s="284">
        <f>D16/1000000</f>
        <v>284.16088455212713</v>
      </c>
      <c r="E31" s="210"/>
      <c r="F31" s="211">
        <f>F16/1000000</f>
        <v>38.354764850000002</v>
      </c>
      <c r="G31" s="212">
        <f>G16</f>
        <v>-4.1235108887317682E-3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-0.10371115994108127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-0.2032988088016531</v>
      </c>
      <c r="P31" s="216">
        <f>P16/1000000</f>
        <v>171.84721496344179</v>
      </c>
      <c r="R31" s="211">
        <f>R16/1000000</f>
        <v>42.190241307485415</v>
      </c>
      <c r="S31" s="212">
        <f>S16</f>
        <v>9.5464137307982422E-2</v>
      </c>
      <c r="T31" s="216">
        <f>T16/1000000</f>
        <v>204.84918554615189</v>
      </c>
      <c r="V31" s="211">
        <f>V16/1000000</f>
        <v>46.025717857409191</v>
      </c>
      <c r="W31" s="212">
        <f>W16</f>
        <v>0.1950517879048467</v>
      </c>
      <c r="X31" s="213">
        <f>X16/1000000</f>
        <v>213.45096549504655</v>
      </c>
    </row>
    <row r="32" spans="1:24" ht="45" x14ac:dyDescent="0.25">
      <c r="B32" s="279" t="s">
        <v>252</v>
      </c>
      <c r="C32" s="208"/>
      <c r="D32" s="209"/>
      <c r="E32" s="210"/>
      <c r="F32" s="211"/>
      <c r="G32" s="212"/>
      <c r="H32" s="281" t="s">
        <v>260</v>
      </c>
      <c r="I32" s="210"/>
      <c r="J32" s="211"/>
      <c r="K32" s="212"/>
      <c r="L32" s="281" t="s">
        <v>261</v>
      </c>
      <c r="M32" s="210"/>
      <c r="N32" s="211"/>
      <c r="O32" s="212"/>
      <c r="P32" s="215" t="s">
        <v>262</v>
      </c>
      <c r="R32" s="211"/>
      <c r="S32" s="212"/>
      <c r="T32" s="281" t="s">
        <v>263</v>
      </c>
      <c r="V32" s="211"/>
      <c r="W32" s="212"/>
      <c r="X32" s="281" t="s">
        <v>264</v>
      </c>
    </row>
    <row r="33" spans="2:24" x14ac:dyDescent="0.25">
      <c r="H33" s="216">
        <f>(H31-$D$31)</f>
        <v>-88.519810027995618</v>
      </c>
      <c r="L33" s="216">
        <f>(L31-$D$31)</f>
        <v>-98.560822841839297</v>
      </c>
      <c r="P33" s="216">
        <f>(P31-$D$31)</f>
        <v>-112.31366958868534</v>
      </c>
      <c r="T33" s="216">
        <f>(T31-$D$31)</f>
        <v>-79.311699005975242</v>
      </c>
      <c r="X33" s="216">
        <f>(X31-$D$31)</f>
        <v>-70.709919057080583</v>
      </c>
    </row>
    <row r="34" spans="2:24" x14ac:dyDescent="0.25">
      <c r="H34" s="280">
        <f>H33/$D$31</f>
        <v>-0.31151300140240568</v>
      </c>
      <c r="L34" s="280">
        <f>L33/$D$31</f>
        <v>-0.34684866285232535</v>
      </c>
      <c r="P34" s="280">
        <f>P33/$D$31</f>
        <v>-0.39524676228998107</v>
      </c>
      <c r="T34" s="280">
        <f>T33/$D$31</f>
        <v>-0.27910843229172916</v>
      </c>
      <c r="X34" s="280">
        <f>X33/$D$31</f>
        <v>-0.24883762298434636</v>
      </c>
    </row>
    <row r="36" spans="2:24" x14ac:dyDescent="0.25">
      <c r="B36" s="603" t="s">
        <v>254</v>
      </c>
      <c r="C36" s="603"/>
      <c r="D36" s="603"/>
      <c r="E36" s="603"/>
      <c r="F36" s="603"/>
      <c r="G36" s="603"/>
      <c r="H36" s="603"/>
      <c r="I36" s="603"/>
      <c r="J36" s="603"/>
      <c r="K36" s="603"/>
      <c r="L36" s="603"/>
      <c r="M36" s="603"/>
      <c r="N36" s="603"/>
      <c r="O36" s="603"/>
      <c r="P36" s="603"/>
      <c r="Q36" s="603"/>
      <c r="R36" s="603"/>
      <c r="S36" s="603"/>
      <c r="T36" s="603"/>
    </row>
    <row r="37" spans="2:24" x14ac:dyDescent="0.25">
      <c r="B37" s="603"/>
      <c r="C37" s="603"/>
      <c r="D37" s="603"/>
      <c r="E37" s="603"/>
      <c r="F37" s="603"/>
      <c r="G37" s="603"/>
      <c r="H37" s="603"/>
      <c r="I37" s="603"/>
      <c r="J37" s="603"/>
      <c r="K37" s="603"/>
      <c r="L37" s="603"/>
      <c r="M37" s="603"/>
      <c r="N37" s="603"/>
      <c r="O37" s="603"/>
      <c r="P37" s="603"/>
      <c r="Q37" s="603"/>
      <c r="R37" s="603"/>
      <c r="S37" s="603"/>
      <c r="T37" s="603"/>
    </row>
    <row r="39" spans="2:24" x14ac:dyDescent="0.25">
      <c r="F39" s="598" t="s">
        <v>243</v>
      </c>
      <c r="G39" s="599"/>
      <c r="H39" s="600"/>
      <c r="I39" s="181"/>
      <c r="J39" s="598" t="s">
        <v>210</v>
      </c>
      <c r="K39" s="599"/>
      <c r="L39" s="600"/>
      <c r="M39" s="181"/>
      <c r="N39" s="598" t="s">
        <v>211</v>
      </c>
      <c r="O39" s="599"/>
      <c r="P39" s="600"/>
      <c r="R39" s="604"/>
      <c r="S39" s="605"/>
      <c r="T39" s="606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601" t="str">
        <f>B36</f>
        <v>Optimal Channel Spend  allowed to vary between  of the 2021 spend</v>
      </c>
      <c r="G53" s="601"/>
      <c r="H53" s="601"/>
      <c r="I53" s="601"/>
      <c r="J53" s="601"/>
      <c r="K53" s="601"/>
      <c r="L53" s="601"/>
      <c r="M53" s="601"/>
      <c r="N53" s="601"/>
      <c r="O53" s="601"/>
      <c r="P53" s="601"/>
    </row>
    <row r="54" spans="2:20" x14ac:dyDescent="0.25">
      <c r="C54" s="607" t="s">
        <v>244</v>
      </c>
      <c r="D54" s="608"/>
      <c r="E54" s="190"/>
      <c r="F54" s="598" t="str">
        <f>F39</f>
        <v>Current Optimal ($MM)</v>
      </c>
      <c r="G54" s="599"/>
      <c r="H54" s="600"/>
      <c r="I54" s="191"/>
      <c r="J54" s="598" t="str">
        <f>J39</f>
        <v>10% reduction optimal ($)</v>
      </c>
      <c r="K54" s="599"/>
      <c r="L54" s="600"/>
      <c r="M54" s="191"/>
      <c r="N54" s="598" t="str">
        <f>N39</f>
        <v>20% reduction optimal ()</v>
      </c>
      <c r="O54" s="599"/>
      <c r="P54" s="600"/>
      <c r="R54" s="609"/>
      <c r="S54" s="610"/>
      <c r="T54" s="611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217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218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115" priority="17" operator="lessThan">
      <formula>0</formula>
    </cfRule>
    <cfRule type="cellIs" dxfId="114" priority="18" operator="greaterThan">
      <formula>0</formula>
    </cfRule>
  </conditionalFormatting>
  <conditionalFormatting sqref="K22:K30">
    <cfRule type="cellIs" dxfId="113" priority="15" operator="lessThan">
      <formula>0</formula>
    </cfRule>
    <cfRule type="cellIs" dxfId="112" priority="16" operator="greaterThan">
      <formula>0</formula>
    </cfRule>
  </conditionalFormatting>
  <conditionalFormatting sqref="O22:O30">
    <cfRule type="cellIs" dxfId="111" priority="13" operator="lessThan">
      <formula>0</formula>
    </cfRule>
    <cfRule type="cellIs" dxfId="110" priority="14" operator="greaterThan">
      <formula>0</formula>
    </cfRule>
  </conditionalFormatting>
  <conditionalFormatting sqref="S22:S30">
    <cfRule type="cellIs" dxfId="109" priority="11" operator="lessThan">
      <formula>0</formula>
    </cfRule>
    <cfRule type="cellIs" dxfId="108" priority="12" operator="greaterThan">
      <formula>0</formula>
    </cfRule>
  </conditionalFormatting>
  <conditionalFormatting sqref="G56:G63">
    <cfRule type="cellIs" dxfId="107" priority="9" operator="lessThan">
      <formula>0</formula>
    </cfRule>
    <cfRule type="cellIs" dxfId="106" priority="10" operator="greaterThan">
      <formula>0</formula>
    </cfRule>
  </conditionalFormatting>
  <conditionalFormatting sqref="K56:K63">
    <cfRule type="cellIs" dxfId="105" priority="7" operator="lessThan">
      <formula>0</formula>
    </cfRule>
    <cfRule type="cellIs" dxfId="104" priority="8" operator="greaterThan">
      <formula>0</formula>
    </cfRule>
  </conditionalFormatting>
  <conditionalFormatting sqref="O56:O63">
    <cfRule type="cellIs" dxfId="103" priority="5" operator="lessThan">
      <formula>0</formula>
    </cfRule>
    <cfRule type="cellIs" dxfId="102" priority="6" operator="greaterThan">
      <formula>0</formula>
    </cfRule>
  </conditionalFormatting>
  <conditionalFormatting sqref="S56:S63">
    <cfRule type="cellIs" dxfId="101" priority="3" operator="lessThan">
      <formula>0</formula>
    </cfRule>
    <cfRule type="cellIs" dxfId="100" priority="4" operator="greaterThan">
      <formula>0</formula>
    </cfRule>
  </conditionalFormatting>
  <conditionalFormatting sqref="W22:W30">
    <cfRule type="cellIs" dxfId="99" priority="1" operator="lessThan">
      <formula>0</formula>
    </cfRule>
    <cfRule type="cellIs" dxfId="9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602" t="s">
        <v>250</v>
      </c>
      <c r="G4" s="602"/>
      <c r="H4" s="602"/>
      <c r="I4" s="602"/>
      <c r="J4" s="602"/>
      <c r="K4" s="602"/>
      <c r="L4" s="602"/>
      <c r="M4" s="602"/>
      <c r="N4" s="602"/>
      <c r="O4" s="602"/>
      <c r="P4" s="602"/>
    </row>
    <row r="5" spans="1:28" x14ac:dyDescent="0.25">
      <c r="F5" s="598" t="s">
        <v>272</v>
      </c>
      <c r="G5" s="599"/>
      <c r="H5" s="600"/>
      <c r="I5" s="181"/>
      <c r="J5" s="598" t="s">
        <v>278</v>
      </c>
      <c r="K5" s="599"/>
      <c r="L5" s="600"/>
      <c r="M5" s="181"/>
      <c r="N5" s="598" t="s">
        <v>279</v>
      </c>
      <c r="O5" s="599"/>
      <c r="P5" s="600"/>
      <c r="R5" s="598" t="s">
        <v>280</v>
      </c>
      <c r="S5" s="599"/>
      <c r="T5" s="600"/>
      <c r="V5" s="598" t="s">
        <v>281</v>
      </c>
      <c r="W5" s="599"/>
      <c r="X5" s="600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VAC_Optim_Scenario!B21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VAC_Optim_Scenario!$H51</f>
        <v>1540173.2513926297</v>
      </c>
      <c r="AA7" s="177">
        <f>(Z7-$C7)/$C7</f>
        <v>-9.4015734474923715E-2</v>
      </c>
      <c r="AB7" s="185">
        <f>VAC_Optim_Scenario!$J51</f>
        <v>5027050.4165755827</v>
      </c>
    </row>
    <row r="8" spans="1:28" x14ac:dyDescent="0.25">
      <c r="A8" s="180"/>
      <c r="B8" s="184" t="str">
        <f>VAC_Optim_Scenario!B22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VAC_Optim_Scenario!$H52</f>
        <v>13899615.099674361</v>
      </c>
      <c r="AA8" s="177">
        <f t="shared" ref="AA8:AA15" si="0">(Z8-$C8)/$C8</f>
        <v>1.4198999804442922</v>
      </c>
      <c r="AB8" s="185">
        <f>VAC_Optim_Scenario!$J52</f>
        <v>100236529.00149192</v>
      </c>
    </row>
    <row r="9" spans="1:28" x14ac:dyDescent="0.25">
      <c r="A9" s="180"/>
      <c r="B9" s="184" t="str">
        <f>VAC_Optim_Scenario!B23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VAC_Optim_Scenario!$H53</f>
        <v>6500000</v>
      </c>
      <c r="AA9" s="177">
        <f t="shared" si="0"/>
        <v>2.8235294117647061</v>
      </c>
      <c r="AB9" s="185">
        <f>VAC_Optim_Scenario!$J53</f>
        <v>33959534.839013599</v>
      </c>
    </row>
    <row r="10" spans="1:28" x14ac:dyDescent="0.25">
      <c r="A10" s="180"/>
      <c r="B10" s="184" t="str">
        <f>VAC_Optim_Scenario!B24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VAC_Optim_Scenario!$H54</f>
        <v>1000000</v>
      </c>
      <c r="AA10" s="177">
        <f t="shared" si="0"/>
        <v>1</v>
      </c>
      <c r="AB10" s="185">
        <f>VAC_Optim_Scenario!$J54</f>
        <v>3357832.8692201264</v>
      </c>
    </row>
    <row r="11" spans="1:28" x14ac:dyDescent="0.25">
      <c r="A11" s="180"/>
      <c r="B11" s="184" t="str">
        <f>VAC_Optim_Scenario!B25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VAC_Optim_Scenario!$H55</f>
        <v>12070112.999999998</v>
      </c>
      <c r="AA11" s="177">
        <f t="shared" si="0"/>
        <v>0.98199000442700468</v>
      </c>
      <c r="AB11" s="185">
        <f>VAC_Optim_Scenario!$J55</f>
        <v>52219542.216157258</v>
      </c>
    </row>
    <row r="12" spans="1:28" x14ac:dyDescent="0.25">
      <c r="A12" s="180"/>
      <c r="B12" s="184" t="str">
        <f>VAC_Optim_Scenario!B26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VAC_Optim_Scenario!$H56</f>
        <v>6603674.6489330456</v>
      </c>
      <c r="AA12" s="177">
        <f t="shared" si="0"/>
        <v>4.0237312619688801</v>
      </c>
      <c r="AB12" s="185">
        <f>VAC_Optim_Scenario!$J56</f>
        <v>51379707.531912059</v>
      </c>
    </row>
    <row r="13" spans="1:28" x14ac:dyDescent="0.25">
      <c r="A13" s="180"/>
      <c r="B13" s="184" t="str">
        <f>VAC_Optim_Scenario!B27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VAC_Optim_Scenario!$H57</f>
        <v>400000</v>
      </c>
      <c r="AA13" s="177">
        <f t="shared" si="0"/>
        <v>-0.33333333333333331</v>
      </c>
      <c r="AB13" s="185">
        <f>VAC_Optim_Scenario!$J57</f>
        <v>32769965.884320233</v>
      </c>
    </row>
    <row r="14" spans="1:28" x14ac:dyDescent="0.25">
      <c r="A14" s="180"/>
      <c r="B14" s="184" t="str">
        <f>VAC_Optim_Scenario!B28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VAC_Optim_Scenario!$H58</f>
        <v>4800000</v>
      </c>
      <c r="AA14" s="177">
        <f t="shared" si="0"/>
        <v>2.2000000000000002</v>
      </c>
      <c r="AB14" s="185">
        <f>VAC_Optim_Scenario!$J58</f>
        <v>32875287.531392161</v>
      </c>
    </row>
    <row r="15" spans="1:28" x14ac:dyDescent="0.25">
      <c r="A15" s="180"/>
      <c r="B15" s="184" t="str">
        <f>VAC_Optim_Scenario!B29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VAC_Optim_Scenario!$H59</f>
        <v>15700000</v>
      </c>
      <c r="AA15" s="177">
        <f t="shared" si="0"/>
        <v>3.0480713739559458E-2</v>
      </c>
      <c r="AB15" s="185">
        <f>VAC_Optim_Scenario!$J59</f>
        <v>63695224.07626316</v>
      </c>
    </row>
    <row r="16" spans="1:28" ht="34.35" customHeight="1" x14ac:dyDescent="0.25">
      <c r="B16" s="187" t="s">
        <v>218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62513576.000000037</v>
      </c>
      <c r="AA16" s="189">
        <f>(Z16-$C$16)/$C$16</f>
        <v>0.81810710029297051</v>
      </c>
      <c r="AB16" s="188">
        <f>SUM(AB7:AB15)</f>
        <v>375520674.36634612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602" t="str">
        <f>F4</f>
        <v>Optimal channel spend allowed to vary between +/- 30% of the 2021 channel spend</v>
      </c>
      <c r="G19" s="602"/>
      <c r="H19" s="602"/>
      <c r="I19" s="602"/>
      <c r="J19" s="602"/>
      <c r="K19" s="602"/>
      <c r="L19" s="602"/>
      <c r="M19" s="602"/>
      <c r="N19" s="602"/>
      <c r="O19" s="602"/>
      <c r="P19" s="602"/>
    </row>
    <row r="20" spans="1:28" ht="30.4" customHeight="1" x14ac:dyDescent="0.25">
      <c r="C20" s="607" t="s">
        <v>269</v>
      </c>
      <c r="D20" s="608"/>
      <c r="E20" s="190"/>
      <c r="F20" s="598" t="str">
        <f>F5</f>
        <v>Current Optimal ($34MM)</v>
      </c>
      <c r="G20" s="599"/>
      <c r="H20" s="600"/>
      <c r="I20" s="191"/>
      <c r="J20" s="598" t="str">
        <f>J5</f>
        <v>3% reduction optimal ($33M)</v>
      </c>
      <c r="K20" s="599"/>
      <c r="L20" s="600"/>
      <c r="M20" s="191"/>
      <c r="N20" s="598" t="str">
        <f>N5</f>
        <v>7% reduction optimal ($32M)</v>
      </c>
      <c r="O20" s="599"/>
      <c r="P20" s="600"/>
      <c r="R20" s="598" t="str">
        <f>R5</f>
        <v>5% increase optimal ($36M)</v>
      </c>
      <c r="S20" s="599"/>
      <c r="T20" s="600"/>
      <c r="V20" s="598" t="str">
        <f>V5</f>
        <v>10% increase optimal ($38M)</v>
      </c>
      <c r="W20" s="599"/>
      <c r="X20" s="600"/>
    </row>
    <row r="21" spans="1:28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2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7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7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7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7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3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8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8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8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8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3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8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8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8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8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3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8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8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8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8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3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8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8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8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8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3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8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8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8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8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3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8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8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8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8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3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8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8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8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8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3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8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8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8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8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218</v>
      </c>
      <c r="C31" s="208">
        <f>C16/1000000</f>
        <v>34.383879799999995</v>
      </c>
      <c r="D31" s="284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79" t="s">
        <v>268</v>
      </c>
      <c r="C32" s="208"/>
      <c r="D32" s="209"/>
      <c r="E32" s="210"/>
      <c r="F32" s="211"/>
      <c r="G32" s="212"/>
      <c r="H32" s="281" t="s">
        <v>273</v>
      </c>
      <c r="I32" s="210"/>
      <c r="J32" s="211"/>
      <c r="K32" s="212"/>
      <c r="L32" s="215" t="s">
        <v>274</v>
      </c>
      <c r="M32" s="210"/>
      <c r="N32" s="211"/>
      <c r="O32" s="212"/>
      <c r="P32" s="215" t="s">
        <v>275</v>
      </c>
      <c r="R32" s="211"/>
      <c r="S32" s="212"/>
      <c r="T32" s="281" t="s">
        <v>276</v>
      </c>
      <c r="V32" s="211"/>
      <c r="W32" s="212"/>
      <c r="X32" s="281" t="s">
        <v>277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0">
        <f>H33/$D$31</f>
        <v>1.010961034945008E-2</v>
      </c>
      <c r="L34" s="280">
        <f>L33/$D$31</f>
        <v>-2.5436436099334714E-2</v>
      </c>
      <c r="P34" s="280">
        <f>P33/$D$31</f>
        <v>-7.9803790183362186E-2</v>
      </c>
      <c r="T34" s="280">
        <f>T33/$D$31</f>
        <v>6.3913368952552674E-2</v>
      </c>
      <c r="X34" s="280">
        <f>X33/$D$31</f>
        <v>0.10291417534329195</v>
      </c>
    </row>
    <row r="36" spans="2:24" x14ac:dyDescent="0.25">
      <c r="B36" s="603" t="s">
        <v>254</v>
      </c>
      <c r="C36" s="603"/>
      <c r="D36" s="603"/>
      <c r="E36" s="603"/>
      <c r="F36" s="603"/>
      <c r="G36" s="603"/>
      <c r="H36" s="603"/>
      <c r="I36" s="603"/>
      <c r="J36" s="603"/>
      <c r="K36" s="603"/>
      <c r="L36" s="603"/>
      <c r="M36" s="603"/>
      <c r="N36" s="603"/>
      <c r="O36" s="603"/>
      <c r="P36" s="603"/>
      <c r="Q36" s="603"/>
      <c r="R36" s="603"/>
      <c r="S36" s="603"/>
      <c r="T36" s="603"/>
    </row>
    <row r="37" spans="2:24" x14ac:dyDescent="0.25">
      <c r="B37" s="603"/>
      <c r="C37" s="603"/>
      <c r="D37" s="603"/>
      <c r="E37" s="603"/>
      <c r="F37" s="603"/>
      <c r="G37" s="603"/>
      <c r="H37" s="603"/>
      <c r="I37" s="603"/>
      <c r="J37" s="603"/>
      <c r="K37" s="603"/>
      <c r="L37" s="603"/>
      <c r="M37" s="603"/>
      <c r="N37" s="603"/>
      <c r="O37" s="603"/>
      <c r="P37" s="603"/>
      <c r="Q37" s="603"/>
      <c r="R37" s="603"/>
      <c r="S37" s="603"/>
      <c r="T37" s="603"/>
    </row>
    <row r="39" spans="2:24" x14ac:dyDescent="0.25">
      <c r="F39" s="598" t="s">
        <v>243</v>
      </c>
      <c r="G39" s="599"/>
      <c r="H39" s="600"/>
      <c r="I39" s="181"/>
      <c r="J39" s="598" t="s">
        <v>210</v>
      </c>
      <c r="K39" s="599"/>
      <c r="L39" s="600"/>
      <c r="M39" s="181"/>
      <c r="N39" s="598" t="s">
        <v>211</v>
      </c>
      <c r="O39" s="599"/>
      <c r="P39" s="600"/>
      <c r="R39" s="604"/>
      <c r="S39" s="605"/>
      <c r="T39" s="606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601" t="str">
        <f>B36</f>
        <v>Optimal Channel Spend  allowed to vary between  of the 2021 spend</v>
      </c>
      <c r="G53" s="601"/>
      <c r="H53" s="601"/>
      <c r="I53" s="601"/>
      <c r="J53" s="601"/>
      <c r="K53" s="601"/>
      <c r="L53" s="601"/>
      <c r="M53" s="601"/>
      <c r="N53" s="601"/>
      <c r="O53" s="601"/>
      <c r="P53" s="601"/>
    </row>
    <row r="54" spans="2:20" x14ac:dyDescent="0.25">
      <c r="C54" s="607" t="s">
        <v>244</v>
      </c>
      <c r="D54" s="608"/>
      <c r="E54" s="190"/>
      <c r="F54" s="598" t="str">
        <f>F39</f>
        <v>Current Optimal ($MM)</v>
      </c>
      <c r="G54" s="599"/>
      <c r="H54" s="600"/>
      <c r="I54" s="191"/>
      <c r="J54" s="598" t="str">
        <f>J39</f>
        <v>10% reduction optimal ($)</v>
      </c>
      <c r="K54" s="599"/>
      <c r="L54" s="600"/>
      <c r="M54" s="191"/>
      <c r="N54" s="598" t="str">
        <f>N39</f>
        <v>20% reduction optimal ()</v>
      </c>
      <c r="O54" s="599"/>
      <c r="P54" s="600"/>
      <c r="R54" s="609"/>
      <c r="S54" s="610"/>
      <c r="T54" s="611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217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218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2"/>
      <c r="J67" s="322"/>
      <c r="K67" s="322"/>
      <c r="L67" s="177" t="e">
        <f>L66/$D$64</f>
        <v>#DIV/0!</v>
      </c>
      <c r="M67" s="322"/>
      <c r="N67" s="322"/>
      <c r="O67" s="322"/>
      <c r="P67" s="177" t="e">
        <f>P66/$D$64</f>
        <v>#DIV/0!</v>
      </c>
      <c r="Q67" s="322"/>
      <c r="R67" s="322"/>
      <c r="S67" s="322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97" priority="17" operator="lessThan">
      <formula>0</formula>
    </cfRule>
    <cfRule type="cellIs" dxfId="96" priority="18" operator="greaterThan">
      <formula>0</formula>
    </cfRule>
  </conditionalFormatting>
  <conditionalFormatting sqref="K22:K30">
    <cfRule type="cellIs" dxfId="95" priority="15" operator="lessThan">
      <formula>0</formula>
    </cfRule>
    <cfRule type="cellIs" dxfId="94" priority="16" operator="greaterThan">
      <formula>0</formula>
    </cfRule>
  </conditionalFormatting>
  <conditionalFormatting sqref="O22:O30">
    <cfRule type="cellIs" dxfId="93" priority="13" operator="lessThan">
      <formula>0</formula>
    </cfRule>
    <cfRule type="cellIs" dxfId="92" priority="14" operator="greaterThan">
      <formula>0</formula>
    </cfRule>
  </conditionalFormatting>
  <conditionalFormatting sqref="S22:S30">
    <cfRule type="cellIs" dxfId="91" priority="11" operator="lessThan">
      <formula>0</formula>
    </cfRule>
    <cfRule type="cellIs" dxfId="90" priority="12" operator="greaterThan">
      <formula>0</formula>
    </cfRule>
  </conditionalFormatting>
  <conditionalFormatting sqref="G56:G63">
    <cfRule type="cellIs" dxfId="89" priority="9" operator="lessThan">
      <formula>0</formula>
    </cfRule>
    <cfRule type="cellIs" dxfId="88" priority="10" operator="greaterThan">
      <formula>0</formula>
    </cfRule>
  </conditionalFormatting>
  <conditionalFormatting sqref="K56:K63">
    <cfRule type="cellIs" dxfId="87" priority="7" operator="lessThan">
      <formula>0</formula>
    </cfRule>
    <cfRule type="cellIs" dxfId="86" priority="8" operator="greaterThan">
      <formula>0</formula>
    </cfRule>
  </conditionalFormatting>
  <conditionalFormatting sqref="O56:O63">
    <cfRule type="cellIs" dxfId="85" priority="5" operator="lessThan">
      <formula>0</formula>
    </cfRule>
    <cfRule type="cellIs" dxfId="84" priority="6" operator="greaterThan">
      <formula>0</formula>
    </cfRule>
  </conditionalFormatting>
  <conditionalFormatting sqref="S56:S63">
    <cfRule type="cellIs" dxfId="83" priority="3" operator="lessThan">
      <formula>0</formula>
    </cfRule>
    <cfRule type="cellIs" dxfId="82" priority="4" operator="greaterThan">
      <formula>0</formula>
    </cfRule>
  </conditionalFormatting>
  <conditionalFormatting sqref="W22:W30">
    <cfRule type="cellIs" dxfId="81" priority="1" operator="lessThan">
      <formula>0</formula>
    </cfRule>
    <cfRule type="cellIs" dxfId="8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612" t="s">
        <v>2</v>
      </c>
      <c r="C3" s="614" t="s">
        <v>3</v>
      </c>
      <c r="D3" s="615" t="s">
        <v>233</v>
      </c>
      <c r="E3" s="616"/>
      <c r="F3" s="615" t="s">
        <v>234</v>
      </c>
      <c r="G3" s="616"/>
      <c r="H3" s="615" t="s">
        <v>235</v>
      </c>
      <c r="I3" s="616"/>
      <c r="K3" s="612" t="s">
        <v>2</v>
      </c>
      <c r="L3" s="614" t="s">
        <v>3</v>
      </c>
      <c r="M3" s="615" t="s">
        <v>233</v>
      </c>
      <c r="N3" s="616"/>
      <c r="O3" s="615" t="s">
        <v>234</v>
      </c>
      <c r="P3" s="616"/>
      <c r="Q3" s="615" t="s">
        <v>235</v>
      </c>
      <c r="R3" s="616"/>
    </row>
    <row r="4" spans="2:20" ht="25.5" x14ac:dyDescent="0.25">
      <c r="B4" s="613"/>
      <c r="C4" s="613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613"/>
      <c r="L4" s="613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VAC_Optim_Scenario!B21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VAC_Optim_Scenario!B21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VAC_Optim_Scenario!B22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VAC_Optim_Scenario!B22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VAC_Optim_Scenario!B23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VAC_Optim_Scenario!B23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VAC_Optim_Scenario!B24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VAC_Optim_Scenario!B24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VAC_Optim_Scenario!B25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VAC_Optim_Scenario!B25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VAC_Optim_Scenario!B26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VAC_Optim_Scenario!B26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VAC_Optim_Scenario!B27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VAC_Optim_Scenario!B27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VAC_Optim_Scenario!B28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VAC_Optim_Scenario!B28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VAC_Optim_Scenario!B29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VAC_Optim_Scenario!B29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1"/>
    </row>
    <row r="15" spans="2:20" x14ac:dyDescent="0.25">
      <c r="C15" s="228" t="s">
        <v>239</v>
      </c>
    </row>
    <row r="16" spans="2:20" x14ac:dyDescent="0.25">
      <c r="F16" s="330"/>
      <c r="G16" s="330"/>
    </row>
    <row r="17" spans="2:19" ht="37.9" customHeight="1" x14ac:dyDescent="0.25">
      <c r="C17" s="614" t="s">
        <v>3</v>
      </c>
      <c r="D17" s="615" t="s">
        <v>233</v>
      </c>
      <c r="E17" s="616"/>
      <c r="F17" s="615" t="s">
        <v>240</v>
      </c>
      <c r="G17" s="616"/>
      <c r="H17" s="615" t="s">
        <v>241</v>
      </c>
      <c r="I17" s="616"/>
      <c r="L17" s="614" t="s">
        <v>3</v>
      </c>
      <c r="M17" s="615" t="s">
        <v>233</v>
      </c>
      <c r="N17" s="616"/>
      <c r="O17" s="615" t="s">
        <v>240</v>
      </c>
      <c r="P17" s="616"/>
      <c r="Q17" s="615" t="s">
        <v>241</v>
      </c>
      <c r="R17" s="616"/>
    </row>
    <row r="18" spans="2:19" ht="25.5" x14ac:dyDescent="0.25">
      <c r="C18" s="613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613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VAC_Optim_Scenario!B21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VAC_Optim_Scenario!B21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VAC_Optim_Scenario!B22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VAC_Optim_Scenario!B22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VAC_Optim_Scenario!B23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VAC_Optim_Scenario!B23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VAC_Optim_Scenario!B24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VAC_Optim_Scenario!B24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VAC_Optim_Scenario!B25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VAC_Optim_Scenario!B25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VAC_Optim_Scenario!B26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VAC_Optim_Scenario!B26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VAC_Optim_Scenario!B27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VAC_Optim_Scenario!B27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VAC_Optim_Scenario!B28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VAC_Optim_Scenario!B28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VAC_Optim_Scenario!B29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VAC_Optim_Scenario!B29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08" t="s">
        <v>3</v>
      </c>
      <c r="D30" s="309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VAC_Optim_Scenario!B21</f>
        <v>HCC In Office</v>
      </c>
      <c r="D31" s="310">
        <f>M19</f>
        <v>3.081</v>
      </c>
      <c r="E31" s="310">
        <f>O5</f>
        <v>1.659</v>
      </c>
      <c r="F31" s="310">
        <f>Q5</f>
        <v>3.081</v>
      </c>
      <c r="G31" s="310">
        <f>O19</f>
        <v>1.9760291300433497</v>
      </c>
      <c r="H31" s="310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3" t="str">
        <f>VAC_Optim_Scenario!B22</f>
        <v>HCP MCM</v>
      </c>
      <c r="D32" s="311">
        <f t="shared" ref="D32:D39" si="4">M20</f>
        <v>7.9137499886468206</v>
      </c>
      <c r="E32" s="311">
        <f t="shared" ref="E32:E39" si="5">O6</f>
        <v>7.9137499886468206</v>
      </c>
      <c r="F32" s="311">
        <f t="shared" ref="F32:F39" si="6">Q6</f>
        <v>7.9137499886468206</v>
      </c>
      <c r="G32" s="311">
        <f t="shared" ref="G32:G39" si="7">O20</f>
        <v>7.9137499886468206</v>
      </c>
      <c r="H32" s="311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3" t="str">
        <f>VAC_Optim_Scenario!B23</f>
        <v>HCC Social</v>
      </c>
      <c r="D33" s="311">
        <f t="shared" si="4"/>
        <v>2.9380000000000002</v>
      </c>
      <c r="E33" s="311">
        <f t="shared" si="5"/>
        <v>1.5820000000000001</v>
      </c>
      <c r="F33" s="311">
        <f t="shared" si="6"/>
        <v>2.9380000000000002</v>
      </c>
      <c r="G33" s="311">
        <f t="shared" si="7"/>
        <v>1.5820000000000001</v>
      </c>
      <c r="H33" s="311">
        <f t="shared" si="8"/>
        <v>2.9380000000000002</v>
      </c>
      <c r="J33" s="244" t="s">
        <v>242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3" t="str">
        <f>VAC_Optim_Scenario!B24</f>
        <v>HCC Online Video</v>
      </c>
      <c r="D34" s="311">
        <f t="shared" si="4"/>
        <v>0.69299999999999995</v>
      </c>
      <c r="E34" s="311">
        <f t="shared" si="5"/>
        <v>0.69299999999999995</v>
      </c>
      <c r="F34" s="311">
        <f t="shared" si="6"/>
        <v>1.2869999999999999</v>
      </c>
      <c r="G34" s="311">
        <f t="shared" si="7"/>
        <v>0.69299999999999995</v>
      </c>
      <c r="H34" s="311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3" t="str">
        <f>VAC_Optim_Scenario!B25</f>
        <v>HCC Streaming Video</v>
      </c>
      <c r="D35" s="311">
        <f t="shared" si="4"/>
        <v>3.9416439999999997</v>
      </c>
      <c r="E35" s="311">
        <f t="shared" si="5"/>
        <v>3.9416439999999997</v>
      </c>
      <c r="F35" s="311">
        <f t="shared" si="6"/>
        <v>7.3201960000000001</v>
      </c>
      <c r="G35" s="311">
        <f t="shared" si="7"/>
        <v>3.9416439999999997</v>
      </c>
      <c r="H35" s="311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3" t="str">
        <f>VAC_Optim_Scenario!B26</f>
        <v>HCC Display</v>
      </c>
      <c r="D36" s="311">
        <f t="shared" si="4"/>
        <v>1.9214</v>
      </c>
      <c r="E36" s="311">
        <f t="shared" si="5"/>
        <v>1.9214</v>
      </c>
      <c r="F36" s="311">
        <f t="shared" si="6"/>
        <v>1.9214</v>
      </c>
      <c r="G36" s="311">
        <f t="shared" si="7"/>
        <v>1.9214</v>
      </c>
      <c r="H36" s="311">
        <f t="shared" si="8"/>
        <v>1.9214</v>
      </c>
    </row>
    <row r="37" spans="2:22" x14ac:dyDescent="0.25">
      <c r="B37" s="54" t="s">
        <v>154</v>
      </c>
      <c r="C37" s="293" t="str">
        <f>VAC_Optim_Scenario!B27</f>
        <v>HCC Paid Search</v>
      </c>
      <c r="D37" s="311">
        <f t="shared" si="4"/>
        <v>1.232</v>
      </c>
      <c r="E37" s="311">
        <f t="shared" si="5"/>
        <v>1.232</v>
      </c>
      <c r="F37" s="311">
        <f t="shared" si="6"/>
        <v>1.232</v>
      </c>
      <c r="G37" s="311">
        <f t="shared" si="7"/>
        <v>1.232</v>
      </c>
      <c r="H37" s="311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VAC_Optim_Scenario!B28</f>
        <v>HCC Audio</v>
      </c>
      <c r="D38" s="311">
        <f t="shared" si="4"/>
        <v>1.5996707428443773</v>
      </c>
      <c r="E38" s="311">
        <f t="shared" si="5"/>
        <v>0.91370790000000002</v>
      </c>
      <c r="F38" s="311">
        <f t="shared" si="6"/>
        <v>1.6968861000000002</v>
      </c>
      <c r="G38" s="311">
        <f t="shared" si="7"/>
        <v>0.91370789999999991</v>
      </c>
      <c r="H38" s="311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VAC_Optim_Scenario!B29</f>
        <v>HCC TV</v>
      </c>
      <c r="D39" s="311">
        <f t="shared" si="4"/>
        <v>15.034300118508808</v>
      </c>
      <c r="E39" s="311">
        <f t="shared" si="5"/>
        <v>11.531133494999999</v>
      </c>
      <c r="F39" s="311">
        <f t="shared" si="6"/>
        <v>18.498262961353184</v>
      </c>
      <c r="G39" s="311">
        <f t="shared" si="7"/>
        <v>11.531133494999999</v>
      </c>
      <c r="H39" s="311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612" t="s">
        <v>2</v>
      </c>
      <c r="C3" s="614" t="s">
        <v>3</v>
      </c>
      <c r="D3" s="615" t="s">
        <v>233</v>
      </c>
      <c r="E3" s="616"/>
      <c r="F3" s="615" t="s">
        <v>234</v>
      </c>
      <c r="G3" s="616"/>
      <c r="H3" s="615" t="s">
        <v>235</v>
      </c>
      <c r="I3" s="616"/>
      <c r="K3" s="612" t="s">
        <v>2</v>
      </c>
      <c r="L3" s="614" t="s">
        <v>3</v>
      </c>
      <c r="M3" s="615" t="s">
        <v>233</v>
      </c>
      <c r="N3" s="616"/>
      <c r="O3" s="615" t="s">
        <v>234</v>
      </c>
      <c r="P3" s="616"/>
      <c r="Q3" s="615" t="s">
        <v>235</v>
      </c>
      <c r="R3" s="616"/>
    </row>
    <row r="4" spans="2:20" ht="25.5" x14ac:dyDescent="0.25">
      <c r="B4" s="613"/>
      <c r="C4" s="613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613"/>
      <c r="L4" s="613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VAC_Optim_Scenario!B21</f>
        <v>HCC In Office</v>
      </c>
      <c r="D5" s="232">
        <f>VAC_Optim_Scenario!$H51</f>
        <v>1540173.2513926297</v>
      </c>
      <c r="E5" s="233">
        <f>VAC_Optim_Scenario!$J51</f>
        <v>5027050.4165755827</v>
      </c>
      <c r="F5" s="232">
        <f>VAC_Optim_Scenario!$H51</f>
        <v>1540173.2513926297</v>
      </c>
      <c r="G5" s="233">
        <f>VAC_Optim_Scenario!$J51</f>
        <v>5027050.4165755827</v>
      </c>
      <c r="H5" s="232">
        <f>VAC_Optim_Scenario!$H51</f>
        <v>1540173.2513926297</v>
      </c>
      <c r="I5" s="233">
        <f>VAC_Optim_Scenario!$J51</f>
        <v>5027050.4165755827</v>
      </c>
      <c r="J5" s="234"/>
      <c r="K5" s="53" t="s">
        <v>154</v>
      </c>
      <c r="L5" s="53" t="str">
        <f>VAC_Optim_Scenario!B21</f>
        <v>HCC In Office</v>
      </c>
      <c r="M5" s="235">
        <f>D5/1000000</f>
        <v>1.5401732513926296</v>
      </c>
      <c r="N5" s="236">
        <f t="shared" ref="N5:R13" si="0">E5/1000000</f>
        <v>5.0270504165755829</v>
      </c>
      <c r="O5" s="235">
        <f t="shared" si="0"/>
        <v>1.5401732513926296</v>
      </c>
      <c r="P5" s="236">
        <f t="shared" si="0"/>
        <v>5.0270504165755829</v>
      </c>
      <c r="Q5" s="235">
        <f t="shared" si="0"/>
        <v>1.5401732513926296</v>
      </c>
      <c r="R5" s="236">
        <f t="shared" si="0"/>
        <v>5.0270504165755829</v>
      </c>
    </row>
    <row r="6" spans="2:20" x14ac:dyDescent="0.25">
      <c r="B6" s="54" t="s">
        <v>154</v>
      </c>
      <c r="C6" s="237" t="str">
        <f>VAC_Optim_Scenario!B22</f>
        <v>HCP MCM</v>
      </c>
      <c r="D6" s="238">
        <f>VAC_Optim_Scenario!$H52</f>
        <v>13899615.099674361</v>
      </c>
      <c r="E6" s="239">
        <f>VAC_Optim_Scenario!$J52</f>
        <v>100236529.00149192</v>
      </c>
      <c r="F6" s="238">
        <f>VAC_Optim_Scenario!$H52</f>
        <v>13899615.099674361</v>
      </c>
      <c r="G6" s="239">
        <f>VAC_Optim_Scenario!$J52</f>
        <v>100236529.00149192</v>
      </c>
      <c r="H6" s="238">
        <f>VAC_Optim_Scenario!$H52</f>
        <v>13899615.099674361</v>
      </c>
      <c r="I6" s="239">
        <f>VAC_Optim_Scenario!$J52</f>
        <v>100236529.00149192</v>
      </c>
      <c r="J6" s="234"/>
      <c r="K6" s="54" t="s">
        <v>154</v>
      </c>
      <c r="L6" s="54" t="str">
        <f>VAC_Optim_Scenario!B22</f>
        <v>HCP MCM</v>
      </c>
      <c r="M6" s="240">
        <f t="shared" ref="M6:M13" si="1">D6/1000000</f>
        <v>13.89961509967436</v>
      </c>
      <c r="N6" s="241">
        <f t="shared" si="0"/>
        <v>100.23652900149192</v>
      </c>
      <c r="O6" s="240">
        <f t="shared" si="0"/>
        <v>13.89961509967436</v>
      </c>
      <c r="P6" s="241">
        <f t="shared" si="0"/>
        <v>100.23652900149192</v>
      </c>
      <c r="Q6" s="240">
        <f t="shared" si="0"/>
        <v>13.89961509967436</v>
      </c>
      <c r="R6" s="241">
        <f t="shared" si="0"/>
        <v>100.23652900149192</v>
      </c>
    </row>
    <row r="7" spans="2:20" x14ac:dyDescent="0.25">
      <c r="B7" s="54" t="s">
        <v>154</v>
      </c>
      <c r="C7" s="237" t="str">
        <f>VAC_Optim_Scenario!B23</f>
        <v>HCC Social</v>
      </c>
      <c r="D7" s="238">
        <f>VAC_Optim_Scenario!$H53</f>
        <v>6500000</v>
      </c>
      <c r="E7" s="239">
        <f>VAC_Optim_Scenario!$J53</f>
        <v>33959534.839013599</v>
      </c>
      <c r="F7" s="238">
        <f>VAC_Optim_Scenario!$H53</f>
        <v>6500000</v>
      </c>
      <c r="G7" s="239">
        <f>VAC_Optim_Scenario!$J53</f>
        <v>33959534.839013599</v>
      </c>
      <c r="H7" s="238">
        <f>VAC_Optim_Scenario!$H53</f>
        <v>6500000</v>
      </c>
      <c r="I7" s="239">
        <f>VAC_Optim_Scenario!$J53</f>
        <v>33959534.839013599</v>
      </c>
      <c r="J7" s="242"/>
      <c r="K7" s="54" t="s">
        <v>154</v>
      </c>
      <c r="L7" s="54" t="str">
        <f>VAC_Optim_Scenario!B23</f>
        <v>HCC Social</v>
      </c>
      <c r="M7" s="240">
        <f t="shared" si="1"/>
        <v>6.5</v>
      </c>
      <c r="N7" s="241">
        <f t="shared" si="0"/>
        <v>33.9595348390136</v>
      </c>
      <c r="O7" s="240">
        <f t="shared" si="0"/>
        <v>6.5</v>
      </c>
      <c r="P7" s="241">
        <f t="shared" si="0"/>
        <v>33.9595348390136</v>
      </c>
      <c r="Q7" s="240">
        <f t="shared" si="0"/>
        <v>6.5</v>
      </c>
      <c r="R7" s="241">
        <f t="shared" si="0"/>
        <v>33.9595348390136</v>
      </c>
    </row>
    <row r="8" spans="2:20" x14ac:dyDescent="0.25">
      <c r="B8" s="54" t="s">
        <v>154</v>
      </c>
      <c r="C8" s="237" t="str">
        <f>VAC_Optim_Scenario!B24</f>
        <v>HCC Online Video</v>
      </c>
      <c r="D8" s="238">
        <f>VAC_Optim_Scenario!$H54</f>
        <v>1000000</v>
      </c>
      <c r="E8" s="239">
        <f>VAC_Optim_Scenario!$J54</f>
        <v>3357832.8692201264</v>
      </c>
      <c r="F8" s="238">
        <f>VAC_Optim_Scenario!$H54</f>
        <v>1000000</v>
      </c>
      <c r="G8" s="239">
        <f>VAC_Optim_Scenario!$J54</f>
        <v>3357832.8692201264</v>
      </c>
      <c r="H8" s="238">
        <f>VAC_Optim_Scenario!$H54</f>
        <v>1000000</v>
      </c>
      <c r="I8" s="239">
        <f>VAC_Optim_Scenario!$J54</f>
        <v>3357832.8692201264</v>
      </c>
      <c r="J8" s="234"/>
      <c r="K8" s="54" t="s">
        <v>154</v>
      </c>
      <c r="L8" s="54" t="str">
        <f>VAC_Optim_Scenario!B24</f>
        <v>HCC Online Video</v>
      </c>
      <c r="M8" s="240">
        <f t="shared" si="1"/>
        <v>1</v>
      </c>
      <c r="N8" s="241">
        <f t="shared" si="0"/>
        <v>3.3578328692201262</v>
      </c>
      <c r="O8" s="240">
        <f t="shared" si="0"/>
        <v>1</v>
      </c>
      <c r="P8" s="241">
        <f t="shared" si="0"/>
        <v>3.3578328692201262</v>
      </c>
      <c r="Q8" s="240">
        <f t="shared" si="0"/>
        <v>1</v>
      </c>
      <c r="R8" s="241">
        <f t="shared" si="0"/>
        <v>3.3578328692201262</v>
      </c>
    </row>
    <row r="9" spans="2:20" x14ac:dyDescent="0.25">
      <c r="B9" s="54" t="s">
        <v>154</v>
      </c>
      <c r="C9" s="237" t="str">
        <f>VAC_Optim_Scenario!B25</f>
        <v>HCC Streaming Video</v>
      </c>
      <c r="D9" s="238">
        <f>VAC_Optim_Scenario!$H55</f>
        <v>12070112.999999998</v>
      </c>
      <c r="E9" s="239">
        <f>VAC_Optim_Scenario!$J55</f>
        <v>52219542.216157258</v>
      </c>
      <c r="F9" s="238">
        <f>VAC_Optim_Scenario!$H55</f>
        <v>12070112.999999998</v>
      </c>
      <c r="G9" s="239">
        <f>VAC_Optim_Scenario!$J55</f>
        <v>52219542.216157258</v>
      </c>
      <c r="H9" s="238">
        <f>VAC_Optim_Scenario!$H55</f>
        <v>12070112.999999998</v>
      </c>
      <c r="I9" s="239">
        <f>VAC_Optim_Scenario!$J55</f>
        <v>52219542.216157258</v>
      </c>
      <c r="J9" s="242"/>
      <c r="K9" s="54" t="s">
        <v>154</v>
      </c>
      <c r="L9" s="54" t="str">
        <f>VAC_Optim_Scenario!B25</f>
        <v>HCC Streaming Video</v>
      </c>
      <c r="M9" s="240">
        <f t="shared" si="1"/>
        <v>12.070112999999997</v>
      </c>
      <c r="N9" s="241">
        <f t="shared" si="0"/>
        <v>52.219542216157258</v>
      </c>
      <c r="O9" s="240">
        <f t="shared" si="0"/>
        <v>12.070112999999997</v>
      </c>
      <c r="P9" s="241">
        <f t="shared" si="0"/>
        <v>52.219542216157258</v>
      </c>
      <c r="Q9" s="240">
        <f t="shared" si="0"/>
        <v>12.070112999999997</v>
      </c>
      <c r="R9" s="241">
        <f t="shared" si="0"/>
        <v>52.219542216157258</v>
      </c>
    </row>
    <row r="10" spans="2:20" x14ac:dyDescent="0.25">
      <c r="B10" s="54" t="s">
        <v>154</v>
      </c>
      <c r="C10" s="237" t="str">
        <f>VAC_Optim_Scenario!B26</f>
        <v>HCC Display</v>
      </c>
      <c r="D10" s="238">
        <f>VAC_Optim_Scenario!$H56</f>
        <v>6603674.6489330456</v>
      </c>
      <c r="E10" s="239">
        <f>VAC_Optim_Scenario!$J56</f>
        <v>51379707.531912059</v>
      </c>
      <c r="F10" s="238">
        <f>VAC_Optim_Scenario!$H56</f>
        <v>6603674.6489330456</v>
      </c>
      <c r="G10" s="239">
        <f>VAC_Optim_Scenario!$J56</f>
        <v>51379707.531912059</v>
      </c>
      <c r="H10" s="238">
        <f>VAC_Optim_Scenario!$H56</f>
        <v>6603674.6489330456</v>
      </c>
      <c r="I10" s="239">
        <f>VAC_Optim_Scenario!$J56</f>
        <v>51379707.531912059</v>
      </c>
      <c r="J10" s="242"/>
      <c r="K10" s="54" t="s">
        <v>154</v>
      </c>
      <c r="L10" s="54" t="str">
        <f>VAC_Optim_Scenario!B26</f>
        <v>HCC Display</v>
      </c>
      <c r="M10" s="240">
        <f t="shared" si="1"/>
        <v>6.6036746489330458</v>
      </c>
      <c r="N10" s="241">
        <f t="shared" si="0"/>
        <v>51.379707531912061</v>
      </c>
      <c r="O10" s="240">
        <f t="shared" si="0"/>
        <v>6.6036746489330458</v>
      </c>
      <c r="P10" s="241">
        <f t="shared" si="0"/>
        <v>51.379707531912061</v>
      </c>
      <c r="Q10" s="240">
        <f t="shared" si="0"/>
        <v>6.6036746489330458</v>
      </c>
      <c r="R10" s="241">
        <f t="shared" si="0"/>
        <v>51.379707531912061</v>
      </c>
    </row>
    <row r="11" spans="2:20" x14ac:dyDescent="0.25">
      <c r="B11" s="54" t="s">
        <v>154</v>
      </c>
      <c r="C11" s="237" t="str">
        <f>VAC_Optim_Scenario!B27</f>
        <v>HCC Paid Search</v>
      </c>
      <c r="D11" s="238">
        <f>VAC_Optim_Scenario!$H57</f>
        <v>400000</v>
      </c>
      <c r="E11" s="239">
        <f>VAC_Optim_Scenario!$J57</f>
        <v>32769965.884320233</v>
      </c>
      <c r="F11" s="238">
        <f>VAC_Optim_Scenario!$H57</f>
        <v>400000</v>
      </c>
      <c r="G11" s="239">
        <f>VAC_Optim_Scenario!$J57</f>
        <v>32769965.884320233</v>
      </c>
      <c r="H11" s="238">
        <f>VAC_Optim_Scenario!$H57</f>
        <v>400000</v>
      </c>
      <c r="I11" s="239">
        <f>VAC_Optim_Scenario!$J57</f>
        <v>32769965.884320233</v>
      </c>
      <c r="J11" s="234"/>
      <c r="K11" s="54" t="s">
        <v>154</v>
      </c>
      <c r="L11" s="54" t="str">
        <f>VAC_Optim_Scenario!B27</f>
        <v>HCC Paid Search</v>
      </c>
      <c r="M11" s="240">
        <f t="shared" si="1"/>
        <v>0.4</v>
      </c>
      <c r="N11" s="241">
        <f t="shared" si="0"/>
        <v>32.769965884320236</v>
      </c>
      <c r="O11" s="240">
        <f t="shared" si="0"/>
        <v>0.4</v>
      </c>
      <c r="P11" s="241">
        <f t="shared" si="0"/>
        <v>32.769965884320236</v>
      </c>
      <c r="Q11" s="240">
        <f t="shared" si="0"/>
        <v>0.4</v>
      </c>
      <c r="R11" s="241">
        <f t="shared" si="0"/>
        <v>32.769965884320236</v>
      </c>
    </row>
    <row r="12" spans="2:20" x14ac:dyDescent="0.25">
      <c r="B12" s="54" t="s">
        <v>154</v>
      </c>
      <c r="C12" s="237" t="str">
        <f>VAC_Optim_Scenario!B28</f>
        <v>HCC Audio</v>
      </c>
      <c r="D12" s="238">
        <f>VAC_Optim_Scenario!$H58</f>
        <v>4800000</v>
      </c>
      <c r="E12" s="239">
        <f>VAC_Optim_Scenario!$J58</f>
        <v>32875287.531392161</v>
      </c>
      <c r="F12" s="238">
        <f>VAC_Optim_Scenario!$H58</f>
        <v>4800000</v>
      </c>
      <c r="G12" s="239">
        <f>VAC_Optim_Scenario!$J58</f>
        <v>32875287.531392161</v>
      </c>
      <c r="H12" s="238">
        <f>VAC_Optim_Scenario!$H58</f>
        <v>4800000</v>
      </c>
      <c r="I12" s="239">
        <f>VAC_Optim_Scenario!$J58</f>
        <v>32875287.531392161</v>
      </c>
      <c r="J12" s="234"/>
      <c r="K12" s="54" t="s">
        <v>154</v>
      </c>
      <c r="L12" s="54" t="str">
        <f>VAC_Optim_Scenario!B28</f>
        <v>HCC Audio</v>
      </c>
      <c r="M12" s="240">
        <f t="shared" si="1"/>
        <v>4.8</v>
      </c>
      <c r="N12" s="241">
        <f t="shared" si="0"/>
        <v>32.875287531392161</v>
      </c>
      <c r="O12" s="240">
        <f t="shared" si="0"/>
        <v>4.8</v>
      </c>
      <c r="P12" s="241">
        <f t="shared" si="0"/>
        <v>32.875287531392161</v>
      </c>
      <c r="Q12" s="240">
        <f t="shared" si="0"/>
        <v>4.8</v>
      </c>
      <c r="R12" s="241">
        <f t="shared" si="0"/>
        <v>32.875287531392161</v>
      </c>
    </row>
    <row r="13" spans="2:20" x14ac:dyDescent="0.25">
      <c r="B13" s="251" t="s">
        <v>154</v>
      </c>
      <c r="C13" s="223" t="str">
        <f>VAC_Optim_Scenario!B29</f>
        <v>HCC TV</v>
      </c>
      <c r="D13" s="252">
        <f>VAC_Optim_Scenario!$H59</f>
        <v>15700000</v>
      </c>
      <c r="E13" s="252">
        <f>VAC_Optim_Scenario!$J59</f>
        <v>63695224.07626316</v>
      </c>
      <c r="F13" s="252">
        <f>VAC_Optim_Scenario!$H59</f>
        <v>15700000</v>
      </c>
      <c r="G13" s="252">
        <f>VAC_Optim_Scenario!$J59</f>
        <v>63695224.07626316</v>
      </c>
      <c r="H13" s="252">
        <f>VAC_Optim_Scenario!$H59</f>
        <v>15700000</v>
      </c>
      <c r="I13" s="252">
        <f>VAC_Optim_Scenario!$J59</f>
        <v>63695224.07626316</v>
      </c>
      <c r="J13" s="234"/>
      <c r="K13" s="251" t="s">
        <v>154</v>
      </c>
      <c r="L13" s="251" t="str">
        <f>VAC_Optim_Scenario!B29</f>
        <v>HCC TV</v>
      </c>
      <c r="M13" s="245">
        <f t="shared" si="1"/>
        <v>15.7</v>
      </c>
      <c r="N13" s="245">
        <f t="shared" si="0"/>
        <v>63.695224076263159</v>
      </c>
      <c r="O13" s="245">
        <f t="shared" si="0"/>
        <v>15.7</v>
      </c>
      <c r="P13" s="245">
        <f t="shared" si="0"/>
        <v>63.695224076263159</v>
      </c>
      <c r="Q13" s="245">
        <f t="shared" si="0"/>
        <v>15.7</v>
      </c>
      <c r="R13" s="245">
        <f t="shared" si="0"/>
        <v>63.695224076263159</v>
      </c>
    </row>
    <row r="14" spans="2:20" x14ac:dyDescent="0.25">
      <c r="T14" s="291"/>
    </row>
    <row r="15" spans="2:20" x14ac:dyDescent="0.25">
      <c r="C15" s="228" t="s">
        <v>239</v>
      </c>
    </row>
    <row r="17" spans="2:19" ht="37.9" customHeight="1" x14ac:dyDescent="0.25">
      <c r="C17" s="614" t="s">
        <v>3</v>
      </c>
      <c r="D17" s="615" t="s">
        <v>233</v>
      </c>
      <c r="E17" s="616"/>
      <c r="F17" s="615" t="s">
        <v>240</v>
      </c>
      <c r="G17" s="616"/>
      <c r="H17" s="615" t="s">
        <v>241</v>
      </c>
      <c r="I17" s="616"/>
      <c r="L17" s="614" t="s">
        <v>3</v>
      </c>
      <c r="M17" s="615" t="s">
        <v>233</v>
      </c>
      <c r="N17" s="616"/>
      <c r="O17" s="615" t="s">
        <v>240</v>
      </c>
      <c r="P17" s="616"/>
      <c r="Q17" s="615" t="s">
        <v>241</v>
      </c>
      <c r="R17" s="616"/>
    </row>
    <row r="18" spans="2:19" ht="25.5" x14ac:dyDescent="0.25">
      <c r="C18" s="613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613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VAC_Optim_Scenario!B21</f>
        <v>HCC In Office</v>
      </c>
      <c r="D19" s="232">
        <f>VAC_Optim_Scenario!$H51</f>
        <v>1540173.2513926297</v>
      </c>
      <c r="E19" s="233">
        <f>VAC_Optim_Scenario!$J51</f>
        <v>5027050.4165755827</v>
      </c>
      <c r="F19" s="232">
        <f>VAC_Optim_Scenario!$H51</f>
        <v>1540173.2513926297</v>
      </c>
      <c r="G19" s="233">
        <f>VAC_Optim_Scenario!$J51</f>
        <v>5027050.4165755827</v>
      </c>
      <c r="H19" s="232">
        <f>VAC_Optim_Scenario!$H51</f>
        <v>1540173.2513926297</v>
      </c>
      <c r="I19" s="233">
        <f>VAC_Optim_Scenario!$J51</f>
        <v>5027050.4165755827</v>
      </c>
      <c r="J19" s="234"/>
      <c r="K19" s="53" t="s">
        <v>154</v>
      </c>
      <c r="L19" s="231" t="str">
        <f>VAC_Optim_Scenario!B21</f>
        <v>HCC In Office</v>
      </c>
      <c r="M19" s="235">
        <f>D19/1000000</f>
        <v>1.5401732513926296</v>
      </c>
      <c r="N19" s="236">
        <f t="shared" ref="N19:R27" si="2">E19/1000000</f>
        <v>5.0270504165755829</v>
      </c>
      <c r="O19" s="235">
        <f t="shared" si="2"/>
        <v>1.5401732513926296</v>
      </c>
      <c r="P19" s="236">
        <f t="shared" si="2"/>
        <v>5.0270504165755829</v>
      </c>
      <c r="Q19" s="235">
        <f t="shared" si="2"/>
        <v>1.5401732513926296</v>
      </c>
      <c r="R19" s="236">
        <f t="shared" si="2"/>
        <v>5.0270504165755829</v>
      </c>
    </row>
    <row r="20" spans="2:19" x14ac:dyDescent="0.25">
      <c r="B20" s="54" t="s">
        <v>154</v>
      </c>
      <c r="C20" s="237" t="str">
        <f>VAC_Optim_Scenario!B22</f>
        <v>HCP MCM</v>
      </c>
      <c r="D20" s="238">
        <f>VAC_Optim_Scenario!$H52</f>
        <v>13899615.099674361</v>
      </c>
      <c r="E20" s="239">
        <f>VAC_Optim_Scenario!$J52</f>
        <v>100236529.00149192</v>
      </c>
      <c r="F20" s="238">
        <f>VAC_Optim_Scenario!$H52</f>
        <v>13899615.099674361</v>
      </c>
      <c r="G20" s="239">
        <f>VAC_Optim_Scenario!$J52</f>
        <v>100236529.00149192</v>
      </c>
      <c r="H20" s="238">
        <f>VAC_Optim_Scenario!$H52</f>
        <v>13899615.099674361</v>
      </c>
      <c r="I20" s="239">
        <f>VAC_Optim_Scenario!$J52</f>
        <v>100236529.00149192</v>
      </c>
      <c r="J20" s="234"/>
      <c r="K20" s="54" t="s">
        <v>154</v>
      </c>
      <c r="L20" s="237" t="str">
        <f>VAC_Optim_Scenario!B22</f>
        <v>HCP MCM</v>
      </c>
      <c r="M20" s="240">
        <f t="shared" ref="M20:M27" si="3">D20/1000000</f>
        <v>13.89961509967436</v>
      </c>
      <c r="N20" s="241">
        <f t="shared" si="2"/>
        <v>100.23652900149192</v>
      </c>
      <c r="O20" s="240">
        <f t="shared" si="2"/>
        <v>13.89961509967436</v>
      </c>
      <c r="P20" s="241">
        <f t="shared" si="2"/>
        <v>100.23652900149192</v>
      </c>
      <c r="Q20" s="240">
        <f t="shared" si="2"/>
        <v>13.89961509967436</v>
      </c>
      <c r="R20" s="241">
        <f t="shared" si="2"/>
        <v>100.23652900149192</v>
      </c>
    </row>
    <row r="21" spans="2:19" x14ac:dyDescent="0.25">
      <c r="B21" s="54" t="s">
        <v>154</v>
      </c>
      <c r="C21" s="237" t="str">
        <f>VAC_Optim_Scenario!B23</f>
        <v>HCC Social</v>
      </c>
      <c r="D21" s="238">
        <f>VAC_Optim_Scenario!$H53</f>
        <v>6500000</v>
      </c>
      <c r="E21" s="239">
        <f>VAC_Optim_Scenario!$J53</f>
        <v>33959534.839013599</v>
      </c>
      <c r="F21" s="238">
        <f>VAC_Optim_Scenario!$H53</f>
        <v>6500000</v>
      </c>
      <c r="G21" s="239">
        <f>VAC_Optim_Scenario!$J53</f>
        <v>33959534.839013599</v>
      </c>
      <c r="H21" s="238">
        <f>VAC_Optim_Scenario!$H53</f>
        <v>6500000</v>
      </c>
      <c r="I21" s="239">
        <f>VAC_Optim_Scenario!$J53</f>
        <v>33959534.839013599</v>
      </c>
      <c r="J21" s="242"/>
      <c r="K21" s="54" t="s">
        <v>154</v>
      </c>
      <c r="L21" s="237" t="str">
        <f>VAC_Optim_Scenario!B23</f>
        <v>HCC Social</v>
      </c>
      <c r="M21" s="240">
        <f t="shared" si="3"/>
        <v>6.5</v>
      </c>
      <c r="N21" s="241">
        <f t="shared" si="2"/>
        <v>33.9595348390136</v>
      </c>
      <c r="O21" s="240">
        <f t="shared" si="2"/>
        <v>6.5</v>
      </c>
      <c r="P21" s="241">
        <f t="shared" si="2"/>
        <v>33.9595348390136</v>
      </c>
      <c r="Q21" s="240">
        <f t="shared" si="2"/>
        <v>6.5</v>
      </c>
      <c r="R21" s="241">
        <f t="shared" si="2"/>
        <v>33.9595348390136</v>
      </c>
    </row>
    <row r="22" spans="2:19" x14ac:dyDescent="0.25">
      <c r="B22" s="54" t="s">
        <v>154</v>
      </c>
      <c r="C22" s="237" t="str">
        <f>VAC_Optim_Scenario!B24</f>
        <v>HCC Online Video</v>
      </c>
      <c r="D22" s="238">
        <f>VAC_Optim_Scenario!$H54</f>
        <v>1000000</v>
      </c>
      <c r="E22" s="239">
        <f>VAC_Optim_Scenario!$J54</f>
        <v>3357832.8692201264</v>
      </c>
      <c r="F22" s="238">
        <f>VAC_Optim_Scenario!$H54</f>
        <v>1000000</v>
      </c>
      <c r="G22" s="239">
        <f>VAC_Optim_Scenario!$J54</f>
        <v>3357832.8692201264</v>
      </c>
      <c r="H22" s="238">
        <f>VAC_Optim_Scenario!$H54</f>
        <v>1000000</v>
      </c>
      <c r="I22" s="239">
        <f>VAC_Optim_Scenario!$J54</f>
        <v>3357832.8692201264</v>
      </c>
      <c r="J22" s="234"/>
      <c r="K22" s="54" t="s">
        <v>154</v>
      </c>
      <c r="L22" s="237" t="str">
        <f>VAC_Optim_Scenario!B24</f>
        <v>HCC Online Video</v>
      </c>
      <c r="M22" s="240">
        <f t="shared" si="3"/>
        <v>1</v>
      </c>
      <c r="N22" s="241">
        <f t="shared" si="2"/>
        <v>3.3578328692201262</v>
      </c>
      <c r="O22" s="240">
        <f t="shared" si="2"/>
        <v>1</v>
      </c>
      <c r="P22" s="241">
        <f t="shared" si="2"/>
        <v>3.3578328692201262</v>
      </c>
      <c r="Q22" s="240">
        <f t="shared" si="2"/>
        <v>1</v>
      </c>
      <c r="R22" s="241">
        <f t="shared" si="2"/>
        <v>3.3578328692201262</v>
      </c>
    </row>
    <row r="23" spans="2:19" x14ac:dyDescent="0.25">
      <c r="B23" s="54" t="s">
        <v>154</v>
      </c>
      <c r="C23" s="237" t="str">
        <f>VAC_Optim_Scenario!B25</f>
        <v>HCC Streaming Video</v>
      </c>
      <c r="D23" s="238">
        <f>VAC_Optim_Scenario!$H55</f>
        <v>12070112.999999998</v>
      </c>
      <c r="E23" s="239">
        <f>VAC_Optim_Scenario!$J55</f>
        <v>52219542.216157258</v>
      </c>
      <c r="F23" s="238">
        <f>VAC_Optim_Scenario!$H55</f>
        <v>12070112.999999998</v>
      </c>
      <c r="G23" s="239">
        <f>VAC_Optim_Scenario!$J55</f>
        <v>52219542.216157258</v>
      </c>
      <c r="H23" s="238">
        <f>VAC_Optim_Scenario!$H55</f>
        <v>12070112.999999998</v>
      </c>
      <c r="I23" s="239">
        <f>VAC_Optim_Scenario!$J55</f>
        <v>52219542.216157258</v>
      </c>
      <c r="J23" s="242"/>
      <c r="K23" s="54" t="s">
        <v>154</v>
      </c>
      <c r="L23" s="237" t="str">
        <f>VAC_Optim_Scenario!B25</f>
        <v>HCC Streaming Video</v>
      </c>
      <c r="M23" s="240">
        <f t="shared" si="3"/>
        <v>12.070112999999997</v>
      </c>
      <c r="N23" s="241">
        <f t="shared" si="2"/>
        <v>52.219542216157258</v>
      </c>
      <c r="O23" s="240">
        <f t="shared" si="2"/>
        <v>12.070112999999997</v>
      </c>
      <c r="P23" s="241">
        <f t="shared" si="2"/>
        <v>52.219542216157258</v>
      </c>
      <c r="Q23" s="240">
        <f t="shared" si="2"/>
        <v>12.070112999999997</v>
      </c>
      <c r="R23" s="241">
        <f t="shared" si="2"/>
        <v>52.219542216157258</v>
      </c>
    </row>
    <row r="24" spans="2:19" x14ac:dyDescent="0.25">
      <c r="B24" s="54" t="s">
        <v>154</v>
      </c>
      <c r="C24" s="237" t="str">
        <f>VAC_Optim_Scenario!B26</f>
        <v>HCC Display</v>
      </c>
      <c r="D24" s="238">
        <f>VAC_Optim_Scenario!$H56</f>
        <v>6603674.6489330456</v>
      </c>
      <c r="E24" s="239">
        <f>VAC_Optim_Scenario!$J56</f>
        <v>51379707.531912059</v>
      </c>
      <c r="F24" s="238">
        <f>VAC_Optim_Scenario!$H56</f>
        <v>6603674.6489330456</v>
      </c>
      <c r="G24" s="239">
        <f>VAC_Optim_Scenario!$J56</f>
        <v>51379707.531912059</v>
      </c>
      <c r="H24" s="238">
        <f>VAC_Optim_Scenario!$H56</f>
        <v>6603674.6489330456</v>
      </c>
      <c r="I24" s="239">
        <f>VAC_Optim_Scenario!$J56</f>
        <v>51379707.531912059</v>
      </c>
      <c r="J24" s="242"/>
      <c r="K24" s="54" t="s">
        <v>154</v>
      </c>
      <c r="L24" s="237" t="str">
        <f>VAC_Optim_Scenario!B26</f>
        <v>HCC Display</v>
      </c>
      <c r="M24" s="240">
        <f t="shared" si="3"/>
        <v>6.6036746489330458</v>
      </c>
      <c r="N24" s="241">
        <f t="shared" si="2"/>
        <v>51.379707531912061</v>
      </c>
      <c r="O24" s="240">
        <f t="shared" si="2"/>
        <v>6.6036746489330458</v>
      </c>
      <c r="P24" s="241">
        <f t="shared" si="2"/>
        <v>51.379707531912061</v>
      </c>
      <c r="Q24" s="240">
        <f t="shared" si="2"/>
        <v>6.6036746489330458</v>
      </c>
      <c r="R24" s="241">
        <f t="shared" si="2"/>
        <v>51.379707531912061</v>
      </c>
    </row>
    <row r="25" spans="2:19" x14ac:dyDescent="0.25">
      <c r="B25" s="54" t="s">
        <v>154</v>
      </c>
      <c r="C25" s="237" t="str">
        <f>VAC_Optim_Scenario!B27</f>
        <v>HCC Paid Search</v>
      </c>
      <c r="D25" s="238">
        <f>VAC_Optim_Scenario!$H57</f>
        <v>400000</v>
      </c>
      <c r="E25" s="239">
        <f>VAC_Optim_Scenario!$J57</f>
        <v>32769965.884320233</v>
      </c>
      <c r="F25" s="238">
        <f>VAC_Optim_Scenario!$H57</f>
        <v>400000</v>
      </c>
      <c r="G25" s="239">
        <f>VAC_Optim_Scenario!$J57</f>
        <v>32769965.884320233</v>
      </c>
      <c r="H25" s="238">
        <f>VAC_Optim_Scenario!$H57</f>
        <v>400000</v>
      </c>
      <c r="I25" s="239">
        <f>VAC_Optim_Scenario!$J57</f>
        <v>32769965.884320233</v>
      </c>
      <c r="J25" s="242"/>
      <c r="K25" s="54" t="s">
        <v>154</v>
      </c>
      <c r="L25" s="237" t="str">
        <f>VAC_Optim_Scenario!B27</f>
        <v>HCC Paid Search</v>
      </c>
      <c r="M25" s="240">
        <f t="shared" si="3"/>
        <v>0.4</v>
      </c>
      <c r="N25" s="241">
        <f t="shared" si="2"/>
        <v>32.769965884320236</v>
      </c>
      <c r="O25" s="240">
        <f t="shared" si="2"/>
        <v>0.4</v>
      </c>
      <c r="P25" s="241">
        <f t="shared" si="2"/>
        <v>32.769965884320236</v>
      </c>
      <c r="Q25" s="240">
        <f t="shared" si="2"/>
        <v>0.4</v>
      </c>
      <c r="R25" s="241">
        <f t="shared" si="2"/>
        <v>32.769965884320236</v>
      </c>
    </row>
    <row r="26" spans="2:19" x14ac:dyDescent="0.25">
      <c r="B26" s="54" t="s">
        <v>154</v>
      </c>
      <c r="C26" s="237" t="str">
        <f>VAC_Optim_Scenario!B28</f>
        <v>HCC Audio</v>
      </c>
      <c r="D26" s="238">
        <f>VAC_Optim_Scenario!$H58</f>
        <v>4800000</v>
      </c>
      <c r="E26" s="239">
        <f>VAC_Optim_Scenario!$J58</f>
        <v>32875287.531392161</v>
      </c>
      <c r="F26" s="238">
        <f>VAC_Optim_Scenario!$H58</f>
        <v>4800000</v>
      </c>
      <c r="G26" s="239">
        <f>VAC_Optim_Scenario!$J58</f>
        <v>32875287.531392161</v>
      </c>
      <c r="H26" s="238">
        <f>VAC_Optim_Scenario!$H58</f>
        <v>4800000</v>
      </c>
      <c r="I26" s="239">
        <f>VAC_Optim_Scenario!$J58</f>
        <v>32875287.531392161</v>
      </c>
      <c r="J26" s="242"/>
      <c r="K26" s="54" t="s">
        <v>154</v>
      </c>
      <c r="L26" s="237" t="str">
        <f>VAC_Optim_Scenario!B28</f>
        <v>HCC Audio</v>
      </c>
      <c r="M26" s="240">
        <f t="shared" si="3"/>
        <v>4.8</v>
      </c>
      <c r="N26" s="241">
        <f t="shared" si="2"/>
        <v>32.875287531392161</v>
      </c>
      <c r="O26" s="240">
        <f t="shared" si="2"/>
        <v>4.8</v>
      </c>
      <c r="P26" s="241">
        <f t="shared" si="2"/>
        <v>32.875287531392161</v>
      </c>
      <c r="Q26" s="240">
        <f t="shared" si="2"/>
        <v>4.8</v>
      </c>
      <c r="R26" s="241">
        <f t="shared" si="2"/>
        <v>32.875287531392161</v>
      </c>
    </row>
    <row r="27" spans="2:19" x14ac:dyDescent="0.25">
      <c r="B27" s="251" t="s">
        <v>154</v>
      </c>
      <c r="C27" s="223" t="str">
        <f>VAC_Optim_Scenario!B29</f>
        <v>HCC TV</v>
      </c>
      <c r="D27" s="252">
        <f>VAC_Optim_Scenario!$H59</f>
        <v>15700000</v>
      </c>
      <c r="E27" s="252">
        <f>VAC_Optim_Scenario!$J59</f>
        <v>63695224.07626316</v>
      </c>
      <c r="F27" s="252">
        <f>VAC_Optim_Scenario!$H59</f>
        <v>15700000</v>
      </c>
      <c r="G27" s="252">
        <f>VAC_Optim_Scenario!$J59</f>
        <v>63695224.07626316</v>
      </c>
      <c r="H27" s="252">
        <f>VAC_Optim_Scenario!$H59</f>
        <v>15700000</v>
      </c>
      <c r="I27" s="252">
        <f>VAC_Optim_Scenario!$J59</f>
        <v>63695224.07626316</v>
      </c>
      <c r="J27" s="242"/>
      <c r="K27" s="251" t="s">
        <v>154</v>
      </c>
      <c r="L27" s="223" t="str">
        <f>VAC_Optim_Scenario!B29</f>
        <v>HCC TV</v>
      </c>
      <c r="M27" s="245">
        <f t="shared" si="3"/>
        <v>15.7</v>
      </c>
      <c r="N27" s="245">
        <f t="shared" si="2"/>
        <v>63.695224076263159</v>
      </c>
      <c r="O27" s="245">
        <f t="shared" si="2"/>
        <v>15.7</v>
      </c>
      <c r="P27" s="245">
        <f t="shared" si="2"/>
        <v>63.695224076263159</v>
      </c>
      <c r="Q27" s="245">
        <f t="shared" si="2"/>
        <v>15.7</v>
      </c>
      <c r="R27" s="245">
        <f t="shared" si="2"/>
        <v>63.695224076263159</v>
      </c>
    </row>
    <row r="30" spans="2:19" ht="34.35" customHeight="1" x14ac:dyDescent="0.25">
      <c r="C30" s="272" t="s">
        <v>3</v>
      </c>
      <c r="D30" s="273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VAC_Optim_Scenario!B21</f>
        <v>HCC In Office</v>
      </c>
      <c r="D31" s="235">
        <f>M19</f>
        <v>1.5401732513926296</v>
      </c>
      <c r="E31" s="235">
        <f>O5</f>
        <v>1.5401732513926296</v>
      </c>
      <c r="F31" s="235">
        <f>Q5</f>
        <v>1.5401732513926296</v>
      </c>
      <c r="G31" s="235">
        <f>O19</f>
        <v>1.5401732513926296</v>
      </c>
      <c r="H31" s="235">
        <f>Q19</f>
        <v>1.5401732513926296</v>
      </c>
      <c r="J31" s="244">
        <v>-0.5</v>
      </c>
      <c r="K31" s="245">
        <f>E$31</f>
        <v>1.5401732513926296</v>
      </c>
      <c r="L31" s="245">
        <f>E$32</f>
        <v>13.89961509967436</v>
      </c>
      <c r="M31" s="245">
        <f>E$33</f>
        <v>6.5</v>
      </c>
      <c r="N31" s="245">
        <f>E$34</f>
        <v>1</v>
      </c>
      <c r="O31" s="245">
        <f>E$35</f>
        <v>12.070112999999997</v>
      </c>
      <c r="P31" s="245">
        <f>E$36</f>
        <v>6.6036746489330458</v>
      </c>
      <c r="Q31" s="245">
        <f>E$37</f>
        <v>0.4</v>
      </c>
      <c r="R31" s="245">
        <f>E$38</f>
        <v>4.8</v>
      </c>
      <c r="S31" s="245">
        <f>E$39</f>
        <v>15.7</v>
      </c>
    </row>
    <row r="32" spans="2:19" x14ac:dyDescent="0.25">
      <c r="B32" s="54" t="s">
        <v>154</v>
      </c>
      <c r="C32" s="293" t="str">
        <f>VAC_Optim_Scenario!B22</f>
        <v>HCP MCM</v>
      </c>
      <c r="D32" s="240">
        <f t="shared" ref="D32:D39" si="4">M20</f>
        <v>13.89961509967436</v>
      </c>
      <c r="E32" s="240">
        <f t="shared" ref="E32:E39" si="5">O6</f>
        <v>13.89961509967436</v>
      </c>
      <c r="F32" s="240">
        <f t="shared" ref="F32:F39" si="6">Q6</f>
        <v>13.89961509967436</v>
      </c>
      <c r="G32" s="240">
        <f t="shared" ref="G32:G39" si="7">O20</f>
        <v>13.89961509967436</v>
      </c>
      <c r="H32" s="240">
        <f t="shared" ref="H32:H39" si="8">Q20</f>
        <v>13.89961509967436</v>
      </c>
      <c r="J32" s="244">
        <v>-0.4</v>
      </c>
      <c r="K32" s="245">
        <f>G$31</f>
        <v>1.5401732513926296</v>
      </c>
      <c r="L32" s="245">
        <f>G$32</f>
        <v>13.89961509967436</v>
      </c>
      <c r="M32" s="245">
        <f>G$33</f>
        <v>6.5</v>
      </c>
      <c r="N32" s="245">
        <f>G$34</f>
        <v>1</v>
      </c>
      <c r="O32" s="245">
        <f>G$35</f>
        <v>12.070112999999997</v>
      </c>
      <c r="P32" s="245">
        <f>G$36</f>
        <v>6.6036746489330458</v>
      </c>
      <c r="Q32" s="245">
        <f>G$37</f>
        <v>0.4</v>
      </c>
      <c r="R32" s="245">
        <f>G$38</f>
        <v>4.8</v>
      </c>
      <c r="S32" s="245">
        <f>G$39</f>
        <v>15.7</v>
      </c>
    </row>
    <row r="33" spans="2:22" x14ac:dyDescent="0.25">
      <c r="B33" s="54" t="s">
        <v>154</v>
      </c>
      <c r="C33" s="293" t="str">
        <f>VAC_Optim_Scenario!B23</f>
        <v>HCC Social</v>
      </c>
      <c r="D33" s="240">
        <f t="shared" si="4"/>
        <v>6.5</v>
      </c>
      <c r="E33" s="240">
        <f t="shared" si="5"/>
        <v>6.5</v>
      </c>
      <c r="F33" s="240">
        <f t="shared" si="6"/>
        <v>6.5</v>
      </c>
      <c r="G33" s="240">
        <f t="shared" si="7"/>
        <v>6.5</v>
      </c>
      <c r="H33" s="240">
        <f t="shared" si="8"/>
        <v>6.5</v>
      </c>
      <c r="J33" s="244" t="s">
        <v>242</v>
      </c>
      <c r="K33" s="245">
        <f>D$31</f>
        <v>1.5401732513926296</v>
      </c>
      <c r="L33" s="245">
        <f>D$32</f>
        <v>13.89961509967436</v>
      </c>
      <c r="M33" s="245">
        <f>D$33</f>
        <v>6.5</v>
      </c>
      <c r="N33" s="245">
        <f>D$34</f>
        <v>1</v>
      </c>
      <c r="O33" s="245">
        <f>D$35</f>
        <v>12.070112999999997</v>
      </c>
      <c r="P33" s="245">
        <f>D$36</f>
        <v>6.6036746489330458</v>
      </c>
      <c r="Q33" s="245">
        <f>D$37</f>
        <v>0.4</v>
      </c>
      <c r="R33" s="245">
        <f>D$38</f>
        <v>4.8</v>
      </c>
      <c r="S33" s="245">
        <f>D$39</f>
        <v>15.7</v>
      </c>
    </row>
    <row r="34" spans="2:22" x14ac:dyDescent="0.25">
      <c r="B34" s="54" t="s">
        <v>154</v>
      </c>
      <c r="C34" s="293" t="str">
        <f>VAC_Optim_Scenario!B24</f>
        <v>HCC Online Video</v>
      </c>
      <c r="D34" s="240">
        <f t="shared" si="4"/>
        <v>1</v>
      </c>
      <c r="E34" s="240">
        <f t="shared" si="5"/>
        <v>1</v>
      </c>
      <c r="F34" s="240">
        <f t="shared" si="6"/>
        <v>1</v>
      </c>
      <c r="G34" s="240">
        <f t="shared" si="7"/>
        <v>1</v>
      </c>
      <c r="H34" s="240">
        <f t="shared" si="8"/>
        <v>1</v>
      </c>
      <c r="J34" s="244">
        <v>0.4</v>
      </c>
      <c r="K34" s="245">
        <f>H$31</f>
        <v>1.5401732513926296</v>
      </c>
      <c r="L34" s="245">
        <f>H$32</f>
        <v>13.89961509967436</v>
      </c>
      <c r="M34" s="245">
        <f>H$33</f>
        <v>6.5</v>
      </c>
      <c r="N34" s="245">
        <f>H$34</f>
        <v>1</v>
      </c>
      <c r="O34" s="245">
        <f>H$35</f>
        <v>12.070112999999997</v>
      </c>
      <c r="P34" s="245">
        <f>H$36</f>
        <v>6.6036746489330458</v>
      </c>
      <c r="Q34" s="245">
        <f>H$37</f>
        <v>0.4</v>
      </c>
      <c r="R34" s="245">
        <f>H$38</f>
        <v>4.8</v>
      </c>
      <c r="S34" s="245">
        <f>H$39</f>
        <v>15.7</v>
      </c>
    </row>
    <row r="35" spans="2:22" x14ac:dyDescent="0.25">
      <c r="B35" s="54" t="s">
        <v>154</v>
      </c>
      <c r="C35" s="293" t="str">
        <f>VAC_Optim_Scenario!B25</f>
        <v>HCC Streaming Video</v>
      </c>
      <c r="D35" s="240">
        <f t="shared" si="4"/>
        <v>12.070112999999997</v>
      </c>
      <c r="E35" s="240">
        <f t="shared" si="5"/>
        <v>12.070112999999997</v>
      </c>
      <c r="F35" s="240">
        <f t="shared" si="6"/>
        <v>12.070112999999997</v>
      </c>
      <c r="G35" s="240">
        <f t="shared" si="7"/>
        <v>12.070112999999997</v>
      </c>
      <c r="H35" s="240">
        <f t="shared" si="8"/>
        <v>12.070112999999997</v>
      </c>
      <c r="J35" s="243">
        <v>2</v>
      </c>
      <c r="K35" s="245">
        <f>F$31</f>
        <v>1.5401732513926296</v>
      </c>
      <c r="L35" s="245">
        <f>F$32</f>
        <v>13.89961509967436</v>
      </c>
      <c r="M35" s="245">
        <f>F$33</f>
        <v>6.5</v>
      </c>
      <c r="N35" s="245">
        <f>F$34</f>
        <v>1</v>
      </c>
      <c r="O35" s="245">
        <f>F$35</f>
        <v>12.070112999999997</v>
      </c>
      <c r="P35" s="245">
        <f>F$36</f>
        <v>6.6036746489330458</v>
      </c>
      <c r="Q35" s="245">
        <f>F$37</f>
        <v>0.4</v>
      </c>
      <c r="R35" s="245">
        <f>F$38</f>
        <v>4.8</v>
      </c>
      <c r="S35" s="245">
        <f>F$39</f>
        <v>15.7</v>
      </c>
    </row>
    <row r="36" spans="2:22" x14ac:dyDescent="0.25">
      <c r="B36" s="54" t="s">
        <v>154</v>
      </c>
      <c r="C36" s="293" t="str">
        <f>VAC_Optim_Scenario!B26</f>
        <v>HCC Display</v>
      </c>
      <c r="D36" s="240">
        <f t="shared" si="4"/>
        <v>6.6036746489330458</v>
      </c>
      <c r="E36" s="240">
        <f t="shared" si="5"/>
        <v>6.6036746489330458</v>
      </c>
      <c r="F36" s="240">
        <f t="shared" si="6"/>
        <v>6.6036746489330458</v>
      </c>
      <c r="G36" s="240">
        <f t="shared" si="7"/>
        <v>6.6036746489330458</v>
      </c>
      <c r="H36" s="240">
        <f t="shared" si="8"/>
        <v>6.6036746489330458</v>
      </c>
    </row>
    <row r="37" spans="2:22" x14ac:dyDescent="0.25">
      <c r="B37" s="54" t="s">
        <v>154</v>
      </c>
      <c r="C37" s="293" t="str">
        <f>VAC_Optim_Scenario!B27</f>
        <v>HCC Paid Search</v>
      </c>
      <c r="D37" s="240">
        <f t="shared" si="4"/>
        <v>0.4</v>
      </c>
      <c r="E37" s="240">
        <f t="shared" si="5"/>
        <v>0.4</v>
      </c>
      <c r="F37" s="240">
        <f t="shared" si="6"/>
        <v>0.4</v>
      </c>
      <c r="G37" s="240">
        <f t="shared" si="7"/>
        <v>0.4</v>
      </c>
      <c r="H37" s="240">
        <f t="shared" si="8"/>
        <v>0.4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VAC_Optim_Scenario!B28</f>
        <v>HCC Audio</v>
      </c>
      <c r="D38" s="240">
        <f t="shared" si="4"/>
        <v>4.8</v>
      </c>
      <c r="E38" s="240">
        <f t="shared" si="5"/>
        <v>4.8</v>
      </c>
      <c r="F38" s="240">
        <f t="shared" si="6"/>
        <v>4.8</v>
      </c>
      <c r="G38" s="240">
        <f t="shared" si="7"/>
        <v>4.8</v>
      </c>
      <c r="H38" s="240">
        <f t="shared" si="8"/>
        <v>4.8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VAC_Optim_Scenario!B29</f>
        <v>HCC TV</v>
      </c>
      <c r="D39" s="240">
        <f t="shared" si="4"/>
        <v>15.7</v>
      </c>
      <c r="E39" s="240">
        <f t="shared" si="5"/>
        <v>15.7</v>
      </c>
      <c r="F39" s="240">
        <f t="shared" si="6"/>
        <v>15.7</v>
      </c>
      <c r="G39" s="240">
        <f t="shared" si="7"/>
        <v>15.7</v>
      </c>
      <c r="H39" s="240">
        <f t="shared" si="8"/>
        <v>15.7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G9" sqref="G9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617">
        <v>2023</v>
      </c>
      <c r="E2" s="617"/>
      <c r="F2" s="617"/>
      <c r="G2" s="617"/>
      <c r="H2" s="617"/>
      <c r="I2" s="617"/>
      <c r="L2" s="97" t="s">
        <v>315</v>
      </c>
    </row>
    <row r="3" spans="1:18" ht="51" x14ac:dyDescent="0.25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223</v>
      </c>
      <c r="I3" s="220" t="s">
        <v>224</v>
      </c>
      <c r="J3" s="288" t="s">
        <v>208</v>
      </c>
      <c r="K3"/>
      <c r="L3" s="457">
        <v>8649234</v>
      </c>
      <c r="M3" s="221" t="s">
        <v>316</v>
      </c>
    </row>
    <row r="4" spans="1:18" ht="14.25" customHeight="1" x14ac:dyDescent="0.25">
      <c r="A4" s="97" t="s">
        <v>318</v>
      </c>
      <c r="B4" s="445" t="s">
        <v>175</v>
      </c>
      <c r="C4" s="446" t="str">
        <f>VAC_Optim_Scenario!B21</f>
        <v>HCC In Office</v>
      </c>
      <c r="D4" s="447">
        <f>VAC_Optim_Scenario!E21</f>
        <v>1000000</v>
      </c>
      <c r="E4" s="450">
        <f>VAC_Optim_Scenario!F21</f>
        <v>15970.197880234569</v>
      </c>
      <c r="F4" s="447">
        <f>VAC_Optim_Scenario!G51</f>
        <v>3608306.5090601984</v>
      </c>
      <c r="G4" s="452">
        <f>F4/D4</f>
        <v>3.6083065090601982</v>
      </c>
      <c r="H4" s="453">
        <f>E4/$L$3</f>
        <v>1.846429161268451E-3</v>
      </c>
      <c r="I4" s="455">
        <f>D4/E4</f>
        <v>62.616631772461922</v>
      </c>
      <c r="J4" s="458">
        <f ca="1">(VLOOKUP($Q4,INDIRECT("'"&amp;A4&amp;"'!"&amp;"A20:E42"),5,0)-VLOOKUP($R4,INDIRECT("'"&amp;A4&amp;"'!"&amp;"A20:E42"),5,0))/(Q4-R4)</f>
        <v>3.0475546002143576</v>
      </c>
      <c r="K4"/>
      <c r="L4" s="457">
        <v>4647854</v>
      </c>
      <c r="M4" s="221" t="s">
        <v>317</v>
      </c>
      <c r="Q4" s="460" cm="1">
        <f t="array" aca="1" ref="Q4" ca="1">MAX(_xlfn._xlws.FILTER(INDIRECT("'"&amp;A4&amp;"'!"&amp;"A20:A42"),INDIRECT("'"&amp;A4&amp;"'!"&amp;"A20:A42")&lt;$D4))</f>
        <v>800000</v>
      </c>
      <c r="R4" s="460" cm="1">
        <f t="array" aca="1" ref="R4" ca="1">MIN(_xlfn._xlws.FILTER(INDIRECT("'"&amp;A4&amp;"'!"&amp;"A20:A42"),INDIRECT("'"&amp;A4&amp;"'!"&amp;"A20:A42")&gt;=$D4))</f>
        <v>1000000</v>
      </c>
    </row>
    <row r="5" spans="1:18" x14ac:dyDescent="0.25">
      <c r="A5" s="97" t="s">
        <v>319</v>
      </c>
      <c r="B5" s="448" t="s">
        <v>175</v>
      </c>
      <c r="C5" s="468" t="str">
        <f>VAC_Optim_Scenario!B22</f>
        <v>HCP MCM</v>
      </c>
      <c r="D5" s="472">
        <f>VAC_Optim_Scenario!E22</f>
        <v>7775778</v>
      </c>
      <c r="E5" s="469">
        <f>VAC_Optim_Scenario!F22</f>
        <v>342226.11897340976</v>
      </c>
      <c r="F5" s="472">
        <f>VAC_Optim_Scenario!G52</f>
        <v>77322569.320852205</v>
      </c>
      <c r="G5" s="473">
        <f>F5/D5</f>
        <v>9.9440299505531407</v>
      </c>
      <c r="H5" s="454">
        <f t="shared" ref="H5:H12" si="0">E5/$L$3</f>
        <v>3.9567217047591703E-2</v>
      </c>
      <c r="I5" s="471">
        <f t="shared" ref="I5:I12" si="1">D5/E5</f>
        <v>22.721170503658026</v>
      </c>
      <c r="J5" s="459">
        <f t="shared" ref="J5:J9" ca="1" si="2">(VLOOKUP($Q5,INDIRECT("'"&amp;A5&amp;"'!"&amp;"A20:E42"),5,0)-VLOOKUP($R5,INDIRECT("'"&amp;A5&amp;"'!"&amp;"A20:E42"),5,0))/(Q5-R5)</f>
        <v>5.8043720552633458</v>
      </c>
      <c r="K5"/>
      <c r="Q5" s="460" cm="1">
        <f t="array" aca="1" ref="Q5" ca="1">MAX(_xlfn._xlws.FILTER(INDIRECT("'"&amp;A5&amp;"'!"&amp;"A20:A42"),INDIRECT("'"&amp;A5&amp;"'!"&amp;"A20:A42")&lt;$D5))</f>
        <v>7200000</v>
      </c>
      <c r="R5" s="460" cm="1">
        <f t="array" aca="1" ref="R5" ca="1">MIN(_xlfn._xlws.FILTER(INDIRECT("'"&amp;A5&amp;"'!"&amp;"A20:A42"),INDIRECT("'"&amp;A5&amp;"'!"&amp;"A20:A42")&gt;=$D5))</f>
        <v>7800000</v>
      </c>
    </row>
    <row r="6" spans="1:18" x14ac:dyDescent="0.25">
      <c r="A6" s="97" t="s">
        <v>320</v>
      </c>
      <c r="B6" s="448" t="s">
        <v>175</v>
      </c>
      <c r="C6" s="468" t="str">
        <f>VAC_Optim_Scenario!B23</f>
        <v>HCC Social</v>
      </c>
      <c r="D6" s="472">
        <f>VAC_Optim_Scenario!E23</f>
        <v>1840000</v>
      </c>
      <c r="E6" s="469">
        <f>VAC_Optim_Scenario!F23</f>
        <v>70487.367019183061</v>
      </c>
      <c r="F6" s="472">
        <f>VAC_Optim_Scenario!G53</f>
        <v>15925915.704314221</v>
      </c>
      <c r="G6" s="473">
        <f t="shared" ref="G6:G22" si="3">F6/D6</f>
        <v>8.6553889697359896</v>
      </c>
      <c r="H6" s="454">
        <f t="shared" si="0"/>
        <v>8.1495502398458708E-3</v>
      </c>
      <c r="I6" s="471">
        <f t="shared" si="1"/>
        <v>26.103968382011573</v>
      </c>
      <c r="J6" s="459">
        <f ca="1">(VLOOKUP($Q6,INDIRECT("'"&amp;A6&amp;"'!"&amp;"A20:E42"),3,0)-VLOOKUP($R6,INDIRECT("'"&amp;A6&amp;"'!"&amp;"A20:E42"),3,0))/(Q6-R6)</f>
        <v>5.1563798454813883</v>
      </c>
      <c r="K6"/>
      <c r="Q6" s="460" cm="1">
        <f t="array" aca="1" ref="Q6" ca="1">MAX(_xlfn._xlws.FILTER(INDIRECT("'"&amp;A6&amp;"'!"&amp;"A20:A42"),INDIRECT("'"&amp;A6&amp;"'!"&amp;"A20:A42")&lt;$D6))</f>
        <v>1750000</v>
      </c>
      <c r="R6" s="460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321</v>
      </c>
      <c r="B7" s="448" t="s">
        <v>175</v>
      </c>
      <c r="C7" s="468" t="str">
        <f>VAC_Optim_Scenario!B24</f>
        <v>HCC Online Video</v>
      </c>
      <c r="D7" s="472">
        <f>VAC_Optim_Scenario!E24</f>
        <v>1220000</v>
      </c>
      <c r="E7" s="469">
        <f>VAC_Optim_Scenario!F24</f>
        <v>15022.779470646754</v>
      </c>
      <c r="F7" s="472">
        <f>VAC_Optim_Scenario!G54</f>
        <v>3394246.7935979273</v>
      </c>
      <c r="G7" s="473">
        <f t="shared" si="3"/>
        <v>2.7821695029491207</v>
      </c>
      <c r="H7" s="454">
        <f t="shared" si="0"/>
        <v>1.73689132131779E-3</v>
      </c>
      <c r="I7" s="471">
        <f t="shared" si="1"/>
        <v>81.210005271246729</v>
      </c>
      <c r="J7" s="459">
        <f t="shared" ca="1" si="2"/>
        <v>0.11513353838437583</v>
      </c>
      <c r="K7"/>
      <c r="Q7" s="460" cm="1">
        <f t="array" aca="1" ref="Q7" ca="1">MAX(_xlfn._xlws.FILTER(INDIRECT("'"&amp;A7&amp;"'!"&amp;"A20:A42"),INDIRECT("'"&amp;A7&amp;"'!"&amp;"A20:A42")&lt;$D7))</f>
        <v>1142364.980307648</v>
      </c>
      <c r="R7" s="460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25">
      <c r="A8" s="97" t="s">
        <v>322</v>
      </c>
      <c r="B8" s="448" t="s">
        <v>175</v>
      </c>
      <c r="C8" s="468" t="str">
        <f>VAC_Optim_Scenario!B25</f>
        <v>HCC Streaming Video</v>
      </c>
      <c r="D8" s="472">
        <f>VAC_Optim_Scenario!E25</f>
        <v>4817798</v>
      </c>
      <c r="E8" s="469">
        <f>VAC_Optim_Scenario!F25</f>
        <v>121516.7124715425</v>
      </c>
      <c r="F8" s="472">
        <f>VAC_Optim_Scenario!G55</f>
        <v>27455486.015820313</v>
      </c>
      <c r="G8" s="473">
        <f t="shared" si="3"/>
        <v>5.6987623839397816</v>
      </c>
      <c r="H8" s="454">
        <f t="shared" si="0"/>
        <v>1.4049418997282593E-2</v>
      </c>
      <c r="I8" s="471">
        <f t="shared" si="1"/>
        <v>39.647204915358948</v>
      </c>
      <c r="J8" s="459">
        <f ca="1">(VLOOKUP($Q8,INDIRECT("'"&amp;A8&amp;"'!"&amp;"A20:E42"),3,0)-VLOOKUP($R8,INDIRECT("'"&amp;A8&amp;"'!"&amp;"A20:E42"),3,0))/(Q8-R8)</f>
        <v>4.0068524911094006</v>
      </c>
      <c r="K8"/>
      <c r="Q8" s="460" cm="1">
        <f t="array" aca="1" ref="Q8" ca="1">MAX(_xlfn._xlws.FILTER(INDIRECT("'"&amp;A8&amp;"'!"&amp;"A20:A42"),INDIRECT("'"&amp;A8&amp;"'!"&amp;"A20:A42")&lt;$D8))</f>
        <v>4500000</v>
      </c>
      <c r="R8" s="460" cm="1">
        <f t="array" aca="1" ref="R8" ca="1">MIN(_xlfn._xlws.FILTER(INDIRECT("'"&amp;A8&amp;"'!"&amp;"A20:A42"),INDIRECT("'"&amp;A8&amp;"'!"&amp;"A20:A42")&gt;=$D8))</f>
        <v>5000000</v>
      </c>
    </row>
    <row r="9" spans="1:18" x14ac:dyDescent="0.25">
      <c r="A9" s="97" t="s">
        <v>323</v>
      </c>
      <c r="B9" s="448" t="s">
        <v>175</v>
      </c>
      <c r="C9" s="468" t="str">
        <f>VAC_Optim_Scenario!B26</f>
        <v>HCC Display</v>
      </c>
      <c r="D9" s="472">
        <f>VAC_Optim_Scenario!E26</f>
        <v>3540000</v>
      </c>
      <c r="E9" s="469">
        <f>VAC_Optim_Scenario!F26</f>
        <v>173899.1701768022</v>
      </c>
      <c r="F9" s="472">
        <f>VAC_Optim_Scenario!G56</f>
        <v>39290778.509746693</v>
      </c>
      <c r="G9" s="473">
        <f t="shared" si="3"/>
        <v>11.099089974504716</v>
      </c>
      <c r="H9" s="454">
        <f t="shared" si="0"/>
        <v>2.0105730770702029E-2</v>
      </c>
      <c r="I9" s="471">
        <f t="shared" si="1"/>
        <v>20.356623878083514</v>
      </c>
      <c r="J9" s="459">
        <f t="shared" ca="1" si="2"/>
        <v>6.2094295764497671</v>
      </c>
      <c r="K9"/>
      <c r="Q9" s="460" cm="1">
        <f t="array" aca="1" ref="Q9" ca="1">MAX(_xlfn._xlws.FILTER(INDIRECT("'"&amp;A9&amp;"'!"&amp;"A20:A42"),INDIRECT("'"&amp;A9&amp;"'!"&amp;"A20:A42")&lt;$D9))</f>
        <v>3400000</v>
      </c>
      <c r="R9" s="460" cm="1">
        <f t="array" aca="1" ref="R9" ca="1">MIN(_xlfn._xlws.FILTER(INDIRECT("'"&amp;A9&amp;"'!"&amp;"A20:A42"),INDIRECT("'"&amp;A9&amp;"'!"&amp;"A20:A42")&gt;=$D9))</f>
        <v>3600000</v>
      </c>
    </row>
    <row r="10" spans="1:18" x14ac:dyDescent="0.25">
      <c r="A10" s="97" t="s">
        <v>324</v>
      </c>
      <c r="B10" s="448" t="s">
        <v>175</v>
      </c>
      <c r="C10" s="468" t="str">
        <f>VAC_Optim_Scenario!B27</f>
        <v>HCC Paid Search</v>
      </c>
      <c r="D10" s="472">
        <f>VAC_Optim_Scenario!E27</f>
        <v>400000</v>
      </c>
      <c r="E10" s="469">
        <f>VAC_Optim_Scenario!F27</f>
        <v>145038.35480357721</v>
      </c>
      <c r="F10" s="472">
        <f>VAC_Optim_Scenario!G57</f>
        <v>32769965.884320233</v>
      </c>
      <c r="G10" s="473">
        <f t="shared" si="3"/>
        <v>81.924914710800579</v>
      </c>
      <c r="H10" s="454">
        <f t="shared" si="0"/>
        <v>1.6768924832369803E-2</v>
      </c>
      <c r="I10" s="471">
        <f t="shared" si="1"/>
        <v>2.7578911836232054</v>
      </c>
      <c r="J10" s="459">
        <f ca="1">(VLOOKUP($Q10,INDIRECT("'"&amp;A10&amp;"'!"&amp;"A20:E42"),3,0)-VLOOKUP($R10,INDIRECT("'"&amp;A10&amp;"'!"&amp;"A20:E42"),3,0))/(Q10-R10)</f>
        <v>58.622972004453118</v>
      </c>
      <c r="K10"/>
      <c r="Q10" s="460" cm="1">
        <f t="array" aca="1" ref="Q10" ca="1">MAX(_xlfn._xlws.FILTER(INDIRECT("'"&amp;A10&amp;"'!"&amp;"A20:A42"),INDIRECT("'"&amp;A10&amp;"'!"&amp;"A20:A42")&lt;$D10))</f>
        <v>300000</v>
      </c>
      <c r="R10" s="460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325</v>
      </c>
      <c r="B11" s="448" t="s">
        <v>175</v>
      </c>
      <c r="C11" s="468" t="str">
        <f>VAC_Optim_Scenario!B28</f>
        <v>HCC Audio</v>
      </c>
      <c r="D11" s="472">
        <f>VAC_Optim_Scenario!E28</f>
        <v>2220000</v>
      </c>
      <c r="E11" s="469">
        <f>VAC_Optim_Scenario!F28</f>
        <v>91610.125423352103</v>
      </c>
      <c r="F11" s="472">
        <f>VAC_Optim_Scenario!G58</f>
        <v>20698391.738152172</v>
      </c>
      <c r="G11" s="473">
        <f t="shared" si="3"/>
        <v>9.3235998820505284</v>
      </c>
      <c r="H11" s="454">
        <f t="shared" si="0"/>
        <v>1.0591703892316026E-2</v>
      </c>
      <c r="I11" s="471">
        <f t="shared" si="1"/>
        <v>24.233129140920326</v>
      </c>
      <c r="J11" s="459">
        <f ca="1">(VLOOKUP($Q11,INDIRECT("'"&amp;A11&amp;"'!"&amp;"A20:E42"),3,0)-VLOOKUP($R11,INDIRECT("'"&amp;A11&amp;"'!"&amp;"A20:E42"),3,0))/(Q11-R11)</f>
        <v>5.5164744361232776</v>
      </c>
      <c r="K11"/>
      <c r="Q11" s="460" cm="1">
        <f t="array" aca="1" ref="Q11" ca="1">MAX(_xlfn._xlws.FILTER(INDIRECT("'"&amp;A11&amp;"'!"&amp;"A20:A42"),INDIRECT("'"&amp;A11&amp;"'!"&amp;"A20:A42")&lt;$D11))</f>
        <v>2200000</v>
      </c>
      <c r="R11" s="460" cm="1">
        <f t="array" aca="1" ref="R11" ca="1">MIN(_xlfn._xlws.FILTER(INDIRECT("'"&amp;A11&amp;"'!"&amp;"A20:A42"),INDIRECT("'"&amp;A11&amp;"'!"&amp;"A20:A42")&gt;=$D11))</f>
        <v>2400000</v>
      </c>
    </row>
    <row r="12" spans="1:18" x14ac:dyDescent="0.25">
      <c r="A12" s="97" t="s">
        <v>326</v>
      </c>
      <c r="B12" s="474" t="s">
        <v>175</v>
      </c>
      <c r="C12" s="475" t="str">
        <f>VAC_Optim_Scenario!B29</f>
        <v>HCC TV</v>
      </c>
      <c r="D12" s="476">
        <f>VAC_Optim_Scenario!E29</f>
        <v>15700000</v>
      </c>
      <c r="E12" s="477">
        <f>VAC_Optim_Scenario!F29</f>
        <v>281912.11859902256</v>
      </c>
      <c r="F12" s="476">
        <f>VAC_Optim_Scenario!G59</f>
        <v>63695224.07626316</v>
      </c>
      <c r="G12" s="478">
        <f t="shared" si="3"/>
        <v>4.0570206418002011</v>
      </c>
      <c r="H12" s="479">
        <f t="shared" si="0"/>
        <v>3.2593882718287254E-2</v>
      </c>
      <c r="I12" s="480">
        <f t="shared" si="1"/>
        <v>55.691114230995083</v>
      </c>
      <c r="J12" s="481">
        <f ca="1">(VLOOKUP($Q12,INDIRECT("'"&amp;A12&amp;"'!"&amp;"A20:E42"),3,0)-VLOOKUP($R12,INDIRECT("'"&amp;A12&amp;"'!"&amp;"A20:E42"),3,0))/(Q12-R12)</f>
        <v>2.8442930298198044</v>
      </c>
      <c r="K12"/>
      <c r="Q12" s="460" cm="1">
        <f t="array" aca="1" ref="Q12" ca="1">MAX(_xlfn._xlws.FILTER(INDIRECT("'"&amp;A12&amp;"'!"&amp;"A20:A42"),INDIRECT("'"&amp;A12&amp;"'!"&amp;"A20:A42")&lt;$D12))</f>
        <v>15000000</v>
      </c>
      <c r="R12" s="460" cm="1">
        <f t="array" aca="1" ref="R12" ca="1">MIN(_xlfn._xlws.FILTER(INDIRECT("'"&amp;A12&amp;"'!"&amp;"A20:A42"),INDIRECT("'"&amp;A12&amp;"'!"&amp;"A20:A42")&gt;=$D12))</f>
        <v>16250000</v>
      </c>
    </row>
    <row r="13" spans="1:18" x14ac:dyDescent="0.25">
      <c r="A13" s="97" t="s">
        <v>328</v>
      </c>
      <c r="B13" s="448" t="s">
        <v>285</v>
      </c>
      <c r="C13" s="468" t="str">
        <f>VAC_Optim_Scenario!B31</f>
        <v>HCC InOffice</v>
      </c>
      <c r="D13" s="461">
        <f>VAC_Optim_Scenario!E31</f>
        <v>1000000</v>
      </c>
      <c r="E13" s="469">
        <f>VAC_Optim_Scenario!F31</f>
        <v>4323.5214887261391</v>
      </c>
      <c r="F13" s="461">
        <f>VAC_Optim_Scenario!G61</f>
        <v>976856.44516278384</v>
      </c>
      <c r="G13" s="470">
        <f t="shared" si="3"/>
        <v>0.9768564451627838</v>
      </c>
      <c r="H13" s="454">
        <f>E13/$L$4</f>
        <v>9.3021886847696571E-4</v>
      </c>
      <c r="I13" s="471">
        <f>D13/E13</f>
        <v>231.29294086026042</v>
      </c>
      <c r="J13" s="459">
        <f ca="1">(VLOOKUP($Q13,INDIRECT("'"&amp;A13&amp;"'!"&amp;"A20:E42"),5,0)-VLOOKUP($R13,INDIRECT("'"&amp;A13&amp;"'!"&amp;"A20:E42"),5,0))/(Q13-R13)</f>
        <v>0.74757807482503935</v>
      </c>
      <c r="K13"/>
      <c r="Q13" s="460" cm="1">
        <f t="array" aca="1" ref="Q13" ca="1">MAX(_xlfn._xlws.FILTER(INDIRECT("'"&amp;A13&amp;"'!"&amp;"A20:A42"),INDIRECT("'"&amp;A13&amp;"'!"&amp;"A20:A42")&lt;$D13))</f>
        <v>800000</v>
      </c>
      <c r="R13" s="460" cm="1">
        <f t="array" aca="1" ref="R13" ca="1">MIN(_xlfn._xlws.FILTER(INDIRECT("'"&amp;A13&amp;"'!"&amp;"A20:A42"),INDIRECT("'"&amp;A13&amp;"'!"&amp;"A20:A42")&gt;=$D13))</f>
        <v>1000000</v>
      </c>
    </row>
    <row r="14" spans="1:18" x14ac:dyDescent="0.25">
      <c r="A14" s="97" t="s">
        <v>329</v>
      </c>
      <c r="B14" s="448" t="s">
        <v>285</v>
      </c>
      <c r="C14" s="449" t="str">
        <f>VAC_Optim_Scenario!B32</f>
        <v>HCP MCM</v>
      </c>
      <c r="D14" s="461">
        <f>VAC_Optim_Scenario!E32</f>
        <v>16948000</v>
      </c>
      <c r="E14" s="451">
        <f>VAC_Optim_Scenario!F32</f>
        <v>405762.3287466066</v>
      </c>
      <c r="F14" s="461">
        <f>VAC_Optim_Scenario!G62</f>
        <v>91677940.557008296</v>
      </c>
      <c r="G14" s="466">
        <f t="shared" si="3"/>
        <v>5.4093663297739143</v>
      </c>
      <c r="H14" s="454">
        <f t="shared" ref="H14:H22" si="4">E14/$L$4</f>
        <v>8.730100574299593E-2</v>
      </c>
      <c r="I14" s="456">
        <f t="shared" ref="I14:I22" si="5">D14/E14</f>
        <v>41.768293405531516</v>
      </c>
      <c r="J14" s="459">
        <f t="shared" ref="J14:J22" ca="1" si="6">(VLOOKUP($Q14,INDIRECT("'"&amp;A14&amp;"'!"&amp;"A20:E42"),5,0)-VLOOKUP($R14,INDIRECT("'"&amp;A14&amp;"'!"&amp;"A20:E42"),5,0))/(Q14-R14)</f>
        <v>5.911841996828624</v>
      </c>
      <c r="K14"/>
      <c r="Q14" s="460" cm="1">
        <f t="array" aca="1" ref="Q14" ca="1">MAX(_xlfn._xlws.FILTER(INDIRECT("'"&amp;A14&amp;"'!"&amp;"A20:A42"),INDIRECT("'"&amp;A14&amp;"'!"&amp;"A20:A42")&lt;$D14))</f>
        <v>12500000</v>
      </c>
      <c r="R14" s="460" cm="1">
        <f t="array" aca="1" ref="R14" ca="1">MIN(_xlfn._xlws.FILTER(INDIRECT("'"&amp;A14&amp;"'!"&amp;"A20:A42"),INDIRECT("'"&amp;A14&amp;"'!"&amp;"A20:A42")&gt;=$D14))</f>
        <v>0</v>
      </c>
    </row>
    <row r="15" spans="1:18" x14ac:dyDescent="0.25">
      <c r="A15" s="97" t="s">
        <v>330</v>
      </c>
      <c r="B15" s="448" t="s">
        <v>285</v>
      </c>
      <c r="C15" s="449" t="str">
        <f>VAC_Optim_Scenario!B33</f>
        <v>HCC Social</v>
      </c>
      <c r="D15" s="461">
        <f>VAC_Optim_Scenario!E33</f>
        <v>2200000</v>
      </c>
      <c r="E15" s="451">
        <f>VAC_Optim_Scenario!F33</f>
        <v>27316.876297482511</v>
      </c>
      <c r="F15" s="461">
        <f>VAC_Optim_Scenario!G63</f>
        <v>6171975.0306531982</v>
      </c>
      <c r="G15" s="466">
        <f t="shared" si="3"/>
        <v>2.8054431957514536</v>
      </c>
      <c r="H15" s="454">
        <f t="shared" si="4"/>
        <v>5.8773094631377216E-3</v>
      </c>
      <c r="I15" s="456">
        <f t="shared" si="5"/>
        <v>80.536294708145277</v>
      </c>
      <c r="J15" s="459">
        <f ca="1">(VLOOKUP($Q15,INDIRECT("'"&amp;A15&amp;"'!"&amp;"A20:E42"),3,0)-VLOOKUP($R15,INDIRECT("'"&amp;A15&amp;"'!"&amp;"A20:E42"),3,0))/(Q15-R15)</f>
        <v>1.7073346754970775</v>
      </c>
      <c r="K15"/>
      <c r="Q15" s="460" cm="1">
        <f t="array" aca="1" ref="Q15" ca="1">MAX(_xlfn._xlws.FILTER(INDIRECT("'"&amp;A15&amp;"'!"&amp;"A20:A42"),INDIRECT("'"&amp;A15&amp;"'!"&amp;"A20:A42")&lt;$D15))</f>
        <v>2000000</v>
      </c>
      <c r="R15" s="460" cm="1">
        <f t="array" aca="1" ref="R15" ca="1">MIN(_xlfn._xlws.FILTER(INDIRECT("'"&amp;A15&amp;"'!"&amp;"A20:A42"),INDIRECT("'"&amp;A15&amp;"'!"&amp;"A20:A42")&gt;=$D15))</f>
        <v>2250000</v>
      </c>
    </row>
    <row r="16" spans="1:18" x14ac:dyDescent="0.25">
      <c r="A16" s="97" t="s">
        <v>331</v>
      </c>
      <c r="B16" s="448" t="s">
        <v>285</v>
      </c>
      <c r="C16" s="449" t="str">
        <f>VAC_Optim_Scenario!B34</f>
        <v>HCC Online Video</v>
      </c>
      <c r="D16" s="461">
        <f>VAC_Optim_Scenario!E34</f>
        <v>1500000</v>
      </c>
      <c r="E16" s="451">
        <f>VAC_Optim_Scenario!F34</f>
        <v>26310.281300564297</v>
      </c>
      <c r="F16" s="461">
        <f>VAC_Optim_Scenario!G64</f>
        <v>5944544.9570494974</v>
      </c>
      <c r="G16" s="466">
        <f t="shared" si="3"/>
        <v>3.9630299713663315</v>
      </c>
      <c r="H16" s="454">
        <f t="shared" si="4"/>
        <v>5.6607374716512822E-3</v>
      </c>
      <c r="I16" s="456">
        <f t="shared" si="5"/>
        <v>57.011933200722879</v>
      </c>
      <c r="J16" s="459">
        <f t="shared" ca="1" si="6"/>
        <v>2.4010732590155395</v>
      </c>
      <c r="K16"/>
      <c r="Q16" s="460" cm="1">
        <f t="array" aca="1" ref="Q16" ca="1">MAX(_xlfn._xlws.FILTER(INDIRECT("'"&amp;A16&amp;"'!"&amp;"A20:A42"),INDIRECT("'"&amp;A16&amp;"'!"&amp;"A20:A42")&lt;$D16))</f>
        <v>1400000</v>
      </c>
      <c r="R16" s="460" cm="1">
        <f t="array" aca="1" ref="R16" ca="1">MIN(_xlfn._xlws.FILTER(INDIRECT("'"&amp;A16&amp;"'!"&amp;"A20:A42"),INDIRECT("'"&amp;A16&amp;"'!"&amp;"A20:A42")&gt;=$D16))</f>
        <v>1600000</v>
      </c>
    </row>
    <row r="17" spans="1:18" x14ac:dyDescent="0.25">
      <c r="A17" s="97" t="s">
        <v>332</v>
      </c>
      <c r="B17" s="448" t="s">
        <v>285</v>
      </c>
      <c r="C17" s="449" t="str">
        <f>VAC_Optim_Scenario!B35</f>
        <v>HCC Streaming Video</v>
      </c>
      <c r="D17" s="461">
        <f>VAC_Optim_Scenario!E35</f>
        <v>10268452</v>
      </c>
      <c r="E17" s="451">
        <f>VAC_Optim_Scenario!F35</f>
        <v>83590.203851267303</v>
      </c>
      <c r="F17" s="461">
        <f>VAC_Optim_Scenario!G65</f>
        <v>18886370.658155333</v>
      </c>
      <c r="G17" s="466">
        <f t="shared" si="3"/>
        <v>1.8392617171658721</v>
      </c>
      <c r="H17" s="454">
        <f t="shared" si="4"/>
        <v>1.7984687955186911E-2</v>
      </c>
      <c r="I17" s="456">
        <f t="shared" si="5"/>
        <v>122.84276777540508</v>
      </c>
      <c r="J17" s="459">
        <f ca="1">(VLOOKUP($Q17,INDIRECT("'"&amp;A17&amp;"'!"&amp;"A20:E42"),3,0)-VLOOKUP($R17,INDIRECT("'"&amp;A17&amp;"'!"&amp;"A20:E42"),3,0))/(Q17-R17)</f>
        <v>1.293043979820331</v>
      </c>
      <c r="K17"/>
      <c r="Q17" s="460" cm="1">
        <f t="array" aca="1" ref="Q17" ca="1">MAX(_xlfn._xlws.FILTER(INDIRECT("'"&amp;A17&amp;"'!"&amp;"A20:A42"),INDIRECT("'"&amp;A17&amp;"'!"&amp;"A20:A42")&lt;$D17))</f>
        <v>9750000</v>
      </c>
      <c r="R17" s="460" cm="1">
        <f t="array" aca="1" ref="R17" ca="1">MIN(_xlfn._xlws.FILTER(INDIRECT("'"&amp;A17&amp;"'!"&amp;"A20:A42"),INDIRECT("'"&amp;A17&amp;"'!"&amp;"A20:A42")&gt;=$D17))</f>
        <v>10500000</v>
      </c>
    </row>
    <row r="18" spans="1:18" x14ac:dyDescent="0.25">
      <c r="A18" s="97" t="s">
        <v>333</v>
      </c>
      <c r="B18" s="448" t="s">
        <v>285</v>
      </c>
      <c r="C18" s="449" t="str">
        <f>VAC_Optim_Scenario!B36</f>
        <v>HCC Display</v>
      </c>
      <c r="D18" s="461">
        <f>VAC_Optim_Scenario!E36</f>
        <v>4000000</v>
      </c>
      <c r="E18" s="451">
        <f>VAC_Optim_Scenario!F36</f>
        <v>93036.538435982438</v>
      </c>
      <c r="F18" s="461">
        <f>VAC_Optim_Scenario!G66</f>
        <v>21020675.494225871</v>
      </c>
      <c r="G18" s="466">
        <f t="shared" si="3"/>
        <v>5.2551688735564674</v>
      </c>
      <c r="H18" s="454">
        <f t="shared" si="4"/>
        <v>2.0017095725464361E-2</v>
      </c>
      <c r="I18" s="456">
        <f t="shared" si="5"/>
        <v>42.993860984546004</v>
      </c>
      <c r="J18" s="459">
        <f t="shared" ref="J18:J21" ca="1" si="7">(VLOOKUP($Q18,INDIRECT("'"&amp;A18&amp;"'!"&amp;"A20:E42"),3,0)-VLOOKUP($R18,INDIRECT("'"&amp;A18&amp;"'!"&amp;"A20:E42"),3,0))/(Q18-R18)</f>
        <v>3.1937096880425662</v>
      </c>
      <c r="K18"/>
      <c r="Q18" s="460" cm="1">
        <f t="array" aca="1" ref="Q18" ca="1">MAX(_xlfn._xlws.FILTER(INDIRECT("'"&amp;A18&amp;"'!"&amp;"A20:A42"),INDIRECT("'"&amp;A18&amp;"'!"&amp;"A20:A42")&lt;$D18))</f>
        <v>3750000</v>
      </c>
      <c r="R18" s="460" cm="1">
        <f t="array" aca="1" ref="R18" ca="1">MIN(_xlfn._xlws.FILTER(INDIRECT("'"&amp;A18&amp;"'!"&amp;"A20:A42"),INDIRECT("'"&amp;A18&amp;"'!"&amp;"A20:A42")&gt;=$D18))</f>
        <v>4000000</v>
      </c>
    </row>
    <row r="19" spans="1:18" x14ac:dyDescent="0.25">
      <c r="A19" s="97" t="s">
        <v>334</v>
      </c>
      <c r="B19" s="448" t="s">
        <v>285</v>
      </c>
      <c r="C19" s="449" t="str">
        <f>VAC_Optim_Scenario!B37</f>
        <v>HCC Paid Search</v>
      </c>
      <c r="D19" s="461">
        <f>VAC_Optim_Scenario!E37</f>
        <v>200000</v>
      </c>
      <c r="E19" s="451">
        <f>VAC_Optim_Scenario!F37</f>
        <v>79531.473375019181</v>
      </c>
      <c r="F19" s="461">
        <f>VAC_Optim_Scenario!G67</f>
        <v>17969341.094351832</v>
      </c>
      <c r="G19" s="466">
        <f t="shared" si="3"/>
        <v>89.846705471759165</v>
      </c>
      <c r="H19" s="454">
        <f t="shared" si="4"/>
        <v>1.7111439682705003E-2</v>
      </c>
      <c r="I19" s="456">
        <f t="shared" si="5"/>
        <v>2.5147277110902859</v>
      </c>
      <c r="J19" s="459">
        <f t="shared" ca="1" si="7"/>
        <v>84.028991834438983</v>
      </c>
      <c r="K19"/>
      <c r="Q19" s="460" cm="1">
        <f t="array" aca="1" ref="Q19" ca="1">MAX(_xlfn._xlws.FILTER(INDIRECT("'"&amp;A19&amp;"'!"&amp;"A20:A42"),INDIRECT("'"&amp;A19&amp;"'!"&amp;"A20:A42")&lt;$D19))</f>
        <v>0</v>
      </c>
      <c r="R19" s="460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335</v>
      </c>
      <c r="B20" s="448" t="s">
        <v>285</v>
      </c>
      <c r="C20" s="449" t="str">
        <f>VAC_Optim_Scenario!B38</f>
        <v>HCC Linear TV</v>
      </c>
      <c r="D20" s="461">
        <f>VAC_Optim_Scenario!E38</f>
        <v>28089211</v>
      </c>
      <c r="E20" s="451">
        <f>VAC_Optim_Scenario!F38</f>
        <v>178786.88879772768</v>
      </c>
      <c r="F20" s="461">
        <f>VAC_Optim_Scenario!G68</f>
        <v>40395109.654958591</v>
      </c>
      <c r="G20" s="466">
        <f t="shared" si="3"/>
        <v>1.4381005452577003</v>
      </c>
      <c r="H20" s="454">
        <f t="shared" si="4"/>
        <v>3.8466545807533468E-2</v>
      </c>
      <c r="I20" s="456">
        <f t="shared" si="5"/>
        <v>157.11001622596055</v>
      </c>
      <c r="J20" s="459">
        <f t="shared" ca="1" si="7"/>
        <v>1.0103942879146139</v>
      </c>
      <c r="K20"/>
      <c r="Q20" s="460" cm="1">
        <f t="array" aca="1" ref="Q20" ca="1">MAX(_xlfn._xlws.FILTER(INDIRECT("'"&amp;A20&amp;"'!"&amp;"A20:A42"),INDIRECT("'"&amp;A20&amp;"'!"&amp;"A20:A42")&lt;$D20))</f>
        <v>27000000</v>
      </c>
      <c r="R20" s="460" cm="1">
        <f t="array" aca="1" ref="R20" ca="1">MIN(_xlfn._xlws.FILTER(INDIRECT("'"&amp;A20&amp;"'!"&amp;"A20:A42"),INDIRECT("'"&amp;A20&amp;"'!"&amp;"A20:A42")&gt;=$D20))</f>
        <v>28500000</v>
      </c>
    </row>
    <row r="21" spans="1:18" x14ac:dyDescent="0.25">
      <c r="A21" s="97" t="s">
        <v>327</v>
      </c>
      <c r="B21" s="448" t="s">
        <v>285</v>
      </c>
      <c r="C21" s="449" t="str">
        <f>VAC_Optim_Scenario!B39</f>
        <v>HCC Radio</v>
      </c>
      <c r="D21" s="461">
        <f>VAC_Optim_Scenario!E39</f>
        <v>1500000</v>
      </c>
      <c r="E21" s="451">
        <f>VAC_Optim_Scenario!F39</f>
        <v>32266.574959240672</v>
      </c>
      <c r="F21" s="461">
        <f>VAC_Optim_Scenario!G69</f>
        <v>7290309.9462908376</v>
      </c>
      <c r="G21" s="466">
        <f t="shared" si="3"/>
        <v>4.8602066308605583</v>
      </c>
      <c r="H21" s="454">
        <f t="shared" si="4"/>
        <v>6.9422522650755963E-3</v>
      </c>
      <c r="I21" s="456">
        <f t="shared" si="5"/>
        <v>46.487735431938745</v>
      </c>
      <c r="J21" s="459">
        <f t="shared" ca="1" si="7"/>
        <v>2.0509920895460025</v>
      </c>
      <c r="K21"/>
      <c r="Q21" s="460" cm="1">
        <f t="array" aca="1" ref="Q21" ca="1">MAX(_xlfn._xlws.FILTER(INDIRECT("'"&amp;A21&amp;"'!"&amp;"A20:A42"),INDIRECT("'"&amp;A21&amp;"'!"&amp;"A20:A42")&lt;$D21))</f>
        <v>1250000</v>
      </c>
      <c r="R21" s="460" cm="1">
        <f t="array" aca="1" ref="R21" ca="1">MIN(_xlfn._xlws.FILTER(INDIRECT("'"&amp;A21&amp;"'!"&amp;"A20:A42"),INDIRECT("'"&amp;A21&amp;"'!"&amp;"A20:A42")&gt;=$D21))</f>
        <v>1500000</v>
      </c>
    </row>
    <row r="22" spans="1:18" x14ac:dyDescent="0.25">
      <c r="A22" s="97" t="s">
        <v>336</v>
      </c>
      <c r="B22" s="448" t="s">
        <v>285</v>
      </c>
      <c r="C22" s="449" t="str">
        <f>VAC_Optim_Scenario!B40</f>
        <v>HCC Pharmacy</v>
      </c>
      <c r="D22" s="461">
        <f>VAC_Optim_Scenario!E40</f>
        <v>3200000</v>
      </c>
      <c r="E22" s="451">
        <f>VAC_Optim_Scenario!F40</f>
        <v>22412.309442908503</v>
      </c>
      <c r="F22" s="461">
        <f>VAC_Optim_Scenario!G70</f>
        <v>5063837.1955307471</v>
      </c>
      <c r="G22" s="466">
        <f t="shared" si="3"/>
        <v>1.5824491236033584</v>
      </c>
      <c r="H22" s="454">
        <f t="shared" si="4"/>
        <v>4.822076907516566E-3</v>
      </c>
      <c r="I22" s="456">
        <f t="shared" si="5"/>
        <v>142.77868187352351</v>
      </c>
      <c r="J22" s="459">
        <f t="shared" ca="1" si="6"/>
        <v>1.1322085520510514</v>
      </c>
      <c r="K22"/>
      <c r="Q22" s="460" cm="1">
        <f t="array" aca="1" ref="Q22" ca="1">MAX(_xlfn._xlws.FILTER(INDIRECT("'"&amp;A22&amp;"'!"&amp;"A20:A42"),INDIRECT("'"&amp;A22&amp;"'!"&amp;"A20:A42")&lt;$D22))</f>
        <v>3000000</v>
      </c>
      <c r="R22" s="460" cm="1">
        <f t="array" aca="1" ref="R22" ca="1">MIN(_xlfn._xlws.FILTER(INDIRECT("'"&amp;A22&amp;"'!"&amp;"A20:A42"),INDIRECT("'"&amp;A22&amp;"'!"&amp;"A20:A42")&gt;=$D22))</f>
        <v>3200000</v>
      </c>
    </row>
    <row r="23" spans="1:18" x14ac:dyDescent="0.25">
      <c r="B23" s="462" t="s">
        <v>154</v>
      </c>
      <c r="C23" s="463" t="s">
        <v>231</v>
      </c>
      <c r="D23" s="464">
        <f>SUM(D4:D22)</f>
        <v>107419239</v>
      </c>
      <c r="E23" s="465">
        <f>SUM(E4:E22)</f>
        <v>2211019.9415132962</v>
      </c>
      <c r="F23" s="464">
        <f>SUM(F4:F22)</f>
        <v>499557845.58551407</v>
      </c>
      <c r="G23" s="467">
        <f>F23/D23</f>
        <v>4.6505435174933059</v>
      </c>
      <c r="H23" s="225">
        <f>SUM(H4:H22)</f>
        <v>0.35052311887072529</v>
      </c>
      <c r="I23" s="289">
        <f>D23/E23</f>
        <v>48.583568597974143</v>
      </c>
      <c r="J23" s="290"/>
    </row>
    <row r="24" spans="1:18" x14ac:dyDescent="0.25">
      <c r="F24" s="97">
        <f>F23/D23</f>
        <v>4.6505435174933059</v>
      </c>
      <c r="G24" s="226"/>
      <c r="H24" s="227"/>
    </row>
    <row r="26" spans="1:18" ht="25.5" x14ac:dyDescent="0.25">
      <c r="E26" s="220" t="s">
        <v>3</v>
      </c>
      <c r="F26" s="221" t="s">
        <v>309</v>
      </c>
    </row>
    <row r="27" spans="1:18" x14ac:dyDescent="0.25">
      <c r="E27" s="222" t="s">
        <v>189</v>
      </c>
      <c r="F27" s="259">
        <f t="shared" ref="F27:F35" si="8">VLOOKUP(E27,$C$4:$I$12,7,0)</f>
        <v>55.691114230995083</v>
      </c>
    </row>
    <row r="28" spans="1:18" x14ac:dyDescent="0.25">
      <c r="E28" s="223" t="s">
        <v>225</v>
      </c>
      <c r="F28" s="259">
        <f t="shared" si="8"/>
        <v>62.616631772461922</v>
      </c>
    </row>
    <row r="29" spans="1:18" x14ac:dyDescent="0.25">
      <c r="E29" s="223" t="s">
        <v>247</v>
      </c>
      <c r="F29" s="259">
        <f t="shared" si="8"/>
        <v>39.647204915358948</v>
      </c>
    </row>
    <row r="30" spans="1:18" x14ac:dyDescent="0.25">
      <c r="E30" s="223" t="s">
        <v>227</v>
      </c>
      <c r="F30" s="259">
        <f t="shared" si="8"/>
        <v>26.103968382011573</v>
      </c>
    </row>
    <row r="31" spans="1:18" x14ac:dyDescent="0.25">
      <c r="E31" s="223" t="s">
        <v>245</v>
      </c>
      <c r="F31" s="259">
        <f t="shared" si="8"/>
        <v>81.210005271246729</v>
      </c>
    </row>
    <row r="32" spans="1:18" x14ac:dyDescent="0.25">
      <c r="E32" s="223" t="s">
        <v>284</v>
      </c>
      <c r="F32" s="259">
        <f t="shared" si="8"/>
        <v>24.233129140920326</v>
      </c>
    </row>
    <row r="33" spans="5:6" x14ac:dyDescent="0.25">
      <c r="E33" s="223" t="s">
        <v>226</v>
      </c>
      <c r="F33" s="259">
        <f t="shared" si="8"/>
        <v>22.721170503658026</v>
      </c>
    </row>
    <row r="34" spans="5:6" x14ac:dyDescent="0.25">
      <c r="E34" s="223" t="s">
        <v>228</v>
      </c>
      <c r="F34" s="259">
        <f t="shared" si="8"/>
        <v>20.356623878083514</v>
      </c>
    </row>
    <row r="35" spans="5:6" x14ac:dyDescent="0.25">
      <c r="E35" s="224" t="s">
        <v>229</v>
      </c>
      <c r="F35" s="259">
        <f t="shared" si="8"/>
        <v>2.7578911836232054</v>
      </c>
    </row>
    <row r="46" spans="5:6" ht="25.5" x14ac:dyDescent="0.25">
      <c r="E46" s="220" t="s">
        <v>3</v>
      </c>
      <c r="F46" s="221" t="s">
        <v>299</v>
      </c>
    </row>
    <row r="47" spans="5:6" x14ac:dyDescent="0.25">
      <c r="E47" s="222" t="s">
        <v>286</v>
      </c>
      <c r="F47" s="259">
        <f t="shared" ref="F47:F56" si="9">VLOOKUP(E47,$C$13:$I$22,7,0)</f>
        <v>231.29294086026042</v>
      </c>
    </row>
    <row r="48" spans="5:6" x14ac:dyDescent="0.25">
      <c r="E48" s="223" t="s">
        <v>287</v>
      </c>
      <c r="F48" s="259">
        <f t="shared" si="9"/>
        <v>157.11001622596055</v>
      </c>
    </row>
    <row r="49" spans="5:6" x14ac:dyDescent="0.25">
      <c r="E49" s="223" t="s">
        <v>247</v>
      </c>
      <c r="F49" s="259">
        <f t="shared" si="9"/>
        <v>122.84276777540508</v>
      </c>
    </row>
    <row r="50" spans="5:6" x14ac:dyDescent="0.25">
      <c r="E50" s="223" t="s">
        <v>304</v>
      </c>
      <c r="F50" s="259">
        <f t="shared" si="9"/>
        <v>142.77868187352351</v>
      </c>
    </row>
    <row r="51" spans="5:6" x14ac:dyDescent="0.25">
      <c r="E51" s="223" t="s">
        <v>227</v>
      </c>
      <c r="F51" s="259">
        <f t="shared" si="9"/>
        <v>80.536294708145277</v>
      </c>
    </row>
    <row r="52" spans="5:6" x14ac:dyDescent="0.25">
      <c r="E52" s="223" t="s">
        <v>245</v>
      </c>
      <c r="F52" s="259">
        <f t="shared" si="9"/>
        <v>57.011933200722879</v>
      </c>
    </row>
    <row r="53" spans="5:6" x14ac:dyDescent="0.25">
      <c r="E53" s="223" t="s">
        <v>228</v>
      </c>
      <c r="F53" s="259">
        <f t="shared" si="9"/>
        <v>42.993860984546004</v>
      </c>
    </row>
    <row r="54" spans="5:6" x14ac:dyDescent="0.25">
      <c r="E54" s="223" t="s">
        <v>226</v>
      </c>
      <c r="F54" s="259">
        <f t="shared" si="9"/>
        <v>41.768293405531516</v>
      </c>
    </row>
    <row r="55" spans="5:6" x14ac:dyDescent="0.25">
      <c r="E55" s="224" t="s">
        <v>192</v>
      </c>
      <c r="F55" s="259">
        <f t="shared" si="9"/>
        <v>46.487735431938745</v>
      </c>
    </row>
    <row r="56" spans="5:6" x14ac:dyDescent="0.25">
      <c r="E56" s="223" t="s">
        <v>229</v>
      </c>
      <c r="F56" s="259">
        <f t="shared" si="9"/>
        <v>2.5147277110902859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E16" sqref="E16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94" t="s">
        <v>201</v>
      </c>
      <c r="H4" s="594"/>
      <c r="I4" s="595" t="s">
        <v>202</v>
      </c>
      <c r="J4" s="595"/>
      <c r="K4" s="596" t="s">
        <v>203</v>
      </c>
      <c r="L4" s="596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308</v>
      </c>
      <c r="G5" s="275" t="s">
        <v>337</v>
      </c>
      <c r="H5" s="275"/>
      <c r="I5" s="275" t="s">
        <v>337</v>
      </c>
      <c r="J5" s="275"/>
      <c r="K5" s="275" t="s">
        <v>337</v>
      </c>
      <c r="L5" s="275"/>
      <c r="M5" s="276"/>
    </row>
    <row r="6" spans="2:13" ht="15" customHeight="1" x14ac:dyDescent="0.25">
      <c r="B6" s="183"/>
      <c r="C6" s="169">
        <f>$C$8+E6</f>
        <v>214838478</v>
      </c>
      <c r="D6" s="170">
        <v>1</v>
      </c>
      <c r="E6" s="171">
        <f>D6*$C$8</f>
        <v>107419239</v>
      </c>
      <c r="F6" s="258"/>
      <c r="G6" s="169">
        <f>'Scenario deep dive_24_20M'!P28</f>
        <v>584315376.29753828</v>
      </c>
      <c r="H6" s="275"/>
      <c r="I6" s="169">
        <f t="shared" ref="I6:J8" si="0">G6-$F$8</f>
        <v>84757530.712024212</v>
      </c>
      <c r="J6" s="169">
        <f t="shared" si="0"/>
        <v>-499557845.58551407</v>
      </c>
      <c r="K6" s="172">
        <f t="shared" ref="K6:L8" si="1">G6/$C6</f>
        <v>2.7197892190315103</v>
      </c>
      <c r="L6" s="172">
        <f t="shared" si="1"/>
        <v>0</v>
      </c>
      <c r="M6" s="276"/>
    </row>
    <row r="7" spans="2:13" x14ac:dyDescent="0.25">
      <c r="C7" s="169">
        <f>$C$8+E7</f>
        <v>161128858.5</v>
      </c>
      <c r="D7" s="170">
        <v>0.5</v>
      </c>
      <c r="E7" s="171">
        <f>D7*$C$8</f>
        <v>53709619.5</v>
      </c>
      <c r="F7" s="169"/>
      <c r="G7" s="169">
        <f>'Scenario deep dive_24_20M'!L28</f>
        <v>579638942.31260693</v>
      </c>
      <c r="H7" s="169"/>
      <c r="I7" s="169">
        <f t="shared" si="0"/>
        <v>80081096.727092862</v>
      </c>
      <c r="J7" s="169">
        <f t="shared" si="0"/>
        <v>-499557845.58551407</v>
      </c>
      <c r="K7" s="172">
        <f t="shared" si="1"/>
        <v>3.5973626804574361</v>
      </c>
      <c r="L7" s="172">
        <f t="shared" si="1"/>
        <v>0</v>
      </c>
    </row>
    <row r="8" spans="2:13" x14ac:dyDescent="0.25">
      <c r="B8" s="174">
        <f>F8/C8</f>
        <v>4.6505435174933059</v>
      </c>
      <c r="C8" s="169">
        <f>'Scenario deep dive_24_20M'!C28</f>
        <v>107419239</v>
      </c>
      <c r="D8" s="170">
        <v>0</v>
      </c>
      <c r="E8" s="171">
        <f>D8*$C$8</f>
        <v>0</v>
      </c>
      <c r="F8" s="169">
        <f>'Scenario deep dive_24_20M'!D28</f>
        <v>499557845.58551407</v>
      </c>
      <c r="G8" s="169">
        <f>'Scenario deep dive_24_20M'!H28</f>
        <v>515884477.51702702</v>
      </c>
      <c r="H8" s="169"/>
      <c r="I8" s="169">
        <f t="shared" si="0"/>
        <v>16326631.931512952</v>
      </c>
      <c r="J8" s="169">
        <f t="shared" si="0"/>
        <v>-499557845.58551407</v>
      </c>
      <c r="K8" s="172">
        <f t="shared" si="1"/>
        <v>4.8025333480255528</v>
      </c>
      <c r="L8" s="172">
        <f t="shared" si="1"/>
        <v>0</v>
      </c>
    </row>
    <row r="9" spans="2:13" x14ac:dyDescent="0.25">
      <c r="C9" s="169"/>
      <c r="D9" s="170"/>
      <c r="E9" s="328"/>
      <c r="F9" s="169"/>
      <c r="G9" s="169"/>
      <c r="L9" s="172"/>
    </row>
    <row r="10" spans="2:13" x14ac:dyDescent="0.25">
      <c r="D10" s="328"/>
      <c r="E10" s="328"/>
    </row>
    <row r="11" spans="2:13" x14ac:dyDescent="0.25">
      <c r="F11" s="597" t="s">
        <v>207</v>
      </c>
      <c r="G11" s="597"/>
      <c r="H11" s="597" t="s">
        <v>208</v>
      </c>
      <c r="I11" s="597"/>
    </row>
    <row r="12" spans="2:13" x14ac:dyDescent="0.25">
      <c r="C12" s="166" t="s">
        <v>204</v>
      </c>
      <c r="D12" s="166" t="s">
        <v>205</v>
      </c>
      <c r="E12" s="97" t="s">
        <v>209</v>
      </c>
      <c r="F12" s="275" t="s">
        <v>337</v>
      </c>
      <c r="G12" s="168"/>
      <c r="H12" s="275" t="s">
        <v>337</v>
      </c>
      <c r="I12" s="168"/>
    </row>
    <row r="13" spans="2:13" x14ac:dyDescent="0.25">
      <c r="C13" s="176">
        <f>C6</f>
        <v>214838478</v>
      </c>
      <c r="D13" s="177">
        <v>0.5</v>
      </c>
      <c r="E13" s="176">
        <f>C13-C14</f>
        <v>53709619.5</v>
      </c>
      <c r="F13" s="178">
        <f>G6-G7</f>
        <v>4676433.9849313498</v>
      </c>
      <c r="G13" s="178">
        <f>H6-H7</f>
        <v>0</v>
      </c>
      <c r="H13" s="172">
        <f t="shared" ref="H13:I14" si="2">F13/$E13</f>
        <v>8.7068834753732519E-2</v>
      </c>
      <c r="I13" s="172">
        <f t="shared" si="2"/>
        <v>0</v>
      </c>
    </row>
    <row r="14" spans="2:13" x14ac:dyDescent="0.25">
      <c r="C14" s="176">
        <f>C7</f>
        <v>161128858.5</v>
      </c>
      <c r="D14" s="177">
        <f>D7</f>
        <v>0.5</v>
      </c>
      <c r="E14" s="176">
        <f>C14-C15</f>
        <v>53709619.5</v>
      </c>
      <c r="F14" s="178">
        <f>G7-G8</f>
        <v>63754464.79557991</v>
      </c>
      <c r="G14" s="178">
        <f>H7-H8</f>
        <v>0</v>
      </c>
      <c r="H14" s="172">
        <f t="shared" si="2"/>
        <v>1.1870213453212028</v>
      </c>
      <c r="I14" s="172">
        <f t="shared" si="2"/>
        <v>0</v>
      </c>
    </row>
    <row r="15" spans="2:13" x14ac:dyDescent="0.25">
      <c r="C15" s="176">
        <f>C8</f>
        <v>107419239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85345-F47A-48E8-BB8C-1961748810C0}">
  <sheetPr>
    <pageSetUpPr autoPageBreaks="0"/>
  </sheetPr>
  <dimension ref="A3:AB81"/>
  <sheetViews>
    <sheetView showGridLines="0" topLeftCell="A7" zoomScale="75" zoomScaleNormal="75" workbookViewId="0">
      <selection activeCell="E16" sqref="E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9" width="13.85546875" style="97" customWidth="1"/>
    <col min="20" max="20" width="14.570312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02" t="s">
        <v>350</v>
      </c>
      <c r="G4" s="602"/>
      <c r="H4" s="602"/>
      <c r="I4" s="602"/>
      <c r="J4" s="602"/>
      <c r="K4" s="602"/>
      <c r="L4" s="602"/>
      <c r="M4" s="602"/>
      <c r="N4" s="602"/>
      <c r="O4" s="602"/>
      <c r="P4" s="602"/>
      <c r="Q4" s="498"/>
      <c r="R4" s="498"/>
      <c r="S4" s="498"/>
      <c r="T4" s="498"/>
    </row>
    <row r="5" spans="1:28" ht="34.5" customHeight="1" x14ac:dyDescent="0.25">
      <c r="F5" s="598" t="s">
        <v>310</v>
      </c>
      <c r="G5" s="599"/>
      <c r="H5" s="600"/>
      <c r="I5" s="181"/>
      <c r="J5" s="598" t="s">
        <v>346</v>
      </c>
      <c r="K5" s="599"/>
      <c r="L5" s="600"/>
      <c r="N5" s="629" t="s">
        <v>353</v>
      </c>
      <c r="O5" s="630"/>
      <c r="P5" s="631"/>
      <c r="Q5" s="503"/>
      <c r="R5" s="629" t="s">
        <v>354</v>
      </c>
      <c r="S5" s="630"/>
      <c r="T5" s="631"/>
      <c r="V5" s="97" t="s">
        <v>249</v>
      </c>
    </row>
    <row r="6" spans="1:28" ht="33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1000000.0000000001</v>
      </c>
      <c r="K7" s="370">
        <v>1.1641532182693481E-16</v>
      </c>
      <c r="L7" s="372">
        <v>5040789.0644048415</v>
      </c>
      <c r="M7" s="367"/>
      <c r="N7" s="380">
        <v>1031002.6589524267</v>
      </c>
      <c r="O7" s="370">
        <v>3.1002658952426747E-2</v>
      </c>
      <c r="P7" s="372">
        <v>5166746.0165532213</v>
      </c>
      <c r="Q7" s="369"/>
      <c r="R7" s="380">
        <v>1278223.9170682379</v>
      </c>
      <c r="S7" s="370">
        <v>0.2782239170682379</v>
      </c>
      <c r="T7" s="372">
        <v>6116389.4689701721</v>
      </c>
      <c r="U7" s="180"/>
      <c r="V7" s="185">
        <f>VAC_Optim_Scenario!$H51</f>
        <v>1540173.2513926297</v>
      </c>
      <c r="W7" s="177">
        <f>(V7-$C7)/$C7</f>
        <v>0.54017325139262973</v>
      </c>
      <c r="X7" s="185">
        <f>VAC_Optim_Scenario!$J51</f>
        <v>5027050.4165755827</v>
      </c>
      <c r="Y7" s="185">
        <f>J7-V7</f>
        <v>-540173.25139262958</v>
      </c>
      <c r="Z7" s="490">
        <f>$F7-'[1]Scenario deep dive'!$F7</f>
        <v>0</v>
      </c>
      <c r="AA7" s="493">
        <f>$J7-'[1]Scenario deep dive'!$J7</f>
        <v>-172914.32590990246</v>
      </c>
      <c r="AB7" s="493">
        <f>$N7-'[1]Scenario deep dive'!$N7</f>
        <v>-623586.05337636976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7998918.3413149435</v>
      </c>
      <c r="G8" s="370">
        <v>2.869685082508059E-2</v>
      </c>
      <c r="H8" s="372">
        <v>81777817.454316273</v>
      </c>
      <c r="I8" s="369"/>
      <c r="J8" s="380">
        <v>9605523.7969724406</v>
      </c>
      <c r="K8" s="370">
        <v>0.23531353351040121</v>
      </c>
      <c r="L8" s="372">
        <v>89888425.755108371</v>
      </c>
      <c r="M8" s="371"/>
      <c r="N8" s="380">
        <v>10373777.470138263</v>
      </c>
      <c r="O8" s="370">
        <v>0.33411440889107985</v>
      </c>
      <c r="P8" s="372">
        <v>93164666.595661461</v>
      </c>
      <c r="Q8" s="369"/>
      <c r="R8" s="380">
        <v>11092377.687795117</v>
      </c>
      <c r="S8" s="370">
        <v>0.42652962671968225</v>
      </c>
      <c r="T8" s="372">
        <v>95923265.052984297</v>
      </c>
      <c r="U8" s="180"/>
      <c r="V8" s="185">
        <f>VAC_Optim_Scenario!$H52</f>
        <v>13899615.099674361</v>
      </c>
      <c r="W8" s="177">
        <f t="shared" ref="W8:W22" si="0">(V8-$C8)/$C8</f>
        <v>0.78755297536456936</v>
      </c>
      <c r="X8" s="185">
        <f>VAC_Optim_Scenario!$J52</f>
        <v>100236529.00149192</v>
      </c>
      <c r="Y8" s="185">
        <f t="shared" ref="Y8:Y25" si="1">J8-V8</f>
        <v>-4294091.3027019203</v>
      </c>
      <c r="Z8" s="491">
        <f>$F8-'[1]Scenario deep dive'!$F8</f>
        <v>-4744.332567198202</v>
      </c>
      <c r="AA8" s="494">
        <f>$J8-'[1]Scenario deep dive'!$J8</f>
        <v>-1175556.0034301039</v>
      </c>
      <c r="AB8" s="494">
        <f>$N8-'[1]Scenario deep dive'!$N8</f>
        <v>-1626222.529861737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2632821.5643628188</v>
      </c>
      <c r="K9" s="370">
        <v>0.43088128497979283</v>
      </c>
      <c r="L9" s="372">
        <v>19745429.03808571</v>
      </c>
      <c r="M9" s="371"/>
      <c r="N9" s="380">
        <v>3452816.0964715122</v>
      </c>
      <c r="O9" s="370">
        <v>0.87653048721277838</v>
      </c>
      <c r="P9" s="372">
        <v>23233668.442866057</v>
      </c>
      <c r="Q9" s="369"/>
      <c r="R9" s="380">
        <v>4461839.5943768937</v>
      </c>
      <c r="S9" s="370">
        <v>1.4249128230309205</v>
      </c>
      <c r="T9" s="372">
        <v>27097054.868681762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33959534.839013599</v>
      </c>
      <c r="Y9" s="185">
        <f t="shared" si="1"/>
        <v>-3867178.4356371812</v>
      </c>
      <c r="Z9" s="491">
        <f>$F9-'[1]Scenario deep dive'!$F9</f>
        <v>0</v>
      </c>
      <c r="AA9" s="494">
        <f>$J9-'[1]Scenario deep dive'!$J9</f>
        <v>-1355096.5328637054</v>
      </c>
      <c r="AB9" s="494">
        <f>$N9-'[1]Scenario deep dive'!$N9</f>
        <v>-3047183.9035284878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4817798</v>
      </c>
      <c r="K11" s="370">
        <v>0</v>
      </c>
      <c r="L11" s="372">
        <v>27455486.015820313</v>
      </c>
      <c r="M11" s="371"/>
      <c r="N11" s="380">
        <v>4817798</v>
      </c>
      <c r="O11" s="370">
        <v>0</v>
      </c>
      <c r="P11" s="372">
        <v>27455486.015820313</v>
      </c>
      <c r="Q11" s="369"/>
      <c r="R11" s="380">
        <v>6488693.6093388796</v>
      </c>
      <c r="S11" s="370">
        <v>0.34681728236403425</v>
      </c>
      <c r="T11" s="372">
        <v>33817789.179286644</v>
      </c>
      <c r="U11" s="180"/>
      <c r="V11" s="185">
        <f>VAC_Optim_Scenario!$H55</f>
        <v>12070112.999999998</v>
      </c>
      <c r="W11" s="177">
        <f t="shared" si="0"/>
        <v>1.5053173669796862</v>
      </c>
      <c r="X11" s="185">
        <f>VAC_Optim_Scenario!$J55</f>
        <v>52219542.216157258</v>
      </c>
      <c r="Y11" s="185">
        <f t="shared" si="1"/>
        <v>-7252314.9999999981</v>
      </c>
      <c r="Z11" s="491">
        <f>$F11-'[1]Scenario deep dive'!$F11</f>
        <v>0</v>
      </c>
      <c r="AA11" s="494">
        <f>$J11-'[1]Scenario deep dive'!$J11</f>
        <v>-791243.45098168217</v>
      </c>
      <c r="AB11" s="494">
        <f>$N11-'[1]Scenario deep dive'!$N11</f>
        <v>-5954558.8915328681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3816067.0635054582</v>
      </c>
      <c r="G12" s="370">
        <v>7.7985046187982535E-2</v>
      </c>
      <c r="H12" s="372">
        <v>40912863.539436728</v>
      </c>
      <c r="I12" s="369"/>
      <c r="J12" s="380">
        <v>4532027.9300459428</v>
      </c>
      <c r="K12" s="370">
        <v>0.28023387854405163</v>
      </c>
      <c r="L12" s="372">
        <v>44523257.408678614</v>
      </c>
      <c r="M12" s="371"/>
      <c r="N12" s="380">
        <v>4878657.1744378023</v>
      </c>
      <c r="O12" s="370">
        <v>0.37815174419146957</v>
      </c>
      <c r="P12" s="372">
        <v>46001461.844430365</v>
      </c>
      <c r="Q12" s="369"/>
      <c r="R12" s="380">
        <v>5203154.2914208723</v>
      </c>
      <c r="S12" s="370">
        <v>0.46981759644657412</v>
      </c>
      <c r="T12" s="372">
        <v>47247175.366367191</v>
      </c>
      <c r="U12" s="180"/>
      <c r="V12" s="185">
        <f>VAC_Optim_Scenario!$H56</f>
        <v>6603674.6489330456</v>
      </c>
      <c r="W12" s="177">
        <f t="shared" si="0"/>
        <v>0.86544481608278123</v>
      </c>
      <c r="X12" s="185">
        <f>VAC_Optim_Scenario!$J56</f>
        <v>51379707.531912059</v>
      </c>
      <c r="Y12" s="185">
        <f t="shared" si="1"/>
        <v>-2071646.7188871028</v>
      </c>
      <c r="Z12" s="491">
        <f>$F12-'[1]Scenario deep dive'!$F12</f>
        <v>4227.6383799510077</v>
      </c>
      <c r="AA12" s="494">
        <f>$J12-'[1]Scenario deep dive'!$J12</f>
        <v>-530594.45622217096</v>
      </c>
      <c r="AB12" s="494">
        <f>$N12-'[1]Scenario deep dive'!$N12</f>
        <v>-807973.26200205088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2181292.5931008384</v>
      </c>
      <c r="G14" s="370">
        <v>-1.7435768873496234E-2</v>
      </c>
      <c r="H14" s="372">
        <v>20481095.012188639</v>
      </c>
      <c r="I14" s="369"/>
      <c r="J14" s="380">
        <v>3825404.598056044</v>
      </c>
      <c r="K14" s="370">
        <v>0.72315522434956936</v>
      </c>
      <c r="L14" s="372">
        <v>28690045.883740306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-974595.40194395604</v>
      </c>
      <c r="Z14" s="491">
        <f>$F14-'[1]Scenario deep dive'!$F14</f>
        <v>516.69210848771036</v>
      </c>
      <c r="AA14" s="494">
        <f>$J14-'[1]Scenario deep dive'!$J14</f>
        <v>-974595.40194395604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16888801</v>
      </c>
      <c r="K15" s="370">
        <v>0</v>
      </c>
      <c r="L15" s="372">
        <v>67034177.652868718</v>
      </c>
      <c r="M15" s="371"/>
      <c r="N15" s="380">
        <v>16888801</v>
      </c>
      <c r="O15" s="370">
        <v>0</v>
      </c>
      <c r="P15" s="372">
        <v>67034177.652868718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1188801</v>
      </c>
      <c r="Z15" s="492">
        <f>$F15-'[1]Scenario deep dive'!$F15</f>
        <v>0</v>
      </c>
      <c r="AA15" s="494">
        <f>$J15-'[1]Scenario deep dive'!$J15</f>
        <v>0</v>
      </c>
      <c r="AB15" s="494">
        <f>$N15-'[1]Scenario deep dive'!$N15</f>
        <v>0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1410431.7445188572</v>
      </c>
      <c r="M16" s="371"/>
      <c r="N16" s="379">
        <v>900000</v>
      </c>
      <c r="O16" s="366">
        <v>-0.1</v>
      </c>
      <c r="P16" s="368">
        <v>1410431.7445188572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20341852.513153099</v>
      </c>
      <c r="G17" s="370">
        <v>0.20025091533827583</v>
      </c>
      <c r="H17" s="372">
        <v>103736894.64632764</v>
      </c>
      <c r="I17" s="369"/>
      <c r="J17" s="380">
        <v>21000000.209999997</v>
      </c>
      <c r="K17" s="370">
        <v>0.23908427012036801</v>
      </c>
      <c r="L17" s="372">
        <v>105724787.34578903</v>
      </c>
      <c r="M17" s="371"/>
      <c r="N17" s="380">
        <v>21000000</v>
      </c>
      <c r="O17" s="370">
        <v>0.2390842577295256</v>
      </c>
      <c r="P17" s="372">
        <v>105724786.72171538</v>
      </c>
      <c r="Q17" s="369"/>
      <c r="R17" s="380">
        <v>19092190.833976123</v>
      </c>
      <c r="S17" s="370">
        <v>0.12651586228322653</v>
      </c>
      <c r="T17" s="372">
        <v>99781193.393137068</v>
      </c>
      <c r="U17" s="180"/>
      <c r="V17" s="185">
        <f>VAC_Optim_Scenario!$H62</f>
        <v>28000000</v>
      </c>
      <c r="W17" s="177">
        <f t="shared" si="0"/>
        <v>0.65211234363936743</v>
      </c>
      <c r="X17" s="185">
        <f>VAC_Optim_Scenario!$J62</f>
        <v>122303515.20283259</v>
      </c>
      <c r="Y17" s="185">
        <f t="shared" si="1"/>
        <v>-6999999.7900000028</v>
      </c>
      <c r="Z17" s="491">
        <f>$F17-'[2]Scenario deep dive'!$F8</f>
        <v>9125.7266342788935</v>
      </c>
      <c r="AA17" s="494">
        <f>$J17-'[2]Scenario deep dive'!$J8</f>
        <v>0.20999999716877937</v>
      </c>
      <c r="AB17" s="494">
        <f>$N17-'[2]Scenario deep dive'!$N8</f>
        <v>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2789260.1176541862</v>
      </c>
      <c r="K18" s="370">
        <v>0.26784550802463009</v>
      </c>
      <c r="L18" s="372">
        <v>7116459.1733021522</v>
      </c>
      <c r="M18" s="371"/>
      <c r="N18" s="380">
        <v>1800000</v>
      </c>
      <c r="O18" s="370">
        <v>-0.18181818181818182</v>
      </c>
      <c r="P18" s="372">
        <v>5471848.3801533533</v>
      </c>
      <c r="Q18" s="369"/>
      <c r="R18" s="380">
        <v>1800000</v>
      </c>
      <c r="S18" s="370">
        <v>-0.18181818181818182</v>
      </c>
      <c r="T18" s="372">
        <v>5471848.3801533533</v>
      </c>
      <c r="U18" s="180"/>
      <c r="V18" s="185">
        <f>VAC_Optim_Scenario!$H63</f>
        <v>3792982.8268409837</v>
      </c>
      <c r="W18" s="177">
        <f t="shared" si="0"/>
        <v>0.72408310310953805</v>
      </c>
      <c r="X18" s="185">
        <f>VAC_Optim_Scenario!$J63</f>
        <v>8557739.8044479284</v>
      </c>
      <c r="Y18" s="185">
        <f t="shared" si="1"/>
        <v>-1003722.7091867975</v>
      </c>
      <c r="Z18" s="491">
        <f>$F18-'[2]Scenario deep dive'!$F9</f>
        <v>0</v>
      </c>
      <c r="AA18" s="494">
        <f>$J18-'[2]Scenario deep dive'!$J9</f>
        <v>-1797255.114508539</v>
      </c>
      <c r="AB18" s="494">
        <f>$N18-'[2]Scenario deep dive'!$N9</f>
        <v>-4933228.4705905961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1105721.3674438763</v>
      </c>
      <c r="G19" s="370">
        <v>-0.26285242170408246</v>
      </c>
      <c r="H19" s="372">
        <v>4872206.4746905435</v>
      </c>
      <c r="I19" s="369"/>
      <c r="J19" s="380">
        <v>2220290.7469812133</v>
      </c>
      <c r="K19" s="370">
        <v>0.48019383132080889</v>
      </c>
      <c r="L19" s="372">
        <v>7336836.6723772259</v>
      </c>
      <c r="M19" s="371"/>
      <c r="N19" s="380">
        <v>1457954.7342470805</v>
      </c>
      <c r="O19" s="370">
        <v>-2.8030177168612988E-2</v>
      </c>
      <c r="P19" s="372">
        <v>5842322.9322365355</v>
      </c>
      <c r="Q19" s="369"/>
      <c r="R19" s="380">
        <v>1100000</v>
      </c>
      <c r="S19" s="370">
        <v>-0.26666666666666666</v>
      </c>
      <c r="T19" s="372">
        <v>4854627.720414157</v>
      </c>
      <c r="U19" s="180"/>
      <c r="V19" s="185">
        <f>VAC_Optim_Scenario!$H64</f>
        <v>2417063.0393783748</v>
      </c>
      <c r="W19" s="177">
        <f t="shared" si="0"/>
        <v>0.6113753595855832</v>
      </c>
      <c r="X19" s="185">
        <f>VAC_Optim_Scenario!$J64</f>
        <v>7620283.6007006103</v>
      </c>
      <c r="Y19" s="185">
        <f t="shared" si="1"/>
        <v>-196772.29239716148</v>
      </c>
      <c r="Z19" s="491">
        <f>$F19-'[2]Scenario deep dive'!$F10</f>
        <v>2109.5296276581939</v>
      </c>
      <c r="AA19" s="494">
        <f>$J19-'[2]Scenario deep dive'!$J10</f>
        <v>-318317.61094867205</v>
      </c>
      <c r="AB19" s="494">
        <f>$N19-'[2]Scenario deep dive'!$N10</f>
        <v>-1326193.8492011135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8306900.9999999991</v>
      </c>
      <c r="G20" s="370">
        <v>-0.19102694349644922</v>
      </c>
      <c r="H20" s="372">
        <v>16281797.494816165</v>
      </c>
      <c r="I20" s="369"/>
      <c r="J20" s="380">
        <v>8306901</v>
      </c>
      <c r="K20" s="370">
        <v>-0.19102694349644914</v>
      </c>
      <c r="L20" s="372">
        <v>16281797.494816165</v>
      </c>
      <c r="M20" s="371"/>
      <c r="N20" s="380">
        <v>8306901.0709167719</v>
      </c>
      <c r="O20" s="370">
        <v>-0.19102693659017231</v>
      </c>
      <c r="P20" s="372">
        <v>16281797.592115596</v>
      </c>
      <c r="Q20" s="369"/>
      <c r="R20" s="380">
        <v>8306901.0709167719</v>
      </c>
      <c r="S20" s="370">
        <v>-0.19102693659017231</v>
      </c>
      <c r="T20" s="372">
        <v>16281797.592115596</v>
      </c>
      <c r="U20" s="180"/>
      <c r="V20" s="185">
        <f>VAC_Optim_Scenario!$H65</f>
        <v>8687167.133780634</v>
      </c>
      <c r="W20" s="177">
        <f t="shared" si="0"/>
        <v>-0.15399447416410633</v>
      </c>
      <c r="X20" s="185">
        <f>VAC_Optim_Scenario!$J65</f>
        <v>16800018.05910404</v>
      </c>
      <c r="Y20" s="185">
        <f t="shared" si="1"/>
        <v>-380266.13378063403</v>
      </c>
      <c r="Z20" s="491">
        <f>$F20-'[2]Scenario deep dive'!$F11</f>
        <v>0</v>
      </c>
      <c r="AA20" s="494">
        <f>$J20-'[2]Scenario deep dive'!$J11</f>
        <v>-2884427.353730984</v>
      </c>
      <c r="AB20" s="494">
        <f>$N20-'[2]Scenario deep dive'!$N11</f>
        <v>-10365575.834969964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4257472.7107360102</v>
      </c>
      <c r="G21" s="370">
        <v>6.4368177684002562E-2</v>
      </c>
      <c r="H21" s="372">
        <v>21822364.062061273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3677820.7816323922</v>
      </c>
      <c r="S21" s="370">
        <v>-8.0544804591901956E-2</v>
      </c>
      <c r="T21" s="372">
        <v>19987800.706370473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0</v>
      </c>
      <c r="Z21" s="491">
        <f>$F21-'[2]Scenario deep dive'!$F12</f>
        <v>-15613.501948088408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28089211</v>
      </c>
      <c r="W23" s="177">
        <f>(V23-$C23)/$C23</f>
        <v>0</v>
      </c>
      <c r="X23" s="185">
        <f>VAC_Optim_Scenario!$J68</f>
        <v>40395109.654958591</v>
      </c>
      <c r="Y23" s="185">
        <f t="shared" si="1"/>
        <v>0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704504.46923774574</v>
      </c>
      <c r="G24" s="370">
        <v>-0.53033035384150284</v>
      </c>
      <c r="H24" s="372">
        <v>5388439.2392324274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1011120.7948361478</v>
      </c>
      <c r="O24" s="370">
        <v>-0.32591947010923478</v>
      </c>
      <c r="P24" s="372">
        <v>6226309.513811579</v>
      </c>
      <c r="Q24" s="369"/>
      <c r="R24" s="380">
        <v>628826.21347470093</v>
      </c>
      <c r="S24" s="370">
        <v>-0.58078252435019939</v>
      </c>
      <c r="T24" s="372">
        <v>5148986.3921964923</v>
      </c>
      <c r="U24" s="180"/>
      <c r="V24" s="185">
        <f>VAC_Optim_Scenario!$H69</f>
        <v>2200000</v>
      </c>
      <c r="W24" s="177">
        <f t="shared" ref="W24:W25" si="2">(V24-$C24)/$C24</f>
        <v>0.46666666666666667</v>
      </c>
      <c r="X24" s="488">
        <f>VAC_Optim_Scenario!$J69</f>
        <v>8497253.2367697079</v>
      </c>
      <c r="Y24" s="185">
        <f t="shared" si="1"/>
        <v>0</v>
      </c>
      <c r="Z24" s="491">
        <f>$F24-'[2]Scenario deep dive'!$F14</f>
        <v>4378.2927336152643</v>
      </c>
      <c r="AA24" s="494">
        <f>$J24-'[2]Scenario deep dive'!$J14</f>
        <v>0</v>
      </c>
      <c r="AB24" s="494">
        <f>$N24-'[2]Scenario deep dive'!$N14</f>
        <v>-1188879.2051638523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f>SUM(F7:F15)</f>
        <v>39702376.997921243</v>
      </c>
      <c r="G26" s="439">
        <f>(F26-$C$26)/$C$26</f>
        <v>3.0867063549779E-2</v>
      </c>
      <c r="H26" s="368">
        <f>SUM(H7:H15)</f>
        <v>293472157.73240411</v>
      </c>
      <c r="I26" s="369"/>
      <c r="J26" s="379">
        <v>44702376.889437243</v>
      </c>
      <c r="K26" s="439">
        <v>0.12593704123652957</v>
      </c>
      <c r="L26" s="368">
        <v>318505409.57224727</v>
      </c>
      <c r="M26" s="371"/>
      <c r="N26" s="379">
        <v>47642852.400000006</v>
      </c>
      <c r="O26" s="439">
        <v>0.20000000000000015</v>
      </c>
      <c r="P26" s="368">
        <v>331059292.85313261</v>
      </c>
      <c r="Q26" s="369"/>
      <c r="R26" s="379">
        <v>51613090.100000001</v>
      </c>
      <c r="S26" s="439">
        <v>0.30000000000000004</v>
      </c>
      <c r="T26" s="368">
        <v>346238937.87409127</v>
      </c>
      <c r="U26" s="180">
        <f>L26-D26</f>
        <v>34344525.020120144</v>
      </c>
      <c r="V26" s="379">
        <f>SUM(V7:V15)</f>
        <v>62513576.000000037</v>
      </c>
      <c r="W26" s="439">
        <f>(V26-$C$26)/$C$26</f>
        <v>0.62315688369213074</v>
      </c>
      <c r="X26" s="368">
        <f>SUM(X7:X15)</f>
        <v>375520674.36634612</v>
      </c>
      <c r="Y26" s="185">
        <f>X26-D26</f>
        <v>91359789.814218998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f>SUM(F16:F25)</f>
        <v>68905663.060570732</v>
      </c>
      <c r="G27" s="440">
        <f>(F27-$C$27)/$C$27</f>
        <v>8.7903851616769654E-10</v>
      </c>
      <c r="H27" s="375">
        <f>SUM(H16:H25)</f>
        <v>222412269.98664144</v>
      </c>
      <c r="I27" s="369"/>
      <c r="J27" s="381">
        <v>73905663.074635401</v>
      </c>
      <c r="K27" s="440">
        <v>7.2562977510794741E-2</v>
      </c>
      <c r="L27" s="375">
        <v>233828006.35850042</v>
      </c>
      <c r="M27" s="371"/>
      <c r="N27" s="381">
        <v>70965187.599999994</v>
      </c>
      <c r="O27" s="440">
        <v>2.9889047000389416E-2</v>
      </c>
      <c r="P27" s="375">
        <v>228417937.57547858</v>
      </c>
      <c r="Q27" s="369"/>
      <c r="R27" s="381">
        <v>66994949.899999984</v>
      </c>
      <c r="S27" s="440">
        <v>-2.772940592705735E-2</v>
      </c>
      <c r="T27" s="375">
        <v>216364973.87374717</v>
      </c>
      <c r="U27" s="180">
        <f>L27-D27</f>
        <v>18431045.325113446</v>
      </c>
      <c r="V27" s="381">
        <f>SUM(V16:V25)</f>
        <v>82486424</v>
      </c>
      <c r="W27" s="440">
        <f>(V27-$C$27)/$C$27</f>
        <v>0.19709208806248624</v>
      </c>
      <c r="X27" s="375">
        <f>SUM(X16:X25)</f>
        <v>252143701.88639605</v>
      </c>
      <c r="Y27" s="185">
        <f>X27-D27</f>
        <v>36746740.853009075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108608040.05849196</v>
      </c>
      <c r="G28" s="444">
        <f>(F28-$C$28)/$C$28</f>
        <v>1.1066928695072585E-2</v>
      </c>
      <c r="H28" s="443">
        <f>SUM(H7:H25)</f>
        <v>515884427.71904558</v>
      </c>
      <c r="I28" s="435"/>
      <c r="J28" s="442">
        <f>SUM(J7:J25)</f>
        <v>118608039.96407264</v>
      </c>
      <c r="K28" s="444">
        <f>(J28-$C$28)/$C$28</f>
        <v>0.10416012129887314</v>
      </c>
      <c r="L28" s="443">
        <f>SUM(L7:L25)</f>
        <v>552333415.93074775</v>
      </c>
      <c r="M28" s="371"/>
      <c r="N28" s="442">
        <f>SUM(N7:N25)</f>
        <v>118608040</v>
      </c>
      <c r="O28" s="444">
        <f>(N28-$C$28)/$C$28</f>
        <v>0.10416012163333237</v>
      </c>
      <c r="P28" s="443">
        <f>SUM(P7:P25)</f>
        <v>559477230.42861128</v>
      </c>
      <c r="Q28" s="505"/>
      <c r="R28" s="442">
        <f>SUM(R7:R25)</f>
        <v>118608040</v>
      </c>
      <c r="S28" s="444">
        <f>(R28-$C$28)/$C$28</f>
        <v>0.10416012163333237</v>
      </c>
      <c r="T28" s="443">
        <f>SUM(T7:T25)</f>
        <v>562603911.7478385</v>
      </c>
      <c r="V28" s="188">
        <f>SUM(V7:V25)</f>
        <v>145000000</v>
      </c>
      <c r="W28" s="189">
        <f>(V28-$C$28)/$C$28</f>
        <v>0.34985130550031174</v>
      </c>
      <c r="X28" s="188">
        <f>SUM(X7:X25)</f>
        <v>627664376.25274229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0.56887190611659866</v>
      </c>
      <c r="I29" s="382"/>
      <c r="J29" s="382"/>
      <c r="K29" s="382"/>
      <c r="L29" s="382">
        <f>SUM(L7:L15)/L28</f>
        <v>0.57665424612329064</v>
      </c>
      <c r="P29" s="382">
        <f>SUM(P7:P15)/P28</f>
        <v>0.59172969845351986</v>
      </c>
      <c r="Q29" s="382"/>
      <c r="T29" s="382"/>
      <c r="U29" s="180"/>
      <c r="X29" s="499">
        <f>X28/VAC_Optim_Scenario!$E$48</f>
        <v>2778013.5268334174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0.43112809388340129</v>
      </c>
      <c r="I30" s="382"/>
      <c r="J30" s="382"/>
      <c r="K30" s="382"/>
      <c r="L30" s="382">
        <f>SUM(L16:L25)/L28</f>
        <v>0.42334575387670925</v>
      </c>
      <c r="P30" s="382">
        <f>SUM(P16:P25)/P28</f>
        <v>0.40827030154647997</v>
      </c>
      <c r="Q30" s="382"/>
      <c r="T30" s="382"/>
    </row>
    <row r="31" spans="1:28" ht="16.5" customHeight="1" x14ac:dyDescent="0.25">
      <c r="A31" s="483"/>
      <c r="B31" s="483"/>
      <c r="C31" s="483"/>
      <c r="D31" s="483"/>
      <c r="E31" s="483"/>
      <c r="F31" s="618" t="str">
        <f>F4</f>
        <v>Optimal channel spend allowed to vary based on custom constraints of the 2024 channel spend</v>
      </c>
      <c r="G31" s="619"/>
      <c r="H31" s="619"/>
      <c r="I31" s="619"/>
      <c r="J31" s="619"/>
      <c r="K31" s="619"/>
      <c r="L31" s="619"/>
      <c r="M31" s="619"/>
      <c r="N31" s="619"/>
      <c r="O31" s="619"/>
      <c r="P31" s="619"/>
      <c r="Q31" s="619"/>
      <c r="R31" s="619"/>
      <c r="S31" s="619"/>
      <c r="T31" s="619"/>
    </row>
    <row r="32" spans="1:28" ht="30.4" customHeight="1" x14ac:dyDescent="0.25">
      <c r="A32" s="483"/>
      <c r="B32" s="483"/>
      <c r="C32" s="621" t="s">
        <v>341</v>
      </c>
      <c r="D32" s="622"/>
      <c r="E32" s="543"/>
      <c r="F32" s="623" t="str">
        <f>F5</f>
        <v>Current Optimal ($92MM)</v>
      </c>
      <c r="G32" s="624"/>
      <c r="H32" s="625"/>
      <c r="I32" s="544"/>
      <c r="J32" s="623" t="str">
        <f>J5</f>
        <v xml:space="preserve">10M increase in total budget </v>
      </c>
      <c r="K32" s="624"/>
      <c r="L32" s="625"/>
      <c r="M32" s="483"/>
      <c r="N32" s="626" t="str">
        <f>N5</f>
        <v>10M increase in total budget ( Global Max 120%)</v>
      </c>
      <c r="O32" s="627"/>
      <c r="P32" s="628"/>
      <c r="Q32" s="545"/>
      <c r="R32" s="620" t="str">
        <f>R5</f>
        <v>10M increase in total budget ( Global Max 130%)</v>
      </c>
      <c r="S32" s="620"/>
      <c r="T32" s="620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1.0000000000000002</v>
      </c>
      <c r="K34" s="525">
        <f t="shared" ref="K34:K50" si="9">K7</f>
        <v>1.1641532182693481E-16</v>
      </c>
      <c r="L34" s="526">
        <f t="shared" ref="L34:L50" si="10">L7/1000000</f>
        <v>5.0407890644048416</v>
      </c>
      <c r="M34" s="527"/>
      <c r="N34" s="524">
        <f t="shared" ref="N34:N50" si="11">N7/1000000</f>
        <v>1.0310026589524268</v>
      </c>
      <c r="O34" s="525">
        <f t="shared" ref="O34:O50" si="12">O7</f>
        <v>3.1002658952426747E-2</v>
      </c>
      <c r="P34" s="528">
        <f t="shared" ref="P34:P50" si="13">P7/1000000</f>
        <v>5.1667460165532209</v>
      </c>
      <c r="Q34" s="529"/>
      <c r="R34" s="524">
        <f t="shared" ref="R34:R50" si="14">R7/1000000</f>
        <v>1.2782239170682379</v>
      </c>
      <c r="S34" s="525">
        <f t="shared" ref="S34:S50" si="15">S7</f>
        <v>0.2782239170682379</v>
      </c>
      <c r="T34" s="528">
        <f t="shared" ref="T34:T50" si="16">T7/1000000</f>
        <v>6.1163894689701719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7.9989183413149432</v>
      </c>
      <c r="G35" s="533">
        <f t="shared" si="6"/>
        <v>2.869685082508059E-2</v>
      </c>
      <c r="H35" s="534">
        <f t="shared" si="7"/>
        <v>81.777817454316278</v>
      </c>
      <c r="I35" s="523"/>
      <c r="J35" s="532">
        <f t="shared" si="8"/>
        <v>9.6055237969724399</v>
      </c>
      <c r="K35" s="525">
        <f t="shared" si="9"/>
        <v>0.23531353351040121</v>
      </c>
      <c r="L35" s="534">
        <f t="shared" si="10"/>
        <v>89.888425755108372</v>
      </c>
      <c r="M35" s="527"/>
      <c r="N35" s="532">
        <f t="shared" si="11"/>
        <v>10.373777470138263</v>
      </c>
      <c r="O35" s="525">
        <f t="shared" si="12"/>
        <v>0.33411440889107985</v>
      </c>
      <c r="P35" s="535">
        <f t="shared" si="13"/>
        <v>93.164666595661458</v>
      </c>
      <c r="Q35" s="529"/>
      <c r="R35" s="532">
        <f t="shared" si="14"/>
        <v>11.092377687795118</v>
      </c>
      <c r="S35" s="525">
        <f t="shared" si="15"/>
        <v>0.42652962671968225</v>
      </c>
      <c r="T35" s="535">
        <f t="shared" si="16"/>
        <v>95.923265052984291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2.632821564362819</v>
      </c>
      <c r="K36" s="525">
        <f t="shared" si="9"/>
        <v>0.43088128497979283</v>
      </c>
      <c r="L36" s="534">
        <f t="shared" si="10"/>
        <v>19.74542903808571</v>
      </c>
      <c r="M36" s="527"/>
      <c r="N36" s="532">
        <f t="shared" si="11"/>
        <v>3.4528160964715124</v>
      </c>
      <c r="O36" s="525">
        <f t="shared" si="12"/>
        <v>0.87653048721277838</v>
      </c>
      <c r="P36" s="535">
        <f t="shared" si="13"/>
        <v>23.233668442866058</v>
      </c>
      <c r="Q36" s="529"/>
      <c r="R36" s="532">
        <f t="shared" si="14"/>
        <v>4.4618395943768938</v>
      </c>
      <c r="S36" s="525">
        <f t="shared" si="15"/>
        <v>1.4249128230309205</v>
      </c>
      <c r="T36" s="535">
        <f t="shared" si="16"/>
        <v>27.097054868681763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4.8177979999999998</v>
      </c>
      <c r="K38" s="525">
        <f t="shared" si="9"/>
        <v>0</v>
      </c>
      <c r="L38" s="534">
        <f t="shared" si="10"/>
        <v>27.455486015820313</v>
      </c>
      <c r="M38" s="527"/>
      <c r="N38" s="532">
        <f t="shared" si="11"/>
        <v>4.8177979999999998</v>
      </c>
      <c r="O38" s="525">
        <f t="shared" si="12"/>
        <v>0</v>
      </c>
      <c r="P38" s="535">
        <f t="shared" si="13"/>
        <v>27.455486015820313</v>
      </c>
      <c r="Q38" s="529"/>
      <c r="R38" s="532">
        <f t="shared" si="14"/>
        <v>6.4886936093388794</v>
      </c>
      <c r="S38" s="525">
        <f t="shared" si="15"/>
        <v>0.34681728236403425</v>
      </c>
      <c r="T38" s="535">
        <f t="shared" si="16"/>
        <v>33.817789179286642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3.8160670635054581</v>
      </c>
      <c r="G39" s="533">
        <f t="shared" si="6"/>
        <v>7.7985046187982535E-2</v>
      </c>
      <c r="H39" s="534">
        <f t="shared" si="7"/>
        <v>40.912863539436728</v>
      </c>
      <c r="I39" s="523"/>
      <c r="J39" s="532">
        <f t="shared" si="8"/>
        <v>4.5320279300459427</v>
      </c>
      <c r="K39" s="525">
        <f t="shared" si="9"/>
        <v>0.28023387854405163</v>
      </c>
      <c r="L39" s="534">
        <f t="shared" si="10"/>
        <v>44.52325740867861</v>
      </c>
      <c r="M39" s="527"/>
      <c r="N39" s="532">
        <f t="shared" si="11"/>
        <v>4.8786571744378024</v>
      </c>
      <c r="O39" s="525">
        <f t="shared" si="12"/>
        <v>0.37815174419146957</v>
      </c>
      <c r="P39" s="535">
        <f t="shared" si="13"/>
        <v>46.001461844430366</v>
      </c>
      <c r="Q39" s="529"/>
      <c r="R39" s="532">
        <f t="shared" si="14"/>
        <v>5.2031542914208719</v>
      </c>
      <c r="S39" s="525">
        <f t="shared" si="15"/>
        <v>0.46981759644657412</v>
      </c>
      <c r="T39" s="535">
        <f t="shared" si="16"/>
        <v>47.247175366367188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2.1812925931008382</v>
      </c>
      <c r="G41" s="533">
        <f t="shared" si="6"/>
        <v>-1.7435768873496234E-2</v>
      </c>
      <c r="H41" s="534">
        <f t="shared" si="7"/>
        <v>20.481095012188639</v>
      </c>
      <c r="I41" s="523"/>
      <c r="J41" s="532">
        <f t="shared" si="8"/>
        <v>3.825404598056044</v>
      </c>
      <c r="K41" s="525">
        <f t="shared" si="9"/>
        <v>0.72315522434956936</v>
      </c>
      <c r="L41" s="534">
        <f t="shared" si="10"/>
        <v>28.690045883740307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16.888801000000001</v>
      </c>
      <c r="K42" s="525">
        <f t="shared" si="9"/>
        <v>0</v>
      </c>
      <c r="L42" s="534">
        <f t="shared" si="10"/>
        <v>67.034177652868721</v>
      </c>
      <c r="M42" s="527"/>
      <c r="N42" s="532">
        <f t="shared" si="11"/>
        <v>16.888801000000001</v>
      </c>
      <c r="O42" s="525">
        <f t="shared" si="12"/>
        <v>0</v>
      </c>
      <c r="P42" s="535">
        <f t="shared" si="13"/>
        <v>67.034177652868721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1.4104317445188572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1.4104317445188572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91.677940557008299</v>
      </c>
      <c r="E44" s="523"/>
      <c r="F44" s="532">
        <f t="shared" si="5"/>
        <v>20.3418525131531</v>
      </c>
      <c r="G44" s="533">
        <f t="shared" si="6"/>
        <v>0.20025091533827583</v>
      </c>
      <c r="H44" s="534">
        <f t="shared" si="7"/>
        <v>103.73689464632764</v>
      </c>
      <c r="I44" s="523"/>
      <c r="J44" s="532">
        <f t="shared" si="8"/>
        <v>21.000000209999996</v>
      </c>
      <c r="K44" s="525">
        <f t="shared" si="9"/>
        <v>0.23908427012036801</v>
      </c>
      <c r="L44" s="534">
        <f t="shared" si="10"/>
        <v>105.72478734578903</v>
      </c>
      <c r="M44" s="527"/>
      <c r="N44" s="532">
        <f t="shared" si="11"/>
        <v>21</v>
      </c>
      <c r="O44" s="525">
        <f t="shared" si="12"/>
        <v>0.2390842577295256</v>
      </c>
      <c r="P44" s="535">
        <f t="shared" si="13"/>
        <v>105.72478672171538</v>
      </c>
      <c r="Q44" s="529"/>
      <c r="R44" s="532">
        <f t="shared" si="14"/>
        <v>19.092190833976122</v>
      </c>
      <c r="S44" s="525">
        <f t="shared" si="15"/>
        <v>0.12651586228322653</v>
      </c>
      <c r="T44" s="535">
        <f t="shared" si="16"/>
        <v>99.781193393137073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6.171975030653198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2.789260117654186</v>
      </c>
      <c r="K45" s="525">
        <f t="shared" si="9"/>
        <v>0.26784550802463009</v>
      </c>
      <c r="L45" s="534">
        <f t="shared" si="10"/>
        <v>7.1164591733021521</v>
      </c>
      <c r="M45" s="527"/>
      <c r="N45" s="532">
        <f t="shared" si="11"/>
        <v>1.8</v>
      </c>
      <c r="O45" s="525">
        <f t="shared" si="12"/>
        <v>-0.18181818181818182</v>
      </c>
      <c r="P45" s="535">
        <f t="shared" si="13"/>
        <v>5.4718483801533537</v>
      </c>
      <c r="Q45" s="529"/>
      <c r="R45" s="532">
        <f t="shared" si="14"/>
        <v>1.8</v>
      </c>
      <c r="S45" s="525">
        <f t="shared" si="15"/>
        <v>-0.18181818181818182</v>
      </c>
      <c r="T45" s="535">
        <f t="shared" si="16"/>
        <v>5.4718483801533537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5.944544957049497</v>
      </c>
      <c r="E46" s="523"/>
      <c r="F46" s="532">
        <f t="shared" si="5"/>
        <v>1.1057213674438764</v>
      </c>
      <c r="G46" s="533">
        <f t="shared" si="6"/>
        <v>-0.26285242170408246</v>
      </c>
      <c r="H46" s="534">
        <f t="shared" si="7"/>
        <v>4.8722064746905431</v>
      </c>
      <c r="I46" s="523"/>
      <c r="J46" s="532">
        <f t="shared" si="8"/>
        <v>2.2202907469812132</v>
      </c>
      <c r="K46" s="525">
        <f t="shared" si="9"/>
        <v>0.48019383132080889</v>
      </c>
      <c r="L46" s="534">
        <f t="shared" si="10"/>
        <v>7.3368366723772258</v>
      </c>
      <c r="M46" s="527"/>
      <c r="N46" s="532">
        <f t="shared" si="11"/>
        <v>1.4579547342470804</v>
      </c>
      <c r="O46" s="525">
        <f t="shared" si="12"/>
        <v>-2.8030177168612988E-2</v>
      </c>
      <c r="P46" s="535">
        <f t="shared" si="13"/>
        <v>5.8423229322365353</v>
      </c>
      <c r="Q46" s="529"/>
      <c r="R46" s="532">
        <f t="shared" si="14"/>
        <v>1.1000000000000001</v>
      </c>
      <c r="S46" s="525">
        <f t="shared" si="15"/>
        <v>-0.26666666666666666</v>
      </c>
      <c r="T46" s="535">
        <f t="shared" si="16"/>
        <v>4.8546277204141575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18.886370658155332</v>
      </c>
      <c r="E47" s="523"/>
      <c r="F47" s="532">
        <f t="shared" si="5"/>
        <v>8.3069009999999999</v>
      </c>
      <c r="G47" s="533">
        <f t="shared" si="6"/>
        <v>-0.19102694349644922</v>
      </c>
      <c r="H47" s="534">
        <f t="shared" si="7"/>
        <v>16.281797494816164</v>
      </c>
      <c r="I47" s="523"/>
      <c r="J47" s="532">
        <f t="shared" si="8"/>
        <v>8.3069009999999999</v>
      </c>
      <c r="K47" s="525">
        <f t="shared" si="9"/>
        <v>-0.19102694349644914</v>
      </c>
      <c r="L47" s="534">
        <f t="shared" si="10"/>
        <v>16.281797494816164</v>
      </c>
      <c r="M47" s="527"/>
      <c r="N47" s="532">
        <f t="shared" si="11"/>
        <v>8.3069010709167728</v>
      </c>
      <c r="O47" s="525">
        <f t="shared" si="12"/>
        <v>-0.19102693659017231</v>
      </c>
      <c r="P47" s="535">
        <f t="shared" si="13"/>
        <v>16.281797592115595</v>
      </c>
      <c r="Q47" s="529"/>
      <c r="R47" s="532">
        <f t="shared" si="14"/>
        <v>8.3069010709167728</v>
      </c>
      <c r="S47" s="525">
        <f t="shared" si="15"/>
        <v>-0.19102693659017231</v>
      </c>
      <c r="T47" s="535">
        <f t="shared" si="16"/>
        <v>16.281797592115595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21.02067549422587</v>
      </c>
      <c r="E48" s="523"/>
      <c r="F48" s="532">
        <f t="shared" si="5"/>
        <v>4.2574727107360104</v>
      </c>
      <c r="G48" s="533">
        <f t="shared" si="6"/>
        <v>6.4368177684002562E-2</v>
      </c>
      <c r="H48" s="534">
        <f t="shared" si="7"/>
        <v>21.822364062061272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3.6778207816323922</v>
      </c>
      <c r="S48" s="525">
        <f t="shared" si="15"/>
        <v>-8.0544804591901956E-2</v>
      </c>
      <c r="T48" s="535">
        <f t="shared" si="16"/>
        <v>19.987800706370471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0.70450446923774579</v>
      </c>
      <c r="G51" s="533">
        <f>G24</f>
        <v>-0.53033035384150284</v>
      </c>
      <c r="H51" s="534">
        <f>H24/1000000</f>
        <v>5.3884392392324276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1.0111207948361478</v>
      </c>
      <c r="O51" s="525">
        <f>O24</f>
        <v>-0.32591947010923478</v>
      </c>
      <c r="P51" s="535">
        <f>P24/1000000</f>
        <v>6.2263095138115787</v>
      </c>
      <c r="Q51" s="529"/>
      <c r="R51" s="532">
        <f>R24/1000000</f>
        <v>0.62882621347470091</v>
      </c>
      <c r="S51" s="525">
        <f>S24</f>
        <v>-0.58078252435019939</v>
      </c>
      <c r="T51" s="535">
        <f>T24/1000000</f>
        <v>5.148986392196492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284.16088455212713</v>
      </c>
      <c r="E53" s="510"/>
      <c r="F53" s="511">
        <f t="shared" ref="F53:F54" si="19">F26/1000000</f>
        <v>39.702376997921242</v>
      </c>
      <c r="G53" s="484">
        <f t="shared" ref="G53:G54" si="20">G26</f>
        <v>3.0867063549779E-2</v>
      </c>
      <c r="H53" s="512">
        <f t="shared" ref="H53:H54" si="21">H26/1000000</f>
        <v>293.47215773240413</v>
      </c>
      <c r="I53" s="510"/>
      <c r="J53" s="511">
        <f t="shared" ref="J53:J54" si="22">J26/1000000</f>
        <v>44.702376889437247</v>
      </c>
      <c r="K53" s="484">
        <f t="shared" ref="K53:K54" si="23">K26</f>
        <v>0.12593704123652957</v>
      </c>
      <c r="L53" s="512">
        <f t="shared" ref="L53:L54" si="24">L26/1000000</f>
        <v>318.50540957224729</v>
      </c>
      <c r="M53" s="483"/>
      <c r="N53" s="511">
        <f t="shared" ref="N53:N54" si="25">N26/1000000</f>
        <v>47.642852400000002</v>
      </c>
      <c r="O53" s="484">
        <f t="shared" ref="O53:O54" si="26">O26</f>
        <v>0.20000000000000015</v>
      </c>
      <c r="P53" s="512">
        <f t="shared" ref="P53:P54" si="27">P26/1000000</f>
        <v>331.0592928531326</v>
      </c>
      <c r="Q53" s="513"/>
      <c r="R53" s="511">
        <f t="shared" ref="R53:R54" si="28">R26/1000000</f>
        <v>51.613090100000001</v>
      </c>
      <c r="S53" s="484">
        <f t="shared" ref="S53:S54" si="29">S26</f>
        <v>0.30000000000000004</v>
      </c>
      <c r="T53" s="512">
        <f t="shared" ref="T53:T54" si="30">T26/1000000</f>
        <v>346.23893787409128</v>
      </c>
      <c r="U53" s="180">
        <f>L53-D53</f>
        <v>34.344525020120159</v>
      </c>
      <c r="V53" s="180">
        <f>P53-D53</f>
        <v>46.898408301005475</v>
      </c>
      <c r="W53" s="180">
        <f>T53-D53</f>
        <v>62.078053321964148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215.39696103338699</v>
      </c>
      <c r="E54" s="510"/>
      <c r="F54" s="511">
        <f t="shared" si="19"/>
        <v>68.905663060570731</v>
      </c>
      <c r="G54" s="484">
        <f t="shared" si="20"/>
        <v>8.7903851616769654E-10</v>
      </c>
      <c r="H54" s="512">
        <f t="shared" si="21"/>
        <v>222.41226998664143</v>
      </c>
      <c r="I54" s="510"/>
      <c r="J54" s="511">
        <f t="shared" si="22"/>
        <v>73.905663074635399</v>
      </c>
      <c r="K54" s="484">
        <f t="shared" si="23"/>
        <v>7.2562977510794741E-2</v>
      </c>
      <c r="L54" s="512">
        <f t="shared" si="24"/>
        <v>233.82800635850043</v>
      </c>
      <c r="M54" s="483"/>
      <c r="N54" s="511">
        <f t="shared" si="25"/>
        <v>70.965187599999993</v>
      </c>
      <c r="O54" s="484">
        <f t="shared" si="26"/>
        <v>2.9889047000389416E-2</v>
      </c>
      <c r="P54" s="512">
        <f t="shared" si="27"/>
        <v>228.41793757547859</v>
      </c>
      <c r="Q54" s="513"/>
      <c r="R54" s="511">
        <f t="shared" si="28"/>
        <v>66.99494989999998</v>
      </c>
      <c r="S54" s="484">
        <f t="shared" si="29"/>
        <v>-2.772940592705735E-2</v>
      </c>
      <c r="T54" s="512">
        <f t="shared" si="30"/>
        <v>216.36497387374718</v>
      </c>
      <c r="U54" s="180">
        <f>L54-D54</f>
        <v>18.431045325113445</v>
      </c>
      <c r="V54" s="180">
        <f>P54-D54</f>
        <v>13.020976542091603</v>
      </c>
      <c r="W54" s="180">
        <f>T54-D54</f>
        <v>0.96801284036018842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5">
        <f>F28/1000000</f>
        <v>108.60804005849197</v>
      </c>
      <c r="G55" s="516">
        <f>G28</f>
        <v>1.1066928695072585E-2</v>
      </c>
      <c r="H55" s="512">
        <f>H28/1000000</f>
        <v>515.88442771904556</v>
      </c>
      <c r="I55" s="510"/>
      <c r="J55" s="515">
        <f>J28/1000000</f>
        <v>118.60803996407265</v>
      </c>
      <c r="K55" s="516">
        <f>K28</f>
        <v>0.10416012129887314</v>
      </c>
      <c r="L55" s="512">
        <f>L28/1000000</f>
        <v>552.33341593074772</v>
      </c>
      <c r="M55" s="483"/>
      <c r="N55" s="515">
        <f>N28/1000000</f>
        <v>118.60804</v>
      </c>
      <c r="O55" s="516">
        <f>O28</f>
        <v>0.10416012163333237</v>
      </c>
      <c r="P55" s="512">
        <f>P28/1000000</f>
        <v>559.47723042861128</v>
      </c>
      <c r="Q55" s="513"/>
      <c r="R55" s="515">
        <f>R28/1000000</f>
        <v>118.60804</v>
      </c>
      <c r="S55" s="516">
        <f>S28</f>
        <v>0.10416012163333237</v>
      </c>
      <c r="T55" s="512">
        <f>T28/1000000</f>
        <v>562.60391174783854</v>
      </c>
      <c r="U55" s="500">
        <f>U54*1.25</f>
        <v>23.038806656391806</v>
      </c>
      <c r="V55" s="500">
        <f>V54*1.25</f>
        <v>16.276220677614504</v>
      </c>
      <c r="W55" s="500">
        <f>W54*1.25</f>
        <v>1.2100160504502355</v>
      </c>
    </row>
    <row r="56" spans="1:23" ht="25.5" x14ac:dyDescent="0.25">
      <c r="A56" s="482"/>
      <c r="B56" s="507" t="s">
        <v>307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4.75</v>
      </c>
      <c r="G56" s="516"/>
      <c r="H56" s="518" t="s">
        <v>347</v>
      </c>
      <c r="I56" s="510"/>
      <c r="J56" s="511" t="str">
        <f>_xlfn.CONCAT("ROI"," ", ,J61)</f>
        <v>ROI 4.66</v>
      </c>
      <c r="K56" s="516"/>
      <c r="L56" s="518" t="s">
        <v>381</v>
      </c>
      <c r="M56" s="483"/>
      <c r="N56" s="511" t="str">
        <f>_xlfn.CONCAT("ROI"," ", ,N61)</f>
        <v>ROI 4.72</v>
      </c>
      <c r="O56" s="516"/>
      <c r="P56" s="518" t="s">
        <v>386</v>
      </c>
      <c r="Q56" s="519"/>
      <c r="R56" s="511" t="str">
        <f>_xlfn.CONCAT("ROI"," ", ,R61)</f>
        <v>ROI 4.74</v>
      </c>
      <c r="S56" s="516"/>
      <c r="T56" s="518" t="s">
        <v>391</v>
      </c>
    </row>
    <row r="57" spans="1:23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7.39</v>
      </c>
      <c r="G57" s="516"/>
      <c r="H57" s="518" t="s">
        <v>365</v>
      </c>
      <c r="I57" s="510"/>
      <c r="J57" s="511" t="str">
        <f>_xlfn.CONCAT("ROI"," ", ,J63)</f>
        <v>ROI 7.13</v>
      </c>
      <c r="K57" s="516"/>
      <c r="L57" s="518" t="s">
        <v>382</v>
      </c>
      <c r="M57" s="483"/>
      <c r="N57" s="511" t="str">
        <f>_xlfn.CONCAT("ROI"," ", ,N63)</f>
        <v>ROI 6.95</v>
      </c>
      <c r="O57" s="516"/>
      <c r="P57" s="518" t="s">
        <v>387</v>
      </c>
      <c r="Q57" s="519"/>
      <c r="R57" s="511" t="str">
        <f>_xlfn.CONCAT("ROI"," ", ,R63)</f>
        <v>ROI 6.71</v>
      </c>
      <c r="S57" s="516"/>
      <c r="T57" s="518" t="s">
        <v>373</v>
      </c>
    </row>
    <row r="58" spans="1:23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3.23</v>
      </c>
      <c r="G58" s="516"/>
      <c r="H58" s="518" t="s">
        <v>366</v>
      </c>
      <c r="I58" s="510"/>
      <c r="J58" s="511" t="str">
        <f>_xlfn.CONCAT("ROI"," ", ,J65)</f>
        <v>ROI 3.16</v>
      </c>
      <c r="K58" s="516"/>
      <c r="L58" s="518" t="s">
        <v>383</v>
      </c>
      <c r="M58" s="483"/>
      <c r="N58" s="511" t="str">
        <f>_xlfn.CONCAT("ROI"," ", ,N65)</f>
        <v>ROI 3.22</v>
      </c>
      <c r="O58" s="516"/>
      <c r="P58" s="518" t="s">
        <v>388</v>
      </c>
      <c r="Q58" s="519"/>
      <c r="R58" s="511" t="str">
        <f>_xlfn.CONCAT("ROI"," ", ,R65)</f>
        <v>ROI 3.23</v>
      </c>
      <c r="S58" s="516"/>
      <c r="T58" s="518" t="s">
        <v>392</v>
      </c>
    </row>
    <row r="59" spans="1:23" ht="38.25" x14ac:dyDescent="0.25">
      <c r="A59" s="482"/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4.03</v>
      </c>
      <c r="G59" s="516"/>
      <c r="H59" s="518" t="s">
        <v>367</v>
      </c>
      <c r="I59" s="510"/>
      <c r="J59" s="511" t="str">
        <f>_xlfn.CONCAT("ROI"," ", ,J67)</f>
        <v>ROI 3.95</v>
      </c>
      <c r="K59" s="516"/>
      <c r="L59" s="518" t="s">
        <v>384</v>
      </c>
      <c r="M59" s="483"/>
      <c r="N59" s="511" t="str">
        <f>_xlfn.CONCAT("ROI"," ", ,N67)</f>
        <v>ROI 4.02</v>
      </c>
      <c r="O59" s="516"/>
      <c r="P59" s="518" t="s">
        <v>389</v>
      </c>
      <c r="Q59" s="519"/>
      <c r="R59" s="511" t="str">
        <f>_xlfn.CONCAT("ROI"," ", ,R67)</f>
        <v>ROI 4.04</v>
      </c>
      <c r="S59" s="516"/>
      <c r="T59" s="518" t="s">
        <v>392</v>
      </c>
    </row>
    <row r="60" spans="1:23" ht="38.25" x14ac:dyDescent="0.25">
      <c r="A60" s="482"/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2.58</v>
      </c>
      <c r="G60" s="516"/>
      <c r="H60" s="518" t="s">
        <v>368</v>
      </c>
      <c r="I60" s="510"/>
      <c r="J60" s="511" t="str">
        <f>_xlfn.CONCAT("ROI"," ", ,J69)</f>
        <v>ROI 2.53</v>
      </c>
      <c r="K60" s="516"/>
      <c r="L60" s="518" t="s">
        <v>385</v>
      </c>
      <c r="M60" s="483"/>
      <c r="N60" s="511" t="str">
        <f>_xlfn.CONCAT("ROI"," ", ,N69)</f>
        <v>ROI 2.57</v>
      </c>
      <c r="O60" s="516"/>
      <c r="P60" s="518" t="s">
        <v>390</v>
      </c>
      <c r="Q60" s="519"/>
      <c r="R60" s="511" t="str">
        <f>_xlfn.CONCAT("ROI"," ", ,R69)</f>
        <v>ROI 2.58</v>
      </c>
      <c r="S60" s="516"/>
      <c r="T60" s="518" t="s">
        <v>392</v>
      </c>
    </row>
    <row r="61" spans="1:23" x14ac:dyDescent="0.25">
      <c r="C61" s="97">
        <f>ROUND(D55/C55,2)</f>
        <v>4.6500000000000004</v>
      </c>
      <c r="F61" s="97">
        <f>ROUND(H55/F55,2)</f>
        <v>4.75</v>
      </c>
      <c r="H61" s="216">
        <f>(H55-$D$55)</f>
        <v>16.326582133531474</v>
      </c>
      <c r="J61" s="97">
        <f>ROUND(L55/J55,2)</f>
        <v>4.66</v>
      </c>
      <c r="L61" s="216">
        <f>(L55-$D$55)</f>
        <v>52.775570345233632</v>
      </c>
      <c r="N61" s="97">
        <f>ROUND(P55/N55,2)</f>
        <v>4.72</v>
      </c>
      <c r="P61" s="216">
        <f>(P55-$D$55)</f>
        <v>59.919384843097191</v>
      </c>
      <c r="Q61" s="506"/>
      <c r="R61" s="97">
        <f>ROUND(T55/R55,2)</f>
        <v>4.74</v>
      </c>
      <c r="T61" s="216">
        <f>(T55-$D$55)</f>
        <v>63.04606616232445</v>
      </c>
    </row>
    <row r="62" spans="1:23" x14ac:dyDescent="0.25">
      <c r="H62" s="329">
        <f>H61/$D$55</f>
        <v>3.2682065305962044E-2</v>
      </c>
      <c r="J62" s="248"/>
      <c r="K62" s="248"/>
      <c r="L62" s="329">
        <f>L61/$D$55</f>
        <v>0.10564456311035862</v>
      </c>
      <c r="M62" s="248"/>
      <c r="N62" s="248"/>
      <c r="O62" s="248"/>
      <c r="P62" s="329">
        <f>P61/$D$55</f>
        <v>0.11994483796539678</v>
      </c>
      <c r="Q62" s="329"/>
      <c r="R62" s="248"/>
      <c r="S62" s="248"/>
      <c r="T62" s="329">
        <f>T61/$D$55</f>
        <v>0.12620373540211421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9.3112731802769986</v>
      </c>
      <c r="J63" s="97">
        <f>ROUND(L53/J53,2)</f>
        <v>7.13</v>
      </c>
      <c r="L63" s="216">
        <f>L53-$D$53</f>
        <v>34.344525020120159</v>
      </c>
      <c r="N63" s="97">
        <f>ROUND(P53/N53,2)</f>
        <v>6.95</v>
      </c>
      <c r="P63" s="216">
        <f>P53-$D$53</f>
        <v>46.898408301005475</v>
      </c>
      <c r="R63" s="97">
        <f>ROUND(T53/R53,2)</f>
        <v>6.71</v>
      </c>
      <c r="T63" s="216">
        <f>T53-$D$53</f>
        <v>62.078053321964148</v>
      </c>
    </row>
    <row r="64" spans="1:23" x14ac:dyDescent="0.25">
      <c r="H64" s="280">
        <f>H63/$D$53</f>
        <v>3.2767610485703272E-2</v>
      </c>
      <c r="L64" s="329">
        <f>L63/$D$53</f>
        <v>0.12086295787772268</v>
      </c>
      <c r="M64" s="248"/>
      <c r="P64" s="329">
        <f>P63/$D$53</f>
        <v>0.16504174518925502</v>
      </c>
      <c r="T64" s="329">
        <f>T63/$D$53</f>
        <v>0.21846093778813672</v>
      </c>
    </row>
    <row r="65" spans="3:20" x14ac:dyDescent="0.25">
      <c r="C65" s="97">
        <f>ROUND(D54/C54,2)</f>
        <v>3.13</v>
      </c>
      <c r="F65" s="97">
        <f>ROUND(H54/F54,2)</f>
        <v>3.23</v>
      </c>
      <c r="H65" s="216">
        <f>H54-$D$54</f>
        <v>7.015308953254447</v>
      </c>
      <c r="J65" s="97">
        <f>ROUND(L54/J54,2)</f>
        <v>3.16</v>
      </c>
      <c r="L65" s="216">
        <f>L54-$D$54</f>
        <v>18.431045325113445</v>
      </c>
      <c r="N65" s="97">
        <f>ROUND(P54/N54,2)</f>
        <v>3.22</v>
      </c>
      <c r="P65" s="216">
        <f>P54-$D$54</f>
        <v>13.020976542091603</v>
      </c>
      <c r="R65" s="97">
        <f>ROUND(T54/R54,2)</f>
        <v>3.23</v>
      </c>
      <c r="T65" s="216">
        <f>T54-$D$54</f>
        <v>0.96801284036018842</v>
      </c>
    </row>
    <row r="66" spans="3:20" x14ac:dyDescent="0.25">
      <c r="H66" s="280">
        <f>H65/$D$54</f>
        <v>3.2569210445671327E-2</v>
      </c>
      <c r="L66" s="329">
        <f>L65/$D$54</f>
        <v>8.5567805769815819E-2</v>
      </c>
      <c r="M66" s="248"/>
      <c r="P66" s="329">
        <f>P65/$D$54</f>
        <v>6.0451068945551759E-2</v>
      </c>
      <c r="T66" s="329">
        <f>T65/$D$54</f>
        <v>4.4940877332533226E-3</v>
      </c>
    </row>
    <row r="67" spans="3:20" x14ac:dyDescent="0.25">
      <c r="C67" s="97">
        <f>ROUND(D54*1.25/C54,2)</f>
        <v>3.91</v>
      </c>
      <c r="F67" s="97">
        <f>ROUND(H54*1.25/F54,2)</f>
        <v>4.03</v>
      </c>
      <c r="H67" s="216">
        <f>H65*1.25</f>
        <v>8.7691361915680588</v>
      </c>
      <c r="J67" s="97">
        <f>ROUND(L54*1.25/J54,2)</f>
        <v>3.95</v>
      </c>
      <c r="L67" s="216">
        <f>L65*1.25</f>
        <v>23.038806656391806</v>
      </c>
      <c r="N67" s="97">
        <f>ROUND(P54*1.25/N54,2)</f>
        <v>4.0199999999999996</v>
      </c>
      <c r="P67" s="216">
        <f>P65*1.25</f>
        <v>16.276220677614504</v>
      </c>
      <c r="R67" s="97">
        <f>ROUND(T54*1.25/R54,2)</f>
        <v>4.04</v>
      </c>
      <c r="T67" s="216">
        <f>T65*1.25</f>
        <v>1.2100160504502355</v>
      </c>
    </row>
    <row r="68" spans="3:20" x14ac:dyDescent="0.25">
      <c r="H68" s="280">
        <f>H67/($D$54*1.25)</f>
        <v>3.2569210445671327E-2</v>
      </c>
      <c r="L68" s="329">
        <f>L67/($D$54*1.25)</f>
        <v>8.5567805769815833E-2</v>
      </c>
      <c r="M68" s="248"/>
      <c r="P68" s="329">
        <f>P67/($D$54*1.25)</f>
        <v>6.0451068945551766E-2</v>
      </c>
      <c r="T68" s="329">
        <f>T67/($D$54*1.25)</f>
        <v>4.4940877332533234E-3</v>
      </c>
    </row>
    <row r="69" spans="3:20" x14ac:dyDescent="0.25">
      <c r="C69" s="97">
        <f>ROUND(D54*0.8/C54,2)</f>
        <v>2.5</v>
      </c>
      <c r="F69" s="97">
        <f>ROUND(H54*0.8/F54,2)</f>
        <v>2.58</v>
      </c>
      <c r="H69" s="216">
        <f>H65*0.8</f>
        <v>5.6122471626035582</v>
      </c>
      <c r="J69" s="97">
        <f>ROUND(L54*0.8/J54,2)</f>
        <v>2.5299999999999998</v>
      </c>
      <c r="L69" s="216">
        <f>L65*0.8</f>
        <v>14.744836260090757</v>
      </c>
      <c r="N69" s="97">
        <f>ROUND(P54*0.8/N54,2)</f>
        <v>2.57</v>
      </c>
      <c r="P69" s="216">
        <f>P65*0.8</f>
        <v>10.416781233673284</v>
      </c>
      <c r="R69" s="97">
        <f>ROUND(T54*0.8/R54,2)</f>
        <v>2.58</v>
      </c>
      <c r="T69" s="216">
        <f>T65*0.8</f>
        <v>0.77441027228815074</v>
      </c>
    </row>
    <row r="70" spans="3:20" x14ac:dyDescent="0.25">
      <c r="H70" s="280">
        <f>H69/($D$54*0.8)</f>
        <v>3.2569210445671327E-2</v>
      </c>
      <c r="L70" s="329">
        <f>L69/($D$54*0.8)</f>
        <v>8.5567805769815833E-2</v>
      </c>
      <c r="M70" s="248"/>
      <c r="P70" s="329">
        <f>P69/($D$54*0.8)</f>
        <v>6.0451068945551772E-2</v>
      </c>
      <c r="T70" s="329">
        <f>T69/($D$54*0.8)</f>
        <v>4.4940877332533226E-3</v>
      </c>
    </row>
    <row r="81" ht="27.6" customHeight="1" x14ac:dyDescent="0.25"/>
  </sheetData>
  <mergeCells count="11">
    <mergeCell ref="F4:P4"/>
    <mergeCell ref="F5:H5"/>
    <mergeCell ref="J5:L5"/>
    <mergeCell ref="N5:P5"/>
    <mergeCell ref="R5:T5"/>
    <mergeCell ref="F31:T31"/>
    <mergeCell ref="R32:T32"/>
    <mergeCell ref="C32:D32"/>
    <mergeCell ref="F32:H32"/>
    <mergeCell ref="J32:L32"/>
    <mergeCell ref="N32:P32"/>
  </mergeCells>
  <conditionalFormatting sqref="G34:G52">
    <cfRule type="cellIs" dxfId="79" priority="15" operator="lessThan">
      <formula>0</formula>
    </cfRule>
    <cfRule type="cellIs" dxfId="78" priority="16" operator="greaterThan">
      <formula>0</formula>
    </cfRule>
  </conditionalFormatting>
  <conditionalFormatting sqref="O34:O52">
    <cfRule type="cellIs" dxfId="77" priority="13" operator="lessThan">
      <formula>0</formula>
    </cfRule>
    <cfRule type="cellIs" dxfId="76" priority="14" operator="greaterThan">
      <formula>0</formula>
    </cfRule>
  </conditionalFormatting>
  <conditionalFormatting sqref="K34:K52">
    <cfRule type="cellIs" dxfId="75" priority="11" operator="lessThan">
      <formula>0</formula>
    </cfRule>
    <cfRule type="cellIs" dxfId="74" priority="12" operator="greaterThan">
      <formula>0</formula>
    </cfRule>
  </conditionalFormatting>
  <conditionalFormatting sqref="G53:G54">
    <cfRule type="cellIs" dxfId="73" priority="9" operator="lessThan">
      <formula>0</formula>
    </cfRule>
    <cfRule type="cellIs" dxfId="72" priority="10" operator="greaterThan">
      <formula>0</formula>
    </cfRule>
  </conditionalFormatting>
  <conditionalFormatting sqref="K53:K54">
    <cfRule type="cellIs" dxfId="71" priority="7" operator="lessThan">
      <formula>0</formula>
    </cfRule>
    <cfRule type="cellIs" dxfId="70" priority="8" operator="greaterThan">
      <formula>0</formula>
    </cfRule>
  </conditionalFormatting>
  <conditionalFormatting sqref="O53:O54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S34:S52">
    <cfRule type="cellIs" dxfId="67" priority="3" operator="lessThan">
      <formula>0</formula>
    </cfRule>
    <cfRule type="cellIs" dxfId="66" priority="4" operator="greaterThan">
      <formula>0</formula>
    </cfRule>
  </conditionalFormatting>
  <conditionalFormatting sqref="S53:S54">
    <cfRule type="cellIs" dxfId="65" priority="1" operator="lessThan">
      <formula>0</formula>
    </cfRule>
    <cfRule type="cellIs" dxfId="6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AD107"/>
  <sheetViews>
    <sheetView showGridLines="0" topLeftCell="A7" zoomScale="75" zoomScaleNormal="75" workbookViewId="0">
      <selection activeCell="E16" sqref="E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02" t="s">
        <v>350</v>
      </c>
      <c r="G4" s="602"/>
      <c r="H4" s="602"/>
      <c r="I4" s="602"/>
      <c r="J4" s="602"/>
      <c r="K4" s="602"/>
      <c r="L4" s="602"/>
      <c r="M4" s="602"/>
      <c r="N4" s="602"/>
      <c r="O4" s="602"/>
      <c r="P4" s="602"/>
      <c r="Q4" s="498"/>
      <c r="R4" s="498"/>
      <c r="S4" s="498"/>
      <c r="T4" s="498"/>
    </row>
    <row r="5" spans="1:28" ht="36" customHeight="1" x14ac:dyDescent="0.25">
      <c r="F5" s="598" t="s">
        <v>310</v>
      </c>
      <c r="G5" s="599"/>
      <c r="H5" s="600"/>
      <c r="I5" s="181"/>
      <c r="J5" s="629" t="s">
        <v>355</v>
      </c>
      <c r="K5" s="630"/>
      <c r="L5" s="631"/>
      <c r="N5" s="629" t="s">
        <v>351</v>
      </c>
      <c r="O5" s="630"/>
      <c r="P5" s="631"/>
      <c r="Q5" s="503"/>
      <c r="R5" s="629" t="s">
        <v>352</v>
      </c>
      <c r="S5" s="630"/>
      <c r="T5" s="631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1176429.1162956713</v>
      </c>
      <c r="K7" s="370">
        <v>0.17642911629567132</v>
      </c>
      <c r="L7" s="372">
        <v>5736877.6676953258</v>
      </c>
      <c r="M7" s="367"/>
      <c r="N7" s="380">
        <v>1280553.8166407023</v>
      </c>
      <c r="O7" s="370">
        <v>0.28055381664070234</v>
      </c>
      <c r="P7" s="372">
        <v>6124893.4309640741</v>
      </c>
      <c r="Q7" s="369"/>
      <c r="R7" s="380">
        <v>1477446.4670283725</v>
      </c>
      <c r="S7" s="370">
        <v>0.47744646702837246</v>
      </c>
      <c r="T7" s="372">
        <v>6815212.4286170546</v>
      </c>
      <c r="U7" s="180"/>
      <c r="V7" s="185">
        <f>VAC_Optim_Scenario!$H51</f>
        <v>1540173.2513926297</v>
      </c>
      <c r="W7" s="177">
        <f>(V7-$C7)/$C7</f>
        <v>0.54017325139262973</v>
      </c>
      <c r="X7" s="185">
        <f>VAC_Optim_Scenario!$J51</f>
        <v>5027050.4165755827</v>
      </c>
      <c r="Y7" s="185">
        <f>J7-V7</f>
        <v>-363744.13509695837</v>
      </c>
      <c r="Z7" s="490">
        <f>$F7-'[1]Scenario deep dive'!$F7</f>
        <v>0</v>
      </c>
      <c r="AA7" s="493">
        <f>$J7-'[1]Scenario deep dive'!$J7</f>
        <v>3514.7903857687488</v>
      </c>
      <c r="AB7" s="493">
        <f>$N7-'[1]Scenario deep dive'!$N7</f>
        <v>-374034.8956880942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7998999.8847845653</v>
      </c>
      <c r="G8" s="370">
        <v>2.8707337681781207E-2</v>
      </c>
      <c r="H8" s="372">
        <v>81778277.188084155</v>
      </c>
      <c r="I8" s="369"/>
      <c r="J8" s="380">
        <v>10781490.947601428</v>
      </c>
      <c r="K8" s="370">
        <v>0.38654819461170681</v>
      </c>
      <c r="L8" s="372">
        <v>94764181.268858969</v>
      </c>
      <c r="M8" s="371"/>
      <c r="N8" s="380">
        <v>11092068.118553624</v>
      </c>
      <c r="O8" s="370">
        <v>0.42648981472382874</v>
      </c>
      <c r="P8" s="372">
        <v>95922136.097286731</v>
      </c>
      <c r="Q8" s="369"/>
      <c r="R8" s="380">
        <v>11653434.194842588</v>
      </c>
      <c r="S8" s="370">
        <v>0.49868401526414313</v>
      </c>
      <c r="T8" s="372">
        <v>97889996.867404997</v>
      </c>
      <c r="U8" s="180"/>
      <c r="V8" s="185">
        <f>VAC_Optim_Scenario!$H52</f>
        <v>13899615.099674361</v>
      </c>
      <c r="W8" s="177">
        <f t="shared" ref="W8:W22" si="0">(V8-$C8)/$C8</f>
        <v>0.78755297536456936</v>
      </c>
      <c r="X8" s="185">
        <f>VAC_Optim_Scenario!$J52</f>
        <v>100236529.00149192</v>
      </c>
      <c r="Y8" s="185">
        <f t="shared" ref="Y8:Y25" si="1">J8-V8</f>
        <v>-3118124.1520729326</v>
      </c>
      <c r="Z8" s="491">
        <f>$F8-'[1]Scenario deep dive'!$F8</f>
        <v>-4662.7890975764021</v>
      </c>
      <c r="AA8" s="494">
        <f>$J8-'[1]Scenario deep dive'!$J8</f>
        <v>411.1471988838166</v>
      </c>
      <c r="AB8" s="494">
        <f>$N8-'[1]Scenario deep dive'!$N8</f>
        <v>-907931.88144637644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3981710.9863617201</v>
      </c>
      <c r="K9" s="370">
        <v>1.1639733621531088</v>
      </c>
      <c r="L9" s="372">
        <v>25307867.902625494</v>
      </c>
      <c r="M9" s="371"/>
      <c r="N9" s="380">
        <v>4455047.5305201802</v>
      </c>
      <c r="O9" s="370">
        <v>1.4212214839783588</v>
      </c>
      <c r="P9" s="372">
        <v>27072298.129360568</v>
      </c>
      <c r="Q9" s="369"/>
      <c r="R9" s="380">
        <v>5433719.4069541646</v>
      </c>
      <c r="S9" s="370">
        <v>1.9531083733446546</v>
      </c>
      <c r="T9" s="372">
        <v>30498048.005856685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33959534.839013599</v>
      </c>
      <c r="Y9" s="185">
        <f t="shared" si="1"/>
        <v>-2518289.0136382799</v>
      </c>
      <c r="Z9" s="491">
        <f>$F9-'[1]Scenario deep dive'!$F9</f>
        <v>0</v>
      </c>
      <c r="AA9" s="494">
        <f>$J9-'[1]Scenario deep dive'!$J9</f>
        <v>-6207.1108648041263</v>
      </c>
      <c r="AB9" s="494">
        <f>$N9-'[1]Scenario deep dive'!$N9</f>
        <v>-2044952.4694798198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5610885.2745636441</v>
      </c>
      <c r="K11" s="370">
        <v>0.16461613263230299</v>
      </c>
      <c r="L11" s="372">
        <v>30546193.408102117</v>
      </c>
      <c r="M11" s="371"/>
      <c r="N11" s="380">
        <v>6494076.6811486697</v>
      </c>
      <c r="O11" s="370">
        <v>0.3479346126900027</v>
      </c>
      <c r="P11" s="372">
        <v>33837425.591033712</v>
      </c>
      <c r="Q11" s="369"/>
      <c r="R11" s="380">
        <v>8472745.2524451073</v>
      </c>
      <c r="S11" s="370">
        <v>0.75863439115652154</v>
      </c>
      <c r="T11" s="372">
        <v>40761675.682919972</v>
      </c>
      <c r="U11" s="180"/>
      <c r="V11" s="185">
        <f>VAC_Optim_Scenario!$H55</f>
        <v>12070112.999999998</v>
      </c>
      <c r="W11" s="177">
        <f t="shared" si="0"/>
        <v>1.5053173669796862</v>
      </c>
      <c r="X11" s="185">
        <f>VAC_Optim_Scenario!$J55</f>
        <v>52219542.216157258</v>
      </c>
      <c r="Y11" s="185">
        <f t="shared" si="1"/>
        <v>-6459227.7254363541</v>
      </c>
      <c r="Z11" s="491">
        <f>$F11-'[1]Scenario deep dive'!$F11</f>
        <v>0</v>
      </c>
      <c r="AA11" s="494">
        <f>$J11-'[1]Scenario deep dive'!$J11</f>
        <v>1843.8235819619149</v>
      </c>
      <c r="AB11" s="494">
        <f>$N11-'[1]Scenario deep dive'!$N11</f>
        <v>-4278280.2103841985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5063060.177244084</v>
      </c>
      <c r="K12" s="370">
        <v>0.43024298792205762</v>
      </c>
      <c r="L12" s="372">
        <v>46724867.304993257</v>
      </c>
      <c r="M12" s="371"/>
      <c r="N12" s="380">
        <v>5202542.954141208</v>
      </c>
      <c r="O12" s="370">
        <v>0.46964490229977629</v>
      </c>
      <c r="P12" s="372">
        <v>47244945.61050126</v>
      </c>
      <c r="Q12" s="369"/>
      <c r="R12" s="380">
        <v>5457181.4787297705</v>
      </c>
      <c r="S12" s="370">
        <v>0.54157668890671484</v>
      </c>
      <c r="T12" s="372">
        <v>48137663.740853444</v>
      </c>
      <c r="U12" s="180"/>
      <c r="V12" s="185">
        <f>VAC_Optim_Scenario!$H56</f>
        <v>6603674.6489330456</v>
      </c>
      <c r="W12" s="177">
        <f t="shared" si="0"/>
        <v>0.86544481608278123</v>
      </c>
      <c r="X12" s="185">
        <f>VAC_Optim_Scenario!$J56</f>
        <v>51379707.531912059</v>
      </c>
      <c r="Y12" s="185">
        <f t="shared" si="1"/>
        <v>-1540614.4716889616</v>
      </c>
      <c r="Z12" s="491">
        <f>$F12-'[1]Scenario deep dive'!$F12</f>
        <v>4027.4115999196656</v>
      </c>
      <c r="AA12" s="494">
        <f>$J12-'[1]Scenario deep dive'!$J12</f>
        <v>437.7909759702161</v>
      </c>
      <c r="AB12" s="494">
        <f>$N12-'[1]Scenario deep dive'!$N12</f>
        <v>-484087.48229864519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16888801</v>
      </c>
      <c r="K15" s="370">
        <v>0</v>
      </c>
      <c r="L15" s="372">
        <v>67034177.652868718</v>
      </c>
      <c r="M15" s="371"/>
      <c r="N15" s="380">
        <v>16888801</v>
      </c>
      <c r="O15" s="370">
        <v>0</v>
      </c>
      <c r="P15" s="372">
        <v>67034177.652868718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1188801</v>
      </c>
      <c r="Z15" s="492">
        <f>$F15-'[1]Scenario deep dive'!$F15</f>
        <v>0</v>
      </c>
      <c r="AA15" s="494">
        <f>$J15-'[1]Scenario deep dive'!$J15</f>
        <v>0</v>
      </c>
      <c r="AB15" s="494">
        <f>$N15-'[1]Scenario deep dive'!$N15</f>
        <v>0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1410431.7445188572</v>
      </c>
      <c r="M16" s="371"/>
      <c r="N16" s="379">
        <v>900000</v>
      </c>
      <c r="O16" s="366">
        <v>-0.1</v>
      </c>
      <c r="P16" s="368">
        <v>1410431.7445188572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20333699.638065696</v>
      </c>
      <c r="G17" s="370">
        <v>0.19976986299655983</v>
      </c>
      <c r="H17" s="372">
        <v>103711863.92886993</v>
      </c>
      <c r="I17" s="369"/>
      <c r="J17" s="380">
        <v>21000000</v>
      </c>
      <c r="K17" s="370">
        <v>0.2390842577295256</v>
      </c>
      <c r="L17" s="372">
        <v>105724786.72171538</v>
      </c>
      <c r="M17" s="371"/>
      <c r="N17" s="380">
        <v>21000000.203315023</v>
      </c>
      <c r="O17" s="370">
        <v>0.23908426972592775</v>
      </c>
      <c r="P17" s="372">
        <v>105724787.32592277</v>
      </c>
      <c r="Q17" s="369"/>
      <c r="R17" s="380">
        <v>21000000</v>
      </c>
      <c r="S17" s="370">
        <v>0.2390842577295256</v>
      </c>
      <c r="T17" s="372">
        <v>105724786.72171538</v>
      </c>
      <c r="U17" s="180"/>
      <c r="V17" s="185">
        <f>VAC_Optim_Scenario!$H62</f>
        <v>28000000</v>
      </c>
      <c r="W17" s="177">
        <f t="shared" si="0"/>
        <v>0.65211234363936743</v>
      </c>
      <c r="X17" s="185">
        <f>VAC_Optim_Scenario!$J62</f>
        <v>122303515.20283259</v>
      </c>
      <c r="Y17" s="185">
        <f t="shared" si="1"/>
        <v>-7000000</v>
      </c>
      <c r="Z17" s="491">
        <f>$F17-'[2]Scenario deep dive'!$F8</f>
        <v>972.85154687613249</v>
      </c>
      <c r="AA17" s="494">
        <f>$J17-'[2]Scenario deep dive'!$J8</f>
        <v>0</v>
      </c>
      <c r="AB17" s="494">
        <f>$N17-'[2]Scenario deep dive'!$N8</f>
        <v>0.20331502333283424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4584161.4183054324</v>
      </c>
      <c r="K18" s="370">
        <v>1.0837097355933785</v>
      </c>
      <c r="L18" s="372">
        <v>9587966.168260688</v>
      </c>
      <c r="M18" s="371"/>
      <c r="N18" s="380">
        <v>4154570.9220185205</v>
      </c>
      <c r="O18" s="370">
        <v>0.88844132819023658</v>
      </c>
      <c r="P18" s="372">
        <v>9038289.7156212088</v>
      </c>
      <c r="Q18" s="369"/>
      <c r="R18" s="380">
        <v>2282368.4526044191</v>
      </c>
      <c r="S18" s="370">
        <v>3.7440205729281403E-2</v>
      </c>
      <c r="T18" s="372">
        <v>6309602.5797727108</v>
      </c>
      <c r="U18" s="180"/>
      <c r="V18" s="185">
        <f>VAC_Optim_Scenario!$H63</f>
        <v>3792982.8268409837</v>
      </c>
      <c r="W18" s="177">
        <f t="shared" si="0"/>
        <v>0.72408310310953805</v>
      </c>
      <c r="X18" s="185">
        <f>VAC_Optim_Scenario!$J63</f>
        <v>8557739.8044479284</v>
      </c>
      <c r="Y18" s="185">
        <f t="shared" si="1"/>
        <v>791178.59146444872</v>
      </c>
      <c r="Z18" s="491">
        <f>$F18-'[2]Scenario deep dive'!$F9</f>
        <v>0</v>
      </c>
      <c r="AA18" s="494">
        <f>$J18-'[2]Scenario deep dive'!$J9</f>
        <v>-2353.8138572927564</v>
      </c>
      <c r="AB18" s="494">
        <f>$N18-'[2]Scenario deep dive'!$N9</f>
        <v>-2578657.5485720756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2539912.7789936913</v>
      </c>
      <c r="K19" s="370">
        <v>0.69327518599579419</v>
      </c>
      <c r="L19" s="372">
        <v>7780362.4969045799</v>
      </c>
      <c r="M19" s="371"/>
      <c r="N19" s="380">
        <v>2469338.7975853113</v>
      </c>
      <c r="O19" s="370">
        <v>0.64622586505687418</v>
      </c>
      <c r="P19" s="372">
        <v>7689906.7353378301</v>
      </c>
      <c r="Q19" s="369"/>
      <c r="R19" s="380">
        <v>2091880.7528473777</v>
      </c>
      <c r="S19" s="370">
        <v>0.39458716856491843</v>
      </c>
      <c r="T19" s="372">
        <v>7132160.5639820658</v>
      </c>
      <c r="U19" s="180"/>
      <c r="V19" s="185">
        <f>VAC_Optim_Scenario!$H64</f>
        <v>2417063.0393783748</v>
      </c>
      <c r="W19" s="177">
        <f t="shared" si="0"/>
        <v>0.6113753595855832</v>
      </c>
      <c r="X19" s="185">
        <f>VAC_Optim_Scenario!$J64</f>
        <v>7620283.6007006103</v>
      </c>
      <c r="Y19" s="185">
        <f t="shared" si="1"/>
        <v>122849.7396153165</v>
      </c>
      <c r="Z19" s="491">
        <f>$F19-'[2]Scenario deep dive'!$F10</f>
        <v>3206.1157225614879</v>
      </c>
      <c r="AA19" s="494">
        <f>$J19-'[2]Scenario deep dive'!$J10</f>
        <v>1304.4210638059303</v>
      </c>
      <c r="AB19" s="494">
        <f>$N19-'[2]Scenario deep dive'!$N10</f>
        <v>-314809.78586288262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11192377.367288953</v>
      </c>
      <c r="K20" s="370">
        <v>8.9977083915759912E-2</v>
      </c>
      <c r="L20" s="372">
        <v>20060449.763434079</v>
      </c>
      <c r="M20" s="371"/>
      <c r="N20" s="380">
        <v>9781828.9864038322</v>
      </c>
      <c r="O20" s="370">
        <v>-4.7390104525605978E-2</v>
      </c>
      <c r="P20" s="372">
        <v>18255304.051492907</v>
      </c>
      <c r="Q20" s="369"/>
      <c r="R20" s="380">
        <v>8306901</v>
      </c>
      <c r="S20" s="370">
        <v>-0.19102694349644914</v>
      </c>
      <c r="T20" s="372">
        <v>16281797.494816165</v>
      </c>
      <c r="U20" s="180"/>
      <c r="V20" s="185">
        <f>VAC_Optim_Scenario!$H65</f>
        <v>8687167.133780634</v>
      </c>
      <c r="W20" s="177">
        <f t="shared" si="0"/>
        <v>-0.15399447416410633</v>
      </c>
      <c r="X20" s="185">
        <f>VAC_Optim_Scenario!$J65</f>
        <v>16800018.05910404</v>
      </c>
      <c r="Y20" s="185">
        <f t="shared" si="1"/>
        <v>2505210.2335083187</v>
      </c>
      <c r="Z20" s="491">
        <f>$F20-'[2]Scenario deep dive'!$F11</f>
        <v>0</v>
      </c>
      <c r="AA20" s="494">
        <f>$J20-'[2]Scenario deep dive'!$J11</f>
        <v>1049.0135579686612</v>
      </c>
      <c r="AB20" s="494">
        <f>$N20-'[2]Scenario deep dive'!$N11</f>
        <v>-8890647.9194829036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0</v>
      </c>
      <c r="Z21" s="491">
        <f>$F21-'[2]Scenario deep dive'!$F12</f>
        <v>-6415.2453787680715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28089211</v>
      </c>
      <c r="W23" s="177">
        <f>(V23-$C23)/$C23</f>
        <v>0</v>
      </c>
      <c r="X23" s="185">
        <f>VAC_Optim_Scenario!$J68</f>
        <v>40395109.654958591</v>
      </c>
      <c r="Y23" s="185">
        <f t="shared" si="1"/>
        <v>0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2200000</v>
      </c>
      <c r="O24" s="370">
        <v>0.46666666666666667</v>
      </c>
      <c r="P24" s="372">
        <v>8497253.2367697079</v>
      </c>
      <c r="Q24" s="369"/>
      <c r="R24" s="380">
        <v>1954350.9945481978</v>
      </c>
      <c r="S24" s="370">
        <v>0.30290066303213187</v>
      </c>
      <c r="T24" s="372">
        <v>8104206.8009546781</v>
      </c>
      <c r="U24" s="180"/>
      <c r="V24" s="185">
        <f>VAC_Optim_Scenario!$H69</f>
        <v>2200000</v>
      </c>
      <c r="W24" s="177">
        <f t="shared" ref="W24:W25" si="2">(V24-$C24)/$C24</f>
        <v>0.46666666666666667</v>
      </c>
      <c r="X24" s="488">
        <f>VAC_Optim_Scenario!$J69</f>
        <v>8497253.2367697079</v>
      </c>
      <c r="Y24" s="185">
        <f t="shared" si="1"/>
        <v>0</v>
      </c>
      <c r="Z24" s="491">
        <f>$F24-'[2]Scenario deep dive'!$F14</f>
        <v>2236.2645860570483</v>
      </c>
      <c r="AA24" s="494">
        <f>$J24-'[2]Scenario deep dive'!$J14</f>
        <v>0</v>
      </c>
      <c r="AB24" s="494">
        <f>$N24-'[2]Scenario deep dive'!$N14</f>
        <v>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v>49702377.502066545</v>
      </c>
      <c r="K26" s="439">
        <v>0.25187410068839317</v>
      </c>
      <c r="L26" s="368">
        <v>339117251.49007642</v>
      </c>
      <c r="M26" s="371"/>
      <c r="N26" s="379">
        <f>SUM(N7:N15)</f>
        <v>51613090.101004384</v>
      </c>
      <c r="O26" s="439">
        <f>(N26-$C$26)/$C$26</f>
        <v>0.34012718271095843</v>
      </c>
      <c r="P26" s="368">
        <f>SUM(P7:P15)</f>
        <v>346238962.7969476</v>
      </c>
      <c r="Q26" s="369"/>
      <c r="R26" s="379">
        <v>55583327.800000004</v>
      </c>
      <c r="S26" s="439">
        <v>0.40000000000000013</v>
      </c>
      <c r="T26" s="368">
        <v>360139860.66345346</v>
      </c>
      <c r="U26" s="180">
        <f>L26-D26</f>
        <v>54956366.9379493</v>
      </c>
      <c r="V26" s="379">
        <f>SUM(V7:V15)</f>
        <v>62513576.000000037</v>
      </c>
      <c r="W26" s="439">
        <f>(V26-$C$26)/$C$26</f>
        <v>0.62315688369213074</v>
      </c>
      <c r="X26" s="368">
        <f>SUM(X7:X15)</f>
        <v>375520674.36634612</v>
      </c>
      <c r="Y26" s="185">
        <f>V26-F26</f>
        <v>22811199.00000003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v>68905663</v>
      </c>
      <c r="G27" s="440">
        <v>0</v>
      </c>
      <c r="H27" s="375">
        <v>222412318.09155828</v>
      </c>
      <c r="I27" s="369"/>
      <c r="J27" s="381">
        <v>78905662.56458807</v>
      </c>
      <c r="K27" s="440">
        <v>0.1451259465363256</v>
      </c>
      <c r="L27" s="375">
        <v>240521690.82253057</v>
      </c>
      <c r="M27" s="371"/>
      <c r="N27" s="381">
        <f>SUM(N16:N25)</f>
        <v>76994949.909322679</v>
      </c>
      <c r="O27" s="440">
        <f>(N27-$C$27)/$C$27</f>
        <v>0.11739654706352189</v>
      </c>
      <c r="P27" s="375">
        <f>SUM(P16:P25)</f>
        <v>238076413.5005905</v>
      </c>
      <c r="Q27" s="369"/>
      <c r="R27" s="381">
        <v>73024712.200000003</v>
      </c>
      <c r="S27" s="440">
        <v>5.9778094000779047E-2</v>
      </c>
      <c r="T27" s="375">
        <v>232423426.59668708</v>
      </c>
      <c r="U27" s="180">
        <f>L27-D27</f>
        <v>25124729.789143592</v>
      </c>
      <c r="V27" s="381">
        <f>SUM(V16:V25)</f>
        <v>82486424</v>
      </c>
      <c r="W27" s="440">
        <f>(V27-$C$27)/$C$27</f>
        <v>0.19709208806248624</v>
      </c>
      <c r="X27" s="375">
        <f>SUM(X16:X25)</f>
        <v>252143701.88639605</v>
      </c>
      <c r="Y27" s="185">
        <f>V27-F27</f>
        <v>13580761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108608040</v>
      </c>
      <c r="G28" s="444">
        <f>(F28-$C$28)/$C$28</f>
        <v>1.106692815055225E-2</v>
      </c>
      <c r="H28" s="443">
        <f>SUM(H7:H25)</f>
        <v>515884477.51702702</v>
      </c>
      <c r="I28" s="435"/>
      <c r="J28" s="442">
        <f>SUM(J7:J25)</f>
        <v>128608040.06665462</v>
      </c>
      <c r="K28" s="444">
        <f>(J28-$C$28)/$C$28</f>
        <v>0.19725331573662166</v>
      </c>
      <c r="L28" s="443">
        <f>SUM(L7:L25)</f>
        <v>579638942.31260693</v>
      </c>
      <c r="M28" s="371"/>
      <c r="N28" s="442">
        <f>SUM(N7:N25)</f>
        <v>128608040.01032709</v>
      </c>
      <c r="O28" s="444">
        <f>(N28-$C$28)/$C$28</f>
        <v>0.19725331521225062</v>
      </c>
      <c r="P28" s="443">
        <f>SUM(P7:P25)</f>
        <v>584315376.29753828</v>
      </c>
      <c r="Q28" s="505"/>
      <c r="R28" s="442">
        <f>SUM(R7:R25)</f>
        <v>128608040</v>
      </c>
      <c r="S28" s="444">
        <f>(R28-$C$28)/$C$28</f>
        <v>0.19725331511611249</v>
      </c>
      <c r="T28" s="443">
        <f>SUM(T7:T25)</f>
        <v>592563287.26014078</v>
      </c>
      <c r="V28" s="188">
        <f>SUM(V7:V25)</f>
        <v>145000000</v>
      </c>
      <c r="W28" s="189">
        <f>(V28-$C$28)/$C$28</f>
        <v>0.34985130550031174</v>
      </c>
      <c r="X28" s="188">
        <f>SUM(X7:X25)</f>
        <v>627664376.25274229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0.56887185448564404</v>
      </c>
      <c r="I29" s="382"/>
      <c r="J29" s="382"/>
      <c r="K29" s="382"/>
      <c r="L29" s="382">
        <f>SUM(L7:L15)/L28</f>
        <v>0.58504911719196739</v>
      </c>
      <c r="P29" s="382">
        <f>SUM(P7:P15)/P28</f>
        <v>0.59255494009221454</v>
      </c>
      <c r="Q29" s="382"/>
      <c r="T29" s="382"/>
      <c r="U29" s="180"/>
      <c r="X29" s="499">
        <f>X28/VAC_Optim_Scenario!$E$48</f>
        <v>2778013.5268334174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0.43112814551435585</v>
      </c>
      <c r="I30" s="382"/>
      <c r="J30" s="382"/>
      <c r="K30" s="382"/>
      <c r="L30" s="382">
        <f>SUM(L16:L25)/L28</f>
        <v>0.41495088280803266</v>
      </c>
      <c r="P30" s="382">
        <f>SUM(P16:P25)/P28</f>
        <v>0.40744505990778512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18" t="str">
        <f>F4</f>
        <v>Optimal channel spend allowed to vary based on custom constraints of the 2024 channel spend</v>
      </c>
      <c r="G31" s="619"/>
      <c r="H31" s="619"/>
      <c r="I31" s="619"/>
      <c r="J31" s="619"/>
      <c r="K31" s="619"/>
      <c r="L31" s="619"/>
      <c r="M31" s="619"/>
      <c r="N31" s="619"/>
      <c r="O31" s="619"/>
      <c r="P31" s="619"/>
      <c r="Q31" s="619"/>
      <c r="R31" s="619"/>
      <c r="S31" s="619"/>
      <c r="T31" s="619"/>
    </row>
    <row r="32" spans="1:28" ht="30.4" customHeight="1" x14ac:dyDescent="0.25">
      <c r="A32" s="482"/>
      <c r="B32" s="482"/>
      <c r="C32" s="621" t="s">
        <v>341</v>
      </c>
      <c r="D32" s="622"/>
      <c r="E32" s="543"/>
      <c r="F32" s="623" t="str">
        <f>F5</f>
        <v>Current Optimal ($92MM)</v>
      </c>
      <c r="G32" s="624"/>
      <c r="H32" s="625"/>
      <c r="I32" s="544"/>
      <c r="J32" s="626" t="str">
        <f>J5</f>
        <v>20M increase in total budget (10M increase in adult and adolescent in each)</v>
      </c>
      <c r="K32" s="627"/>
      <c r="L32" s="628"/>
      <c r="M32" s="483"/>
      <c r="N32" s="626" t="str">
        <f>N5</f>
        <v>20M increase in total budget ( Global Max 130%)</v>
      </c>
      <c r="O32" s="627"/>
      <c r="P32" s="628"/>
      <c r="Q32" s="545"/>
      <c r="R32" s="620" t="str">
        <f>R5</f>
        <v>20M increase in total budget ( Global Max 140%)</v>
      </c>
      <c r="S32" s="620"/>
      <c r="T32" s="620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50" si="3">A7</f>
        <v>Gardasil Adolescents</v>
      </c>
      <c r="B34" s="520" t="str">
        <f t="shared" si="3"/>
        <v>HCC In Office</v>
      </c>
      <c r="C34" s="521">
        <f t="shared" ref="C34:D42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1.1764291162956713</v>
      </c>
      <c r="K34" s="525">
        <f t="shared" ref="K34:K50" si="9">K7</f>
        <v>0.17642911629567132</v>
      </c>
      <c r="L34" s="526">
        <f t="shared" ref="L34:L50" si="10">L7/1000000</f>
        <v>5.7368776676953255</v>
      </c>
      <c r="M34" s="527"/>
      <c r="N34" s="524">
        <f t="shared" ref="N34:N50" si="11">N7/1000000</f>
        <v>1.2805538166407022</v>
      </c>
      <c r="O34" s="525">
        <f t="shared" ref="O34:O50" si="12">O7</f>
        <v>0.28055381664070234</v>
      </c>
      <c r="P34" s="528">
        <f t="shared" ref="P34:P50" si="13">P7/1000000</f>
        <v>6.1248934309640743</v>
      </c>
      <c r="Q34" s="529"/>
      <c r="R34" s="524">
        <f t="shared" ref="R34:R50" si="14">R7/1000000</f>
        <v>1.4774464670283725</v>
      </c>
      <c r="S34" s="525">
        <f t="shared" ref="S34:S50" si="15">S7</f>
        <v>0.47744646702837246</v>
      </c>
      <c r="T34" s="528">
        <f t="shared" ref="T34:T50" si="16">T7/1000000</f>
        <v>6.8152124286170546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81.778277188084161</v>
      </c>
      <c r="I35" s="523"/>
      <c r="J35" s="532">
        <f t="shared" si="8"/>
        <v>10.781490947601428</v>
      </c>
      <c r="K35" s="525">
        <f t="shared" si="9"/>
        <v>0.38654819461170681</v>
      </c>
      <c r="L35" s="534">
        <f t="shared" si="10"/>
        <v>94.764181268858962</v>
      </c>
      <c r="M35" s="527"/>
      <c r="N35" s="532">
        <f t="shared" si="11"/>
        <v>11.092068118553623</v>
      </c>
      <c r="O35" s="525">
        <f t="shared" si="12"/>
        <v>0.42648981472382874</v>
      </c>
      <c r="P35" s="535">
        <f t="shared" si="13"/>
        <v>95.922136097286725</v>
      </c>
      <c r="Q35" s="529"/>
      <c r="R35" s="532">
        <f t="shared" si="14"/>
        <v>11.653434194842589</v>
      </c>
      <c r="S35" s="525">
        <f t="shared" si="15"/>
        <v>0.49868401526414313</v>
      </c>
      <c r="T35" s="535">
        <f t="shared" si="16"/>
        <v>97.889996867405003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3.9817109863617199</v>
      </c>
      <c r="K36" s="525">
        <f t="shared" si="9"/>
        <v>1.1639733621531088</v>
      </c>
      <c r="L36" s="534">
        <f t="shared" si="10"/>
        <v>25.307867902625492</v>
      </c>
      <c r="M36" s="527"/>
      <c r="N36" s="532">
        <f t="shared" si="11"/>
        <v>4.4550475305201802</v>
      </c>
      <c r="O36" s="525">
        <f t="shared" si="12"/>
        <v>1.4212214839783588</v>
      </c>
      <c r="P36" s="535">
        <f t="shared" si="13"/>
        <v>27.072298129360568</v>
      </c>
      <c r="Q36" s="529"/>
      <c r="R36" s="532">
        <f t="shared" si="14"/>
        <v>5.4337194069541646</v>
      </c>
      <c r="S36" s="525">
        <f t="shared" si="15"/>
        <v>1.9531083733446546</v>
      </c>
      <c r="T36" s="535">
        <f t="shared" si="16"/>
        <v>30.498048005856685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5.6108852745636444</v>
      </c>
      <c r="K38" s="525">
        <f t="shared" si="9"/>
        <v>0.16461613263230299</v>
      </c>
      <c r="L38" s="534">
        <f t="shared" si="10"/>
        <v>30.546193408102116</v>
      </c>
      <c r="M38" s="527"/>
      <c r="N38" s="532">
        <f t="shared" si="11"/>
        <v>6.4940766811486696</v>
      </c>
      <c r="O38" s="525">
        <f t="shared" si="12"/>
        <v>0.3479346126900027</v>
      </c>
      <c r="P38" s="535">
        <f t="shared" si="13"/>
        <v>33.837425591033714</v>
      </c>
      <c r="Q38" s="529"/>
      <c r="R38" s="532">
        <f t="shared" si="14"/>
        <v>8.4727452524451081</v>
      </c>
      <c r="S38" s="525">
        <f t="shared" si="15"/>
        <v>0.75863439115652154</v>
      </c>
      <c r="T38" s="535">
        <f t="shared" si="16"/>
        <v>40.761675682919972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32">
        <f t="shared" si="8"/>
        <v>5.0630601772440835</v>
      </c>
      <c r="K39" s="525">
        <f t="shared" si="9"/>
        <v>0.43024298792205762</v>
      </c>
      <c r="L39" s="534">
        <f t="shared" si="10"/>
        <v>46.724867304993253</v>
      </c>
      <c r="M39" s="527"/>
      <c r="N39" s="532">
        <f t="shared" si="11"/>
        <v>5.202542954141208</v>
      </c>
      <c r="O39" s="525">
        <f t="shared" si="12"/>
        <v>0.46964490229977629</v>
      </c>
      <c r="P39" s="535">
        <f t="shared" si="13"/>
        <v>47.244945610501262</v>
      </c>
      <c r="Q39" s="529"/>
      <c r="R39" s="532">
        <f t="shared" si="14"/>
        <v>5.4571814787297708</v>
      </c>
      <c r="S39" s="525">
        <f t="shared" si="15"/>
        <v>0.54157668890671484</v>
      </c>
      <c r="T39" s="535">
        <f t="shared" si="16"/>
        <v>48.137663740853441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32">
        <f t="shared" si="8"/>
        <v>4.8</v>
      </c>
      <c r="K41" s="525">
        <f t="shared" si="9"/>
        <v>1.1621621621621621</v>
      </c>
      <c r="L41" s="534">
        <f t="shared" si="10"/>
        <v>32.875287531392161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16.888801000000001</v>
      </c>
      <c r="K42" s="525">
        <f t="shared" si="9"/>
        <v>0</v>
      </c>
      <c r="L42" s="534">
        <f t="shared" si="10"/>
        <v>67.034177652868721</v>
      </c>
      <c r="M42" s="527"/>
      <c r="N42" s="532">
        <f t="shared" si="11"/>
        <v>16.888801000000001</v>
      </c>
      <c r="O42" s="525">
        <f t="shared" si="12"/>
        <v>0</v>
      </c>
      <c r="P42" s="535">
        <f t="shared" si="13"/>
        <v>67.034177652868721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ref="C43:D43" si="17">C16/1000000</f>
        <v>1</v>
      </c>
      <c r="D43" s="531">
        <f t="shared" si="17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1.4104317445188572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1.4104317445188572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ref="C44:D44" si="18">C17/1000000</f>
        <v>16.948</v>
      </c>
      <c r="D44" s="531">
        <f t="shared" si="18"/>
        <v>91.677940557008299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103.71186392886993</v>
      </c>
      <c r="I44" s="523"/>
      <c r="J44" s="532">
        <f t="shared" si="8"/>
        <v>21</v>
      </c>
      <c r="K44" s="525">
        <f t="shared" si="9"/>
        <v>0.2390842577295256</v>
      </c>
      <c r="L44" s="534">
        <f t="shared" si="10"/>
        <v>105.72478672171538</v>
      </c>
      <c r="M44" s="527"/>
      <c r="N44" s="532">
        <f t="shared" si="11"/>
        <v>21.000000203315022</v>
      </c>
      <c r="O44" s="525">
        <f t="shared" si="12"/>
        <v>0.23908426972592775</v>
      </c>
      <c r="P44" s="535">
        <f t="shared" si="13"/>
        <v>105.72478732592278</v>
      </c>
      <c r="Q44" s="529"/>
      <c r="R44" s="532">
        <f t="shared" si="14"/>
        <v>21</v>
      </c>
      <c r="S44" s="525">
        <f t="shared" si="15"/>
        <v>0.2390842577295256</v>
      </c>
      <c r="T44" s="535">
        <f t="shared" si="16"/>
        <v>105.72478672171538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ref="C45:D45" si="19">C18/1000000</f>
        <v>2.2000000000000002</v>
      </c>
      <c r="D45" s="531">
        <f t="shared" si="19"/>
        <v>6.171975030653198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4.584161418305432</v>
      </c>
      <c r="K45" s="525">
        <f t="shared" si="9"/>
        <v>1.0837097355933785</v>
      </c>
      <c r="L45" s="534">
        <f t="shared" si="10"/>
        <v>9.5879661682606887</v>
      </c>
      <c r="M45" s="527"/>
      <c r="N45" s="532">
        <f t="shared" si="11"/>
        <v>4.1545709220185207</v>
      </c>
      <c r="O45" s="525">
        <f t="shared" si="12"/>
        <v>0.88844132819023658</v>
      </c>
      <c r="P45" s="535">
        <f t="shared" si="13"/>
        <v>9.0382897156212092</v>
      </c>
      <c r="Q45" s="529"/>
      <c r="R45" s="532">
        <f t="shared" si="14"/>
        <v>2.2823684526044192</v>
      </c>
      <c r="S45" s="525">
        <f t="shared" si="15"/>
        <v>3.7440205729281403E-2</v>
      </c>
      <c r="T45" s="535">
        <f t="shared" si="16"/>
        <v>6.3096025797727107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ref="C46:D46" si="20">C19/1000000</f>
        <v>1.5</v>
      </c>
      <c r="D46" s="531">
        <f t="shared" si="20"/>
        <v>5.944544957049497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32">
        <f t="shared" si="8"/>
        <v>2.5399127789936915</v>
      </c>
      <c r="K46" s="525">
        <f t="shared" si="9"/>
        <v>0.69327518599579419</v>
      </c>
      <c r="L46" s="534">
        <f t="shared" si="10"/>
        <v>7.7803624969045799</v>
      </c>
      <c r="M46" s="527"/>
      <c r="N46" s="532">
        <f t="shared" si="11"/>
        <v>2.4693387975853112</v>
      </c>
      <c r="O46" s="525">
        <f t="shared" si="12"/>
        <v>0.64622586505687418</v>
      </c>
      <c r="P46" s="535">
        <f t="shared" si="13"/>
        <v>7.6899067353378303</v>
      </c>
      <c r="Q46" s="529"/>
      <c r="R46" s="532">
        <f t="shared" si="14"/>
        <v>2.0918807528473775</v>
      </c>
      <c r="S46" s="525">
        <f t="shared" si="15"/>
        <v>0.39458716856491843</v>
      </c>
      <c r="T46" s="535">
        <f t="shared" si="16"/>
        <v>7.1321605639820653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ref="C47:D47" si="21">C20/1000000</f>
        <v>10.268452</v>
      </c>
      <c r="D47" s="531">
        <f t="shared" si="21"/>
        <v>18.886370658155332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32">
        <f t="shared" si="8"/>
        <v>11.192377367288953</v>
      </c>
      <c r="K47" s="525">
        <f t="shared" si="9"/>
        <v>8.9977083915759912E-2</v>
      </c>
      <c r="L47" s="534">
        <f t="shared" si="10"/>
        <v>20.060449763434079</v>
      </c>
      <c r="M47" s="527"/>
      <c r="N47" s="532">
        <f t="shared" si="11"/>
        <v>9.7818289864038324</v>
      </c>
      <c r="O47" s="525">
        <f t="shared" si="12"/>
        <v>-4.7390104525605978E-2</v>
      </c>
      <c r="P47" s="535">
        <f t="shared" si="13"/>
        <v>18.255304051492907</v>
      </c>
      <c r="Q47" s="529"/>
      <c r="R47" s="532">
        <f t="shared" si="14"/>
        <v>8.3069009999999999</v>
      </c>
      <c r="S47" s="525">
        <f t="shared" si="15"/>
        <v>-0.19102694349644914</v>
      </c>
      <c r="T47" s="535">
        <f t="shared" si="16"/>
        <v>16.281797494816164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ref="C48:D48" si="22">C21/1000000</f>
        <v>4</v>
      </c>
      <c r="D48" s="531">
        <f t="shared" si="22"/>
        <v>21.02067549422587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5</v>
      </c>
      <c r="S48" s="525">
        <f t="shared" si="15"/>
        <v>0.25</v>
      </c>
      <c r="T48" s="535">
        <f t="shared" si="16"/>
        <v>24.032152746086098</v>
      </c>
    </row>
    <row r="49" spans="1:30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ref="C49:D49" si="23">C22/1000000</f>
        <v>0.2</v>
      </c>
      <c r="D49" s="531">
        <f t="shared" si="23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30" x14ac:dyDescent="0.25">
      <c r="A50" s="520" t="str">
        <f t="shared" si="3"/>
        <v>Gardasil Adults</v>
      </c>
      <c r="B50" s="520" t="str">
        <f t="shared" si="3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30" x14ac:dyDescent="0.25">
      <c r="A51" s="520" t="str">
        <f>A24</f>
        <v>Gardasil Adults</v>
      </c>
      <c r="B51" s="520" t="str">
        <f>B24</f>
        <v>HCC Radio</v>
      </c>
      <c r="C51" s="530">
        <f t="shared" ref="C51:D51" si="24">C24/1000000</f>
        <v>1.5</v>
      </c>
      <c r="D51" s="531">
        <f t="shared" si="24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2.2000000000000002</v>
      </c>
      <c r="O51" s="525">
        <f>O24</f>
        <v>0.46666666666666667</v>
      </c>
      <c r="P51" s="535">
        <f>P24/1000000</f>
        <v>8.4972532367697085</v>
      </c>
      <c r="Q51" s="529"/>
      <c r="R51" s="532">
        <f>R24/1000000</f>
        <v>1.9543509945481978</v>
      </c>
      <c r="S51" s="525">
        <f>S24</f>
        <v>0.30290066303213187</v>
      </c>
      <c r="T51" s="535">
        <f>T24/1000000</f>
        <v>8.1042068009546782</v>
      </c>
    </row>
    <row r="52" spans="1:30" x14ac:dyDescent="0.25">
      <c r="A52" s="520" t="str">
        <f>A25</f>
        <v>Gardasil Adults</v>
      </c>
      <c r="B52" s="520" t="str">
        <f>B25</f>
        <v>HCC Pharmacy</v>
      </c>
      <c r="C52" s="530">
        <f t="shared" ref="C52:D52" si="25">C25/1000000</f>
        <v>3.2</v>
      </c>
      <c r="D52" s="531">
        <f t="shared" si="25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30" x14ac:dyDescent="0.25">
      <c r="A53" s="466"/>
      <c r="B53" s="507" t="str">
        <f>B26</f>
        <v>Gardasil Adolescents</v>
      </c>
      <c r="C53" s="508">
        <f t="shared" ref="C53:D53" si="26">C26/1000000</f>
        <v>38.513576</v>
      </c>
      <c r="D53" s="509">
        <f t="shared" si="26"/>
        <v>284.16088455212713</v>
      </c>
      <c r="E53" s="510"/>
      <c r="F53" s="511">
        <f t="shared" ref="F53:F54" si="27">F26/1000000</f>
        <v>39.702377000000006</v>
      </c>
      <c r="G53" s="484">
        <f t="shared" ref="G53:G54" si="28">G26</f>
        <v>1.8766081932383616E-16</v>
      </c>
      <c r="H53" s="512">
        <f t="shared" ref="H53:H54" si="29">H26/1000000</f>
        <v>293.4721594254687</v>
      </c>
      <c r="I53" s="510"/>
      <c r="J53" s="511">
        <f t="shared" ref="J53:J54" si="30">J26/1000000</f>
        <v>49.702377502066547</v>
      </c>
      <c r="K53" s="484">
        <f t="shared" ref="K53:K54" si="31">K26</f>
        <v>0.25187410068839317</v>
      </c>
      <c r="L53" s="512">
        <f t="shared" ref="L53:L54" si="32">L26/1000000</f>
        <v>339.1172514900764</v>
      </c>
      <c r="M53" s="483"/>
      <c r="N53" s="511">
        <f t="shared" ref="N53:N54" si="33">N26/1000000</f>
        <v>51.613090101004381</v>
      </c>
      <c r="O53" s="484">
        <f t="shared" ref="O53:O54" si="34">O26</f>
        <v>0.34012718271095843</v>
      </c>
      <c r="P53" s="512">
        <f t="shared" ref="P53:P54" si="35">P26/1000000</f>
        <v>346.23896279694759</v>
      </c>
      <c r="Q53" s="513"/>
      <c r="R53" s="511">
        <f t="shared" ref="R53:R54" si="36">R26/1000000</f>
        <v>55.583327800000006</v>
      </c>
      <c r="S53" s="484">
        <f t="shared" ref="S53:S54" si="37">S26</f>
        <v>0.40000000000000013</v>
      </c>
      <c r="T53" s="512">
        <f t="shared" ref="T53:T54" si="38">T26/1000000</f>
        <v>360.13986066345348</v>
      </c>
      <c r="U53" s="180">
        <f>L53-D53</f>
        <v>54.956366937949269</v>
      </c>
      <c r="V53" s="180">
        <f>P53-D53</f>
        <v>62.07807824482046</v>
      </c>
      <c r="W53" s="180">
        <f>T53-D53</f>
        <v>75.978976111326347</v>
      </c>
    </row>
    <row r="54" spans="1:30" x14ac:dyDescent="0.25">
      <c r="A54" s="466"/>
      <c r="B54" s="507" t="str">
        <f>B27</f>
        <v>Gardasil Adults</v>
      </c>
      <c r="C54" s="508">
        <f t="shared" ref="C54:D54" si="39">C27/1000000</f>
        <v>68.905663000000004</v>
      </c>
      <c r="D54" s="509">
        <f t="shared" si="39"/>
        <v>215.39696103338699</v>
      </c>
      <c r="E54" s="510"/>
      <c r="F54" s="511">
        <f t="shared" si="27"/>
        <v>68.905663000000004</v>
      </c>
      <c r="G54" s="484">
        <f t="shared" si="28"/>
        <v>0</v>
      </c>
      <c r="H54" s="512">
        <f t="shared" si="29"/>
        <v>222.41231809155829</v>
      </c>
      <c r="I54" s="510"/>
      <c r="J54" s="511">
        <f t="shared" si="30"/>
        <v>78.90566256458807</v>
      </c>
      <c r="K54" s="484">
        <f t="shared" si="31"/>
        <v>0.1451259465363256</v>
      </c>
      <c r="L54" s="512">
        <f t="shared" si="32"/>
        <v>240.52169082253056</v>
      </c>
      <c r="M54" s="483"/>
      <c r="N54" s="511">
        <f t="shared" si="33"/>
        <v>76.994949909322685</v>
      </c>
      <c r="O54" s="484">
        <f t="shared" si="34"/>
        <v>0.11739654706352189</v>
      </c>
      <c r="P54" s="512">
        <f t="shared" si="35"/>
        <v>238.07641350059049</v>
      </c>
      <c r="Q54" s="513"/>
      <c r="R54" s="511">
        <f t="shared" si="36"/>
        <v>73.024712199999996</v>
      </c>
      <c r="S54" s="484">
        <f t="shared" si="37"/>
        <v>5.9778094000779047E-2</v>
      </c>
      <c r="T54" s="512">
        <f t="shared" si="38"/>
        <v>232.42342659668708</v>
      </c>
      <c r="U54" s="180">
        <f>L54-D54</f>
        <v>25.124729789143572</v>
      </c>
      <c r="V54" s="180">
        <f>P54-D54</f>
        <v>22.679452467203504</v>
      </c>
      <c r="W54" s="180">
        <f>T54-D54</f>
        <v>17.026465563300093</v>
      </c>
    </row>
    <row r="55" spans="1:30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5">
        <f>F28/1000000</f>
        <v>108.60804</v>
      </c>
      <c r="G55" s="516">
        <f>G28</f>
        <v>1.106692815055225E-2</v>
      </c>
      <c r="H55" s="512">
        <f>H28/1000000</f>
        <v>515.88447751702699</v>
      </c>
      <c r="I55" s="510"/>
      <c r="J55" s="515">
        <f>J28/1000000</f>
        <v>128.60804006665461</v>
      </c>
      <c r="K55" s="516">
        <f>K28</f>
        <v>0.19725331573662166</v>
      </c>
      <c r="L55" s="512">
        <f>L28/1000000</f>
        <v>579.6389423126069</v>
      </c>
      <c r="M55" s="483"/>
      <c r="N55" s="515">
        <f>N28/1000000</f>
        <v>128.60804001032707</v>
      </c>
      <c r="O55" s="516">
        <f>O28</f>
        <v>0.19725331521225062</v>
      </c>
      <c r="P55" s="512">
        <f>P28/1000000</f>
        <v>584.31537629753825</v>
      </c>
      <c r="Q55" s="513"/>
      <c r="R55" s="515">
        <f>R28/1000000</f>
        <v>128.60803999999999</v>
      </c>
      <c r="S55" s="516">
        <f>S28</f>
        <v>0.19725331511611249</v>
      </c>
      <c r="T55" s="512">
        <f>T28/1000000</f>
        <v>592.56328726014078</v>
      </c>
      <c r="U55" s="500">
        <f>U54*1.25</f>
        <v>31.405912236429465</v>
      </c>
      <c r="V55" s="500">
        <f>V54*1.25</f>
        <v>28.34931558400438</v>
      </c>
      <c r="W55" s="500">
        <f>W54*1.25</f>
        <v>21.283081954125116</v>
      </c>
    </row>
    <row r="56" spans="1:30" ht="25.5" x14ac:dyDescent="0.25">
      <c r="A56" s="482"/>
      <c r="B56" s="507" t="s">
        <v>356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4.75</v>
      </c>
      <c r="G56" s="516"/>
      <c r="H56" s="518" t="s">
        <v>364</v>
      </c>
      <c r="I56" s="510"/>
      <c r="J56" s="511" t="str">
        <f>_xlfn.CONCAT("ROI"," ", ,J61)</f>
        <v>ROI 4.51</v>
      </c>
      <c r="K56" s="516"/>
      <c r="L56" s="518" t="s">
        <v>361</v>
      </c>
      <c r="M56" s="483"/>
      <c r="N56" s="511" t="str">
        <f>_xlfn.CONCAT("ROI"," ", ,N61)</f>
        <v>ROI 4.54</v>
      </c>
      <c r="O56" s="516"/>
      <c r="P56" s="518" t="s">
        <v>362</v>
      </c>
      <c r="Q56" s="519"/>
      <c r="R56" s="511" t="str">
        <f>_xlfn.CONCAT("ROI"," ", ,R61)</f>
        <v>ROI 4.61</v>
      </c>
      <c r="S56" s="516"/>
      <c r="T56" s="518" t="s">
        <v>363</v>
      </c>
    </row>
    <row r="57" spans="1:30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7.39</v>
      </c>
      <c r="G57" s="516"/>
      <c r="H57" s="518" t="s">
        <v>365</v>
      </c>
      <c r="I57" s="510"/>
      <c r="J57" s="511" t="str">
        <f>_xlfn.CONCAT("ROI"," ", ,J63)</f>
        <v>ROI 6.82</v>
      </c>
      <c r="K57" s="516"/>
      <c r="L57" s="518" t="s">
        <v>369</v>
      </c>
      <c r="M57" s="483"/>
      <c r="N57" s="511" t="str">
        <f>_xlfn.CONCAT("ROI"," ", ,N63)</f>
        <v>ROI 6.71</v>
      </c>
      <c r="O57" s="516"/>
      <c r="P57" s="518" t="s">
        <v>373</v>
      </c>
      <c r="Q57" s="519"/>
      <c r="R57" s="511" t="str">
        <f>_xlfn.CONCAT("ROI"," ", ,R63)</f>
        <v>ROI 6.48</v>
      </c>
      <c r="S57" s="516"/>
      <c r="T57" s="518" t="s">
        <v>377</v>
      </c>
    </row>
    <row r="58" spans="1:30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3.23</v>
      </c>
      <c r="G58" s="516"/>
      <c r="H58" s="518" t="s">
        <v>366</v>
      </c>
      <c r="I58" s="510"/>
      <c r="J58" s="511" t="str">
        <f>_xlfn.CONCAT("ROI"," ", ,J65)</f>
        <v>ROI 3.05</v>
      </c>
      <c r="K58" s="516"/>
      <c r="L58" s="518" t="s">
        <v>370</v>
      </c>
      <c r="M58" s="483"/>
      <c r="N58" s="511" t="str">
        <f>_xlfn.CONCAT("ROI"," ", ,N65)</f>
        <v>ROI 3.09</v>
      </c>
      <c r="O58" s="516"/>
      <c r="P58" s="518" t="s">
        <v>374</v>
      </c>
      <c r="Q58" s="519"/>
      <c r="R58" s="511" t="str">
        <f>_xlfn.CONCAT("ROI"," ", ,R65)</f>
        <v>ROI 3.18</v>
      </c>
      <c r="S58" s="516"/>
      <c r="T58" s="518" t="s">
        <v>378</v>
      </c>
    </row>
    <row r="59" spans="1:30" ht="38.25" x14ac:dyDescent="0.25">
      <c r="A59" s="482"/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4.03</v>
      </c>
      <c r="G59" s="516"/>
      <c r="H59" s="518" t="s">
        <v>367</v>
      </c>
      <c r="I59" s="510"/>
      <c r="J59" s="511" t="str">
        <f>_xlfn.CONCAT("ROI"," ", ,J67)</f>
        <v>ROI 3.81</v>
      </c>
      <c r="K59" s="516"/>
      <c r="L59" s="518" t="s">
        <v>371</v>
      </c>
      <c r="M59" s="483"/>
      <c r="N59" s="511" t="str">
        <f>_xlfn.CONCAT("ROI"," ", ,N67)</f>
        <v>ROI 3.87</v>
      </c>
      <c r="O59" s="516"/>
      <c r="P59" s="518" t="s">
        <v>375</v>
      </c>
      <c r="Q59" s="519"/>
      <c r="R59" s="511" t="str">
        <f>_xlfn.CONCAT("ROI"," ", ,R67)</f>
        <v>ROI 3.98</v>
      </c>
      <c r="S59" s="516"/>
      <c r="T59" s="518" t="s">
        <v>379</v>
      </c>
    </row>
    <row r="60" spans="1:30" ht="38.25" x14ac:dyDescent="0.25">
      <c r="A60" s="482"/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2.58</v>
      </c>
      <c r="G60" s="516"/>
      <c r="H60" s="518" t="s">
        <v>368</v>
      </c>
      <c r="I60" s="510"/>
      <c r="J60" s="511" t="str">
        <f>_xlfn.CONCAT("ROI"," ", ,J69)</f>
        <v>ROI 2.44</v>
      </c>
      <c r="K60" s="516"/>
      <c r="L60" s="518" t="s">
        <v>372</v>
      </c>
      <c r="M60" s="483"/>
      <c r="N60" s="511" t="str">
        <f>_xlfn.CONCAT("ROI"," ", ,N69)</f>
        <v>ROI 2.47</v>
      </c>
      <c r="O60" s="516"/>
      <c r="P60" s="518" t="s">
        <v>376</v>
      </c>
      <c r="Q60" s="519"/>
      <c r="R60" s="511" t="str">
        <f>_xlfn.CONCAT("ROI"," ", ,R69)</f>
        <v>ROI 2.55</v>
      </c>
      <c r="S60" s="516"/>
      <c r="T60" s="518" t="s">
        <v>380</v>
      </c>
    </row>
    <row r="61" spans="1:30" x14ac:dyDescent="0.25">
      <c r="C61" s="97">
        <f>ROUND(D55/C55,2)</f>
        <v>4.6500000000000004</v>
      </c>
      <c r="F61" s="97">
        <f>ROUND(H55/F55,2)</f>
        <v>4.75</v>
      </c>
      <c r="H61" s="216">
        <f>(H55-$D$55)</f>
        <v>16.326631931512907</v>
      </c>
      <c r="J61" s="97">
        <f>ROUND(L55/J55,2)</f>
        <v>4.51</v>
      </c>
      <c r="L61" s="216">
        <f>(L55-$D$55)</f>
        <v>80.081096727092813</v>
      </c>
      <c r="N61" s="97">
        <f>ROUND(P55/N55,2)</f>
        <v>4.54</v>
      </c>
      <c r="P61" s="216">
        <f>(P55-$D$55)</f>
        <v>84.757530712024163</v>
      </c>
      <c r="Q61" s="506"/>
      <c r="R61" s="97">
        <f>ROUND(T55/R55,2)</f>
        <v>4.6100000000000003</v>
      </c>
      <c r="T61" s="216">
        <f>(T55-$D$55)</f>
        <v>93.005441674626695</v>
      </c>
    </row>
    <row r="62" spans="1:30" x14ac:dyDescent="0.25">
      <c r="H62" s="280">
        <f>H61/$D$55</f>
        <v>3.2682164990076451E-2</v>
      </c>
      <c r="J62" s="248"/>
      <c r="K62" s="248"/>
      <c r="L62" s="329">
        <f>L61/$D$55</f>
        <v>0.16030395165395228</v>
      </c>
      <c r="M62" s="248"/>
      <c r="N62" s="248"/>
      <c r="O62" s="248"/>
      <c r="P62" s="329">
        <f>P61/$D$55</f>
        <v>0.16966509776797292</v>
      </c>
      <c r="Q62" s="329"/>
      <c r="R62" s="248"/>
      <c r="S62" s="248"/>
      <c r="T62" s="329">
        <f>T61/$D$55</f>
        <v>0.18617552000533252</v>
      </c>
    </row>
    <row r="63" spans="1:30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6.82</v>
      </c>
      <c r="L63" s="216">
        <f>L53-$D$53</f>
        <v>54.956366937949269</v>
      </c>
      <c r="N63" s="97">
        <f>ROUND(P53/N53,2)</f>
        <v>6.71</v>
      </c>
      <c r="P63" s="216">
        <f>P53-$D$53</f>
        <v>62.07807824482046</v>
      </c>
      <c r="R63" s="97">
        <f>ROUND(T53/R53,2)</f>
        <v>6.48</v>
      </c>
      <c r="T63" s="216">
        <f>T53-$D$53</f>
        <v>75.978976111326347</v>
      </c>
    </row>
    <row r="64" spans="1:30" x14ac:dyDescent="0.25">
      <c r="A64"/>
      <c r="B64"/>
      <c r="H64" s="280">
        <f>H63/$D$53</f>
        <v>3.2767616443823012E-2</v>
      </c>
      <c r="L64" s="329">
        <f>L63/$D$53</f>
        <v>0.19339877486856552</v>
      </c>
      <c r="M64" s="248"/>
      <c r="P64" s="329">
        <f>P63/$D$53</f>
        <v>0.21846102549498755</v>
      </c>
      <c r="T64" s="329">
        <f>T63/$D$53</f>
        <v>0.2673801365415886</v>
      </c>
      <c r="U64"/>
      <c r="V64"/>
      <c r="W64"/>
      <c r="X64"/>
      <c r="Y64"/>
      <c r="Z64"/>
      <c r="AA64"/>
      <c r="AB64"/>
      <c r="AC64"/>
      <c r="AD64"/>
    </row>
    <row r="65" spans="1:30" x14ac:dyDescent="0.25">
      <c r="A65"/>
      <c r="B65"/>
      <c r="C65" s="97">
        <f>ROUND(D54/C54,2)</f>
        <v>3.13</v>
      </c>
      <c r="F65" s="97">
        <f>ROUND(H54/F54,2)</f>
        <v>3.23</v>
      </c>
      <c r="H65" s="216">
        <f>H54-$D$54</f>
        <v>7.0153570581713041</v>
      </c>
      <c r="J65" s="97">
        <f>ROUND(L54/J54,2)</f>
        <v>3.05</v>
      </c>
      <c r="L65" s="216">
        <f>L54-$D$54</f>
        <v>25.124729789143572</v>
      </c>
      <c r="N65" s="97">
        <f>ROUND(P54/N54,2)</f>
        <v>3.09</v>
      </c>
      <c r="P65" s="216">
        <f>P54-$D$54</f>
        <v>22.679452467203504</v>
      </c>
      <c r="R65" s="97">
        <f>ROUND(T54/R54,2)</f>
        <v>3.18</v>
      </c>
      <c r="T65" s="216">
        <f>T54-$D$54</f>
        <v>17.026465563300093</v>
      </c>
      <c r="U65"/>
      <c r="V65"/>
      <c r="W65"/>
      <c r="X65"/>
      <c r="Y65"/>
      <c r="Z65"/>
      <c r="AA65"/>
      <c r="AB65"/>
      <c r="AC65"/>
      <c r="AD65"/>
    </row>
    <row r="66" spans="1:30" x14ac:dyDescent="0.25">
      <c r="A66"/>
      <c r="B66"/>
      <c r="H66" s="280">
        <f>H65/$D$54</f>
        <v>3.256943377712701E-2</v>
      </c>
      <c r="L66" s="329">
        <f>L65/$D$54</f>
        <v>0.11664384524556587</v>
      </c>
      <c r="M66" s="248"/>
      <c r="P66" s="329">
        <f>P65/$D$54</f>
        <v>0.10529142267558798</v>
      </c>
      <c r="T66" s="329">
        <f>T65/$D$54</f>
        <v>7.9046916361373148E-2</v>
      </c>
      <c r="U66"/>
      <c r="V66"/>
      <c r="W66"/>
      <c r="X66"/>
      <c r="Y66"/>
      <c r="Z66"/>
      <c r="AA66"/>
      <c r="AB66"/>
      <c r="AC66"/>
      <c r="AD66"/>
    </row>
    <row r="67" spans="1:30" x14ac:dyDescent="0.25">
      <c r="A67"/>
      <c r="B67"/>
      <c r="C67" s="97">
        <f>ROUND(D54*1.25/C54,2)</f>
        <v>3.91</v>
      </c>
      <c r="F67" s="97">
        <f>ROUND(H54*1.25/F54,2)</f>
        <v>4.03</v>
      </c>
      <c r="H67" s="216">
        <f>H65*1.25</f>
        <v>8.7691963227141301</v>
      </c>
      <c r="J67" s="97">
        <f>ROUND(L54*1.25/J54,2)</f>
        <v>3.81</v>
      </c>
      <c r="L67" s="216">
        <f>L65*1.25</f>
        <v>31.405912236429465</v>
      </c>
      <c r="N67" s="97">
        <f>ROUND(P54*1.25/N54,2)</f>
        <v>3.87</v>
      </c>
      <c r="P67" s="216">
        <f>P65*1.25</f>
        <v>28.34931558400438</v>
      </c>
      <c r="R67" s="97">
        <f>ROUND(T54*1.25/R54,2)</f>
        <v>3.98</v>
      </c>
      <c r="T67" s="216">
        <f>T65*1.25</f>
        <v>21.283081954125116</v>
      </c>
      <c r="U67"/>
      <c r="V67"/>
      <c r="W67"/>
      <c r="X67"/>
      <c r="Y67"/>
      <c r="Z67"/>
      <c r="AA67"/>
      <c r="AB67"/>
      <c r="AC67"/>
      <c r="AD67"/>
    </row>
    <row r="68" spans="1:30" x14ac:dyDescent="0.25">
      <c r="A68"/>
      <c r="B68"/>
      <c r="H68" s="280">
        <f>H67/($D$54*1.25)</f>
        <v>3.256943377712701E-2</v>
      </c>
      <c r="L68" s="329">
        <f>L67/($D$54*1.25)</f>
        <v>0.11664384524556587</v>
      </c>
      <c r="M68" s="248"/>
      <c r="P68" s="329">
        <f>P67/($D$54*1.25)</f>
        <v>0.105291422675588</v>
      </c>
      <c r="T68" s="329">
        <f>T67/($D$54*1.25)</f>
        <v>7.9046916361373162E-2</v>
      </c>
      <c r="U68"/>
      <c r="V68"/>
      <c r="W68"/>
      <c r="X68"/>
      <c r="Y68"/>
      <c r="Z68"/>
      <c r="AA68"/>
      <c r="AB68"/>
      <c r="AC68"/>
      <c r="AD68"/>
    </row>
    <row r="69" spans="1:30" x14ac:dyDescent="0.25">
      <c r="A69"/>
      <c r="B69"/>
      <c r="C69" s="97">
        <f>ROUND(D54*0.8/C54,2)</f>
        <v>2.5</v>
      </c>
      <c r="F69" s="97">
        <f>ROUND(H54*0.8/F54,2)</f>
        <v>2.58</v>
      </c>
      <c r="H69" s="216">
        <f>H65*0.8</f>
        <v>5.6122856465370434</v>
      </c>
      <c r="J69" s="97">
        <f>ROUND(L54*0.8/J54,2)</f>
        <v>2.44</v>
      </c>
      <c r="L69" s="216">
        <f>L65*0.8</f>
        <v>20.099783831314859</v>
      </c>
      <c r="N69" s="97">
        <f>ROUND(P54*0.8/N54,2)</f>
        <v>2.4700000000000002</v>
      </c>
      <c r="P69" s="216">
        <f>P65*0.8</f>
        <v>18.143561973762804</v>
      </c>
      <c r="R69" s="97">
        <f>ROUND(T54*0.8/R54,2)</f>
        <v>2.5499999999999998</v>
      </c>
      <c r="T69" s="216">
        <f>T65*0.8</f>
        <v>13.621172450640074</v>
      </c>
      <c r="U69"/>
      <c r="V69"/>
      <c r="W69"/>
      <c r="X69"/>
      <c r="Y69"/>
      <c r="Z69"/>
      <c r="AA69"/>
      <c r="AB69"/>
      <c r="AC69"/>
      <c r="AD69"/>
    </row>
    <row r="70" spans="1:30" x14ac:dyDescent="0.25">
      <c r="A70"/>
      <c r="B70"/>
      <c r="H70" s="280">
        <f>H69/($D$54*0.8)</f>
        <v>3.256943377712701E-2</v>
      </c>
      <c r="L70" s="329">
        <f>L69/($D$54*0.8)</f>
        <v>0.11664384524556587</v>
      </c>
      <c r="M70" s="248"/>
      <c r="P70" s="329">
        <f>P69/($D$54*0.8)</f>
        <v>0.10529142267558798</v>
      </c>
      <c r="T70" s="329">
        <f>T69/($D$54*0.8)</f>
        <v>7.9046916361373148E-2</v>
      </c>
      <c r="U70"/>
      <c r="V70"/>
      <c r="W70"/>
      <c r="X70"/>
      <c r="Y70"/>
      <c r="Z70"/>
      <c r="AA70"/>
      <c r="AB70"/>
      <c r="AC70"/>
      <c r="AD70"/>
    </row>
    <row r="71" spans="1:30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U71"/>
      <c r="V71"/>
      <c r="W71"/>
      <c r="X71"/>
      <c r="Y71"/>
      <c r="Z71"/>
      <c r="AA71"/>
      <c r="AB71"/>
      <c r="AC71"/>
      <c r="AD71"/>
    </row>
    <row r="72" spans="1:30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U72"/>
      <c r="V72"/>
      <c r="W72"/>
      <c r="X72"/>
      <c r="Y72"/>
      <c r="Z72"/>
      <c r="AA72"/>
      <c r="AB72"/>
      <c r="AC72"/>
      <c r="AD72"/>
    </row>
    <row r="73" spans="1:30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U73"/>
      <c r="V73"/>
      <c r="W73"/>
      <c r="X73"/>
      <c r="Y73"/>
      <c r="Z73"/>
      <c r="AA73"/>
      <c r="AB73"/>
      <c r="AC73"/>
      <c r="AD73"/>
    </row>
    <row r="74" spans="1:30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U74"/>
      <c r="V74"/>
      <c r="W74"/>
      <c r="X74"/>
      <c r="Y74"/>
      <c r="Z74"/>
      <c r="AA74"/>
      <c r="AB74"/>
      <c r="AC74"/>
      <c r="AD74"/>
    </row>
    <row r="75" spans="1:30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U75"/>
      <c r="V75"/>
      <c r="W75"/>
      <c r="X75"/>
      <c r="Y75"/>
      <c r="Z75"/>
      <c r="AA75"/>
      <c r="AB75"/>
      <c r="AC75"/>
      <c r="AD75"/>
    </row>
    <row r="76" spans="1:30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U76"/>
      <c r="V76"/>
      <c r="W76"/>
      <c r="X76"/>
      <c r="Y76"/>
      <c r="Z76"/>
      <c r="AA76"/>
      <c r="AB76"/>
      <c r="AC76"/>
      <c r="AD76"/>
    </row>
    <row r="77" spans="1:30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U77"/>
      <c r="V77"/>
      <c r="W77"/>
      <c r="X77"/>
      <c r="Y77"/>
      <c r="Z77"/>
      <c r="AA77"/>
      <c r="AB77"/>
      <c r="AC77"/>
      <c r="AD77"/>
    </row>
    <row r="78" spans="1:30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U78"/>
      <c r="V78"/>
      <c r="W78"/>
      <c r="X78"/>
      <c r="Y78"/>
      <c r="Z78"/>
      <c r="AA78"/>
      <c r="AB78"/>
      <c r="AC78"/>
      <c r="AD78"/>
    </row>
    <row r="79" spans="1:30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U79"/>
      <c r="V79"/>
      <c r="W79"/>
      <c r="X79"/>
      <c r="Y79"/>
      <c r="Z79"/>
      <c r="AA79"/>
      <c r="AB79"/>
      <c r="AC79"/>
      <c r="AD79"/>
    </row>
    <row r="80" spans="1:30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U80"/>
      <c r="V80"/>
      <c r="W80"/>
      <c r="X80"/>
      <c r="Y80"/>
      <c r="Z80"/>
      <c r="AA80"/>
      <c r="AB80"/>
      <c r="AC80"/>
      <c r="AD80"/>
    </row>
    <row r="81" spans="1:30" ht="27.6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U81"/>
      <c r="V81"/>
      <c r="W81"/>
      <c r="X81"/>
      <c r="Y81"/>
      <c r="Z81"/>
      <c r="AA81"/>
      <c r="AB81"/>
      <c r="AC81"/>
      <c r="AD81"/>
    </row>
    <row r="82" spans="1:3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U82"/>
      <c r="V82"/>
      <c r="W82"/>
      <c r="X82"/>
      <c r="Y82"/>
      <c r="Z82"/>
      <c r="AA82"/>
      <c r="AB82"/>
      <c r="AC82"/>
      <c r="AD82"/>
    </row>
    <row r="83" spans="1:3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U83"/>
      <c r="V83"/>
      <c r="W83"/>
      <c r="X83"/>
      <c r="Y83"/>
      <c r="Z83"/>
      <c r="AA83"/>
      <c r="AB83"/>
      <c r="AC83"/>
      <c r="AD83"/>
    </row>
    <row r="84" spans="1:3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U84"/>
      <c r="V84"/>
      <c r="W84"/>
      <c r="X84"/>
      <c r="Y84"/>
      <c r="Z84"/>
      <c r="AA84"/>
      <c r="AB84"/>
      <c r="AC84"/>
      <c r="AD84"/>
    </row>
    <row r="85" spans="1:3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U85"/>
      <c r="V85"/>
      <c r="W85"/>
      <c r="X85"/>
      <c r="Y85"/>
      <c r="Z85"/>
      <c r="AA85"/>
      <c r="AB85"/>
      <c r="AC85"/>
      <c r="AD85"/>
    </row>
    <row r="86" spans="1:3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U86"/>
      <c r="V86"/>
      <c r="W86"/>
      <c r="X86"/>
      <c r="Y86"/>
      <c r="Z86"/>
      <c r="AA86"/>
      <c r="AB86"/>
      <c r="AC86"/>
      <c r="AD86"/>
    </row>
    <row r="87" spans="1:3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U87"/>
      <c r="V87"/>
      <c r="W87"/>
      <c r="X87"/>
      <c r="Y87"/>
      <c r="Z87"/>
      <c r="AA87"/>
      <c r="AB87"/>
      <c r="AC87"/>
      <c r="AD87"/>
    </row>
    <row r="88" spans="1:3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U88"/>
      <c r="V88"/>
      <c r="W88"/>
      <c r="X88"/>
      <c r="Y88"/>
      <c r="Z88"/>
      <c r="AA88"/>
      <c r="AB88"/>
      <c r="AC88"/>
      <c r="AD88"/>
    </row>
    <row r="89" spans="1:3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U89"/>
      <c r="V89"/>
      <c r="W89"/>
      <c r="X89"/>
      <c r="Y89"/>
      <c r="Z89"/>
      <c r="AA89"/>
      <c r="AB89"/>
      <c r="AC89"/>
      <c r="AD89"/>
    </row>
    <row r="90" spans="1:3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U90"/>
      <c r="V90"/>
      <c r="W90"/>
      <c r="X90"/>
      <c r="Y90"/>
      <c r="Z90"/>
      <c r="AA90"/>
      <c r="AB90"/>
      <c r="AC90"/>
      <c r="AD90"/>
    </row>
    <row r="91" spans="1:3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U91"/>
      <c r="V91"/>
      <c r="W91"/>
      <c r="X91"/>
      <c r="Y91"/>
      <c r="Z91"/>
      <c r="AA91"/>
      <c r="AB91"/>
      <c r="AC91"/>
      <c r="AD91"/>
    </row>
    <row r="92" spans="1:3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U92"/>
      <c r="V92"/>
      <c r="W92"/>
      <c r="X92"/>
      <c r="Y92"/>
      <c r="Z92"/>
      <c r="AA92"/>
      <c r="AB92"/>
      <c r="AC92"/>
      <c r="AD92"/>
    </row>
    <row r="93" spans="1:3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U93"/>
      <c r="V93"/>
      <c r="W93"/>
      <c r="X93"/>
      <c r="Y93"/>
      <c r="Z93"/>
      <c r="AA93"/>
      <c r="AB93"/>
      <c r="AC93"/>
      <c r="AD93"/>
    </row>
    <row r="94" spans="1:3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U94"/>
      <c r="V94"/>
      <c r="W94"/>
      <c r="X94"/>
      <c r="Y94"/>
      <c r="Z94"/>
      <c r="AA94"/>
      <c r="AB94"/>
      <c r="AC94"/>
      <c r="AD94"/>
    </row>
    <row r="95" spans="1:3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U95"/>
      <c r="V95"/>
      <c r="W95"/>
      <c r="X95"/>
      <c r="Y95"/>
      <c r="Z95"/>
      <c r="AA95"/>
      <c r="AB95"/>
      <c r="AC95"/>
      <c r="AD95"/>
    </row>
    <row r="96" spans="1:3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U96"/>
      <c r="V96"/>
      <c r="W96"/>
      <c r="X96"/>
      <c r="Y96"/>
      <c r="Z96"/>
      <c r="AA96"/>
      <c r="AB96"/>
      <c r="AC96"/>
      <c r="AD96"/>
    </row>
    <row r="97" spans="1:3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U97"/>
      <c r="V97"/>
      <c r="W97"/>
      <c r="X97"/>
      <c r="Y97"/>
      <c r="Z97"/>
      <c r="AA97"/>
      <c r="AB97"/>
      <c r="AC97"/>
      <c r="AD97"/>
    </row>
    <row r="98" spans="1:3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U98"/>
      <c r="V98"/>
      <c r="W98"/>
      <c r="X98"/>
      <c r="Y98"/>
      <c r="Z98"/>
      <c r="AA98"/>
      <c r="AB98"/>
      <c r="AC98"/>
      <c r="AD98"/>
    </row>
    <row r="99" spans="1:3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U99"/>
      <c r="V99"/>
      <c r="W99"/>
      <c r="X99"/>
      <c r="Y99"/>
      <c r="Z99"/>
      <c r="AA99"/>
      <c r="AB99"/>
      <c r="AC99"/>
      <c r="AD99"/>
    </row>
    <row r="100" spans="1:3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U100"/>
      <c r="V100"/>
      <c r="W100"/>
      <c r="X100"/>
      <c r="Y100"/>
      <c r="Z100"/>
      <c r="AA100"/>
      <c r="AB100"/>
      <c r="AC100"/>
      <c r="AD100"/>
    </row>
    <row r="101" spans="1:3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U101"/>
      <c r="V101"/>
      <c r="W101"/>
      <c r="X101"/>
      <c r="Y101"/>
      <c r="Z101"/>
      <c r="AA101"/>
      <c r="AB101"/>
      <c r="AC101"/>
      <c r="AD101"/>
    </row>
    <row r="102" spans="1:3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U102"/>
      <c r="V102"/>
      <c r="W102"/>
      <c r="X102"/>
      <c r="Y102"/>
      <c r="Z102"/>
      <c r="AA102"/>
      <c r="AB102"/>
      <c r="AC102"/>
      <c r="AD102"/>
    </row>
    <row r="103" spans="1:3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U103"/>
      <c r="V103"/>
      <c r="W103"/>
      <c r="X103"/>
      <c r="Y103"/>
      <c r="Z103"/>
      <c r="AA103"/>
      <c r="AB103"/>
      <c r="AC103"/>
      <c r="AD103"/>
    </row>
    <row r="104" spans="1:3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U104"/>
      <c r="V104"/>
      <c r="W104"/>
      <c r="X104"/>
      <c r="Y104"/>
      <c r="Z104"/>
      <c r="AA104"/>
      <c r="AB104"/>
      <c r="AC104"/>
      <c r="AD104"/>
    </row>
    <row r="105" spans="1:3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U105"/>
      <c r="V105"/>
      <c r="W105"/>
      <c r="X105"/>
      <c r="Y105"/>
      <c r="Z105"/>
      <c r="AA105"/>
      <c r="AB105"/>
      <c r="AC105"/>
      <c r="AD105"/>
    </row>
    <row r="106" spans="1:3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U106"/>
      <c r="V106"/>
      <c r="W106"/>
      <c r="X106"/>
      <c r="Y106"/>
      <c r="Z106"/>
      <c r="AA106"/>
      <c r="AB106"/>
      <c r="AC106"/>
      <c r="AD106"/>
    </row>
    <row r="107" spans="1:3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U107"/>
      <c r="V107"/>
      <c r="W107"/>
      <c r="X107"/>
      <c r="Y107"/>
      <c r="Z107"/>
      <c r="AA107"/>
      <c r="AB107"/>
      <c r="AC107"/>
      <c r="AD107"/>
    </row>
  </sheetData>
  <mergeCells count="11">
    <mergeCell ref="R5:T5"/>
    <mergeCell ref="F4:P4"/>
    <mergeCell ref="N5:P5"/>
    <mergeCell ref="J5:L5"/>
    <mergeCell ref="F5:H5"/>
    <mergeCell ref="R32:T32"/>
    <mergeCell ref="F31:T31"/>
    <mergeCell ref="C32:D32"/>
    <mergeCell ref="F32:H32"/>
    <mergeCell ref="N32:P32"/>
    <mergeCell ref="J32:L32"/>
  </mergeCells>
  <conditionalFormatting sqref="G34:G52">
    <cfRule type="cellIs" dxfId="63" priority="43" operator="lessThan">
      <formula>0</formula>
    </cfRule>
    <cfRule type="cellIs" dxfId="62" priority="44" operator="greaterThan">
      <formula>0</formula>
    </cfRule>
  </conditionalFormatting>
  <conditionalFormatting sqref="O34:O52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K34:K52">
    <cfRule type="cellIs" dxfId="59" priority="17" operator="lessThan">
      <formula>0</formula>
    </cfRule>
    <cfRule type="cellIs" dxfId="58" priority="18" operator="greaterThan">
      <formula>0</formula>
    </cfRule>
  </conditionalFormatting>
  <conditionalFormatting sqref="G53:G54">
    <cfRule type="cellIs" dxfId="57" priority="9" operator="lessThan">
      <formula>0</formula>
    </cfRule>
    <cfRule type="cellIs" dxfId="56" priority="10" operator="greaterThan">
      <formula>0</formula>
    </cfRule>
  </conditionalFormatting>
  <conditionalFormatting sqref="K53:K54">
    <cfRule type="cellIs" dxfId="55" priority="7" operator="lessThan">
      <formula>0</formula>
    </cfRule>
    <cfRule type="cellIs" dxfId="54" priority="8" operator="greaterThan">
      <formula>0</formula>
    </cfRule>
  </conditionalFormatting>
  <conditionalFormatting sqref="O53:O54">
    <cfRule type="cellIs" dxfId="53" priority="5" operator="lessThan">
      <formula>0</formula>
    </cfRule>
    <cfRule type="cellIs" dxfId="52" priority="6" operator="greaterThan">
      <formula>0</formula>
    </cfRule>
  </conditionalFormatting>
  <conditionalFormatting sqref="S34:S52">
    <cfRule type="cellIs" dxfId="51" priority="3" operator="lessThan">
      <formula>0</formula>
    </cfRule>
    <cfRule type="cellIs" dxfId="50" priority="4" operator="greaterThan">
      <formula>0</formula>
    </cfRule>
  </conditionalFormatting>
  <conditionalFormatting sqref="S53:S54">
    <cfRule type="cellIs" dxfId="49" priority="1" operator="lessThan">
      <formula>0</formula>
    </cfRule>
    <cfRule type="cellIs" dxfId="4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A8B7-FCF8-4CE4-9985-75787C202868}">
  <sheetPr>
    <pageSetUpPr autoPageBreaks="0"/>
  </sheetPr>
  <dimension ref="A1:AB81"/>
  <sheetViews>
    <sheetView showGridLines="0" topLeftCell="B10" zoomScale="75" zoomScaleNormal="75" workbookViewId="0">
      <selection activeCell="E16" sqref="E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1" spans="1:28" x14ac:dyDescent="0.25">
      <c r="A1" s="97" t="s">
        <v>393</v>
      </c>
    </row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02" t="s">
        <v>350</v>
      </c>
      <c r="G4" s="602"/>
      <c r="H4" s="602"/>
      <c r="I4" s="602"/>
      <c r="J4" s="602"/>
      <c r="K4" s="602"/>
      <c r="L4" s="602"/>
      <c r="M4" s="602"/>
      <c r="N4" s="602"/>
      <c r="O4" s="602"/>
      <c r="P4" s="602"/>
      <c r="Q4" s="546"/>
      <c r="R4" s="546"/>
      <c r="S4" s="546"/>
      <c r="T4" s="546"/>
    </row>
    <row r="5" spans="1:28" ht="39.75" customHeight="1" x14ac:dyDescent="0.25">
      <c r="F5" s="598" t="s">
        <v>310</v>
      </c>
      <c r="G5" s="599"/>
      <c r="H5" s="600"/>
      <c r="I5" s="181"/>
      <c r="J5" s="629" t="s">
        <v>395</v>
      </c>
      <c r="K5" s="630"/>
      <c r="L5" s="631"/>
      <c r="N5" s="629" t="s">
        <v>394</v>
      </c>
      <c r="O5" s="630"/>
      <c r="P5" s="631"/>
      <c r="Q5" s="503"/>
      <c r="R5" s="629" t="s">
        <v>351</v>
      </c>
      <c r="S5" s="630"/>
      <c r="T5" s="631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3608306.5090601984</v>
      </c>
      <c r="I7" s="365"/>
      <c r="J7" s="380">
        <v>1312066.2114589978</v>
      </c>
      <c r="K7" s="370">
        <v>0.31206621145899782</v>
      </c>
      <c r="L7" s="372">
        <v>4465700.4117103117</v>
      </c>
      <c r="M7" s="367"/>
      <c r="N7" s="380">
        <v>1312060.6814247447</v>
      </c>
      <c r="O7" s="370">
        <v>0.31206068142474463</v>
      </c>
      <c r="P7" s="372">
        <v>4465686.1616250286</v>
      </c>
      <c r="Q7" s="369"/>
      <c r="R7" s="380">
        <v>1280553.8166407023</v>
      </c>
      <c r="S7" s="370">
        <v>0.28055381664070234</v>
      </c>
      <c r="T7" s="372">
        <v>4383975.1022611018</v>
      </c>
      <c r="U7" s="180"/>
      <c r="V7" s="185">
        <f>VAC_Optim_Scenario!$H51</f>
        <v>1540173.2513926297</v>
      </c>
      <c r="W7" s="177">
        <f>(V7-$C7)/$C7</f>
        <v>0.54017325139262973</v>
      </c>
      <c r="X7" s="185">
        <f>VAC_Optim_Scenario!$J51</f>
        <v>5027050.4165755827</v>
      </c>
      <c r="Y7" s="185">
        <f>J7-V7</f>
        <v>-228107.0399336319</v>
      </c>
      <c r="Z7" s="490">
        <f>$F7-'[1]Scenario deep dive'!$F7</f>
        <v>0</v>
      </c>
      <c r="AA7" s="493">
        <f>$J7-'[1]Scenario deep dive'!$J7</f>
        <v>139151.88554909523</v>
      </c>
      <c r="AB7" s="493">
        <f>$N7-'[1]Scenario deep dive'!$N7</f>
        <v>-342528.03090405185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7998999.8847845653</v>
      </c>
      <c r="G8" s="370">
        <v>2.8707337681781207E-2</v>
      </c>
      <c r="H8" s="372">
        <v>78549789.97385852</v>
      </c>
      <c r="I8" s="369"/>
      <c r="J8" s="380">
        <v>11179757.92883369</v>
      </c>
      <c r="K8" s="370">
        <v>0.4377671184585889</v>
      </c>
      <c r="L8" s="372">
        <v>92434455.601042956</v>
      </c>
      <c r="M8" s="371"/>
      <c r="N8" s="380">
        <v>11179859.254118364</v>
      </c>
      <c r="O8" s="370">
        <v>0.43778014934561715</v>
      </c>
      <c r="P8" s="372">
        <v>92434806.045008063</v>
      </c>
      <c r="Q8" s="369"/>
      <c r="R8" s="380">
        <v>11092068.118553624</v>
      </c>
      <c r="S8" s="370">
        <v>0.42648981472382874</v>
      </c>
      <c r="T8" s="372">
        <v>92129276.914606035</v>
      </c>
      <c r="U8" s="180"/>
      <c r="V8" s="185">
        <f>VAC_Optim_Scenario!$H52</f>
        <v>13899615.099674361</v>
      </c>
      <c r="W8" s="177">
        <f t="shared" ref="W8:W22" si="0">(V8-$C8)/$C8</f>
        <v>0.78755297536456936</v>
      </c>
      <c r="X8" s="185">
        <f>VAC_Optim_Scenario!$J52</f>
        <v>100236529.00149192</v>
      </c>
      <c r="Y8" s="185">
        <f t="shared" ref="Y8:Y25" si="1">J8-V8</f>
        <v>-2719857.1708406713</v>
      </c>
      <c r="Z8" s="491">
        <f>$F8-'[1]Scenario deep dive'!$F8</f>
        <v>-4662.7890975764021</v>
      </c>
      <c r="AA8" s="494">
        <f>$J8-'[1]Scenario deep dive'!$J8</f>
        <v>398678.1284311451</v>
      </c>
      <c r="AB8" s="494">
        <f>$N8-'[1]Scenario deep dive'!$N8</f>
        <v>-820140.7458816357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4593290.9936571522</v>
      </c>
      <c r="K9" s="370">
        <v>1.4963538009006261</v>
      </c>
      <c r="L9" s="372">
        <v>27573258.646637142</v>
      </c>
      <c r="M9" s="371"/>
      <c r="N9" s="380">
        <v>4593213.5386903435</v>
      </c>
      <c r="O9" s="370">
        <v>1.4963117058099693</v>
      </c>
      <c r="P9" s="372">
        <v>27572979.671100132</v>
      </c>
      <c r="Q9" s="369"/>
      <c r="R9" s="380">
        <v>4455047.5305201802</v>
      </c>
      <c r="S9" s="370">
        <v>1.4212214839783588</v>
      </c>
      <c r="T9" s="372">
        <v>27072298.129360568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33959534.839013599</v>
      </c>
      <c r="Y9" s="185">
        <f t="shared" si="1"/>
        <v>-1906709.0063428478</v>
      </c>
      <c r="Z9" s="491">
        <f>$F9-'[1]Scenario deep dive'!$F9</f>
        <v>0</v>
      </c>
      <c r="AA9" s="494">
        <f>$J9-'[1]Scenario deep dive'!$J9</f>
        <v>605372.89643062791</v>
      </c>
      <c r="AB9" s="494">
        <f>$N9-'[1]Scenario deep dive'!$N9</f>
        <v>-1906786.4613096565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6772175.1052560359</v>
      </c>
      <c r="K11" s="370">
        <v>0.40565775178951791</v>
      </c>
      <c r="L11" s="372">
        <v>34845351.543835871</v>
      </c>
      <c r="M11" s="371"/>
      <c r="N11" s="380">
        <v>6772004.1322160074</v>
      </c>
      <c r="O11" s="370">
        <v>0.40562226399197465</v>
      </c>
      <c r="P11" s="372">
        <v>34844735.737731151</v>
      </c>
      <c r="Q11" s="369"/>
      <c r="R11" s="380">
        <v>6494076.6811486697</v>
      </c>
      <c r="S11" s="370">
        <v>0.3479346126900027</v>
      </c>
      <c r="T11" s="372">
        <v>33837425.591033712</v>
      </c>
      <c r="U11" s="180"/>
      <c r="V11" s="185">
        <f>VAC_Optim_Scenario!$H55</f>
        <v>12070112.999999998</v>
      </c>
      <c r="W11" s="177">
        <f t="shared" si="0"/>
        <v>1.5053173669796862</v>
      </c>
      <c r="X11" s="185">
        <f>VAC_Optim_Scenario!$J55</f>
        <v>52219542.216157258</v>
      </c>
      <c r="Y11" s="185">
        <f t="shared" si="1"/>
        <v>-5297937.8947439622</v>
      </c>
      <c r="Z11" s="491">
        <f>$F11-'[1]Scenario deep dive'!$F11</f>
        <v>0</v>
      </c>
      <c r="AA11" s="494">
        <f>$J11-'[1]Scenario deep dive'!$J11</f>
        <v>1163133.6542743538</v>
      </c>
      <c r="AB11" s="494">
        <f>$N11-'[1]Scenario deep dive'!$N11</f>
        <v>-4000352.7593168607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5242709.7667338559</v>
      </c>
      <c r="K12" s="370">
        <v>0.48099145952933786</v>
      </c>
      <c r="L12" s="372">
        <v>47390542.89394173</v>
      </c>
      <c r="M12" s="371"/>
      <c r="N12" s="380">
        <v>5242862.3994902764</v>
      </c>
      <c r="O12" s="370">
        <v>0.48103457612719669</v>
      </c>
      <c r="P12" s="372">
        <v>47391092.669238076</v>
      </c>
      <c r="Q12" s="369"/>
      <c r="R12" s="380">
        <v>5202542.954141208</v>
      </c>
      <c r="S12" s="370">
        <v>0.46964490229977629</v>
      </c>
      <c r="T12" s="372">
        <v>47244945.61050126</v>
      </c>
      <c r="U12" s="180"/>
      <c r="V12" s="185">
        <f>VAC_Optim_Scenario!$H56</f>
        <v>6603674.6489330456</v>
      </c>
      <c r="W12" s="177">
        <f t="shared" si="0"/>
        <v>0.86544481608278123</v>
      </c>
      <c r="X12" s="185">
        <f>VAC_Optim_Scenario!$J56</f>
        <v>51379707.531912059</v>
      </c>
      <c r="Y12" s="185">
        <f t="shared" si="1"/>
        <v>-1360964.8821991896</v>
      </c>
      <c r="Z12" s="491">
        <f>$F12-'[1]Scenario deep dive'!$F12</f>
        <v>4027.4115999196656</v>
      </c>
      <c r="AA12" s="494">
        <f>$J12-'[1]Scenario deep dive'!$J12</f>
        <v>180087.3804657422</v>
      </c>
      <c r="AB12" s="494">
        <f>$N12-'[1]Scenario deep dive'!$N12</f>
        <v>-443768.03694957681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16888801</v>
      </c>
      <c r="G15" s="374">
        <v>7.5719808917197456E-2</v>
      </c>
      <c r="H15" s="375">
        <v>67034177.652868718</v>
      </c>
      <c r="I15" s="369"/>
      <c r="J15" s="380">
        <v>15700000</v>
      </c>
      <c r="K15" s="370">
        <v>0</v>
      </c>
      <c r="L15" s="372">
        <v>63695224.07626316</v>
      </c>
      <c r="M15" s="371"/>
      <c r="N15" s="380">
        <v>15700000</v>
      </c>
      <c r="O15" s="370">
        <v>0</v>
      </c>
      <c r="P15" s="372">
        <v>63695224.07626316</v>
      </c>
      <c r="Q15" s="369"/>
      <c r="R15" s="380">
        <v>16888801</v>
      </c>
      <c r="S15" s="370">
        <v>7.5719808917197456E-2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0</v>
      </c>
      <c r="Z15" s="492">
        <f>$F15-'[1]Scenario deep dive'!$F15</f>
        <v>0</v>
      </c>
      <c r="AA15" s="494">
        <f>$J15-'[1]Scenario deep dive'!$J15</f>
        <v>-1188801</v>
      </c>
      <c r="AB15" s="494">
        <f>$N15-'[1]Scenario deep dive'!$N15</f>
        <v>-1188801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904451.29161394853</v>
      </c>
      <c r="I16" s="369"/>
      <c r="J16" s="379">
        <v>900000</v>
      </c>
      <c r="K16" s="366">
        <v>-0.1</v>
      </c>
      <c r="L16" s="368">
        <v>904451.29161394853</v>
      </c>
      <c r="M16" s="371"/>
      <c r="N16" s="379">
        <v>900000</v>
      </c>
      <c r="O16" s="366">
        <v>-0.1</v>
      </c>
      <c r="P16" s="368">
        <v>904451.29161394853</v>
      </c>
      <c r="Q16" s="369"/>
      <c r="R16" s="379">
        <v>900000</v>
      </c>
      <c r="S16" s="366">
        <v>-0.1</v>
      </c>
      <c r="T16" s="368">
        <v>904451.29161394853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20333699.638065696</v>
      </c>
      <c r="G17" s="370">
        <v>0.19976986299655983</v>
      </c>
      <c r="H17" s="372">
        <v>102889675.97024103</v>
      </c>
      <c r="I17" s="369"/>
      <c r="J17" s="380">
        <v>22050000</v>
      </c>
      <c r="K17" s="370">
        <v>0.30103847061600186</v>
      </c>
      <c r="L17" s="372">
        <v>107902349.4303626</v>
      </c>
      <c r="M17" s="371"/>
      <c r="N17" s="380">
        <v>22050000</v>
      </c>
      <c r="O17" s="370">
        <v>0.30103847061600186</v>
      </c>
      <c r="P17" s="372">
        <v>107902349.4303626</v>
      </c>
      <c r="Q17" s="369"/>
      <c r="R17" s="380">
        <v>21000000.203315023</v>
      </c>
      <c r="S17" s="370">
        <v>0.23908426972592775</v>
      </c>
      <c r="T17" s="372">
        <v>104886219.59510297</v>
      </c>
      <c r="U17" s="180"/>
      <c r="V17" s="185">
        <f>VAC_Optim_Scenario!$H62</f>
        <v>28000000</v>
      </c>
      <c r="W17" s="177">
        <f t="shared" si="0"/>
        <v>0.65211234363936743</v>
      </c>
      <c r="X17" s="185">
        <f>VAC_Optim_Scenario!$J62</f>
        <v>122303515.20283259</v>
      </c>
      <c r="Y17" s="185">
        <f t="shared" si="1"/>
        <v>-5950000</v>
      </c>
      <c r="Z17" s="491">
        <f>$F17-'[2]Scenario deep dive'!$F8</f>
        <v>972.85154687613249</v>
      </c>
      <c r="AA17" s="494">
        <f>$J17-'[2]Scenario deep dive'!$J8</f>
        <v>1050000</v>
      </c>
      <c r="AB17" s="494">
        <f>$N17-'[2]Scenario deep dive'!$N8</f>
        <v>1050000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2290679.6471494259</v>
      </c>
      <c r="K18" s="370">
        <v>4.1218021431557242E-2</v>
      </c>
      <c r="L18" s="372">
        <v>6323378.3241345212</v>
      </c>
      <c r="M18" s="371"/>
      <c r="N18" s="380">
        <v>3753532.7155753803</v>
      </c>
      <c r="O18" s="370">
        <v>0.70615123435244553</v>
      </c>
      <c r="P18" s="372">
        <v>8504223.6926426645</v>
      </c>
      <c r="Q18" s="369"/>
      <c r="R18" s="380">
        <v>4154570.9220185205</v>
      </c>
      <c r="S18" s="370">
        <v>0.88844132819023658</v>
      </c>
      <c r="T18" s="372">
        <v>9038289.7156212088</v>
      </c>
      <c r="U18" s="180"/>
      <c r="V18" s="185">
        <f>VAC_Optim_Scenario!$H63</f>
        <v>3792982.8268409837</v>
      </c>
      <c r="W18" s="177">
        <f t="shared" si="0"/>
        <v>0.72408310310953805</v>
      </c>
      <c r="X18" s="185">
        <f>VAC_Optim_Scenario!$J63</f>
        <v>8557739.8044479284</v>
      </c>
      <c r="Y18" s="185">
        <f t="shared" si="1"/>
        <v>-1502303.1796915578</v>
      </c>
      <c r="Z18" s="491">
        <f>$F18-'[2]Scenario deep dive'!$F9</f>
        <v>0</v>
      </c>
      <c r="AA18" s="494">
        <f>$J18-'[2]Scenario deep dive'!$J9</f>
        <v>-2295835.5850132992</v>
      </c>
      <c r="AB18" s="494">
        <f>$N18-'[2]Scenario deep dive'!$N9</f>
        <v>-2979695.7550152158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2094216.1059919484</v>
      </c>
      <c r="K19" s="370">
        <v>0.39614407066129892</v>
      </c>
      <c r="L19" s="372">
        <v>7136031.390660706</v>
      </c>
      <c r="M19" s="371"/>
      <c r="N19" s="380">
        <v>2410373.6146011599</v>
      </c>
      <c r="O19" s="370">
        <v>0.60691574306744001</v>
      </c>
      <c r="P19" s="372">
        <v>7611209.0114466725</v>
      </c>
      <c r="Q19" s="369"/>
      <c r="R19" s="380">
        <v>2469338.7975853113</v>
      </c>
      <c r="S19" s="370">
        <v>0.64622586505687418</v>
      </c>
      <c r="T19" s="372">
        <v>7689906.7353378301</v>
      </c>
      <c r="U19" s="180"/>
      <c r="V19" s="185">
        <f>VAC_Optim_Scenario!$H64</f>
        <v>2417063.0393783748</v>
      </c>
      <c r="W19" s="177">
        <f t="shared" si="0"/>
        <v>0.6113753595855832</v>
      </c>
      <c r="X19" s="185">
        <f>VAC_Optim_Scenario!$J64</f>
        <v>7620283.6007006103</v>
      </c>
      <c r="Y19" s="185">
        <f t="shared" si="1"/>
        <v>-322846.93338642642</v>
      </c>
      <c r="Z19" s="491">
        <f>$F19-'[2]Scenario deep dive'!$F10</f>
        <v>3206.1157225614879</v>
      </c>
      <c r="AA19" s="494">
        <f>$J19-'[2]Scenario deep dive'!$J10</f>
        <v>-444392.25193793699</v>
      </c>
      <c r="AB19" s="494">
        <f>$N19-'[2]Scenario deep dive'!$N10</f>
        <v>-373774.96884703403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8306901</v>
      </c>
      <c r="K20" s="370">
        <v>-0.19102694349644914</v>
      </c>
      <c r="L20" s="372">
        <v>16281797.494816165</v>
      </c>
      <c r="M20" s="371"/>
      <c r="N20" s="380">
        <v>8566882.663883714</v>
      </c>
      <c r="O20" s="370">
        <v>-0.16570845694329447</v>
      </c>
      <c r="P20" s="372">
        <v>16636846.042942891</v>
      </c>
      <c r="Q20" s="369"/>
      <c r="R20" s="380">
        <v>9781828.9864038322</v>
      </c>
      <c r="S20" s="370">
        <v>-4.7390104525605978E-2</v>
      </c>
      <c r="T20" s="372">
        <v>18255304.051492907</v>
      </c>
      <c r="U20" s="180"/>
      <c r="V20" s="185">
        <f>VAC_Optim_Scenario!$H65</f>
        <v>8687167.133780634</v>
      </c>
      <c r="W20" s="177">
        <f t="shared" si="0"/>
        <v>-0.15399447416410633</v>
      </c>
      <c r="X20" s="185">
        <f>VAC_Optim_Scenario!$J65</f>
        <v>16800018.05910404</v>
      </c>
      <c r="Y20" s="185">
        <f t="shared" si="1"/>
        <v>-380266.13378063403</v>
      </c>
      <c r="Z20" s="491">
        <f>$F20-'[2]Scenario deep dive'!$F11</f>
        <v>0</v>
      </c>
      <c r="AA20" s="494">
        <f>$J20-'[2]Scenario deep dive'!$J11</f>
        <v>-2884427.353730984</v>
      </c>
      <c r="AB20" s="494">
        <f>$N20-'[2]Scenario deep dive'!$N11</f>
        <v>-10105594.242003022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4999999.9998964043</v>
      </c>
      <c r="K21" s="370">
        <v>0.24999999997410108</v>
      </c>
      <c r="L21" s="372">
        <v>24032152.745787345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-1.0359566658735275E-4</v>
      </c>
      <c r="Z21" s="491">
        <f>$F21-'[2]Scenario deep dive'!$F12</f>
        <v>-6415.2453787680715</v>
      </c>
      <c r="AA21" s="494">
        <f>$J21-'[2]Scenario deep dive'!$J12</f>
        <v>-1.0359566658735275E-4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28089211</v>
      </c>
      <c r="W23" s="177">
        <f>(V23-$C23)/$C23</f>
        <v>0</v>
      </c>
      <c r="X23" s="185">
        <f>VAC_Optim_Scenario!$J68</f>
        <v>40395109.654958591</v>
      </c>
      <c r="Y23" s="185">
        <f t="shared" si="1"/>
        <v>0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1959114.2410225025</v>
      </c>
      <c r="K24" s="370">
        <v>0.30607616068166837</v>
      </c>
      <c r="L24" s="372">
        <v>8112101.8302757163</v>
      </c>
      <c r="M24" s="371"/>
      <c r="N24" s="380">
        <v>2310000</v>
      </c>
      <c r="O24" s="370">
        <v>0.54</v>
      </c>
      <c r="P24" s="372">
        <v>8664714.9708767254</v>
      </c>
      <c r="Q24" s="369"/>
      <c r="R24" s="380">
        <v>2200000</v>
      </c>
      <c r="S24" s="370">
        <v>0.46666666666666667</v>
      </c>
      <c r="T24" s="372">
        <v>8497253.2367697079</v>
      </c>
      <c r="U24" s="180"/>
      <c r="V24" s="185">
        <f>VAC_Optim_Scenario!$H69</f>
        <v>2200000</v>
      </c>
      <c r="W24" s="177">
        <f t="shared" ref="W24:W25" si="2">(V24-$C24)/$C24</f>
        <v>0.46666666666666667</v>
      </c>
      <c r="X24" s="488">
        <f>VAC_Optim_Scenario!$J69</f>
        <v>8497253.2367697079</v>
      </c>
      <c r="Y24" s="185">
        <f t="shared" si="1"/>
        <v>-240885.75897749746</v>
      </c>
      <c r="Z24" s="491">
        <f>$F24-'[2]Scenario deep dive'!$F14</f>
        <v>2236.2645860570483</v>
      </c>
      <c r="AA24" s="494">
        <f>$J24-'[2]Scenario deep dive'!$J14</f>
        <v>-240885.75897749746</v>
      </c>
      <c r="AB24" s="494">
        <f>$N24-'[2]Scenario deep dive'!$N14</f>
        <v>110000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f>SUM(J7:J15)</f>
        <v>51000000.00593973</v>
      </c>
      <c r="K26" s="439">
        <f>(J26-$F$26)/$C$26</f>
        <v>0.29334131439624622</v>
      </c>
      <c r="L26" s="379">
        <f>SUM(L7:L15)</f>
        <v>339407619.45836365</v>
      </c>
      <c r="M26" s="371"/>
      <c r="N26" s="379">
        <f>SUM(N7:N15)</f>
        <v>51000000.005939737</v>
      </c>
      <c r="O26" s="439">
        <f>(N26-$F$26)/$C$26</f>
        <v>0.29334131439624639</v>
      </c>
      <c r="P26" s="368">
        <f>SUM(P7:P15)</f>
        <v>339407610.6458981</v>
      </c>
      <c r="Q26" s="369"/>
      <c r="R26" s="379">
        <f>SUM(R7:R15)</f>
        <v>51613090.101004384</v>
      </c>
      <c r="S26" s="439">
        <f>(R26-$F$26)/$C$26</f>
        <v>0.30926011910720463</v>
      </c>
      <c r="T26" s="368">
        <f>SUM(T7:T15)</f>
        <v>340705185.28556395</v>
      </c>
      <c r="U26" s="180">
        <f>L26-D26</f>
        <v>55246734.906236529</v>
      </c>
      <c r="V26" s="379">
        <f>SUM(V7:V15)</f>
        <v>62513576.000000037</v>
      </c>
      <c r="W26" s="439">
        <f>(V26-$C$26)/$C$26</f>
        <v>0.62315688369213074</v>
      </c>
      <c r="X26" s="368">
        <f>SUM(X7:X15)</f>
        <v>375520674.36634612</v>
      </c>
      <c r="Y26" s="185">
        <f>V26-F26</f>
        <v>22811199.00000003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v>68905663</v>
      </c>
      <c r="G27" s="440">
        <v>0</v>
      </c>
      <c r="H27" s="375">
        <v>222412318.09155828</v>
      </c>
      <c r="I27" s="369"/>
      <c r="J27" s="379">
        <f>SUM(J16:J25)</f>
        <v>74090121.994060278</v>
      </c>
      <c r="K27" s="440">
        <f>(J27-$F$27)/$F$27</f>
        <v>7.5239955155213839E-2</v>
      </c>
      <c r="L27" s="379">
        <f>SUM(L16:L25)</f>
        <v>234120550.45249215</v>
      </c>
      <c r="M27" s="371"/>
      <c r="N27" s="381">
        <f>SUM(N16:N25)</f>
        <v>76479999.994060248</v>
      </c>
      <c r="O27" s="440">
        <f>(N27-$F$27)/$F$27</f>
        <v>0.10992328735100115</v>
      </c>
      <c r="P27" s="375">
        <f>SUM(P16:P25)</f>
        <v>237684235.13081276</v>
      </c>
      <c r="Q27" s="369"/>
      <c r="R27" s="381">
        <f>SUM(R16:R25)</f>
        <v>76994949.909322679</v>
      </c>
      <c r="S27" s="440">
        <f>(R27-$F$27)/$F$27</f>
        <v>0.11739654706352189</v>
      </c>
      <c r="T27" s="375">
        <f>SUM(T16:T25)</f>
        <v>236731865.3168658</v>
      </c>
      <c r="U27" s="180">
        <f>L27-D27</f>
        <v>18723589.419105172</v>
      </c>
      <c r="V27" s="381">
        <f>SUM(V16:V25)</f>
        <v>82486424</v>
      </c>
      <c r="W27" s="440">
        <f>(V27-$C$27)/$C$27</f>
        <v>0.19709208806248624</v>
      </c>
      <c r="X27" s="375">
        <f>SUM(X16:X25)</f>
        <v>252143701.88639605</v>
      </c>
      <c r="Y27" s="185">
        <f>V27-F27</f>
        <v>13580761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108608040</v>
      </c>
      <c r="G28" s="444">
        <f>(F28-$F$28)/$F$28</f>
        <v>0</v>
      </c>
      <c r="H28" s="443">
        <f>SUM(H7:H25)</f>
        <v>509895339.33592284</v>
      </c>
      <c r="I28" s="435"/>
      <c r="J28" s="442">
        <f>SUM(J7:J25)</f>
        <v>125090122</v>
      </c>
      <c r="K28" s="444">
        <f>(J28-$F$28)/$F$28</f>
        <v>0.1517574757817193</v>
      </c>
      <c r="L28" s="443">
        <f>SUM(L7:L25)</f>
        <v>573528169.91085589</v>
      </c>
      <c r="M28" s="371"/>
      <c r="N28" s="442">
        <f>SUM(N7:N25)</f>
        <v>127480000</v>
      </c>
      <c r="O28" s="444">
        <f>(N28-$F$28)/$F$28</f>
        <v>0.17376208980476951</v>
      </c>
      <c r="P28" s="443">
        <f>SUM(P7:P25)</f>
        <v>577091845.77671087</v>
      </c>
      <c r="Q28" s="505"/>
      <c r="R28" s="442">
        <f>SUM(R7:R25)</f>
        <v>128608040.01032709</v>
      </c>
      <c r="S28" s="444">
        <f>(R28-$F$28)/$F$28</f>
        <v>0.18414842962203429</v>
      </c>
      <c r="T28" s="443">
        <f>SUM(T7:T25)</f>
        <v>577437050.60242987</v>
      </c>
      <c r="V28" s="188">
        <f>SUM(V7:V25)</f>
        <v>145000000</v>
      </c>
      <c r="W28" s="189">
        <f>(V28-$C$28)/$C$28</f>
        <v>0.34985130550031174</v>
      </c>
      <c r="X28" s="188">
        <f>SUM(X7:X25)</f>
        <v>627664376.25274229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0.56641268781165977</v>
      </c>
      <c r="I29" s="382"/>
      <c r="J29" s="382"/>
      <c r="K29" s="382"/>
      <c r="L29" s="382">
        <f>SUM(L7:L15)/L28</f>
        <v>0.59178892557468998</v>
      </c>
      <c r="P29" s="382">
        <f>SUM(P7:P15)/P28</f>
        <v>0.58813447656514306</v>
      </c>
      <c r="Q29" s="382"/>
      <c r="T29" s="382"/>
      <c r="U29" s="180"/>
      <c r="X29" s="499">
        <f>X28/VAC_Optim_Scenario!$E$48</f>
        <v>2778013.5268334174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0.43358731218834023</v>
      </c>
      <c r="I30" s="382"/>
      <c r="J30" s="382"/>
      <c r="K30" s="382"/>
      <c r="L30" s="382">
        <f>SUM(L16:L25)/L28</f>
        <v>0.40821107442530985</v>
      </c>
      <c r="P30" s="382">
        <f>SUM(P16:P25)/P28</f>
        <v>0.41186552343485694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18" t="str">
        <f>F4</f>
        <v>Optimal channel spend allowed to vary based on custom constraints of the 2024 channel spend</v>
      </c>
      <c r="G31" s="619"/>
      <c r="H31" s="619"/>
      <c r="I31" s="619"/>
      <c r="J31" s="619"/>
      <c r="K31" s="619"/>
      <c r="L31" s="619"/>
      <c r="M31" s="619"/>
      <c r="N31" s="619"/>
      <c r="O31" s="619"/>
      <c r="P31" s="619"/>
      <c r="Q31" s="619"/>
      <c r="R31" s="619"/>
      <c r="S31" s="619"/>
      <c r="T31" s="619"/>
    </row>
    <row r="32" spans="1:28" ht="30.4" customHeight="1" x14ac:dyDescent="0.25">
      <c r="A32" s="482"/>
      <c r="B32" s="482"/>
      <c r="C32" s="621" t="s">
        <v>341</v>
      </c>
      <c r="D32" s="622"/>
      <c r="E32" s="543"/>
      <c r="F32" s="623" t="str">
        <f>F5</f>
        <v>Current Optimal ($92MM)</v>
      </c>
      <c r="G32" s="624"/>
      <c r="H32" s="625"/>
      <c r="I32" s="544"/>
      <c r="J32" s="626" t="str">
        <f>J5</f>
        <v>Removed Agency Fees; 
Corrected Adol TV Spend; lowered Adult spend to $74MM</v>
      </c>
      <c r="K32" s="627"/>
      <c r="L32" s="628"/>
      <c r="M32" s="483"/>
      <c r="N32" s="626" t="str">
        <f>N5</f>
        <v>Removed Agency Fees; 
Corrected Adol TV Spend; increased max spend constraint by % for Adult HCP MCM and Adult HCC Radio</v>
      </c>
      <c r="O32" s="627"/>
      <c r="P32" s="628"/>
      <c r="Q32" s="545"/>
      <c r="R32" s="620" t="str">
        <f>R5</f>
        <v>20M increase in total budget ( Global Max 130%)</v>
      </c>
      <c r="S32" s="620"/>
      <c r="T32" s="620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3.6083065090601982</v>
      </c>
      <c r="I34" s="523"/>
      <c r="J34" s="553">
        <f t="shared" ref="J34:J50" si="8">J7/1000000</f>
        <v>1.3120662114589978</v>
      </c>
      <c r="K34" s="554">
        <f t="shared" ref="K34:K50" si="9">K7</f>
        <v>0.31206621145899782</v>
      </c>
      <c r="L34" s="559">
        <f t="shared" ref="L34:L50" si="10">L7/1000000</f>
        <v>4.4657004117103121</v>
      </c>
      <c r="M34" s="527"/>
      <c r="N34" s="553">
        <f t="shared" ref="N34:N50" si="11">N7/1000000</f>
        <v>1.3120606814247446</v>
      </c>
      <c r="O34" s="554">
        <f t="shared" ref="O34:O50" si="12">O7</f>
        <v>0.31206068142474463</v>
      </c>
      <c r="P34" s="555">
        <f t="shared" ref="P34:P50" si="13">P7/1000000</f>
        <v>4.4656861616250287</v>
      </c>
      <c r="Q34" s="529"/>
      <c r="R34" s="553">
        <f t="shared" ref="R34:R50" si="14">R7/1000000</f>
        <v>1.2805538166407022</v>
      </c>
      <c r="S34" s="554">
        <f t="shared" ref="S34:S50" si="15">S7</f>
        <v>0.28055381664070234</v>
      </c>
      <c r="T34" s="555">
        <f t="shared" ref="T34:T50" si="16">T7/1000000</f>
        <v>4.3839751022611022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78.549789973858523</v>
      </c>
      <c r="I35" s="523"/>
      <c r="J35" s="556">
        <f t="shared" si="8"/>
        <v>11.179757928833689</v>
      </c>
      <c r="K35" s="554">
        <f t="shared" si="9"/>
        <v>0.4377671184585889</v>
      </c>
      <c r="L35" s="560">
        <f t="shared" si="10"/>
        <v>92.434455601042956</v>
      </c>
      <c r="M35" s="527"/>
      <c r="N35" s="556">
        <f t="shared" si="11"/>
        <v>11.179859254118364</v>
      </c>
      <c r="O35" s="554">
        <f t="shared" si="12"/>
        <v>0.43778014934561715</v>
      </c>
      <c r="P35" s="557">
        <f t="shared" si="13"/>
        <v>92.43480604500806</v>
      </c>
      <c r="Q35" s="529"/>
      <c r="R35" s="556">
        <f t="shared" si="14"/>
        <v>11.092068118553623</v>
      </c>
      <c r="S35" s="554">
        <f t="shared" si="15"/>
        <v>0.42648981472382874</v>
      </c>
      <c r="T35" s="557">
        <f t="shared" si="16"/>
        <v>92.129276914606038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56">
        <f t="shared" si="8"/>
        <v>4.5932909936571518</v>
      </c>
      <c r="K36" s="554">
        <f t="shared" si="9"/>
        <v>1.4963538009006261</v>
      </c>
      <c r="L36" s="560">
        <f t="shared" si="10"/>
        <v>27.573258646637143</v>
      </c>
      <c r="M36" s="527"/>
      <c r="N36" s="556">
        <f t="shared" si="11"/>
        <v>4.5932135386903434</v>
      </c>
      <c r="O36" s="554">
        <f t="shared" si="12"/>
        <v>1.4963117058099693</v>
      </c>
      <c r="P36" s="557">
        <f t="shared" si="13"/>
        <v>27.572979671100132</v>
      </c>
      <c r="Q36" s="529"/>
      <c r="R36" s="556">
        <f t="shared" si="14"/>
        <v>4.4550475305201802</v>
      </c>
      <c r="S36" s="554">
        <f t="shared" si="15"/>
        <v>1.4212214839783588</v>
      </c>
      <c r="T36" s="557">
        <f t="shared" si="16"/>
        <v>27.072298129360568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56">
        <f t="shared" si="8"/>
        <v>1</v>
      </c>
      <c r="K37" s="554">
        <f t="shared" si="9"/>
        <v>-0.18032786885245902</v>
      </c>
      <c r="L37" s="560">
        <f t="shared" si="10"/>
        <v>3.3578328692201262</v>
      </c>
      <c r="M37" s="527"/>
      <c r="N37" s="556">
        <f t="shared" si="11"/>
        <v>1</v>
      </c>
      <c r="O37" s="554">
        <f t="shared" si="12"/>
        <v>-0.18032786885245902</v>
      </c>
      <c r="P37" s="557">
        <f t="shared" si="13"/>
        <v>3.3578328692201262</v>
      </c>
      <c r="Q37" s="529"/>
      <c r="R37" s="556">
        <f t="shared" si="14"/>
        <v>1</v>
      </c>
      <c r="S37" s="554">
        <f t="shared" si="15"/>
        <v>-0.18032786885245902</v>
      </c>
      <c r="T37" s="557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56">
        <f t="shared" si="8"/>
        <v>6.7721751052560357</v>
      </c>
      <c r="K38" s="554">
        <f t="shared" si="9"/>
        <v>0.40565775178951791</v>
      </c>
      <c r="L38" s="560">
        <f t="shared" si="10"/>
        <v>34.845351543835868</v>
      </c>
      <c r="M38" s="527"/>
      <c r="N38" s="556">
        <f t="shared" si="11"/>
        <v>6.7720041322160078</v>
      </c>
      <c r="O38" s="554">
        <f t="shared" si="12"/>
        <v>0.40562226399197465</v>
      </c>
      <c r="P38" s="557">
        <f t="shared" si="13"/>
        <v>34.844735737731149</v>
      </c>
      <c r="Q38" s="529"/>
      <c r="R38" s="556">
        <f t="shared" si="14"/>
        <v>6.4940766811486696</v>
      </c>
      <c r="S38" s="554">
        <f t="shared" si="15"/>
        <v>0.3479346126900027</v>
      </c>
      <c r="T38" s="557">
        <f t="shared" si="16"/>
        <v>33.837425591033714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56">
        <f t="shared" si="8"/>
        <v>5.2427097667338556</v>
      </c>
      <c r="K39" s="554">
        <f t="shared" si="9"/>
        <v>0.48099145952933786</v>
      </c>
      <c r="L39" s="560">
        <f t="shared" si="10"/>
        <v>47.390542893941728</v>
      </c>
      <c r="M39" s="527"/>
      <c r="N39" s="556">
        <f t="shared" si="11"/>
        <v>5.2428623994902761</v>
      </c>
      <c r="O39" s="554">
        <f t="shared" si="12"/>
        <v>0.48103457612719669</v>
      </c>
      <c r="P39" s="557">
        <f t="shared" si="13"/>
        <v>47.391092669238077</v>
      </c>
      <c r="Q39" s="529"/>
      <c r="R39" s="556">
        <f t="shared" si="14"/>
        <v>5.202542954141208</v>
      </c>
      <c r="S39" s="554">
        <f t="shared" si="15"/>
        <v>0.46964490229977629</v>
      </c>
      <c r="T39" s="557">
        <f t="shared" si="16"/>
        <v>47.244945610501262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56">
        <f t="shared" si="8"/>
        <v>0.4</v>
      </c>
      <c r="K40" s="554">
        <f t="shared" si="9"/>
        <v>0</v>
      </c>
      <c r="L40" s="560">
        <f t="shared" si="10"/>
        <v>32.769965884320236</v>
      </c>
      <c r="M40" s="527"/>
      <c r="N40" s="556">
        <f t="shared" si="11"/>
        <v>0.4</v>
      </c>
      <c r="O40" s="554">
        <f t="shared" si="12"/>
        <v>0</v>
      </c>
      <c r="P40" s="557">
        <f t="shared" si="13"/>
        <v>32.769965884320236</v>
      </c>
      <c r="Q40" s="529"/>
      <c r="R40" s="556">
        <f t="shared" si="14"/>
        <v>0.4</v>
      </c>
      <c r="S40" s="554">
        <f t="shared" si="15"/>
        <v>0</v>
      </c>
      <c r="T40" s="557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56">
        <f t="shared" si="8"/>
        <v>4.8</v>
      </c>
      <c r="K41" s="554">
        <f t="shared" si="9"/>
        <v>1.1621621621621621</v>
      </c>
      <c r="L41" s="560">
        <f t="shared" si="10"/>
        <v>32.875287531392161</v>
      </c>
      <c r="M41" s="527"/>
      <c r="N41" s="556">
        <f t="shared" si="11"/>
        <v>4.8</v>
      </c>
      <c r="O41" s="554">
        <f t="shared" si="12"/>
        <v>1.1621621621621621</v>
      </c>
      <c r="P41" s="557">
        <f t="shared" si="13"/>
        <v>32.875287531392161</v>
      </c>
      <c r="Q41" s="529"/>
      <c r="R41" s="556">
        <f t="shared" si="14"/>
        <v>4.8</v>
      </c>
      <c r="S41" s="554">
        <f t="shared" si="15"/>
        <v>1.1621621621621621</v>
      </c>
      <c r="T41" s="557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16.888801000000001</v>
      </c>
      <c r="G42" s="533">
        <f t="shared" si="6"/>
        <v>7.5719808917197456E-2</v>
      </c>
      <c r="H42" s="534">
        <f t="shared" si="7"/>
        <v>67.034177652868721</v>
      </c>
      <c r="I42" s="523"/>
      <c r="J42" s="556">
        <f t="shared" si="8"/>
        <v>15.7</v>
      </c>
      <c r="K42" s="554">
        <f t="shared" si="9"/>
        <v>0</v>
      </c>
      <c r="L42" s="560">
        <f t="shared" si="10"/>
        <v>63.695224076263159</v>
      </c>
      <c r="M42" s="527"/>
      <c r="N42" s="556">
        <f t="shared" si="11"/>
        <v>15.7</v>
      </c>
      <c r="O42" s="554">
        <f t="shared" si="12"/>
        <v>0</v>
      </c>
      <c r="P42" s="557">
        <f t="shared" si="13"/>
        <v>63.695224076263159</v>
      </c>
      <c r="Q42" s="529"/>
      <c r="R42" s="556">
        <f t="shared" si="14"/>
        <v>16.888801000000001</v>
      </c>
      <c r="S42" s="554">
        <f t="shared" si="15"/>
        <v>7.5719808917197456E-2</v>
      </c>
      <c r="T42" s="557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0.90445129161394855</v>
      </c>
      <c r="I43" s="523"/>
      <c r="J43" s="556">
        <f t="shared" si="8"/>
        <v>0.9</v>
      </c>
      <c r="K43" s="554">
        <f t="shared" si="9"/>
        <v>-0.1</v>
      </c>
      <c r="L43" s="560">
        <f t="shared" si="10"/>
        <v>0.90445129161394855</v>
      </c>
      <c r="M43" s="527"/>
      <c r="N43" s="556">
        <f t="shared" si="11"/>
        <v>0.9</v>
      </c>
      <c r="O43" s="554">
        <f t="shared" si="12"/>
        <v>-0.1</v>
      </c>
      <c r="P43" s="557">
        <f t="shared" si="13"/>
        <v>0.90445129161394855</v>
      </c>
      <c r="Q43" s="529"/>
      <c r="R43" s="556">
        <f t="shared" si="14"/>
        <v>0.9</v>
      </c>
      <c r="S43" s="554">
        <f t="shared" si="15"/>
        <v>-0.1</v>
      </c>
      <c r="T43" s="557">
        <f t="shared" si="16"/>
        <v>0.90445129161394855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91.677940557008299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102.88967597024103</v>
      </c>
      <c r="I44" s="523"/>
      <c r="J44" s="556">
        <f t="shared" si="8"/>
        <v>22.05</v>
      </c>
      <c r="K44" s="554">
        <f t="shared" si="9"/>
        <v>0.30103847061600186</v>
      </c>
      <c r="L44" s="560">
        <f t="shared" si="10"/>
        <v>107.90234943036259</v>
      </c>
      <c r="M44" s="527"/>
      <c r="N44" s="556">
        <f t="shared" si="11"/>
        <v>22.05</v>
      </c>
      <c r="O44" s="554">
        <f t="shared" si="12"/>
        <v>0.30103847061600186</v>
      </c>
      <c r="P44" s="557">
        <f t="shared" si="13"/>
        <v>107.90234943036259</v>
      </c>
      <c r="Q44" s="529"/>
      <c r="R44" s="556">
        <f t="shared" si="14"/>
        <v>21.000000203315022</v>
      </c>
      <c r="S44" s="554">
        <f t="shared" si="15"/>
        <v>0.23908426972592775</v>
      </c>
      <c r="T44" s="557">
        <f t="shared" si="16"/>
        <v>104.88621959510297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6.171975030653198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56">
        <f t="shared" si="8"/>
        <v>2.290679647149426</v>
      </c>
      <c r="K45" s="554">
        <f t="shared" si="9"/>
        <v>4.1218021431557242E-2</v>
      </c>
      <c r="L45" s="560">
        <f t="shared" si="10"/>
        <v>6.3233783241345209</v>
      </c>
      <c r="M45" s="527"/>
      <c r="N45" s="556">
        <f t="shared" si="11"/>
        <v>3.7535327155753802</v>
      </c>
      <c r="O45" s="554">
        <f t="shared" si="12"/>
        <v>0.70615123435244553</v>
      </c>
      <c r="P45" s="557">
        <f t="shared" si="13"/>
        <v>8.5042236926426646</v>
      </c>
      <c r="Q45" s="529"/>
      <c r="R45" s="556">
        <f t="shared" si="14"/>
        <v>4.1545709220185207</v>
      </c>
      <c r="S45" s="554">
        <f t="shared" si="15"/>
        <v>0.88844132819023658</v>
      </c>
      <c r="T45" s="557">
        <f t="shared" si="16"/>
        <v>9.0382897156212092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5.944544957049497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56">
        <f t="shared" si="8"/>
        <v>2.0942161059919484</v>
      </c>
      <c r="K46" s="554">
        <f t="shared" si="9"/>
        <v>0.39614407066129892</v>
      </c>
      <c r="L46" s="560">
        <f t="shared" si="10"/>
        <v>7.1360313906607056</v>
      </c>
      <c r="M46" s="527"/>
      <c r="N46" s="556">
        <f t="shared" si="11"/>
        <v>2.4103736146011601</v>
      </c>
      <c r="O46" s="554">
        <f t="shared" si="12"/>
        <v>0.60691574306744001</v>
      </c>
      <c r="P46" s="557">
        <f t="shared" si="13"/>
        <v>7.6112090114466726</v>
      </c>
      <c r="Q46" s="529"/>
      <c r="R46" s="556">
        <f t="shared" si="14"/>
        <v>2.4693387975853112</v>
      </c>
      <c r="S46" s="554">
        <f t="shared" si="15"/>
        <v>0.64622586505687418</v>
      </c>
      <c r="T46" s="557">
        <f t="shared" si="16"/>
        <v>7.6899067353378303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18.886370658155332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56">
        <f t="shared" si="8"/>
        <v>8.3069009999999999</v>
      </c>
      <c r="K47" s="554">
        <f t="shared" si="9"/>
        <v>-0.19102694349644914</v>
      </c>
      <c r="L47" s="560">
        <f t="shared" si="10"/>
        <v>16.281797494816164</v>
      </c>
      <c r="M47" s="527"/>
      <c r="N47" s="556">
        <f t="shared" si="11"/>
        <v>8.5668826638837139</v>
      </c>
      <c r="O47" s="554">
        <f t="shared" si="12"/>
        <v>-0.16570845694329447</v>
      </c>
      <c r="P47" s="557">
        <f t="shared" si="13"/>
        <v>16.636846042942892</v>
      </c>
      <c r="Q47" s="529"/>
      <c r="R47" s="556">
        <f t="shared" si="14"/>
        <v>9.7818289864038324</v>
      </c>
      <c r="S47" s="554">
        <f t="shared" si="15"/>
        <v>-4.7390104525605978E-2</v>
      </c>
      <c r="T47" s="557">
        <f t="shared" si="16"/>
        <v>18.255304051492907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21.02067549422587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56">
        <f t="shared" si="8"/>
        <v>4.9999999998964046</v>
      </c>
      <c r="K48" s="554">
        <f t="shared" si="9"/>
        <v>0.24999999997410108</v>
      </c>
      <c r="L48" s="560">
        <f t="shared" si="10"/>
        <v>24.032152745787347</v>
      </c>
      <c r="M48" s="527"/>
      <c r="N48" s="556">
        <f t="shared" si="11"/>
        <v>5</v>
      </c>
      <c r="O48" s="554">
        <f t="shared" si="12"/>
        <v>0.25</v>
      </c>
      <c r="P48" s="557">
        <f t="shared" si="13"/>
        <v>24.032152746086098</v>
      </c>
      <c r="Q48" s="529"/>
      <c r="R48" s="556">
        <f t="shared" si="14"/>
        <v>5</v>
      </c>
      <c r="S48" s="554">
        <f t="shared" si="15"/>
        <v>0.25</v>
      </c>
      <c r="T48" s="557">
        <f t="shared" si="16"/>
        <v>24.032152746086098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56">
        <f t="shared" si="8"/>
        <v>0.2</v>
      </c>
      <c r="K49" s="554">
        <f t="shared" si="9"/>
        <v>0</v>
      </c>
      <c r="L49" s="560">
        <f t="shared" si="10"/>
        <v>17.969341094351833</v>
      </c>
      <c r="M49" s="527"/>
      <c r="N49" s="556">
        <f t="shared" si="11"/>
        <v>0.2</v>
      </c>
      <c r="O49" s="554">
        <f t="shared" si="12"/>
        <v>0</v>
      </c>
      <c r="P49" s="557">
        <f t="shared" si="13"/>
        <v>17.969341094351833</v>
      </c>
      <c r="Q49" s="529"/>
      <c r="R49" s="556">
        <f t="shared" si="14"/>
        <v>0.2</v>
      </c>
      <c r="S49" s="554">
        <f t="shared" si="15"/>
        <v>0</v>
      </c>
      <c r="T49" s="557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56">
        <f t="shared" si="8"/>
        <v>28.089210999999999</v>
      </c>
      <c r="K50" s="554">
        <f t="shared" si="9"/>
        <v>0</v>
      </c>
      <c r="L50" s="560">
        <f t="shared" si="10"/>
        <v>40.395109654958588</v>
      </c>
      <c r="M50" s="527"/>
      <c r="N50" s="556">
        <f t="shared" si="11"/>
        <v>28.089210999999999</v>
      </c>
      <c r="O50" s="554">
        <f t="shared" si="12"/>
        <v>0</v>
      </c>
      <c r="P50" s="557">
        <f t="shared" si="13"/>
        <v>40.395109654958588</v>
      </c>
      <c r="Q50" s="529"/>
      <c r="R50" s="556">
        <f t="shared" si="14"/>
        <v>28.089210999999999</v>
      </c>
      <c r="S50" s="554">
        <f t="shared" si="15"/>
        <v>0</v>
      </c>
      <c r="T50" s="557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56">
        <f>J24/1000000</f>
        <v>1.9591142410225026</v>
      </c>
      <c r="K51" s="554">
        <f>K24</f>
        <v>0.30607616068166837</v>
      </c>
      <c r="L51" s="560">
        <f>L24/1000000</f>
        <v>8.1121018302757157</v>
      </c>
      <c r="M51" s="527"/>
      <c r="N51" s="556">
        <f>N24/1000000</f>
        <v>2.31</v>
      </c>
      <c r="O51" s="554">
        <f>O24</f>
        <v>0.54</v>
      </c>
      <c r="P51" s="557">
        <f>P24/1000000</f>
        <v>8.6647149708767248</v>
      </c>
      <c r="Q51" s="529"/>
      <c r="R51" s="556">
        <f>R24/1000000</f>
        <v>2.2000000000000002</v>
      </c>
      <c r="S51" s="554">
        <f>S24</f>
        <v>0.46666666666666667</v>
      </c>
      <c r="T51" s="557">
        <f>T24/1000000</f>
        <v>8.4972532367697085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56">
        <f>J25/1000000</f>
        <v>3.2</v>
      </c>
      <c r="K52" s="554">
        <f>K25</f>
        <v>0</v>
      </c>
      <c r="L52" s="560">
        <f>L25/1000000</f>
        <v>5.0638371955307466</v>
      </c>
      <c r="M52" s="527"/>
      <c r="N52" s="556">
        <f>N25/1000000</f>
        <v>3.2</v>
      </c>
      <c r="O52" s="554">
        <f>O25</f>
        <v>0</v>
      </c>
      <c r="P52" s="557">
        <f>P25/1000000</f>
        <v>5.0638371955307466</v>
      </c>
      <c r="Q52" s="529"/>
      <c r="R52" s="556">
        <f>R25/1000000</f>
        <v>3.2</v>
      </c>
      <c r="S52" s="554">
        <f>S25</f>
        <v>0</v>
      </c>
      <c r="T52" s="557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284.16088455212713</v>
      </c>
      <c r="E53" s="510"/>
      <c r="F53" s="511">
        <f t="shared" ref="F53:F54" si="19">F26/1000000</f>
        <v>39.702377000000006</v>
      </c>
      <c r="G53" s="484">
        <f t="shared" ref="G53:G54" si="20">G26</f>
        <v>1.8766081932383616E-16</v>
      </c>
      <c r="H53" s="512">
        <f t="shared" ref="H53:H54" si="21">H26/1000000</f>
        <v>293.4721594254687</v>
      </c>
      <c r="I53" s="510"/>
      <c r="J53" s="547">
        <f t="shared" ref="J53:J54" si="22">J26/1000000</f>
        <v>51.000000005939732</v>
      </c>
      <c r="K53" s="533">
        <f t="shared" ref="K53:K54" si="23">K26</f>
        <v>0.29334131439624622</v>
      </c>
      <c r="L53" s="558">
        <f t="shared" ref="L53:L54" si="24">L26/1000000</f>
        <v>339.40761945836363</v>
      </c>
      <c r="M53" s="483"/>
      <c r="N53" s="547">
        <f t="shared" ref="N53:N54" si="25">N26/1000000</f>
        <v>51.000000005939739</v>
      </c>
      <c r="O53" s="533">
        <f t="shared" ref="O53:O54" si="26">O26</f>
        <v>0.29334131439624639</v>
      </c>
      <c r="P53" s="558">
        <f t="shared" ref="P53:P54" si="27">P26/1000000</f>
        <v>339.4076106458981</v>
      </c>
      <c r="Q53" s="513"/>
      <c r="R53" s="547">
        <f t="shared" ref="R53:R54" si="28">R26/1000000</f>
        <v>51.613090101004381</v>
      </c>
      <c r="S53" s="533">
        <f t="shared" ref="S53:S54" si="29">S26</f>
        <v>0.30926011910720463</v>
      </c>
      <c r="T53" s="548">
        <f t="shared" ref="T53:T54" si="30">T26/1000000</f>
        <v>340.70518528556397</v>
      </c>
      <c r="U53" s="180">
        <f>L53-D53</f>
        <v>55.246734906236497</v>
      </c>
      <c r="V53" s="180">
        <f>P53-D53</f>
        <v>55.246726093770974</v>
      </c>
      <c r="W53" s="180">
        <f>T53-D53</f>
        <v>56.544300733436842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215.39696103338699</v>
      </c>
      <c r="E54" s="510"/>
      <c r="F54" s="511">
        <f t="shared" si="19"/>
        <v>68.905663000000004</v>
      </c>
      <c r="G54" s="484">
        <f t="shared" si="20"/>
        <v>0</v>
      </c>
      <c r="H54" s="512">
        <f t="shared" si="21"/>
        <v>222.41231809155829</v>
      </c>
      <c r="I54" s="510"/>
      <c r="J54" s="547">
        <f t="shared" si="22"/>
        <v>74.090121994060283</v>
      </c>
      <c r="K54" s="533">
        <f t="shared" si="23"/>
        <v>7.5239955155213839E-2</v>
      </c>
      <c r="L54" s="558">
        <f t="shared" si="24"/>
        <v>234.12055045249215</v>
      </c>
      <c r="M54" s="483"/>
      <c r="N54" s="547">
        <f t="shared" si="25"/>
        <v>76.47999999406025</v>
      </c>
      <c r="O54" s="533">
        <f t="shared" si="26"/>
        <v>0.10992328735100115</v>
      </c>
      <c r="P54" s="558">
        <f t="shared" si="27"/>
        <v>237.68423513081277</v>
      </c>
      <c r="Q54" s="513"/>
      <c r="R54" s="547">
        <f t="shared" si="28"/>
        <v>76.994949909322685</v>
      </c>
      <c r="S54" s="533">
        <f t="shared" si="29"/>
        <v>0.11739654706352189</v>
      </c>
      <c r="T54" s="548">
        <f t="shared" si="30"/>
        <v>236.73186531686579</v>
      </c>
      <c r="U54" s="180">
        <f>L54-D54</f>
        <v>18.723589419105167</v>
      </c>
      <c r="V54" s="180">
        <f>P54-D54</f>
        <v>22.287274097425779</v>
      </c>
      <c r="W54" s="180">
        <f>T54-D54</f>
        <v>21.334904283478807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1">
        <f>F28/1000000</f>
        <v>108.60804</v>
      </c>
      <c r="G55" s="516">
        <f>G28</f>
        <v>0</v>
      </c>
      <c r="H55" s="511">
        <f>H28/1000000</f>
        <v>509.89533933592281</v>
      </c>
      <c r="I55" s="510"/>
      <c r="J55" s="547">
        <f>J28/1000000</f>
        <v>125.09012199999999</v>
      </c>
      <c r="K55" s="549">
        <f>K28</f>
        <v>0.1517574757817193</v>
      </c>
      <c r="L55" s="547">
        <f>L28/1000000</f>
        <v>573.52816991085592</v>
      </c>
      <c r="M55" s="483"/>
      <c r="N55" s="547">
        <f>N28/1000000</f>
        <v>127.48</v>
      </c>
      <c r="O55" s="549">
        <f>O28</f>
        <v>0.17376208980476951</v>
      </c>
      <c r="P55" s="547">
        <f>P28/1000000</f>
        <v>577.0918457767109</v>
      </c>
      <c r="Q55" s="513"/>
      <c r="R55" s="547">
        <f>R28/1000000</f>
        <v>128.60804001032707</v>
      </c>
      <c r="S55" s="549">
        <f>S28</f>
        <v>0.18414842962203429</v>
      </c>
      <c r="T55" s="547">
        <f>T28/1000000</f>
        <v>577.43705060242985</v>
      </c>
      <c r="U55" s="500">
        <f>U54*1.25</f>
        <v>23.404486773881459</v>
      </c>
      <c r="V55" s="500">
        <f>V54*1.25</f>
        <v>27.859092621782224</v>
      </c>
      <c r="W55" s="500">
        <f>W54*1.25</f>
        <v>26.668630354348508</v>
      </c>
    </row>
    <row r="56" spans="1:23" ht="25.5" x14ac:dyDescent="0.25">
      <c r="A56" s="482"/>
      <c r="B56" s="507" t="s">
        <v>356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4.69</v>
      </c>
      <c r="G56" s="516"/>
      <c r="H56" s="518" t="s">
        <v>364</v>
      </c>
      <c r="I56" s="510"/>
      <c r="J56" s="511" t="str">
        <f>_xlfn.CONCAT("ROI"," ", ,J61)</f>
        <v>ROI 4.58</v>
      </c>
      <c r="K56" s="516"/>
      <c r="L56" s="518" t="s">
        <v>361</v>
      </c>
      <c r="M56" s="483"/>
      <c r="N56" s="511" t="str">
        <f>_xlfn.CONCAT("ROI"," ", ,N61)</f>
        <v>ROI 4.53</v>
      </c>
      <c r="O56" s="516"/>
      <c r="P56" s="518" t="s">
        <v>362</v>
      </c>
      <c r="Q56" s="519"/>
      <c r="R56" s="511" t="str">
        <f>_xlfn.CONCAT("ROI"," ", ,R61)</f>
        <v>ROI 4.49</v>
      </c>
      <c r="S56" s="516"/>
      <c r="T56" s="518" t="s">
        <v>363</v>
      </c>
    </row>
    <row r="57" spans="1:23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7.39</v>
      </c>
      <c r="G57" s="516"/>
      <c r="H57" s="518" t="s">
        <v>365</v>
      </c>
      <c r="I57" s="510"/>
      <c r="J57" s="511" t="str">
        <f>_xlfn.CONCAT("ROI"," ", ,J63)</f>
        <v>ROI 6.66</v>
      </c>
      <c r="K57" s="516"/>
      <c r="L57" s="518" t="s">
        <v>369</v>
      </c>
      <c r="M57" s="483"/>
      <c r="N57" s="511" t="str">
        <f>_xlfn.CONCAT("ROI"," ", ,N63)</f>
        <v>ROI 6.66</v>
      </c>
      <c r="O57" s="516"/>
      <c r="P57" s="518" t="s">
        <v>373</v>
      </c>
      <c r="Q57" s="519"/>
      <c r="R57" s="511" t="str">
        <f>_xlfn.CONCAT("ROI"," ", ,R63)</f>
        <v>ROI 6.6</v>
      </c>
      <c r="S57" s="516"/>
      <c r="T57" s="518" t="s">
        <v>377</v>
      </c>
    </row>
    <row r="58" spans="1:23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3.23</v>
      </c>
      <c r="G58" s="516"/>
      <c r="H58" s="518" t="s">
        <v>366</v>
      </c>
      <c r="I58" s="510"/>
      <c r="J58" s="511" t="str">
        <f>_xlfn.CONCAT("ROI"," ", ,J65)</f>
        <v>ROI 3.16</v>
      </c>
      <c r="K58" s="516"/>
      <c r="L58" s="518" t="s">
        <v>370</v>
      </c>
      <c r="M58" s="483"/>
      <c r="N58" s="511" t="str">
        <f>_xlfn.CONCAT("ROI"," ", ,N65)</f>
        <v>ROI 3.11</v>
      </c>
      <c r="O58" s="516"/>
      <c r="P58" s="518" t="s">
        <v>374</v>
      </c>
      <c r="Q58" s="519"/>
      <c r="R58" s="511" t="str">
        <f>_xlfn.CONCAT("ROI"," ", ,R65)</f>
        <v>ROI 3.07</v>
      </c>
      <c r="S58" s="516"/>
      <c r="T58" s="518" t="s">
        <v>378</v>
      </c>
    </row>
    <row r="59" spans="1:23" ht="38.25" x14ac:dyDescent="0.25">
      <c r="A59" s="482"/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4.03</v>
      </c>
      <c r="G59" s="516"/>
      <c r="H59" s="518" t="s">
        <v>367</v>
      </c>
      <c r="I59" s="510"/>
      <c r="J59" s="511" t="str">
        <f>_xlfn.CONCAT("ROI"," ", ,J67)</f>
        <v>ROI 3.95</v>
      </c>
      <c r="K59" s="516"/>
      <c r="L59" s="518" t="s">
        <v>371</v>
      </c>
      <c r="M59" s="483"/>
      <c r="N59" s="511" t="str">
        <f>_xlfn.CONCAT("ROI"," ", ,N67)</f>
        <v>ROI 3.88</v>
      </c>
      <c r="O59" s="516"/>
      <c r="P59" s="518" t="s">
        <v>375</v>
      </c>
      <c r="Q59" s="519"/>
      <c r="R59" s="511" t="str">
        <f>_xlfn.CONCAT("ROI"," ", ,R67)</f>
        <v>ROI 3.84</v>
      </c>
      <c r="S59" s="516"/>
      <c r="T59" s="518" t="s">
        <v>379</v>
      </c>
    </row>
    <row r="60" spans="1:23" ht="38.25" x14ac:dyDescent="0.25">
      <c r="A60" s="482"/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2.58</v>
      </c>
      <c r="G60" s="516"/>
      <c r="H60" s="518" t="s">
        <v>368</v>
      </c>
      <c r="I60" s="510"/>
      <c r="J60" s="511" t="str">
        <f>_xlfn.CONCAT("ROI"," ", ,J69)</f>
        <v>ROI 2.53</v>
      </c>
      <c r="K60" s="516"/>
      <c r="L60" s="518" t="s">
        <v>372</v>
      </c>
      <c r="M60" s="483"/>
      <c r="N60" s="511" t="str">
        <f>_xlfn.CONCAT("ROI"," ", ,N69)</f>
        <v>ROI 2.49</v>
      </c>
      <c r="O60" s="516"/>
      <c r="P60" s="518" t="s">
        <v>376</v>
      </c>
      <c r="Q60" s="519"/>
      <c r="R60" s="511" t="str">
        <f>_xlfn.CONCAT("ROI"," ", ,R69)</f>
        <v>ROI 2.46</v>
      </c>
      <c r="S60" s="516"/>
      <c r="T60" s="518" t="s">
        <v>380</v>
      </c>
    </row>
    <row r="61" spans="1:23" x14ac:dyDescent="0.25">
      <c r="C61" s="97">
        <f>ROUND(D55/C55,2)</f>
        <v>4.6500000000000004</v>
      </c>
      <c r="F61" s="97">
        <f>ROUND(H55/F55,2)</f>
        <v>4.6900000000000004</v>
      </c>
      <c r="H61" s="216">
        <f>(H55-$D$55)</f>
        <v>10.337493750408726</v>
      </c>
      <c r="J61" s="97">
        <f>ROUND(L55/J55,2)</f>
        <v>4.58</v>
      </c>
      <c r="L61" s="216">
        <f>(L55-$D$55)</f>
        <v>73.970324325341835</v>
      </c>
      <c r="N61" s="97">
        <f>ROUND(P55/N55,2)</f>
        <v>4.53</v>
      </c>
      <c r="P61" s="216">
        <f>(P55-$D$55)</f>
        <v>77.53400019119681</v>
      </c>
      <c r="Q61" s="506"/>
      <c r="R61" s="97">
        <f>ROUND(T55/R55,2)</f>
        <v>4.49</v>
      </c>
      <c r="T61" s="216">
        <f>(T55-$D$55)</f>
        <v>77.879205016915762</v>
      </c>
    </row>
    <row r="62" spans="1:23" x14ac:dyDescent="0.25">
      <c r="H62" s="280">
        <f>H61/$D$55</f>
        <v>2.0693286756997109E-2</v>
      </c>
      <c r="J62" s="248"/>
      <c r="K62" s="248"/>
      <c r="L62" s="329">
        <f>L61/$D$55</f>
        <v>0.1480715896647441</v>
      </c>
      <c r="M62" s="248"/>
      <c r="N62" s="248"/>
      <c r="O62" s="248"/>
      <c r="P62" s="329">
        <f>P61/$D$55</f>
        <v>0.15520524975505479</v>
      </c>
      <c r="Q62" s="329"/>
      <c r="R62" s="248"/>
      <c r="S62" s="248"/>
      <c r="T62" s="329">
        <f>T61/$D$55</f>
        <v>0.15589627048222274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6.66</v>
      </c>
      <c r="L63" s="216">
        <f>L53-$D$53</f>
        <v>55.246734906236497</v>
      </c>
      <c r="N63" s="97">
        <f>ROUND(P53/N53,2)</f>
        <v>6.66</v>
      </c>
      <c r="P63" s="216">
        <f>P53-$D$53</f>
        <v>55.246726093770974</v>
      </c>
      <c r="R63" s="97">
        <f>ROUND(T53/R53,2)</f>
        <v>6.6</v>
      </c>
      <c r="T63" s="216">
        <f>T53-$D$53</f>
        <v>56.544300733436842</v>
      </c>
    </row>
    <row r="64" spans="1:23" x14ac:dyDescent="0.25">
      <c r="H64" s="280">
        <f>H63/$D$53</f>
        <v>3.2767616443823012E-2</v>
      </c>
      <c r="L64" s="329">
        <f>L63/$D$53</f>
        <v>0.19442061842294803</v>
      </c>
      <c r="M64" s="248"/>
      <c r="P64" s="329">
        <f>P63/$D$53</f>
        <v>0.19442058741070814</v>
      </c>
      <c r="T64" s="329">
        <f>T63/$D$53</f>
        <v>0.19898692539107798</v>
      </c>
    </row>
    <row r="65" spans="3:20" x14ac:dyDescent="0.25">
      <c r="C65" s="97">
        <f>ROUND(D54/C54,2)</f>
        <v>3.13</v>
      </c>
      <c r="F65" s="97">
        <f>ROUND(H54/F54,2)</f>
        <v>3.23</v>
      </c>
      <c r="H65" s="216">
        <f>H54-$D$54</f>
        <v>7.0153570581713041</v>
      </c>
      <c r="J65" s="97">
        <f>ROUND(L54/J54,2)</f>
        <v>3.16</v>
      </c>
      <c r="L65" s="216">
        <f>L54-$D$54</f>
        <v>18.723589419105167</v>
      </c>
      <c r="N65" s="97">
        <f>ROUND(P54/N54,2)</f>
        <v>3.11</v>
      </c>
      <c r="P65" s="216">
        <f>P54-$D$54</f>
        <v>22.287274097425779</v>
      </c>
      <c r="R65" s="97">
        <f>ROUND(T54/R54,2)</f>
        <v>3.07</v>
      </c>
      <c r="T65" s="216">
        <f>T54-$D$54</f>
        <v>21.334904283478807</v>
      </c>
    </row>
    <row r="66" spans="3:20" x14ac:dyDescent="0.25">
      <c r="H66" s="280">
        <f>H65/$D$54</f>
        <v>3.256943377712701E-2</v>
      </c>
      <c r="L66" s="329">
        <f>L65/$D$54</f>
        <v>8.6925968357571076E-2</v>
      </c>
      <c r="M66" s="248"/>
      <c r="P66" s="329">
        <f>P65/$D$54</f>
        <v>0.10347069889241012</v>
      </c>
      <c r="T66" s="329">
        <f>T65/$D$54</f>
        <v>9.9049235333324187E-2</v>
      </c>
    </row>
    <row r="67" spans="3:20" x14ac:dyDescent="0.25">
      <c r="C67" s="97">
        <f>ROUND(D54*1.25/C54,2)</f>
        <v>3.91</v>
      </c>
      <c r="F67" s="97">
        <f>ROUND(H54*1.25/F54,2)</f>
        <v>4.03</v>
      </c>
      <c r="H67" s="216">
        <f>H65*1.25</f>
        <v>8.7691963227141301</v>
      </c>
      <c r="J67" s="97">
        <f>ROUND(L54*1.25/J54,2)</f>
        <v>3.95</v>
      </c>
      <c r="L67" s="216">
        <f>L65*1.25</f>
        <v>23.404486773881459</v>
      </c>
      <c r="N67" s="97">
        <f>ROUND(P54*1.25/N54,2)</f>
        <v>3.88</v>
      </c>
      <c r="P67" s="216">
        <f>P65*1.25</f>
        <v>27.859092621782224</v>
      </c>
      <c r="R67" s="97">
        <f>ROUND(T54*1.25/R54,2)</f>
        <v>3.84</v>
      </c>
      <c r="T67" s="216">
        <f>T65*1.25</f>
        <v>26.668630354348508</v>
      </c>
    </row>
    <row r="68" spans="3:20" x14ac:dyDescent="0.25">
      <c r="H68" s="280">
        <f>H67/($D$54*1.25)</f>
        <v>3.256943377712701E-2</v>
      </c>
      <c r="L68" s="329">
        <f>L67/($D$54*1.25)</f>
        <v>8.6925968357571076E-2</v>
      </c>
      <c r="M68" s="248"/>
      <c r="P68" s="329">
        <f>P67/($D$54*1.25)</f>
        <v>0.10347069889241012</v>
      </c>
      <c r="T68" s="329">
        <f>T67/($D$54*1.25)</f>
        <v>9.9049235333324187E-2</v>
      </c>
    </row>
    <row r="69" spans="3:20" x14ac:dyDescent="0.25">
      <c r="C69" s="97">
        <f>ROUND(D54*0.8/C54,2)</f>
        <v>2.5</v>
      </c>
      <c r="F69" s="97">
        <f>ROUND(H54*0.8/F54,2)</f>
        <v>2.58</v>
      </c>
      <c r="H69" s="216">
        <f>H65*0.8</f>
        <v>5.6122856465370434</v>
      </c>
      <c r="J69" s="97">
        <f>ROUND(L54*0.8/J54,2)</f>
        <v>2.5299999999999998</v>
      </c>
      <c r="L69" s="216">
        <f>L65*0.8</f>
        <v>14.978871535284135</v>
      </c>
      <c r="N69" s="97">
        <f>ROUND(P54*0.8/N54,2)</f>
        <v>2.4900000000000002</v>
      </c>
      <c r="P69" s="216">
        <f>P65*0.8</f>
        <v>17.829819277940626</v>
      </c>
      <c r="R69" s="97">
        <f>ROUND(T54*0.8/R54,2)</f>
        <v>2.46</v>
      </c>
      <c r="T69" s="216">
        <f>T65*0.8</f>
        <v>17.067923426783047</v>
      </c>
    </row>
    <row r="70" spans="3:20" x14ac:dyDescent="0.25">
      <c r="H70" s="280">
        <f>H69/($D$54*0.8)</f>
        <v>3.256943377712701E-2</v>
      </c>
      <c r="L70" s="329">
        <f>L69/($D$54*0.8)</f>
        <v>8.692596835757109E-2</v>
      </c>
      <c r="M70" s="248"/>
      <c r="P70" s="329">
        <f>P69/($D$54*0.8)</f>
        <v>0.10347069889241013</v>
      </c>
      <c r="T70" s="329">
        <f>T69/($D$54*0.8)</f>
        <v>9.9049235333324187E-2</v>
      </c>
    </row>
    <row r="81" ht="27.6" customHeight="1" x14ac:dyDescent="0.25"/>
  </sheetData>
  <mergeCells count="11">
    <mergeCell ref="C32:D32"/>
    <mergeCell ref="F32:H32"/>
    <mergeCell ref="J32:L32"/>
    <mergeCell ref="N32:P32"/>
    <mergeCell ref="R32:T32"/>
    <mergeCell ref="F31:T31"/>
    <mergeCell ref="F4:P4"/>
    <mergeCell ref="F5:H5"/>
    <mergeCell ref="J5:L5"/>
    <mergeCell ref="N5:P5"/>
    <mergeCell ref="R5:T5"/>
  </mergeCells>
  <conditionalFormatting sqref="G34:G52">
    <cfRule type="cellIs" dxfId="47" priority="15" operator="lessThan">
      <formula>0</formula>
    </cfRule>
    <cfRule type="cellIs" dxfId="46" priority="16" operator="greaterThan">
      <formula>0</formula>
    </cfRule>
  </conditionalFormatting>
  <conditionalFormatting sqref="O34:O52">
    <cfRule type="cellIs" dxfId="45" priority="13" operator="lessThan">
      <formula>0</formula>
    </cfRule>
    <cfRule type="cellIs" dxfId="44" priority="14" operator="greaterThan">
      <formula>0</formula>
    </cfRule>
  </conditionalFormatting>
  <conditionalFormatting sqref="K34:K52">
    <cfRule type="cellIs" dxfId="43" priority="11" operator="lessThan">
      <formula>0</formula>
    </cfRule>
    <cfRule type="cellIs" dxfId="42" priority="12" operator="greaterThan">
      <formula>0</formula>
    </cfRule>
  </conditionalFormatting>
  <conditionalFormatting sqref="G53:G54">
    <cfRule type="cellIs" dxfId="41" priority="9" operator="lessThan">
      <formula>0</formula>
    </cfRule>
    <cfRule type="cellIs" dxfId="40" priority="10" operator="greaterThan">
      <formula>0</formula>
    </cfRule>
  </conditionalFormatting>
  <conditionalFormatting sqref="K53:K54">
    <cfRule type="cellIs" dxfId="39" priority="7" operator="lessThan">
      <formula>0</formula>
    </cfRule>
    <cfRule type="cellIs" dxfId="38" priority="8" operator="greaterThan">
      <formula>0</formula>
    </cfRule>
  </conditionalFormatting>
  <conditionalFormatting sqref="O53:O54">
    <cfRule type="cellIs" dxfId="37" priority="5" operator="lessThan">
      <formula>0</formula>
    </cfRule>
    <cfRule type="cellIs" dxfId="36" priority="6" operator="greaterThan">
      <formula>0</formula>
    </cfRule>
  </conditionalFormatting>
  <conditionalFormatting sqref="S34:S52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S53:S54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B5B10-1BCD-4937-ABDA-63CD8C48E5C9}">
  <dimension ref="B2:N35"/>
  <sheetViews>
    <sheetView showGridLines="0" zoomScale="75" zoomScaleNormal="75" workbookViewId="0">
      <selection activeCell="M5" sqref="M5"/>
    </sheetView>
  </sheetViews>
  <sheetFormatPr defaultColWidth="8.7109375" defaultRowHeight="15" x14ac:dyDescent="0.25"/>
  <cols>
    <col min="1" max="1" width="8.7109375" style="97"/>
    <col min="2" max="2" width="20.28515625" style="97" customWidth="1"/>
    <col min="3" max="3" width="22.42578125" style="97" bestFit="1" customWidth="1"/>
    <col min="4" max="4" width="19.140625" style="97" bestFit="1" customWidth="1"/>
    <col min="5" max="5" width="24.28515625" style="97" bestFit="1" customWidth="1"/>
    <col min="6" max="6" width="15.42578125" style="97" bestFit="1" customWidth="1"/>
    <col min="7" max="7" width="16.7109375" style="97" bestFit="1" customWidth="1"/>
    <col min="8" max="8" width="18.7109375" style="97" customWidth="1"/>
    <col min="9" max="9" width="11.85546875" style="97" bestFit="1" customWidth="1"/>
    <col min="10" max="10" width="20.28515625" style="97" bestFit="1" customWidth="1"/>
    <col min="11" max="11" width="22.42578125" style="97" bestFit="1" customWidth="1"/>
    <col min="12" max="12" width="24.28515625" style="97" bestFit="1" customWidth="1"/>
    <col min="13" max="13" width="15.42578125" style="97" bestFit="1" customWidth="1"/>
    <col min="14" max="14" width="16.7109375" style="97" bestFit="1" customWidth="1"/>
    <col min="15" max="16384" width="8.7109375" style="97"/>
  </cols>
  <sheetData>
    <row r="2" spans="2:14" ht="15" customHeight="1" x14ac:dyDescent="0.25">
      <c r="B2" s="566" t="s">
        <v>338</v>
      </c>
      <c r="C2" s="566" t="s">
        <v>339</v>
      </c>
      <c r="D2" s="567" t="s">
        <v>396</v>
      </c>
      <c r="E2" s="567" t="s">
        <v>397</v>
      </c>
      <c r="F2" s="567" t="s">
        <v>398</v>
      </c>
      <c r="G2" s="567" t="s">
        <v>399</v>
      </c>
      <c r="H2"/>
      <c r="I2"/>
      <c r="J2"/>
      <c r="K2"/>
      <c r="L2"/>
      <c r="M2"/>
      <c r="N2"/>
    </row>
    <row r="3" spans="2:14" x14ac:dyDescent="0.25">
      <c r="B3" s="563" t="s">
        <v>175</v>
      </c>
      <c r="C3" s="562" t="s">
        <v>225</v>
      </c>
      <c r="D3" s="561">
        <v>1800000</v>
      </c>
      <c r="E3" s="561">
        <v>1000000</v>
      </c>
      <c r="F3" s="561">
        <v>1000000</v>
      </c>
      <c r="G3" s="561">
        <v>7500000</v>
      </c>
      <c r="H3"/>
      <c r="I3"/>
      <c r="J3"/>
      <c r="K3"/>
      <c r="L3"/>
      <c r="M3"/>
      <c r="N3"/>
    </row>
    <row r="4" spans="2:14" x14ac:dyDescent="0.25">
      <c r="B4" s="563" t="s">
        <v>175</v>
      </c>
      <c r="C4" s="562" t="s">
        <v>226</v>
      </c>
      <c r="D4" s="561">
        <v>5400000</v>
      </c>
      <c r="E4" s="561">
        <v>7775778</v>
      </c>
      <c r="F4" s="561">
        <v>5400000</v>
      </c>
      <c r="G4" s="561">
        <v>12000000</v>
      </c>
      <c r="H4"/>
      <c r="I4"/>
      <c r="J4"/>
      <c r="K4"/>
      <c r="L4"/>
      <c r="M4"/>
      <c r="N4"/>
    </row>
    <row r="5" spans="2:14" x14ac:dyDescent="0.25">
      <c r="B5" s="563" t="s">
        <v>175</v>
      </c>
      <c r="C5" s="562" t="s">
        <v>227</v>
      </c>
      <c r="D5" s="561">
        <v>1900000</v>
      </c>
      <c r="E5" s="561">
        <v>1840000</v>
      </c>
      <c r="F5" s="561">
        <v>1599500</v>
      </c>
      <c r="G5" s="561">
        <v>6500000</v>
      </c>
      <c r="H5"/>
      <c r="I5"/>
      <c r="J5"/>
      <c r="K5"/>
      <c r="L5"/>
      <c r="M5"/>
      <c r="N5"/>
    </row>
    <row r="6" spans="2:14" x14ac:dyDescent="0.25">
      <c r="B6" s="563" t="s">
        <v>175</v>
      </c>
      <c r="C6" s="562" t="s">
        <v>245</v>
      </c>
      <c r="D6" s="561">
        <v>200000</v>
      </c>
      <c r="E6" s="561">
        <v>1220000</v>
      </c>
      <c r="F6" s="561">
        <v>1000000</v>
      </c>
      <c r="G6" s="561">
        <v>3500000</v>
      </c>
      <c r="H6"/>
      <c r="I6"/>
      <c r="J6"/>
      <c r="K6"/>
      <c r="L6"/>
      <c r="M6"/>
      <c r="N6"/>
    </row>
    <row r="7" spans="2:14" x14ac:dyDescent="0.25">
      <c r="B7" s="563" t="s">
        <v>175</v>
      </c>
      <c r="C7" s="562" t="s">
        <v>247</v>
      </c>
      <c r="D7" s="561">
        <v>6200000</v>
      </c>
      <c r="E7" s="561">
        <v>4817798</v>
      </c>
      <c r="F7" s="561">
        <v>4817798</v>
      </c>
      <c r="G7" s="561">
        <v>12070113</v>
      </c>
      <c r="H7"/>
      <c r="I7"/>
      <c r="J7"/>
      <c r="K7"/>
      <c r="L7"/>
      <c r="M7"/>
      <c r="N7"/>
    </row>
    <row r="8" spans="2:14" x14ac:dyDescent="0.25">
      <c r="B8" s="563" t="s">
        <v>175</v>
      </c>
      <c r="C8" s="562" t="s">
        <v>228</v>
      </c>
      <c r="D8" s="561">
        <v>1600000</v>
      </c>
      <c r="E8" s="561">
        <v>3540000</v>
      </c>
      <c r="F8" s="561">
        <v>1600000</v>
      </c>
      <c r="G8" s="561">
        <v>7000000</v>
      </c>
      <c r="H8"/>
      <c r="I8"/>
      <c r="J8"/>
      <c r="K8"/>
      <c r="L8"/>
      <c r="M8"/>
      <c r="N8"/>
    </row>
    <row r="9" spans="2:14" x14ac:dyDescent="0.25">
      <c r="B9" s="563" t="s">
        <v>175</v>
      </c>
      <c r="C9" s="562" t="s">
        <v>229</v>
      </c>
      <c r="D9" s="561">
        <v>300000</v>
      </c>
      <c r="E9" s="561">
        <v>400000</v>
      </c>
      <c r="F9" s="561">
        <v>300000</v>
      </c>
      <c r="G9" s="561">
        <v>400000</v>
      </c>
      <c r="H9"/>
      <c r="I9"/>
      <c r="J9"/>
      <c r="K9"/>
      <c r="L9"/>
      <c r="M9"/>
      <c r="N9"/>
    </row>
    <row r="10" spans="2:14" x14ac:dyDescent="0.25">
      <c r="B10" s="563" t="s">
        <v>175</v>
      </c>
      <c r="C10" s="562" t="s">
        <v>284</v>
      </c>
      <c r="D10" s="561">
        <v>1400000</v>
      </c>
      <c r="E10" s="561">
        <v>2220000</v>
      </c>
      <c r="F10" s="561">
        <v>1400000</v>
      </c>
      <c r="G10" s="561">
        <v>4800000</v>
      </c>
      <c r="H10"/>
      <c r="I10"/>
      <c r="J10"/>
      <c r="K10"/>
      <c r="L10"/>
      <c r="M10"/>
      <c r="N10"/>
    </row>
    <row r="11" spans="2:14" x14ac:dyDescent="0.25">
      <c r="B11" s="563" t="s">
        <v>175</v>
      </c>
      <c r="C11" s="562" t="s">
        <v>287</v>
      </c>
      <c r="D11" s="561">
        <v>13500000</v>
      </c>
      <c r="E11" s="561">
        <v>15700000</v>
      </c>
      <c r="F11" s="561">
        <v>15700000</v>
      </c>
      <c r="G11" s="561">
        <f>E11</f>
        <v>15700000</v>
      </c>
      <c r="H11"/>
      <c r="I11"/>
      <c r="J11"/>
      <c r="K11"/>
      <c r="L11"/>
      <c r="M11"/>
      <c r="N11"/>
    </row>
    <row r="12" spans="2:14" x14ac:dyDescent="0.25">
      <c r="B12" s="632" t="s">
        <v>401</v>
      </c>
      <c r="C12" s="632"/>
      <c r="D12" s="568">
        <f>SUM(D3:D11)</f>
        <v>32300000</v>
      </c>
      <c r="E12" s="568">
        <f>SUM(E3:E11)</f>
        <v>38513576</v>
      </c>
      <c r="F12" s="568">
        <f>SUM(F3:F11)</f>
        <v>32817298</v>
      </c>
      <c r="G12" s="568">
        <f>SUM(G3:G11)</f>
        <v>69470113</v>
      </c>
      <c r="H12"/>
      <c r="I12"/>
      <c r="J12"/>
      <c r="K12"/>
      <c r="L12"/>
      <c r="M12"/>
      <c r="N12"/>
    </row>
    <row r="13" spans="2:14" x14ac:dyDescent="0.25">
      <c r="B13" s="564" t="s">
        <v>285</v>
      </c>
      <c r="C13" s="565" t="s">
        <v>400</v>
      </c>
      <c r="D13" s="561">
        <v>1134710</v>
      </c>
      <c r="E13" s="561">
        <v>1000000</v>
      </c>
      <c r="F13" s="561">
        <v>900000</v>
      </c>
      <c r="G13" s="561">
        <v>6500000</v>
      </c>
      <c r="H13"/>
      <c r="I13"/>
      <c r="J13"/>
      <c r="K13"/>
      <c r="L13"/>
      <c r="M13"/>
      <c r="N13"/>
    </row>
    <row r="14" spans="2:14" x14ac:dyDescent="0.25">
      <c r="B14" s="564" t="s">
        <v>285</v>
      </c>
      <c r="C14" s="565" t="s">
        <v>226</v>
      </c>
      <c r="D14" s="561">
        <v>10503728.719999999</v>
      </c>
      <c r="E14" s="561">
        <v>16948000</v>
      </c>
      <c r="F14" s="561">
        <v>10500000</v>
      </c>
      <c r="G14" s="561">
        <v>22050000</v>
      </c>
      <c r="H14"/>
      <c r="I14"/>
      <c r="J14"/>
      <c r="K14"/>
      <c r="L14"/>
      <c r="M14"/>
      <c r="N14"/>
    </row>
    <row r="15" spans="2:14" x14ac:dyDescent="0.25">
      <c r="B15" s="564" t="s">
        <v>285</v>
      </c>
      <c r="C15" s="565" t="s">
        <v>227</v>
      </c>
      <c r="D15" s="561">
        <v>1751000</v>
      </c>
      <c r="E15" s="561">
        <v>2200000</v>
      </c>
      <c r="F15" s="561">
        <v>1800000</v>
      </c>
      <c r="G15" s="561">
        <v>7000000</v>
      </c>
      <c r="H15"/>
      <c r="I15"/>
      <c r="J15"/>
      <c r="K15"/>
      <c r="L15"/>
      <c r="M15"/>
      <c r="N15"/>
    </row>
    <row r="16" spans="2:14" x14ac:dyDescent="0.25">
      <c r="B16" s="564" t="s">
        <v>285</v>
      </c>
      <c r="C16" s="565" t="s">
        <v>245</v>
      </c>
      <c r="D16" s="561">
        <v>1111779.04</v>
      </c>
      <c r="E16" s="561">
        <v>1500000</v>
      </c>
      <c r="F16" s="561">
        <v>1100000</v>
      </c>
      <c r="G16" s="561">
        <v>3500000</v>
      </c>
      <c r="H16"/>
      <c r="I16"/>
      <c r="J16"/>
      <c r="K16"/>
      <c r="L16"/>
      <c r="M16"/>
      <c r="N16"/>
    </row>
    <row r="17" spans="2:14" x14ac:dyDescent="0.25">
      <c r="B17" s="564" t="s">
        <v>285</v>
      </c>
      <c r="C17" s="565" t="s">
        <v>247</v>
      </c>
      <c r="D17" s="561">
        <v>13418576</v>
      </c>
      <c r="E17" s="561">
        <v>10268452</v>
      </c>
      <c r="F17" s="561">
        <v>8306901</v>
      </c>
      <c r="G17" s="561">
        <v>27304858</v>
      </c>
      <c r="H17"/>
      <c r="I17"/>
      <c r="J17"/>
      <c r="K17"/>
      <c r="L17"/>
      <c r="M17"/>
      <c r="N17"/>
    </row>
    <row r="18" spans="2:14" x14ac:dyDescent="0.25">
      <c r="B18" s="564" t="s">
        <v>285</v>
      </c>
      <c r="C18" s="565" t="s">
        <v>228</v>
      </c>
      <c r="D18" s="561">
        <v>2859426.82</v>
      </c>
      <c r="E18" s="561">
        <v>4000000</v>
      </c>
      <c r="F18" s="561">
        <v>2900000</v>
      </c>
      <c r="G18" s="561">
        <v>5000000</v>
      </c>
      <c r="H18"/>
      <c r="I18"/>
      <c r="J18"/>
      <c r="K18"/>
      <c r="L18"/>
      <c r="M18"/>
      <c r="N18"/>
    </row>
    <row r="19" spans="2:14" x14ac:dyDescent="0.25">
      <c r="B19" s="564" t="s">
        <v>285</v>
      </c>
      <c r="C19" s="565" t="s">
        <v>229</v>
      </c>
      <c r="D19" s="561">
        <v>50000</v>
      </c>
      <c r="E19" s="561">
        <v>200000</v>
      </c>
      <c r="F19" s="561">
        <v>100000</v>
      </c>
      <c r="G19" s="561">
        <v>200000</v>
      </c>
      <c r="H19"/>
      <c r="I19"/>
      <c r="J19"/>
      <c r="K19"/>
      <c r="L19"/>
      <c r="M19"/>
      <c r="N19"/>
    </row>
    <row r="20" spans="2:14" x14ac:dyDescent="0.25">
      <c r="B20" s="564" t="s">
        <v>285</v>
      </c>
      <c r="C20" s="565" t="s">
        <v>287</v>
      </c>
      <c r="D20" s="561">
        <v>25810928.600000001</v>
      </c>
      <c r="E20" s="561">
        <v>28089211</v>
      </c>
      <c r="F20" s="561">
        <v>28089211</v>
      </c>
      <c r="G20" s="561">
        <v>28089211</v>
      </c>
      <c r="H20"/>
      <c r="I20"/>
      <c r="J20"/>
      <c r="K20"/>
      <c r="L20"/>
      <c r="M20"/>
      <c r="N20"/>
    </row>
    <row r="21" spans="2:14" x14ac:dyDescent="0.25">
      <c r="B21" s="564" t="s">
        <v>285</v>
      </c>
      <c r="C21" s="565" t="s">
        <v>192</v>
      </c>
      <c r="D21" s="561">
        <v>923975</v>
      </c>
      <c r="E21" s="561">
        <v>1500000</v>
      </c>
      <c r="F21" s="561">
        <v>500000</v>
      </c>
      <c r="G21" s="561">
        <v>2200000</v>
      </c>
      <c r="H21"/>
      <c r="I21"/>
      <c r="J21"/>
      <c r="K21"/>
      <c r="L21"/>
      <c r="M21"/>
      <c r="N21"/>
    </row>
    <row r="22" spans="2:14" x14ac:dyDescent="0.25">
      <c r="B22" s="564" t="s">
        <v>285</v>
      </c>
      <c r="C22" s="565" t="s">
        <v>304</v>
      </c>
      <c r="D22" s="561">
        <v>2411968</v>
      </c>
      <c r="E22" s="561">
        <v>3200000</v>
      </c>
      <c r="F22" s="561">
        <v>3200000</v>
      </c>
      <c r="G22" s="561">
        <v>3200000</v>
      </c>
      <c r="H22"/>
      <c r="I22"/>
      <c r="J22"/>
      <c r="K22"/>
      <c r="L22"/>
      <c r="M22"/>
      <c r="N22"/>
    </row>
    <row r="23" spans="2:14" x14ac:dyDescent="0.25">
      <c r="B23" s="632" t="s">
        <v>402</v>
      </c>
      <c r="C23" s="632"/>
      <c r="D23" s="568">
        <f>SUM(D13:D22)</f>
        <v>59976092.18</v>
      </c>
      <c r="E23" s="568">
        <f t="shared" ref="E23:G23" si="0">SUM(E13:E22)</f>
        <v>68905663</v>
      </c>
      <c r="F23" s="568">
        <f t="shared" si="0"/>
        <v>57396112</v>
      </c>
      <c r="G23" s="568">
        <f t="shared" si="0"/>
        <v>105044069</v>
      </c>
      <c r="H23"/>
      <c r="I23"/>
      <c r="J23"/>
      <c r="K23"/>
      <c r="L23"/>
      <c r="M23"/>
      <c r="N23"/>
    </row>
    <row r="24" spans="2:14" ht="15.75" x14ac:dyDescent="0.25">
      <c r="B24" s="633" t="s">
        <v>159</v>
      </c>
      <c r="C24" s="633"/>
      <c r="D24" s="569">
        <f>D12+D23</f>
        <v>92276092.180000007</v>
      </c>
      <c r="E24" s="569">
        <f t="shared" ref="E24:G24" si="1">E12+E23</f>
        <v>107419239</v>
      </c>
      <c r="F24" s="569">
        <f t="shared" si="1"/>
        <v>90213410</v>
      </c>
      <c r="G24" s="569">
        <f t="shared" si="1"/>
        <v>174514182</v>
      </c>
      <c r="H24"/>
      <c r="I24"/>
      <c r="J24"/>
      <c r="K24"/>
      <c r="L24"/>
      <c r="M24"/>
      <c r="N24"/>
    </row>
    <row r="26" spans="2:14" x14ac:dyDescent="0.25">
      <c r="C26"/>
      <c r="D26"/>
      <c r="E26"/>
      <c r="F26"/>
    </row>
    <row r="27" spans="2:14" x14ac:dyDescent="0.25">
      <c r="C27"/>
      <c r="D27"/>
      <c r="E27"/>
      <c r="F27"/>
    </row>
    <row r="28" spans="2:14" x14ac:dyDescent="0.25">
      <c r="C28"/>
      <c r="D28"/>
      <c r="E28"/>
      <c r="F28"/>
    </row>
    <row r="29" spans="2:14" x14ac:dyDescent="0.25">
      <c r="C29"/>
      <c r="D29"/>
      <c r="E29"/>
      <c r="F29"/>
    </row>
    <row r="30" spans="2:14" x14ac:dyDescent="0.25">
      <c r="C30"/>
      <c r="D30"/>
      <c r="E30"/>
      <c r="F30"/>
    </row>
    <row r="31" spans="2:14" x14ac:dyDescent="0.25">
      <c r="C31"/>
      <c r="D31"/>
      <c r="E31"/>
      <c r="F31"/>
    </row>
    <row r="32" spans="2:14" x14ac:dyDescent="0.25">
      <c r="C32"/>
      <c r="D32"/>
      <c r="E32"/>
      <c r="F32"/>
    </row>
    <row r="33" spans="3:6" x14ac:dyDescent="0.25">
      <c r="C33"/>
      <c r="D33"/>
      <c r="E33"/>
      <c r="F33"/>
    </row>
    <row r="34" spans="3:6" x14ac:dyDescent="0.25">
      <c r="C34"/>
      <c r="D34"/>
      <c r="E34"/>
      <c r="F34"/>
    </row>
    <row r="35" spans="3:6" x14ac:dyDescent="0.25">
      <c r="C35"/>
      <c r="D35"/>
      <c r="E35"/>
      <c r="F35"/>
    </row>
  </sheetData>
  <mergeCells count="3">
    <mergeCell ref="B12:C12"/>
    <mergeCell ref="B23:C23"/>
    <mergeCell ref="B24:C2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7A72A-236A-42EF-BB9F-36257E2B163E}">
  <dimension ref="B2:H24"/>
  <sheetViews>
    <sheetView showGridLines="0" zoomScale="75" zoomScaleNormal="75" workbookViewId="0">
      <selection activeCell="B2" sqref="B2"/>
    </sheetView>
  </sheetViews>
  <sheetFormatPr defaultColWidth="8.7109375" defaultRowHeight="15" x14ac:dyDescent="0.25"/>
  <cols>
    <col min="1" max="1" width="8.7109375" style="97"/>
    <col min="2" max="2" width="20.28515625" style="97" customWidth="1"/>
    <col min="3" max="3" width="22.42578125" style="97" bestFit="1" customWidth="1"/>
    <col min="4" max="4" width="19.140625" style="97" bestFit="1" customWidth="1"/>
    <col min="5" max="5" width="24.28515625" style="97" bestFit="1" customWidth="1"/>
    <col min="6" max="6" width="15.42578125" style="97" bestFit="1" customWidth="1"/>
    <col min="7" max="7" width="16.7109375" style="97" bestFit="1" customWidth="1"/>
    <col min="8" max="8" width="18.7109375" style="97" customWidth="1"/>
    <col min="9" max="9" width="11.85546875" style="97" bestFit="1" customWidth="1"/>
    <col min="10" max="16384" width="8.7109375" style="97"/>
  </cols>
  <sheetData>
    <row r="2" spans="2:7" ht="15" customHeight="1" x14ac:dyDescent="0.25">
      <c r="B2" s="566" t="s">
        <v>338</v>
      </c>
      <c r="C2" s="566" t="s">
        <v>339</v>
      </c>
      <c r="D2" s="567" t="s">
        <v>396</v>
      </c>
      <c r="E2" s="567" t="s">
        <v>397</v>
      </c>
      <c r="F2" s="567" t="s">
        <v>398</v>
      </c>
      <c r="G2" s="567" t="s">
        <v>399</v>
      </c>
    </row>
    <row r="3" spans="2:7" x14ac:dyDescent="0.25">
      <c r="B3" s="563" t="s">
        <v>175</v>
      </c>
      <c r="C3" s="570" t="s">
        <v>225</v>
      </c>
      <c r="D3" s="571">
        <v>1800000</v>
      </c>
      <c r="E3" s="571">
        <v>1000000</v>
      </c>
      <c r="F3" s="571">
        <f>E3</f>
        <v>1000000</v>
      </c>
      <c r="G3" s="571">
        <v>7500000</v>
      </c>
    </row>
    <row r="4" spans="2:7" x14ac:dyDescent="0.25">
      <c r="B4" s="563" t="s">
        <v>175</v>
      </c>
      <c r="C4" s="570" t="s">
        <v>226</v>
      </c>
      <c r="D4" s="571">
        <v>5400000</v>
      </c>
      <c r="E4" s="571">
        <v>7775778</v>
      </c>
      <c r="F4" s="571">
        <f>D4</f>
        <v>5400000</v>
      </c>
      <c r="G4" s="571">
        <v>16000000</v>
      </c>
    </row>
    <row r="5" spans="2:7" x14ac:dyDescent="0.25">
      <c r="B5" s="563" t="s">
        <v>175</v>
      </c>
      <c r="C5" s="570" t="s">
        <v>227</v>
      </c>
      <c r="D5" s="571">
        <v>1900000</v>
      </c>
      <c r="E5" s="571">
        <v>1840000</v>
      </c>
      <c r="F5" s="571">
        <v>1599500</v>
      </c>
      <c r="G5" s="571">
        <v>6500000</v>
      </c>
    </row>
    <row r="6" spans="2:7" x14ac:dyDescent="0.25">
      <c r="B6" s="563" t="s">
        <v>175</v>
      </c>
      <c r="C6" s="570" t="s">
        <v>245</v>
      </c>
      <c r="D6" s="571">
        <v>200000</v>
      </c>
      <c r="E6" s="571">
        <v>1220000</v>
      </c>
      <c r="F6" s="571">
        <v>1000000</v>
      </c>
      <c r="G6" s="571">
        <v>3500000</v>
      </c>
    </row>
    <row r="7" spans="2:7" x14ac:dyDescent="0.25">
      <c r="B7" s="563" t="s">
        <v>175</v>
      </c>
      <c r="C7" s="570" t="s">
        <v>247</v>
      </c>
      <c r="D7" s="571">
        <v>6200000</v>
      </c>
      <c r="E7" s="571">
        <v>4817798</v>
      </c>
      <c r="F7" s="571">
        <f>E7</f>
        <v>4817798</v>
      </c>
      <c r="G7" s="571">
        <v>12070113</v>
      </c>
    </row>
    <row r="8" spans="2:7" x14ac:dyDescent="0.25">
      <c r="B8" s="563" t="s">
        <v>175</v>
      </c>
      <c r="C8" s="570" t="s">
        <v>228</v>
      </c>
      <c r="D8" s="571">
        <v>1600000</v>
      </c>
      <c r="E8" s="571">
        <v>3540000</v>
      </c>
      <c r="F8" s="571">
        <f>D8</f>
        <v>1600000</v>
      </c>
      <c r="G8" s="571">
        <v>7000000</v>
      </c>
    </row>
    <row r="9" spans="2:7" x14ac:dyDescent="0.25">
      <c r="B9" s="563" t="s">
        <v>175</v>
      </c>
      <c r="C9" s="570" t="s">
        <v>229</v>
      </c>
      <c r="D9" s="571">
        <v>300000</v>
      </c>
      <c r="E9" s="571">
        <v>400000</v>
      </c>
      <c r="F9" s="571">
        <v>300000</v>
      </c>
      <c r="G9" s="571">
        <v>400000</v>
      </c>
    </row>
    <row r="10" spans="2:7" x14ac:dyDescent="0.25">
      <c r="B10" s="563" t="s">
        <v>175</v>
      </c>
      <c r="C10" s="570" t="s">
        <v>284</v>
      </c>
      <c r="D10" s="571">
        <v>1400000</v>
      </c>
      <c r="E10" s="571">
        <v>2220000</v>
      </c>
      <c r="F10" s="571">
        <f>D10</f>
        <v>1400000</v>
      </c>
      <c r="G10" s="571">
        <v>4800000</v>
      </c>
    </row>
    <row r="11" spans="2:7" x14ac:dyDescent="0.25">
      <c r="B11" s="563" t="s">
        <v>175</v>
      </c>
      <c r="C11" s="570" t="s">
        <v>287</v>
      </c>
      <c r="D11" s="571">
        <v>13500000</v>
      </c>
      <c r="E11" s="571">
        <v>15700000</v>
      </c>
      <c r="F11" s="571">
        <f>E11</f>
        <v>15700000</v>
      </c>
      <c r="G11" s="571">
        <f>E11</f>
        <v>15700000</v>
      </c>
    </row>
    <row r="12" spans="2:7" x14ac:dyDescent="0.25">
      <c r="B12" s="632" t="s">
        <v>401</v>
      </c>
      <c r="C12" s="632"/>
      <c r="D12" s="568">
        <f>SUM(D3:D11)</f>
        <v>32300000</v>
      </c>
      <c r="E12" s="568">
        <f>SUM(E3:E11)</f>
        <v>38513576</v>
      </c>
      <c r="F12" s="568">
        <f>SUM(F3:F11)</f>
        <v>32817298</v>
      </c>
      <c r="G12" s="568">
        <f>SUM(G3:G11)</f>
        <v>73470113</v>
      </c>
    </row>
    <row r="13" spans="2:7" x14ac:dyDescent="0.25">
      <c r="B13" s="564" t="s">
        <v>285</v>
      </c>
      <c r="C13" s="572" t="s">
        <v>400</v>
      </c>
      <c r="D13" s="571">
        <v>1134710</v>
      </c>
      <c r="E13" s="571">
        <v>1000000</v>
      </c>
      <c r="F13" s="571">
        <v>900000</v>
      </c>
      <c r="G13" s="571">
        <v>6500000</v>
      </c>
    </row>
    <row r="14" spans="2:7" x14ac:dyDescent="0.25">
      <c r="B14" s="564" t="s">
        <v>285</v>
      </c>
      <c r="C14" s="572" t="s">
        <v>226</v>
      </c>
      <c r="D14" s="571">
        <v>10503728.719999999</v>
      </c>
      <c r="E14" s="571">
        <v>16948000</v>
      </c>
      <c r="F14" s="571">
        <v>10500000</v>
      </c>
      <c r="G14" s="571">
        <v>28000000</v>
      </c>
    </row>
    <row r="15" spans="2:7" x14ac:dyDescent="0.25">
      <c r="B15" s="564" t="s">
        <v>285</v>
      </c>
      <c r="C15" s="572" t="s">
        <v>227</v>
      </c>
      <c r="D15" s="571">
        <v>1751000</v>
      </c>
      <c r="E15" s="571">
        <v>2200000</v>
      </c>
      <c r="F15" s="571">
        <v>1800000</v>
      </c>
      <c r="G15" s="571">
        <v>7000000</v>
      </c>
    </row>
    <row r="16" spans="2:7" x14ac:dyDescent="0.25">
      <c r="B16" s="564" t="s">
        <v>285</v>
      </c>
      <c r="C16" s="572" t="s">
        <v>245</v>
      </c>
      <c r="D16" s="571">
        <v>1111779.04</v>
      </c>
      <c r="E16" s="571">
        <v>1500000</v>
      </c>
      <c r="F16" s="571">
        <v>1100000</v>
      </c>
      <c r="G16" s="571">
        <v>3500000</v>
      </c>
    </row>
    <row r="17" spans="2:8" x14ac:dyDescent="0.25">
      <c r="B17" s="564" t="s">
        <v>285</v>
      </c>
      <c r="C17" s="572" t="s">
        <v>247</v>
      </c>
      <c r="D17" s="571">
        <v>13418576</v>
      </c>
      <c r="E17" s="571">
        <v>10268452</v>
      </c>
      <c r="F17" s="571">
        <v>8306901</v>
      </c>
      <c r="G17" s="571">
        <v>27304858</v>
      </c>
    </row>
    <row r="18" spans="2:8" x14ac:dyDescent="0.25">
      <c r="B18" s="564" t="s">
        <v>285</v>
      </c>
      <c r="C18" s="572" t="s">
        <v>228</v>
      </c>
      <c r="D18" s="571">
        <v>2859426.82</v>
      </c>
      <c r="E18" s="571">
        <v>4000000</v>
      </c>
      <c r="F18" s="571">
        <v>2900000</v>
      </c>
      <c r="G18" s="571">
        <v>5000000</v>
      </c>
    </row>
    <row r="19" spans="2:8" x14ac:dyDescent="0.25">
      <c r="B19" s="564" t="s">
        <v>285</v>
      </c>
      <c r="C19" s="572" t="s">
        <v>229</v>
      </c>
      <c r="D19" s="571">
        <v>50000</v>
      </c>
      <c r="E19" s="571">
        <v>200000</v>
      </c>
      <c r="F19" s="571">
        <v>100000</v>
      </c>
      <c r="G19" s="571">
        <v>200000</v>
      </c>
    </row>
    <row r="20" spans="2:8" x14ac:dyDescent="0.25">
      <c r="B20" s="564" t="s">
        <v>285</v>
      </c>
      <c r="C20" s="572" t="s">
        <v>287</v>
      </c>
      <c r="D20" s="571">
        <v>25810928.600000001</v>
      </c>
      <c r="E20" s="571">
        <v>28089211</v>
      </c>
      <c r="F20" s="571">
        <v>28089211</v>
      </c>
      <c r="G20" s="571">
        <v>28089211</v>
      </c>
      <c r="H20"/>
    </row>
    <row r="21" spans="2:8" x14ac:dyDescent="0.25">
      <c r="B21" s="564" t="s">
        <v>285</v>
      </c>
      <c r="C21" s="572" t="s">
        <v>192</v>
      </c>
      <c r="D21" s="571">
        <v>923975</v>
      </c>
      <c r="E21" s="571">
        <v>1500000</v>
      </c>
      <c r="F21" s="571">
        <v>500000</v>
      </c>
      <c r="G21" s="571">
        <v>2200000</v>
      </c>
    </row>
    <row r="22" spans="2:8" x14ac:dyDescent="0.25">
      <c r="B22" s="564" t="s">
        <v>285</v>
      </c>
      <c r="C22" s="572" t="s">
        <v>304</v>
      </c>
      <c r="D22" s="571">
        <v>2411968</v>
      </c>
      <c r="E22" s="571">
        <v>3200000</v>
      </c>
      <c r="F22" s="571">
        <v>3200000</v>
      </c>
      <c r="G22" s="571">
        <v>3200000</v>
      </c>
    </row>
    <row r="23" spans="2:8" x14ac:dyDescent="0.25">
      <c r="B23" s="632" t="s">
        <v>402</v>
      </c>
      <c r="C23" s="632"/>
      <c r="D23" s="568">
        <f>SUM(D13:D22)</f>
        <v>59976092.18</v>
      </c>
      <c r="E23" s="568">
        <f t="shared" ref="E23:G23" si="0">SUM(E13:E22)</f>
        <v>68905663</v>
      </c>
      <c r="F23" s="568">
        <f t="shared" si="0"/>
        <v>57396112</v>
      </c>
      <c r="G23" s="568">
        <f t="shared" si="0"/>
        <v>110994069</v>
      </c>
    </row>
    <row r="24" spans="2:8" ht="15.75" x14ac:dyDescent="0.25">
      <c r="B24" s="633" t="s">
        <v>159</v>
      </c>
      <c r="C24" s="633"/>
      <c r="D24" s="569">
        <f>D12+D23</f>
        <v>92276092.180000007</v>
      </c>
      <c r="E24" s="569">
        <f t="shared" ref="E24:G24" si="1">E12+E23</f>
        <v>107419239</v>
      </c>
      <c r="F24" s="569">
        <f t="shared" si="1"/>
        <v>90213410</v>
      </c>
      <c r="G24" s="569">
        <f t="shared" si="1"/>
        <v>184464182</v>
      </c>
    </row>
  </sheetData>
  <mergeCells count="3">
    <mergeCell ref="B12:C12"/>
    <mergeCell ref="B23:C23"/>
    <mergeCell ref="B24:C2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37C6-B9C3-4F5E-A7A0-0F04BD610DFA}">
  <sheetPr>
    <pageSetUpPr autoPageBreaks="0"/>
  </sheetPr>
  <dimension ref="A3:AB81"/>
  <sheetViews>
    <sheetView showGridLines="0" topLeftCell="B1" zoomScale="75" zoomScaleNormal="75" workbookViewId="0">
      <selection activeCell="P57" sqref="P57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hidden="1" customWidth="1"/>
    <col min="19" max="19" width="13.28515625" style="97" hidden="1" customWidth="1"/>
    <col min="20" max="20" width="13.85546875" style="97" hidden="1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02" t="s">
        <v>350</v>
      </c>
      <c r="G4" s="602"/>
      <c r="H4" s="602"/>
      <c r="I4" s="602"/>
      <c r="J4" s="602"/>
      <c r="K4" s="602"/>
      <c r="L4" s="602"/>
      <c r="M4" s="602"/>
      <c r="N4" s="602"/>
      <c r="O4" s="602"/>
      <c r="P4" s="602"/>
      <c r="Q4" s="550"/>
      <c r="R4" s="550"/>
      <c r="S4" s="550"/>
      <c r="T4" s="550"/>
    </row>
    <row r="5" spans="1:28" ht="36" customHeight="1" x14ac:dyDescent="0.25">
      <c r="F5" s="598" t="s">
        <v>310</v>
      </c>
      <c r="G5" s="599"/>
      <c r="H5" s="600"/>
      <c r="I5" s="181"/>
      <c r="J5" s="629" t="s">
        <v>427</v>
      </c>
      <c r="K5" s="630"/>
      <c r="L5" s="631"/>
      <c r="N5" s="629" t="s">
        <v>428</v>
      </c>
      <c r="O5" s="630"/>
      <c r="P5" s="631"/>
      <c r="Q5" s="503"/>
      <c r="R5" s="629" t="s">
        <v>352</v>
      </c>
      <c r="S5" s="630"/>
      <c r="T5" s="631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1000000</v>
      </c>
      <c r="K7" s="370">
        <v>0</v>
      </c>
      <c r="L7" s="372">
        <v>3608306.5090601984</v>
      </c>
      <c r="M7" s="367"/>
      <c r="N7" s="380">
        <v>3043462.9999999995</v>
      </c>
      <c r="O7" s="370">
        <v>2.0434629999999996</v>
      </c>
      <c r="P7" s="372">
        <v>7667128.4798888173</v>
      </c>
      <c r="Q7" s="369"/>
      <c r="R7" s="380">
        <v>1477446.4670283725</v>
      </c>
      <c r="S7" s="370">
        <v>0.47744646702837246</v>
      </c>
      <c r="T7" s="372">
        <v>6815212.4286170546</v>
      </c>
      <c r="U7" s="180"/>
      <c r="V7" s="185">
        <f>VAC_Optim_Scenario!$H51</f>
        <v>1540173.2513926297</v>
      </c>
      <c r="W7" s="177">
        <f>(V7-$C7)/$C7</f>
        <v>0.54017325139262973</v>
      </c>
      <c r="X7" s="185">
        <f>VAC_Optim_Scenario!$J51</f>
        <v>5027050.4165755827</v>
      </c>
      <c r="Y7" s="185">
        <f>J7-V7</f>
        <v>-540173.2513926297</v>
      </c>
      <c r="Z7" s="490">
        <f>$F7-'[1]Scenario deep dive'!$F7</f>
        <v>0</v>
      </c>
      <c r="AA7" s="493">
        <f>$J7-'[1]Scenario deep dive'!$J7</f>
        <v>-172914.32590990257</v>
      </c>
      <c r="AB7" s="493">
        <f>$N7-'[1]Scenario deep dive'!$N7</f>
        <v>1388874.287671203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7998999.8847845653</v>
      </c>
      <c r="G8" s="370">
        <v>2.8707337681781207E-2</v>
      </c>
      <c r="H8" s="372">
        <v>81778277.188084155</v>
      </c>
      <c r="I8" s="369"/>
      <c r="J8" s="380">
        <v>11993030.54694166</v>
      </c>
      <c r="K8" s="370">
        <v>0.54235763250206737</v>
      </c>
      <c r="L8" s="372">
        <v>95091073.361569613</v>
      </c>
      <c r="M8" s="371"/>
      <c r="N8" s="380">
        <v>12000000.000000002</v>
      </c>
      <c r="O8" s="370">
        <v>0.54325393549044243</v>
      </c>
      <c r="P8" s="372">
        <v>95112539.846490338</v>
      </c>
      <c r="Q8" s="369"/>
      <c r="R8" s="380">
        <v>11653434.194842588</v>
      </c>
      <c r="S8" s="370">
        <v>0.49868401526414313</v>
      </c>
      <c r="T8" s="372">
        <v>97889996.867404997</v>
      </c>
      <c r="U8" s="180"/>
      <c r="V8" s="185">
        <f>VAC_Optim_Scenario!$H52</f>
        <v>13899615.099674361</v>
      </c>
      <c r="W8" s="177">
        <f t="shared" ref="W8:W22" si="0">(V8-$C8)/$C8</f>
        <v>0.78755297536456936</v>
      </c>
      <c r="X8" s="185">
        <f>VAC_Optim_Scenario!$J52</f>
        <v>100236529.00149192</v>
      </c>
      <c r="Y8" s="185">
        <f t="shared" ref="Y8:Y25" si="1">J8-V8</f>
        <v>-1906584.5527327005</v>
      </c>
      <c r="Z8" s="491">
        <f>$F8-'[1]Scenario deep dive'!$F8</f>
        <v>-4662.7890975764021</v>
      </c>
      <c r="AA8" s="494">
        <f>$J8-'[1]Scenario deep dive'!$J8</f>
        <v>1211950.7465391159</v>
      </c>
      <c r="AB8" s="494">
        <f>$N8-'[1]Scenario deep dive'!$N8</f>
        <v>0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6500000</v>
      </c>
      <c r="K9" s="370">
        <v>2.5326086956521738</v>
      </c>
      <c r="L9" s="372">
        <v>33959534.839013599</v>
      </c>
      <c r="M9" s="371"/>
      <c r="N9" s="380">
        <v>6500000</v>
      </c>
      <c r="O9" s="370">
        <v>2.5326086956521738</v>
      </c>
      <c r="P9" s="372">
        <v>33959534.839013599</v>
      </c>
      <c r="Q9" s="369"/>
      <c r="R9" s="380">
        <v>5433719.4069541646</v>
      </c>
      <c r="S9" s="370">
        <v>1.9531083733446546</v>
      </c>
      <c r="T9" s="372">
        <v>30498048.005856685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33959534.839013599</v>
      </c>
      <c r="Y9" s="185">
        <f t="shared" si="1"/>
        <v>0</v>
      </c>
      <c r="Z9" s="491">
        <f>$F9-'[1]Scenario deep dive'!$F9</f>
        <v>0</v>
      </c>
      <c r="AA9" s="494">
        <f>$J9-'[1]Scenario deep dive'!$J9</f>
        <v>2512081.9027734757</v>
      </c>
      <c r="AB9" s="494">
        <f>$N9-'[1]Scenario deep dive'!$N9</f>
        <v>0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11381455.378347313</v>
      </c>
      <c r="K11" s="370">
        <v>1.3623770399562856</v>
      </c>
      <c r="L11" s="372">
        <v>50115675.107901268</v>
      </c>
      <c r="M11" s="371"/>
      <c r="N11" s="380">
        <v>12070113</v>
      </c>
      <c r="O11" s="370">
        <v>1.5053173669796867</v>
      </c>
      <c r="P11" s="372">
        <v>52219542.21615728</v>
      </c>
      <c r="Q11" s="369"/>
      <c r="R11" s="380">
        <v>8472745.2524451073</v>
      </c>
      <c r="S11" s="370">
        <v>0.75863439115652154</v>
      </c>
      <c r="T11" s="372">
        <v>40761675.682919972</v>
      </c>
      <c r="U11" s="180"/>
      <c r="V11" s="185">
        <f>VAC_Optim_Scenario!$H55</f>
        <v>12070112.999999998</v>
      </c>
      <c r="W11" s="177">
        <f t="shared" si="0"/>
        <v>1.5053173669796862</v>
      </c>
      <c r="X11" s="185">
        <f>VAC_Optim_Scenario!$J55</f>
        <v>52219542.216157258</v>
      </c>
      <c r="Y11" s="185">
        <f t="shared" si="1"/>
        <v>-688657.62165268511</v>
      </c>
      <c r="Z11" s="491">
        <f>$F11-'[1]Scenario deep dive'!$F11</f>
        <v>0</v>
      </c>
      <c r="AA11" s="494">
        <f>$J11-'[1]Scenario deep dive'!$J11</f>
        <v>5772413.9273656309</v>
      </c>
      <c r="AB11" s="494">
        <f>$N11-'[1]Scenario deep dive'!$N11</f>
        <v>1297756.1084671319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5739090.0811181637</v>
      </c>
      <c r="K12" s="370">
        <v>0.62121188732151511</v>
      </c>
      <c r="L12" s="372">
        <v>49046233.328135483</v>
      </c>
      <c r="M12" s="371"/>
      <c r="N12" s="380">
        <v>7000000</v>
      </c>
      <c r="O12" s="370">
        <v>0.97740112994350281</v>
      </c>
      <c r="P12" s="372">
        <v>52254717.406990029</v>
      </c>
      <c r="Q12" s="369"/>
      <c r="R12" s="380">
        <v>5457181.4787297705</v>
      </c>
      <c r="S12" s="370">
        <v>0.54157668890671484</v>
      </c>
      <c r="T12" s="372">
        <v>48137663.740853444</v>
      </c>
      <c r="U12" s="180"/>
      <c r="V12" s="185">
        <f>VAC_Optim_Scenario!$H56</f>
        <v>6603674.6489330456</v>
      </c>
      <c r="W12" s="177">
        <f t="shared" si="0"/>
        <v>0.86544481608278123</v>
      </c>
      <c r="X12" s="185">
        <f>VAC_Optim_Scenario!$J56</f>
        <v>51379707.531912059</v>
      </c>
      <c r="Y12" s="185">
        <f t="shared" si="1"/>
        <v>-864584.56781488191</v>
      </c>
      <c r="Z12" s="491">
        <f>$F12-'[1]Scenario deep dive'!$F12</f>
        <v>4027.4115999196656</v>
      </c>
      <c r="AA12" s="494">
        <f>$J12-'[1]Scenario deep dive'!$J12</f>
        <v>676467.69485004991</v>
      </c>
      <c r="AB12" s="494">
        <f>$N12-'[1]Scenario deep dive'!$N12</f>
        <v>1313369.5635601468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15700000</v>
      </c>
      <c r="K15" s="370">
        <v>0</v>
      </c>
      <c r="L15" s="372">
        <v>63695224.07626316</v>
      </c>
      <c r="M15" s="371"/>
      <c r="N15" s="380">
        <v>15700000</v>
      </c>
      <c r="O15" s="370">
        <v>0</v>
      </c>
      <c r="P15" s="372">
        <v>63695224.07626316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0</v>
      </c>
      <c r="Z15" s="492">
        <f>$F15-'[1]Scenario deep dive'!$F15</f>
        <v>0</v>
      </c>
      <c r="AA15" s="494">
        <f>$J15-'[1]Scenario deep dive'!$J15</f>
        <v>-1188801</v>
      </c>
      <c r="AB15" s="494">
        <f>$N15-'[1]Scenario deep dive'!$N15</f>
        <v>-1188801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904451.29161394853</v>
      </c>
      <c r="M16" s="371"/>
      <c r="N16" s="379">
        <v>900000</v>
      </c>
      <c r="O16" s="366">
        <v>-0.1</v>
      </c>
      <c r="P16" s="368">
        <v>904451.29161394853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20333699.638065696</v>
      </c>
      <c r="G17" s="370">
        <v>0.19976986299655983</v>
      </c>
      <c r="H17" s="372">
        <v>103711863.92886993</v>
      </c>
      <c r="I17" s="369"/>
      <c r="J17" s="380">
        <v>22050000</v>
      </c>
      <c r="K17" s="370">
        <v>0.30103847061600186</v>
      </c>
      <c r="L17" s="372">
        <v>107902349.4303626</v>
      </c>
      <c r="M17" s="371"/>
      <c r="N17" s="380">
        <v>22050000</v>
      </c>
      <c r="O17" s="370">
        <v>0.30103847061600186</v>
      </c>
      <c r="P17" s="372">
        <v>107902349.4303626</v>
      </c>
      <c r="Q17" s="369"/>
      <c r="R17" s="380">
        <v>21000000</v>
      </c>
      <c r="S17" s="370">
        <v>0.2390842577295256</v>
      </c>
      <c r="T17" s="372">
        <v>105724786.72171538</v>
      </c>
      <c r="U17" s="180"/>
      <c r="V17" s="185">
        <f>VAC_Optim_Scenario!$H62</f>
        <v>28000000</v>
      </c>
      <c r="W17" s="177">
        <f t="shared" si="0"/>
        <v>0.65211234363936743</v>
      </c>
      <c r="X17" s="185">
        <f>VAC_Optim_Scenario!$J62</f>
        <v>122303515.20283259</v>
      </c>
      <c r="Y17" s="185">
        <f t="shared" si="1"/>
        <v>-5950000</v>
      </c>
      <c r="Z17" s="491">
        <f>$F17-'[2]Scenario deep dive'!$F8</f>
        <v>972.85154687613249</v>
      </c>
      <c r="AA17" s="494">
        <f>$J17-'[2]Scenario deep dive'!$J8</f>
        <v>1050000</v>
      </c>
      <c r="AB17" s="494">
        <f>$N17-'[2]Scenario deep dive'!$N8</f>
        <v>1050000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6033284.4160682932</v>
      </c>
      <c r="K18" s="370">
        <v>1.7424020073037696</v>
      </c>
      <c r="L18" s="372">
        <v>11305839.902280608</v>
      </c>
      <c r="M18" s="371"/>
      <c r="N18" s="380">
        <v>5155163.6098676501</v>
      </c>
      <c r="O18" s="370">
        <v>1.3432561863034773</v>
      </c>
      <c r="P18" s="372">
        <v>10287646.28642359</v>
      </c>
      <c r="Q18" s="369"/>
      <c r="R18" s="380">
        <v>2282368.4526044191</v>
      </c>
      <c r="S18" s="370">
        <v>3.7440205729281403E-2</v>
      </c>
      <c r="T18" s="372">
        <v>6309602.5797727108</v>
      </c>
      <c r="U18" s="180"/>
      <c r="V18" s="185">
        <f>VAC_Optim_Scenario!$H63</f>
        <v>3792982.8268409837</v>
      </c>
      <c r="W18" s="177">
        <f t="shared" si="0"/>
        <v>0.72408310310953805</v>
      </c>
      <c r="X18" s="185">
        <f>VAC_Optim_Scenario!$J63</f>
        <v>8557739.8044479284</v>
      </c>
      <c r="Y18" s="185">
        <f t="shared" si="1"/>
        <v>2240301.5892273095</v>
      </c>
      <c r="Z18" s="491">
        <f>$F18-'[2]Scenario deep dive'!$F9</f>
        <v>0</v>
      </c>
      <c r="AA18" s="494">
        <f>$J18-'[2]Scenario deep dive'!$J9</f>
        <v>1446769.183905568</v>
      </c>
      <c r="AB18" s="494">
        <f>$N18-'[2]Scenario deep dive'!$N9</f>
        <v>-1578064.860722946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2713819.7525883126</v>
      </c>
      <c r="K19" s="370">
        <v>0.80921316839220836</v>
      </c>
      <c r="L19" s="372">
        <v>7986943.2849287968</v>
      </c>
      <c r="M19" s="371"/>
      <c r="N19" s="380">
        <v>2613379.0241178665</v>
      </c>
      <c r="O19" s="370">
        <v>0.74225268274524436</v>
      </c>
      <c r="P19" s="372">
        <v>7870379.6057936177</v>
      </c>
      <c r="Q19" s="369"/>
      <c r="R19" s="380">
        <v>2091880.7528473777</v>
      </c>
      <c r="S19" s="370">
        <v>0.39458716856491843</v>
      </c>
      <c r="T19" s="372">
        <v>7132160.5639820658</v>
      </c>
      <c r="U19" s="180"/>
      <c r="V19" s="185">
        <f>VAC_Optim_Scenario!$H64</f>
        <v>2417063.0393783748</v>
      </c>
      <c r="W19" s="177">
        <f t="shared" si="0"/>
        <v>0.6113753595855832</v>
      </c>
      <c r="X19" s="185">
        <f>VAC_Optim_Scenario!$J64</f>
        <v>7620283.6007006103</v>
      </c>
      <c r="Y19" s="185">
        <f t="shared" si="1"/>
        <v>296756.71320993779</v>
      </c>
      <c r="Z19" s="491">
        <f>$F19-'[2]Scenario deep dive'!$F10</f>
        <v>3206.1157225614879</v>
      </c>
      <c r="AA19" s="494">
        <f>$J19-'[2]Scenario deep dive'!$J10</f>
        <v>175211.39465842722</v>
      </c>
      <c r="AB19" s="494">
        <f>$N19-'[2]Scenario deep dive'!$N10</f>
        <v>-170769.55933032744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16100108.819007277</v>
      </c>
      <c r="K20" s="370">
        <v>0.56791976229788843</v>
      </c>
      <c r="L20" s="372">
        <v>25874692.2231998</v>
      </c>
      <c r="M20" s="371"/>
      <c r="N20" s="380">
        <v>13078670.366014469</v>
      </c>
      <c r="O20" s="370">
        <v>0.27367497710603989</v>
      </c>
      <c r="P20" s="372">
        <v>22371213.39154895</v>
      </c>
      <c r="Q20" s="369"/>
      <c r="R20" s="380">
        <v>8306901</v>
      </c>
      <c r="S20" s="370">
        <v>-0.19102694349644914</v>
      </c>
      <c r="T20" s="372">
        <v>16281797.494816165</v>
      </c>
      <c r="U20" s="180"/>
      <c r="V20" s="185">
        <f>VAC_Optim_Scenario!$H65</f>
        <v>8687167.133780634</v>
      </c>
      <c r="W20" s="177">
        <f t="shared" si="0"/>
        <v>-0.15399447416410633</v>
      </c>
      <c r="X20" s="185">
        <f>VAC_Optim_Scenario!$J65</f>
        <v>16800018.05910404</v>
      </c>
      <c r="Y20" s="185">
        <f t="shared" si="1"/>
        <v>7412941.6852266435</v>
      </c>
      <c r="Z20" s="491">
        <f>$F20-'[2]Scenario deep dive'!$F11</f>
        <v>0</v>
      </c>
      <c r="AA20" s="494">
        <f>$J20-'[2]Scenario deep dive'!$J11</f>
        <v>4908780.4652762935</v>
      </c>
      <c r="AB20" s="494">
        <f>$N20-'[2]Scenario deep dive'!$N11</f>
        <v>-5593806.5398722664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0</v>
      </c>
      <c r="Z21" s="491">
        <f>$F21-'[2]Scenario deep dive'!$F12</f>
        <v>-6415.2453787680715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28089211</v>
      </c>
      <c r="W23" s="177">
        <f>(V23-$C23)/$C23</f>
        <v>0</v>
      </c>
      <c r="X23" s="185">
        <f>VAC_Optim_Scenario!$J68</f>
        <v>40395109.654958591</v>
      </c>
      <c r="Y23" s="185">
        <f t="shared" si="1"/>
        <v>0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2200000</v>
      </c>
      <c r="O24" s="370">
        <v>0.46666666666666667</v>
      </c>
      <c r="P24" s="372">
        <v>8497253.2367697079</v>
      </c>
      <c r="Q24" s="369"/>
      <c r="R24" s="380">
        <v>1954350.9945481978</v>
      </c>
      <c r="S24" s="370">
        <v>0.30290066303213187</v>
      </c>
      <c r="T24" s="372">
        <v>8104206.8009546781</v>
      </c>
      <c r="U24" s="180"/>
      <c r="V24" s="185">
        <f>VAC_Optim_Scenario!$H69</f>
        <v>2200000</v>
      </c>
      <c r="W24" s="177">
        <f t="shared" ref="W24:W25" si="2">(V24-$C24)/$C24</f>
        <v>0.46666666666666667</v>
      </c>
      <c r="X24" s="488">
        <f>VAC_Optim_Scenario!$J69</f>
        <v>8497253.2367697079</v>
      </c>
      <c r="Y24" s="185">
        <f t="shared" si="1"/>
        <v>0</v>
      </c>
      <c r="Z24" s="491">
        <f>$F24-'[2]Scenario deep dive'!$F14</f>
        <v>2236.2645860570483</v>
      </c>
      <c r="AA24" s="494">
        <f>$J24-'[2]Scenario deep dive'!$J14</f>
        <v>0</v>
      </c>
      <c r="AB24" s="494">
        <f>$N24-'[2]Scenario deep dive'!$N14</f>
        <v>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f>SUM(J7:J15)</f>
        <v>58513576.006407142</v>
      </c>
      <c r="K26" s="439">
        <f>(J26-$C$26)/$C$26</f>
        <v>0.51929740324313545</v>
      </c>
      <c r="L26" s="368">
        <f>SUM(L7:L15)</f>
        <v>364519133.50687587</v>
      </c>
      <c r="M26" s="371"/>
      <c r="N26" s="379">
        <f>SUM(N7:N15)</f>
        <v>62513576</v>
      </c>
      <c r="O26" s="439">
        <f>(N26-$C$26)/$C$26</f>
        <v>0.62315688369212974</v>
      </c>
      <c r="P26" s="368">
        <f>SUM(P7:P15)</f>
        <v>373911773.14973581</v>
      </c>
      <c r="Q26" s="369"/>
      <c r="R26" s="379">
        <v>55583327.800000004</v>
      </c>
      <c r="S26" s="439">
        <v>0.40000000000000013</v>
      </c>
      <c r="T26" s="368">
        <v>360139860.66345346</v>
      </c>
      <c r="U26" s="180">
        <f>V26-C26</f>
        <v>24000000.000000037</v>
      </c>
      <c r="V26" s="379">
        <f>SUM(V7:V15)</f>
        <v>62513576.000000037</v>
      </c>
      <c r="W26" s="439">
        <f>(V26-$C$26)/$C$26</f>
        <v>0.62315688369213074</v>
      </c>
      <c r="X26" s="368">
        <f>SUM(X7:X15)</f>
        <v>375520674.36634612</v>
      </c>
      <c r="Y26" s="185">
        <f>V26-F26</f>
        <v>22811199.00000003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v>68905663</v>
      </c>
      <c r="G27" s="440">
        <v>0</v>
      </c>
      <c r="H27" s="375">
        <v>222412318.09155828</v>
      </c>
      <c r="I27" s="369"/>
      <c r="J27" s="381">
        <f>SUM(J16:J25)</f>
        <v>86486423.98766388</v>
      </c>
      <c r="K27" s="440">
        <f>(J27-$C$27)/$C$27</f>
        <v>0.2551424690255702</v>
      </c>
      <c r="L27" s="375">
        <f>SUM(L16:L25)</f>
        <v>249931970.06008273</v>
      </c>
      <c r="M27" s="371"/>
      <c r="N27" s="381">
        <f>SUM(N16:N25)</f>
        <v>82486423.999999985</v>
      </c>
      <c r="O27" s="440">
        <f>(N27-$C$27)/$C$27</f>
        <v>0.19709208806248601</v>
      </c>
      <c r="P27" s="375">
        <f>SUM(P16:P25)</f>
        <v>245293733.93343967</v>
      </c>
      <c r="Q27" s="369"/>
      <c r="R27" s="381">
        <v>73024712.200000003</v>
      </c>
      <c r="S27" s="440">
        <v>5.9778094000779047E-2</v>
      </c>
      <c r="T27" s="375">
        <v>232423426.59668708</v>
      </c>
      <c r="U27" s="180">
        <f>V27-C27</f>
        <v>13580761</v>
      </c>
      <c r="V27" s="381">
        <f>SUM(V16:V25)</f>
        <v>82486424</v>
      </c>
      <c r="W27" s="440">
        <f>(V27-$C$27)/$C$27</f>
        <v>0.19709208806248624</v>
      </c>
      <c r="X27" s="375">
        <f>SUM(X16:X25)</f>
        <v>252143701.88639605</v>
      </c>
      <c r="Y27" s="185">
        <f>V27-F27</f>
        <v>13580761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108608040</v>
      </c>
      <c r="G28" s="444">
        <f>(F28-$C$28)/$C$28</f>
        <v>1.106692815055225E-2</v>
      </c>
      <c r="H28" s="443">
        <f>SUM(H7:H25)</f>
        <v>515884477.51702702</v>
      </c>
      <c r="I28" s="435"/>
      <c r="J28" s="442">
        <f>SUM(J7:J25)</f>
        <v>144999999.99407101</v>
      </c>
      <c r="K28" s="444">
        <f>(J28-$C$28)/$C$28</f>
        <v>0.34985130544511683</v>
      </c>
      <c r="L28" s="443">
        <f>SUM(L7:L25)</f>
        <v>614451103.56695867</v>
      </c>
      <c r="M28" s="371"/>
      <c r="N28" s="442">
        <f>SUM(N7:N25)</f>
        <v>145000000</v>
      </c>
      <c r="O28" s="444">
        <f>(N28-$C$28)/$C$28</f>
        <v>0.34985130550031174</v>
      </c>
      <c r="P28" s="443">
        <f>SUM(P7:P25)</f>
        <v>619205507.08317542</v>
      </c>
      <c r="Q28" s="505"/>
      <c r="R28" s="442">
        <f>SUM(R7:R25)</f>
        <v>128608040</v>
      </c>
      <c r="S28" s="444">
        <f>(R28-$C$28)/$C$28</f>
        <v>0.19725331511611249</v>
      </c>
      <c r="T28" s="443">
        <f>SUM(T7:T25)</f>
        <v>592563287.26014078</v>
      </c>
      <c r="V28" s="188">
        <f>SUM(V7:V25)</f>
        <v>145000000</v>
      </c>
      <c r="W28" s="189">
        <f>(V28-$C$28)/$C$28</f>
        <v>0.34985130550031174</v>
      </c>
      <c r="X28" s="188">
        <f>SUM(X7:X25)</f>
        <v>627664376.25274229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0.56887185448564404</v>
      </c>
      <c r="I29" s="382"/>
      <c r="J29" s="702"/>
      <c r="K29" s="382"/>
      <c r="L29" s="382">
        <f>SUM(L7:L15)/L28</f>
        <v>0.59324351667822028</v>
      </c>
      <c r="P29" s="382">
        <f>SUM(P7:P15)/P28</f>
        <v>0.60385731210802962</v>
      </c>
      <c r="Q29" s="382"/>
      <c r="T29" s="382"/>
      <c r="U29" s="180"/>
      <c r="X29" s="499">
        <f>X28/VAC_Optim_Scenario!$E$48</f>
        <v>2778013.5268334174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0.43112814551435585</v>
      </c>
      <c r="I30" s="382"/>
      <c r="J30" s="702"/>
      <c r="K30" s="382"/>
      <c r="L30" s="382">
        <f>SUM(L16:L25)/L28</f>
        <v>0.40675648332177966</v>
      </c>
      <c r="P30" s="382">
        <f>SUM(P16:P25)/P28</f>
        <v>0.39614268789197049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18" t="str">
        <f>F4</f>
        <v>Optimal channel spend allowed to vary based on custom constraints of the 2024 channel spend</v>
      </c>
      <c r="G31" s="619"/>
      <c r="H31" s="619"/>
      <c r="I31" s="619"/>
      <c r="J31" s="619"/>
      <c r="K31" s="619"/>
      <c r="L31" s="619"/>
      <c r="M31" s="619"/>
      <c r="N31" s="619"/>
      <c r="O31" s="619"/>
      <c r="P31" s="619"/>
      <c r="Q31" s="619"/>
      <c r="R31" s="619"/>
      <c r="S31" s="619"/>
      <c r="T31" s="619"/>
    </row>
    <row r="32" spans="1:28" ht="30.4" customHeight="1" x14ac:dyDescent="0.25">
      <c r="A32" s="482"/>
      <c r="B32" s="482"/>
      <c r="C32" s="621" t="s">
        <v>341</v>
      </c>
      <c r="D32" s="622"/>
      <c r="E32" s="543"/>
      <c r="F32" s="623" t="str">
        <f>F5</f>
        <v>Current Optimal ($92MM)</v>
      </c>
      <c r="G32" s="624"/>
      <c r="H32" s="625"/>
      <c r="I32" s="544"/>
      <c r="J32" s="626" t="str">
        <f>J5</f>
        <v>40M increase in total budget (Adol/Adult split: $20MM/$20MM)</v>
      </c>
      <c r="K32" s="627"/>
      <c r="L32" s="628"/>
      <c r="M32" s="483"/>
      <c r="N32" s="626" t="str">
        <f>N5</f>
        <v>40M increase in total budget (Adol/Adult split: $24MM/$16MM)</v>
      </c>
      <c r="O32" s="627"/>
      <c r="P32" s="628"/>
      <c r="Q32" s="545"/>
      <c r="R32" s="620" t="str">
        <f>R5</f>
        <v>20M increase in total budget ( Global Max 140%)</v>
      </c>
      <c r="S32" s="620"/>
      <c r="T32" s="620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</v>
      </c>
      <c r="K34" s="525">
        <f t="shared" ref="K34:K50" si="9">K7</f>
        <v>0</v>
      </c>
      <c r="L34" s="526">
        <f t="shared" ref="L34:L50" si="10">L7/1000000</f>
        <v>3.6083065090601982</v>
      </c>
      <c r="M34" s="527"/>
      <c r="N34" s="524">
        <f t="shared" ref="N34:N50" si="11">N7/1000000</f>
        <v>3.0434629999999996</v>
      </c>
      <c r="O34" s="525">
        <f t="shared" ref="O34:O50" si="12">O7</f>
        <v>2.0434629999999996</v>
      </c>
      <c r="P34" s="528">
        <f t="shared" ref="P34:P50" si="13">P7/1000000</f>
        <v>7.6671284798888175</v>
      </c>
      <c r="Q34" s="529"/>
      <c r="R34" s="524">
        <f t="shared" ref="R34:R50" si="14">R7/1000000</f>
        <v>1.4774464670283725</v>
      </c>
      <c r="S34" s="525">
        <f t="shared" ref="S34:S50" si="15">S7</f>
        <v>0.47744646702837246</v>
      </c>
      <c r="T34" s="528">
        <f t="shared" ref="T34:T50" si="16">T7/1000000</f>
        <v>6.8152124286170546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81.778277188084161</v>
      </c>
      <c r="I35" s="523"/>
      <c r="J35" s="532">
        <f t="shared" si="8"/>
        <v>11.993030546941661</v>
      </c>
      <c r="K35" s="525">
        <f t="shared" si="9"/>
        <v>0.54235763250206737</v>
      </c>
      <c r="L35" s="534">
        <f t="shared" si="10"/>
        <v>95.091073361569613</v>
      </c>
      <c r="M35" s="527"/>
      <c r="N35" s="532">
        <f t="shared" si="11"/>
        <v>12.000000000000002</v>
      </c>
      <c r="O35" s="525">
        <f t="shared" si="12"/>
        <v>0.54325393549044243</v>
      </c>
      <c r="P35" s="535">
        <f t="shared" si="13"/>
        <v>95.112539846490336</v>
      </c>
      <c r="Q35" s="529"/>
      <c r="R35" s="532">
        <f t="shared" si="14"/>
        <v>11.653434194842589</v>
      </c>
      <c r="S35" s="525">
        <f t="shared" si="15"/>
        <v>0.49868401526414313</v>
      </c>
      <c r="T35" s="535">
        <f t="shared" si="16"/>
        <v>97.889996867405003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6.5</v>
      </c>
      <c r="K36" s="525">
        <f t="shared" si="9"/>
        <v>2.5326086956521738</v>
      </c>
      <c r="L36" s="534">
        <f t="shared" si="10"/>
        <v>33.9595348390136</v>
      </c>
      <c r="M36" s="527"/>
      <c r="N36" s="532">
        <f t="shared" si="11"/>
        <v>6.5</v>
      </c>
      <c r="O36" s="525">
        <f t="shared" si="12"/>
        <v>2.5326086956521738</v>
      </c>
      <c r="P36" s="535">
        <f t="shared" si="13"/>
        <v>33.9595348390136</v>
      </c>
      <c r="Q36" s="529"/>
      <c r="R36" s="532">
        <f t="shared" si="14"/>
        <v>5.4337194069541646</v>
      </c>
      <c r="S36" s="525">
        <f t="shared" si="15"/>
        <v>1.9531083733446546</v>
      </c>
      <c r="T36" s="535">
        <f t="shared" si="16"/>
        <v>30.498048005856685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11.381455378347313</v>
      </c>
      <c r="K38" s="525">
        <f t="shared" si="9"/>
        <v>1.3623770399562856</v>
      </c>
      <c r="L38" s="534">
        <f t="shared" si="10"/>
        <v>50.115675107901268</v>
      </c>
      <c r="M38" s="527"/>
      <c r="N38" s="532">
        <f t="shared" si="11"/>
        <v>12.070112999999999</v>
      </c>
      <c r="O38" s="525">
        <f t="shared" si="12"/>
        <v>1.5053173669796867</v>
      </c>
      <c r="P38" s="535">
        <f t="shared" si="13"/>
        <v>52.219542216157279</v>
      </c>
      <c r="Q38" s="529"/>
      <c r="R38" s="532">
        <f t="shared" si="14"/>
        <v>8.4727452524451081</v>
      </c>
      <c r="S38" s="525">
        <f t="shared" si="15"/>
        <v>0.75863439115652154</v>
      </c>
      <c r="T38" s="535">
        <f t="shared" si="16"/>
        <v>40.761675682919972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32">
        <f t="shared" si="8"/>
        <v>5.7390900811181638</v>
      </c>
      <c r="K39" s="525">
        <f t="shared" si="9"/>
        <v>0.62121188732151511</v>
      </c>
      <c r="L39" s="534">
        <f t="shared" si="10"/>
        <v>49.046233328135486</v>
      </c>
      <c r="M39" s="527"/>
      <c r="N39" s="532">
        <f t="shared" si="11"/>
        <v>7</v>
      </c>
      <c r="O39" s="525">
        <f t="shared" si="12"/>
        <v>0.97740112994350281</v>
      </c>
      <c r="P39" s="535">
        <f t="shared" si="13"/>
        <v>52.254717406990032</v>
      </c>
      <c r="Q39" s="529"/>
      <c r="R39" s="532">
        <f t="shared" si="14"/>
        <v>5.4571814787297708</v>
      </c>
      <c r="S39" s="525">
        <f t="shared" si="15"/>
        <v>0.54157668890671484</v>
      </c>
      <c r="T39" s="535">
        <f t="shared" si="16"/>
        <v>48.137663740853441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32">
        <f t="shared" si="8"/>
        <v>4.8</v>
      </c>
      <c r="K41" s="525">
        <f t="shared" si="9"/>
        <v>1.1621621621621621</v>
      </c>
      <c r="L41" s="534">
        <f t="shared" si="10"/>
        <v>32.875287531392161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15.7</v>
      </c>
      <c r="K42" s="525">
        <f t="shared" si="9"/>
        <v>0</v>
      </c>
      <c r="L42" s="534">
        <f t="shared" si="10"/>
        <v>63.695224076263159</v>
      </c>
      <c r="M42" s="527"/>
      <c r="N42" s="532">
        <f t="shared" si="11"/>
        <v>15.7</v>
      </c>
      <c r="O42" s="525">
        <f t="shared" si="12"/>
        <v>0</v>
      </c>
      <c r="P42" s="535">
        <f t="shared" si="13"/>
        <v>63.695224076263159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0.90445129161394855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0.90445129161394855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91.677940557008299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103.71186392886993</v>
      </c>
      <c r="I44" s="523"/>
      <c r="J44" s="532">
        <f t="shared" si="8"/>
        <v>22.05</v>
      </c>
      <c r="K44" s="525">
        <f t="shared" si="9"/>
        <v>0.30103847061600186</v>
      </c>
      <c r="L44" s="534">
        <f t="shared" si="10"/>
        <v>107.90234943036259</v>
      </c>
      <c r="M44" s="527"/>
      <c r="N44" s="532">
        <f t="shared" si="11"/>
        <v>22.05</v>
      </c>
      <c r="O44" s="525">
        <f t="shared" si="12"/>
        <v>0.30103847061600186</v>
      </c>
      <c r="P44" s="535">
        <f t="shared" si="13"/>
        <v>107.90234943036259</v>
      </c>
      <c r="Q44" s="529"/>
      <c r="R44" s="532">
        <f t="shared" si="14"/>
        <v>21</v>
      </c>
      <c r="S44" s="525">
        <f t="shared" si="15"/>
        <v>0.2390842577295256</v>
      </c>
      <c r="T44" s="535">
        <f t="shared" si="16"/>
        <v>105.72478672171538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6.171975030653198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6.0332844160682928</v>
      </c>
      <c r="K45" s="525">
        <f t="shared" si="9"/>
        <v>1.7424020073037696</v>
      </c>
      <c r="L45" s="534">
        <f t="shared" si="10"/>
        <v>11.305839902280608</v>
      </c>
      <c r="M45" s="527"/>
      <c r="N45" s="532">
        <f t="shared" si="11"/>
        <v>5.1551636098676497</v>
      </c>
      <c r="O45" s="525">
        <f t="shared" si="12"/>
        <v>1.3432561863034773</v>
      </c>
      <c r="P45" s="535">
        <f t="shared" si="13"/>
        <v>10.287646286423589</v>
      </c>
      <c r="Q45" s="529"/>
      <c r="R45" s="532">
        <f t="shared" si="14"/>
        <v>2.2823684526044192</v>
      </c>
      <c r="S45" s="525">
        <f t="shared" si="15"/>
        <v>3.7440205729281403E-2</v>
      </c>
      <c r="T45" s="535">
        <f t="shared" si="16"/>
        <v>6.3096025797727107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5.944544957049497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32">
        <f t="shared" si="8"/>
        <v>2.7138197525883125</v>
      </c>
      <c r="K46" s="525">
        <f t="shared" si="9"/>
        <v>0.80921316839220836</v>
      </c>
      <c r="L46" s="534">
        <f t="shared" si="10"/>
        <v>7.9869432849287971</v>
      </c>
      <c r="M46" s="527"/>
      <c r="N46" s="532">
        <f t="shared" si="11"/>
        <v>2.6133790241178665</v>
      </c>
      <c r="O46" s="525">
        <f t="shared" si="12"/>
        <v>0.74225268274524436</v>
      </c>
      <c r="P46" s="535">
        <f t="shared" si="13"/>
        <v>7.8703796057936177</v>
      </c>
      <c r="Q46" s="529"/>
      <c r="R46" s="532">
        <f t="shared" si="14"/>
        <v>2.0918807528473775</v>
      </c>
      <c r="S46" s="525">
        <f t="shared" si="15"/>
        <v>0.39458716856491843</v>
      </c>
      <c r="T46" s="535">
        <f t="shared" si="16"/>
        <v>7.1321605639820653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18.886370658155332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32">
        <f t="shared" si="8"/>
        <v>16.100108819007279</v>
      </c>
      <c r="K47" s="525">
        <f t="shared" si="9"/>
        <v>0.56791976229788843</v>
      </c>
      <c r="L47" s="534">
        <f t="shared" si="10"/>
        <v>25.874692223199801</v>
      </c>
      <c r="M47" s="527"/>
      <c r="N47" s="532">
        <f t="shared" si="11"/>
        <v>13.078670366014469</v>
      </c>
      <c r="O47" s="525">
        <f t="shared" si="12"/>
        <v>0.27367497710603989</v>
      </c>
      <c r="P47" s="535">
        <f t="shared" si="13"/>
        <v>22.371213391548949</v>
      </c>
      <c r="Q47" s="529"/>
      <c r="R47" s="532">
        <f t="shared" si="14"/>
        <v>8.3069009999999999</v>
      </c>
      <c r="S47" s="525">
        <f t="shared" si="15"/>
        <v>-0.19102694349644914</v>
      </c>
      <c r="T47" s="535">
        <f t="shared" si="16"/>
        <v>16.281797494816164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21.02067549422587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5</v>
      </c>
      <c r="S48" s="525">
        <f t="shared" si="15"/>
        <v>0.25</v>
      </c>
      <c r="T48" s="535">
        <f t="shared" si="16"/>
        <v>24.032152746086098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2.2000000000000002</v>
      </c>
      <c r="O51" s="525">
        <f>O24</f>
        <v>0.46666666666666667</v>
      </c>
      <c r="P51" s="535">
        <f>P24/1000000</f>
        <v>8.4972532367697085</v>
      </c>
      <c r="Q51" s="529"/>
      <c r="R51" s="532">
        <f>R24/1000000</f>
        <v>1.9543509945481978</v>
      </c>
      <c r="S51" s="525">
        <f>S24</f>
        <v>0.30290066303213187</v>
      </c>
      <c r="T51" s="535">
        <f>T24/1000000</f>
        <v>8.1042068009546782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284.16088455212713</v>
      </c>
      <c r="E53" s="510"/>
      <c r="F53" s="511">
        <f t="shared" ref="F53:F54" si="19">F26/1000000</f>
        <v>39.702377000000006</v>
      </c>
      <c r="G53" s="484">
        <f t="shared" ref="G53:G54" si="20">G26</f>
        <v>1.8766081932383616E-16</v>
      </c>
      <c r="H53" s="512">
        <f t="shared" ref="H53:H54" si="21">H26/1000000</f>
        <v>293.4721594254687</v>
      </c>
      <c r="I53" s="510"/>
      <c r="J53" s="511">
        <f t="shared" ref="J53:J54" si="22">J26/1000000</f>
        <v>58.513576006407142</v>
      </c>
      <c r="K53" s="484">
        <f t="shared" ref="K53:K54" si="23">K26</f>
        <v>0.51929740324313545</v>
      </c>
      <c r="L53" s="512">
        <f t="shared" ref="L53:L54" si="24">L26/1000000</f>
        <v>364.51913350687585</v>
      </c>
      <c r="M53" s="483"/>
      <c r="N53" s="511">
        <f t="shared" ref="N53:N54" si="25">N26/1000000</f>
        <v>62.513576</v>
      </c>
      <c r="O53" s="484">
        <f t="shared" ref="O53:O54" si="26">O26</f>
        <v>0.62315688369212974</v>
      </c>
      <c r="P53" s="512">
        <f t="shared" ref="P53:P54" si="27">P26/1000000</f>
        <v>373.91177314973584</v>
      </c>
      <c r="Q53" s="513"/>
      <c r="R53" s="511">
        <f t="shared" ref="R53:R54" si="28">R26/1000000</f>
        <v>55.583327800000006</v>
      </c>
      <c r="S53" s="484">
        <f t="shared" ref="S53:S54" si="29">S26</f>
        <v>0.40000000000000013</v>
      </c>
      <c r="T53" s="512">
        <f t="shared" ref="T53:T54" si="30">T26/1000000</f>
        <v>360.13986066345348</v>
      </c>
      <c r="U53" s="180">
        <f>L53-D53</f>
        <v>80.358248954748717</v>
      </c>
      <c r="V53" s="180">
        <f>P53-D53</f>
        <v>89.750888597608707</v>
      </c>
      <c r="W53" s="180">
        <f>T53-D53</f>
        <v>75.978976111326347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215.39696103338699</v>
      </c>
      <c r="E54" s="510"/>
      <c r="F54" s="511">
        <f t="shared" si="19"/>
        <v>68.905663000000004</v>
      </c>
      <c r="G54" s="484">
        <f t="shared" si="20"/>
        <v>0</v>
      </c>
      <c r="H54" s="512">
        <f t="shared" si="21"/>
        <v>222.41231809155829</v>
      </c>
      <c r="I54" s="510"/>
      <c r="J54" s="511">
        <f t="shared" si="22"/>
        <v>86.486423987663883</v>
      </c>
      <c r="K54" s="484">
        <f t="shared" si="23"/>
        <v>0.2551424690255702</v>
      </c>
      <c r="L54" s="512">
        <f t="shared" si="24"/>
        <v>249.93197006008273</v>
      </c>
      <c r="M54" s="483"/>
      <c r="N54" s="511">
        <f t="shared" si="25"/>
        <v>82.486423999999985</v>
      </c>
      <c r="O54" s="484">
        <f t="shared" si="26"/>
        <v>0.19709208806248601</v>
      </c>
      <c r="P54" s="512">
        <f t="shared" si="27"/>
        <v>245.29373393343968</v>
      </c>
      <c r="Q54" s="513"/>
      <c r="R54" s="511">
        <f t="shared" si="28"/>
        <v>73.024712199999996</v>
      </c>
      <c r="S54" s="484">
        <f t="shared" si="29"/>
        <v>5.9778094000779047E-2</v>
      </c>
      <c r="T54" s="512">
        <f t="shared" si="30"/>
        <v>232.42342659668708</v>
      </c>
      <c r="U54" s="180">
        <f>L54-D54</f>
        <v>34.535009026695747</v>
      </c>
      <c r="V54" s="180">
        <f>P54-D54</f>
        <v>29.896772900052696</v>
      </c>
      <c r="W54" s="180">
        <f>T54-D54</f>
        <v>17.026465563300093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5">
        <f>F28/1000000</f>
        <v>108.60804</v>
      </c>
      <c r="G55" s="516">
        <f>G28</f>
        <v>1.106692815055225E-2</v>
      </c>
      <c r="H55" s="512">
        <f>H28/1000000</f>
        <v>515.88447751702699</v>
      </c>
      <c r="I55" s="510"/>
      <c r="J55" s="515">
        <f>J28/1000000</f>
        <v>144.999999994071</v>
      </c>
      <c r="K55" s="516">
        <f>K28</f>
        <v>0.34985130544511683</v>
      </c>
      <c r="L55" s="512">
        <f>L28/1000000</f>
        <v>614.45110356695864</v>
      </c>
      <c r="M55" s="483"/>
      <c r="N55" s="515">
        <f>N28/1000000</f>
        <v>145</v>
      </c>
      <c r="O55" s="516">
        <f>O28</f>
        <v>0.34985130550031174</v>
      </c>
      <c r="P55" s="512">
        <f>P28/1000000</f>
        <v>619.20550708317546</v>
      </c>
      <c r="Q55" s="513"/>
      <c r="R55" s="515">
        <f>R28/1000000</f>
        <v>128.60803999999999</v>
      </c>
      <c r="S55" s="516">
        <f>S28</f>
        <v>0.19725331511611249</v>
      </c>
      <c r="T55" s="512">
        <f>T28/1000000</f>
        <v>592.56328726014078</v>
      </c>
      <c r="U55" s="500">
        <f>U54*1.25</f>
        <v>43.168761283369683</v>
      </c>
      <c r="V55" s="500">
        <f>V54*1.25</f>
        <v>37.37096612506587</v>
      </c>
      <c r="W55" s="500">
        <f>W54*1.25</f>
        <v>21.283081954125116</v>
      </c>
    </row>
    <row r="56" spans="1:23" ht="25.5" x14ac:dyDescent="0.25">
      <c r="A56" s="482"/>
      <c r="B56" s="507" t="s">
        <v>356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4.75</v>
      </c>
      <c r="G56" s="516"/>
      <c r="H56" s="518" t="s">
        <v>429</v>
      </c>
      <c r="I56" s="510"/>
      <c r="J56" s="511" t="str">
        <f>_xlfn.CONCAT("ROI"," ", ,J61)</f>
        <v>ROI 4.24</v>
      </c>
      <c r="K56" s="516"/>
      <c r="L56" s="518" t="s">
        <v>445</v>
      </c>
      <c r="M56" s="483"/>
      <c r="N56" s="511" t="str">
        <f>_xlfn.CONCAT("ROI"," ", ,N61)</f>
        <v>ROI 4.27</v>
      </c>
      <c r="O56" s="516"/>
      <c r="P56" s="518" t="s">
        <v>452</v>
      </c>
      <c r="Q56" s="519"/>
      <c r="R56" s="511" t="str">
        <f>_xlfn.CONCAT("ROI"," ", ,R61)</f>
        <v>ROI 4.61</v>
      </c>
      <c r="S56" s="516"/>
      <c r="T56" s="518" t="s">
        <v>363</v>
      </c>
    </row>
    <row r="57" spans="1:23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7.39</v>
      </c>
      <c r="G57" s="516"/>
      <c r="H57" s="518" t="s">
        <v>430</v>
      </c>
      <c r="I57" s="510"/>
      <c r="J57" s="511" t="str">
        <f>_xlfn.CONCAT("ROI"," ", ,J63)</f>
        <v>ROI 6.23</v>
      </c>
      <c r="K57" s="516"/>
      <c r="L57" s="518" t="s">
        <v>433</v>
      </c>
      <c r="M57" s="483"/>
      <c r="N57" s="511" t="str">
        <f>_xlfn.CONCAT("ROI"," ", ,N63)</f>
        <v>ROI 5.98</v>
      </c>
      <c r="O57" s="516"/>
      <c r="P57" s="518" t="s">
        <v>435</v>
      </c>
      <c r="Q57" s="519"/>
      <c r="R57" s="511" t="str">
        <f>_xlfn.CONCAT("ROI"," ", ,R63)</f>
        <v>ROI 6.48</v>
      </c>
      <c r="S57" s="516"/>
      <c r="T57" s="518" t="s">
        <v>377</v>
      </c>
    </row>
    <row r="58" spans="1:23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3.23</v>
      </c>
      <c r="G58" s="516"/>
      <c r="H58" s="518" t="s">
        <v>431</v>
      </c>
      <c r="I58" s="510"/>
      <c r="J58" s="511" t="str">
        <f>_xlfn.CONCAT("ROI"," ", ,J65)</f>
        <v>ROI 2.89</v>
      </c>
      <c r="K58" s="516"/>
      <c r="L58" s="518" t="s">
        <v>446</v>
      </c>
      <c r="M58" s="483"/>
      <c r="N58" s="511" t="str">
        <f>_xlfn.CONCAT("ROI"," ", ,N65)</f>
        <v>ROI 2.97</v>
      </c>
      <c r="O58" s="516"/>
      <c r="P58" s="518" t="s">
        <v>451</v>
      </c>
      <c r="Q58" s="519"/>
      <c r="R58" s="511" t="str">
        <f>_xlfn.CONCAT("ROI"," ", ,R65)</f>
        <v>ROI 3.18</v>
      </c>
      <c r="S58" s="516"/>
      <c r="T58" s="518" t="s">
        <v>378</v>
      </c>
    </row>
    <row r="59" spans="1:23" ht="38.25" x14ac:dyDescent="0.25">
      <c r="A59" s="482">
        <v>1.25</v>
      </c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4.03</v>
      </c>
      <c r="G59" s="516"/>
      <c r="H59" s="518" t="s">
        <v>430</v>
      </c>
      <c r="I59" s="510"/>
      <c r="J59" s="511" t="str">
        <f>_xlfn.CONCAT("ROI"," ", ,J67)</f>
        <v>ROI 3.61</v>
      </c>
      <c r="K59" s="516"/>
      <c r="L59" s="518" t="s">
        <v>447</v>
      </c>
      <c r="M59" s="483"/>
      <c r="N59" s="511" t="str">
        <f>_xlfn.CONCAT("ROI"," ", ,N67)</f>
        <v>ROI 3.72</v>
      </c>
      <c r="O59" s="516"/>
      <c r="P59" s="518" t="s">
        <v>450</v>
      </c>
      <c r="Q59" s="519"/>
      <c r="R59" s="511" t="str">
        <f>_xlfn.CONCAT("ROI"," ", ,R67)</f>
        <v>ROI 3.98</v>
      </c>
      <c r="S59" s="516"/>
      <c r="T59" s="518" t="s">
        <v>379</v>
      </c>
    </row>
    <row r="60" spans="1:23" ht="38.25" x14ac:dyDescent="0.25">
      <c r="A60" s="482">
        <v>0.8</v>
      </c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2.58</v>
      </c>
      <c r="G60" s="516"/>
      <c r="H60" s="518" t="s">
        <v>432</v>
      </c>
      <c r="I60" s="510"/>
      <c r="J60" s="511" t="str">
        <f>_xlfn.CONCAT("ROI"," ", ,J69)</f>
        <v>ROI 2.31</v>
      </c>
      <c r="K60" s="516"/>
      <c r="L60" s="518" t="s">
        <v>448</v>
      </c>
      <c r="M60" s="483"/>
      <c r="N60" s="511" t="str">
        <f>_xlfn.CONCAT("ROI"," ", ,N69)</f>
        <v>ROI 2.38</v>
      </c>
      <c r="O60" s="516"/>
      <c r="P60" s="518" t="s">
        <v>449</v>
      </c>
      <c r="Q60" s="519"/>
      <c r="R60" s="511" t="str">
        <f>_xlfn.CONCAT("ROI"," ", ,R69)</f>
        <v>ROI 2.55</v>
      </c>
      <c r="S60" s="516"/>
      <c r="T60" s="518" t="s">
        <v>380</v>
      </c>
    </row>
    <row r="61" spans="1:23" x14ac:dyDescent="0.25">
      <c r="C61" s="97">
        <f>ROUND(D55/C55,2)</f>
        <v>4.6500000000000004</v>
      </c>
      <c r="F61" s="97">
        <f>ROUND(H55/F55,2)</f>
        <v>4.75</v>
      </c>
      <c r="H61" s="216">
        <f>(H55-$D$55)</f>
        <v>16.326631931512907</v>
      </c>
      <c r="J61" s="97">
        <f>ROUND(L55/J55,2)</f>
        <v>4.24</v>
      </c>
      <c r="L61" s="216">
        <f>(L55-$D$55)</f>
        <v>114.89325798144455</v>
      </c>
      <c r="N61" s="97">
        <f>ROUND(P55/N55,2)</f>
        <v>4.2699999999999996</v>
      </c>
      <c r="P61" s="216">
        <f>(P55-$D$55)</f>
        <v>119.64766149766137</v>
      </c>
      <c r="Q61" s="506"/>
      <c r="R61" s="97">
        <f>ROUND(T55/R55,2)</f>
        <v>4.6100000000000003</v>
      </c>
      <c r="T61" s="216">
        <f>(T55-$D$55)</f>
        <v>93.005441674626695</v>
      </c>
    </row>
    <row r="62" spans="1:23" x14ac:dyDescent="0.25">
      <c r="H62" s="280">
        <f>H61/$D$55</f>
        <v>3.2682164990076451E-2</v>
      </c>
      <c r="J62" s="248"/>
      <c r="K62" s="248"/>
      <c r="L62" s="329">
        <f>L61/$D$55</f>
        <v>0.22998989806031817</v>
      </c>
      <c r="M62" s="248"/>
      <c r="N62" s="248"/>
      <c r="O62" s="248"/>
      <c r="P62" s="329">
        <f>P61/$D$55</f>
        <v>0.23950712125725215</v>
      </c>
      <c r="Q62" s="329"/>
      <c r="R62" s="248"/>
      <c r="S62" s="248"/>
      <c r="T62" s="329">
        <f>T61/$D$55</f>
        <v>0.18617552000533252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6.23</v>
      </c>
      <c r="L63" s="216">
        <f>L53-$D$53</f>
        <v>80.358248954748717</v>
      </c>
      <c r="N63" s="97">
        <f>ROUND(P53/N53,2)</f>
        <v>5.98</v>
      </c>
      <c r="P63" s="216">
        <f>P53-$D$53</f>
        <v>89.750888597608707</v>
      </c>
      <c r="R63" s="97">
        <f>ROUND(T53/R53,2)</f>
        <v>6.48</v>
      </c>
      <c r="T63" s="216">
        <f>T53-$D$53</f>
        <v>75.978976111326347</v>
      </c>
    </row>
    <row r="64" spans="1:23" x14ac:dyDescent="0.25">
      <c r="H64" s="280">
        <f>H63/$D$53</f>
        <v>3.2767616443823012E-2</v>
      </c>
      <c r="L64" s="329">
        <f>L63/$D$53</f>
        <v>0.28279138095098244</v>
      </c>
      <c r="M64" s="248"/>
      <c r="P64" s="329">
        <f>P63/$D$53</f>
        <v>0.31584533085567801</v>
      </c>
      <c r="T64" s="329">
        <f>T63/$D$53</f>
        <v>0.2673801365415886</v>
      </c>
    </row>
    <row r="65" spans="3:20" x14ac:dyDescent="0.25">
      <c r="C65" s="97">
        <f>ROUND(D54/C54,2)</f>
        <v>3.13</v>
      </c>
      <c r="F65" s="97">
        <f>ROUND(H54/F54,2)</f>
        <v>3.23</v>
      </c>
      <c r="H65" s="216">
        <f>H54-$D$54</f>
        <v>7.0153570581713041</v>
      </c>
      <c r="J65" s="97">
        <f>ROUND(L54/J54,2)</f>
        <v>2.89</v>
      </c>
      <c r="L65" s="216">
        <f>L54-$D$54</f>
        <v>34.535009026695747</v>
      </c>
      <c r="N65" s="97">
        <f>ROUND(P54/N54,2)</f>
        <v>2.97</v>
      </c>
      <c r="P65" s="216">
        <f>P54-$D$54</f>
        <v>29.896772900052696</v>
      </c>
      <c r="R65" s="97">
        <f>ROUND(T54/R54,2)</f>
        <v>3.18</v>
      </c>
      <c r="T65" s="216">
        <f>T54-$D$54</f>
        <v>17.026465563300093</v>
      </c>
    </row>
    <row r="66" spans="3:20" x14ac:dyDescent="0.25">
      <c r="H66" s="280">
        <f>H65/$D$54</f>
        <v>3.256943377712701E-2</v>
      </c>
      <c r="L66" s="329">
        <f>L65/$D$54</f>
        <v>0.16033192325932002</v>
      </c>
      <c r="M66" s="248"/>
      <c r="P66" s="329">
        <f>P65/$D$54</f>
        <v>0.13879848980514925</v>
      </c>
      <c r="T66" s="329">
        <f>T65/$D$54</f>
        <v>7.9046916361373148E-2</v>
      </c>
    </row>
    <row r="67" spans="3:20" x14ac:dyDescent="0.25">
      <c r="C67" s="97">
        <f>ROUND(D54*1.25/C54,2)</f>
        <v>3.91</v>
      </c>
      <c r="F67" s="97">
        <f>ROUND(H54*1.25/F54,2)</f>
        <v>4.03</v>
      </c>
      <c r="H67" s="216">
        <f>H65*1.25</f>
        <v>8.7691963227141301</v>
      </c>
      <c r="J67" s="97">
        <f>ROUND(L54*1.25/J54,2)</f>
        <v>3.61</v>
      </c>
      <c r="L67" s="216">
        <f>L65*1.25</f>
        <v>43.168761283369683</v>
      </c>
      <c r="N67" s="97">
        <f>ROUND(P54*1.25/N54,2)</f>
        <v>3.72</v>
      </c>
      <c r="P67" s="216">
        <f>P65*1.25</f>
        <v>37.37096612506587</v>
      </c>
      <c r="R67" s="97">
        <f>ROUND(T54*1.25/R54,2)</f>
        <v>3.98</v>
      </c>
      <c r="T67" s="216">
        <f>T65*1.25</f>
        <v>21.283081954125116</v>
      </c>
    </row>
    <row r="68" spans="3:20" x14ac:dyDescent="0.25">
      <c r="H68" s="280">
        <f>H67/($D$54*1.25)</f>
        <v>3.256943377712701E-2</v>
      </c>
      <c r="L68" s="329">
        <f>L67/($D$54*1.25)</f>
        <v>0.16033192325932002</v>
      </c>
      <c r="M68" s="248"/>
      <c r="P68" s="329">
        <f>P67/($D$54*1.25)</f>
        <v>0.13879848980514928</v>
      </c>
      <c r="T68" s="329">
        <f>T67/($D$54*1.25)</f>
        <v>7.9046916361373162E-2</v>
      </c>
    </row>
    <row r="69" spans="3:20" x14ac:dyDescent="0.25">
      <c r="C69" s="97">
        <f>ROUND(D54*0.8/C54,2)</f>
        <v>2.5</v>
      </c>
      <c r="F69" s="97">
        <f>ROUND(H54*0.8/F54,2)</f>
        <v>2.58</v>
      </c>
      <c r="H69" s="216">
        <f>H65*0.8</f>
        <v>5.6122856465370434</v>
      </c>
      <c r="J69" s="97">
        <f>ROUND(L54*0.8/J54,2)</f>
        <v>2.31</v>
      </c>
      <c r="L69" s="216">
        <f>L65*0.8</f>
        <v>27.628007221356597</v>
      </c>
      <c r="N69" s="97">
        <f>ROUND(P54*0.8/N54,2)</f>
        <v>2.38</v>
      </c>
      <c r="P69" s="216">
        <f>P65*0.8</f>
        <v>23.91741832004216</v>
      </c>
      <c r="R69" s="97">
        <f>ROUND(T54*0.8/R54,2)</f>
        <v>2.5499999999999998</v>
      </c>
      <c r="T69" s="216">
        <f>T65*0.8</f>
        <v>13.621172450640074</v>
      </c>
    </row>
    <row r="70" spans="3:20" x14ac:dyDescent="0.25">
      <c r="H70" s="280">
        <f>H69/($D$54*0.8)</f>
        <v>3.256943377712701E-2</v>
      </c>
      <c r="L70" s="329">
        <f>L69/($D$54*0.8)</f>
        <v>0.16033192325932002</v>
      </c>
      <c r="M70" s="248"/>
      <c r="P70" s="329">
        <f>P69/($D$54*0.8)</f>
        <v>0.13879848980514928</v>
      </c>
      <c r="T70" s="329">
        <f>T69/($D$54*0.8)</f>
        <v>7.9046916361373148E-2</v>
      </c>
    </row>
    <row r="81" ht="27.6" customHeight="1" x14ac:dyDescent="0.25"/>
  </sheetData>
  <mergeCells count="11">
    <mergeCell ref="C32:D32"/>
    <mergeCell ref="F32:H32"/>
    <mergeCell ref="J32:L32"/>
    <mergeCell ref="N32:P32"/>
    <mergeCell ref="R32:T32"/>
    <mergeCell ref="F31:T31"/>
    <mergeCell ref="F4:P4"/>
    <mergeCell ref="F5:H5"/>
    <mergeCell ref="J5:L5"/>
    <mergeCell ref="N5:P5"/>
    <mergeCell ref="R5:T5"/>
  </mergeCells>
  <conditionalFormatting sqref="G34:G52">
    <cfRule type="cellIs" dxfId="31" priority="15" operator="lessThan">
      <formula>0</formula>
    </cfRule>
    <cfRule type="cellIs" dxfId="30" priority="16" operator="greaterThan">
      <formula>0</formula>
    </cfRule>
  </conditionalFormatting>
  <conditionalFormatting sqref="O34:O52">
    <cfRule type="cellIs" dxfId="29" priority="13" operator="lessThan">
      <formula>0</formula>
    </cfRule>
    <cfRule type="cellIs" dxfId="28" priority="14" operator="greaterThan">
      <formula>0</formula>
    </cfRule>
  </conditionalFormatting>
  <conditionalFormatting sqref="K34:K52">
    <cfRule type="cellIs" dxfId="27" priority="11" operator="lessThan">
      <formula>0</formula>
    </cfRule>
    <cfRule type="cellIs" dxfId="26" priority="12" operator="greaterThan">
      <formula>0</formula>
    </cfRule>
  </conditionalFormatting>
  <conditionalFormatting sqref="G53:G54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3:K54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3:O54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34:S52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S53:S54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AF120-60B4-4DC0-9D11-6E772350D316}">
  <sheetPr>
    <pageSetUpPr autoPageBreaks="0"/>
  </sheetPr>
  <dimension ref="A3:AB81"/>
  <sheetViews>
    <sheetView showGridLines="0" topLeftCell="B52" zoomScale="75" zoomScaleNormal="75" workbookViewId="0">
      <selection activeCell="P61" sqref="P61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hidden="1" customWidth="1"/>
    <col min="19" max="19" width="13.28515625" style="97" hidden="1" customWidth="1"/>
    <col min="20" max="20" width="13.85546875" style="97" hidden="1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602" t="s">
        <v>350</v>
      </c>
      <c r="G4" s="602"/>
      <c r="H4" s="602"/>
      <c r="I4" s="602"/>
      <c r="J4" s="602"/>
      <c r="K4" s="602"/>
      <c r="L4" s="602"/>
      <c r="M4" s="602"/>
      <c r="N4" s="602"/>
      <c r="O4" s="602"/>
      <c r="P4" s="602"/>
      <c r="Q4" s="550"/>
      <c r="R4" s="550"/>
      <c r="S4" s="550"/>
      <c r="T4" s="550"/>
    </row>
    <row r="5" spans="1:28" ht="36" customHeight="1" x14ac:dyDescent="0.25">
      <c r="F5" s="598" t="s">
        <v>310</v>
      </c>
      <c r="G5" s="599"/>
      <c r="H5" s="600"/>
      <c r="I5" s="181"/>
      <c r="J5" s="629" t="s">
        <v>427</v>
      </c>
      <c r="K5" s="630"/>
      <c r="L5" s="631"/>
      <c r="N5" s="629" t="s">
        <v>428</v>
      </c>
      <c r="O5" s="630"/>
      <c r="P5" s="631"/>
      <c r="Q5" s="503"/>
      <c r="R5" s="629" t="s">
        <v>352</v>
      </c>
      <c r="S5" s="630"/>
      <c r="T5" s="631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1000000</v>
      </c>
      <c r="K7" s="370">
        <v>0</v>
      </c>
      <c r="L7" s="372">
        <v>3608306.5090601984</v>
      </c>
      <c r="M7" s="367"/>
      <c r="N7" s="380">
        <v>1540173.2513926297</v>
      </c>
      <c r="O7" s="370">
        <v>0.54017325139262973</v>
      </c>
      <c r="P7" s="372">
        <v>5027050.4165755827</v>
      </c>
      <c r="Q7" s="369"/>
      <c r="R7" s="380">
        <v>1477446.4670283725</v>
      </c>
      <c r="S7" s="370">
        <v>0.47744646702837246</v>
      </c>
      <c r="T7" s="372">
        <v>6815212.4286170546</v>
      </c>
      <c r="U7" s="180"/>
      <c r="V7" s="185">
        <f>VAC_Optim_Scenario!$H51</f>
        <v>1540173.2513926297</v>
      </c>
      <c r="W7" s="177">
        <f>(V7-$C7)/$C7</f>
        <v>0.54017325139262973</v>
      </c>
      <c r="X7" s="185">
        <f>VAC_Optim_Scenario!$J51</f>
        <v>5027050.4165755827</v>
      </c>
      <c r="Y7" s="185">
        <f>J7-V7</f>
        <v>-540173.2513926297</v>
      </c>
      <c r="Z7" s="490">
        <f>$F7-'[1]Scenario deep dive'!$F7</f>
        <v>0</v>
      </c>
      <c r="AA7" s="493">
        <f>$J7-'[1]Scenario deep dive'!$J7</f>
        <v>-172914.32590990257</v>
      </c>
      <c r="AB7" s="493">
        <f>$N7-'[1]Scenario deep dive'!$N7</f>
        <v>-114415.46093616681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77322569.320852205</v>
      </c>
      <c r="E8" s="369"/>
      <c r="F8" s="380">
        <v>7998999.8847845653</v>
      </c>
      <c r="G8" s="370">
        <v>2.8707337681781207E-2</v>
      </c>
      <c r="H8" s="372">
        <v>81778277.188084155</v>
      </c>
      <c r="I8" s="369"/>
      <c r="J8" s="380">
        <v>11991676.357018849</v>
      </c>
      <c r="K8" s="370">
        <v>0.54218347759141905</v>
      </c>
      <c r="L8" s="372">
        <v>95086899.878487721</v>
      </c>
      <c r="M8" s="371"/>
      <c r="N8" s="380">
        <v>13899615.099674361</v>
      </c>
      <c r="O8" s="370">
        <v>0.78755297536456936</v>
      </c>
      <c r="P8" s="372">
        <v>100236529.00149192</v>
      </c>
      <c r="Q8" s="369"/>
      <c r="R8" s="380">
        <v>11653434.194842588</v>
      </c>
      <c r="S8" s="370">
        <v>0.49868401526414313</v>
      </c>
      <c r="T8" s="372">
        <v>97889996.867404997</v>
      </c>
      <c r="U8" s="180"/>
      <c r="V8" s="185">
        <f>VAC_Optim_Scenario!$H52</f>
        <v>13899615.099674361</v>
      </c>
      <c r="W8" s="177">
        <f t="shared" ref="W8:W22" si="0">(V8-$C8)/$C8</f>
        <v>0.78755297536456936</v>
      </c>
      <c r="X8" s="185">
        <f>VAC_Optim_Scenario!$J52</f>
        <v>100236529.00149192</v>
      </c>
      <c r="Y8" s="185">
        <f t="shared" ref="Y8:Y25" si="1">J8-V8</f>
        <v>-1907938.7426555119</v>
      </c>
      <c r="Z8" s="491">
        <f>$F8-'[1]Scenario deep dive'!$F8</f>
        <v>-4662.7890975764021</v>
      </c>
      <c r="AA8" s="494">
        <f>$J8-'[1]Scenario deep dive'!$J8</f>
        <v>1210596.5566163044</v>
      </c>
      <c r="AB8" s="494">
        <f>$N8-'[1]Scenario deep dive'!$N8</f>
        <v>1899615.0996743608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15925915.704314221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6500000</v>
      </c>
      <c r="K9" s="370">
        <v>2.5326086956521738</v>
      </c>
      <c r="L9" s="372">
        <v>33959534.839013599</v>
      </c>
      <c r="M9" s="371"/>
      <c r="N9" s="380">
        <v>6500000</v>
      </c>
      <c r="O9" s="370">
        <v>2.5326086956521738</v>
      </c>
      <c r="P9" s="372">
        <v>33959534.839013599</v>
      </c>
      <c r="Q9" s="369"/>
      <c r="R9" s="380">
        <v>5433719.4069541646</v>
      </c>
      <c r="S9" s="370">
        <v>1.9531083733446546</v>
      </c>
      <c r="T9" s="372">
        <v>30498048.005856685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33959534.839013599</v>
      </c>
      <c r="Y9" s="185">
        <f t="shared" si="1"/>
        <v>0</v>
      </c>
      <c r="Z9" s="491">
        <f>$F9-'[1]Scenario deep dive'!$F9</f>
        <v>0</v>
      </c>
      <c r="AA9" s="494">
        <f>$J9-'[1]Scenario deep dive'!$J9</f>
        <v>2512081.9027734757</v>
      </c>
      <c r="AB9" s="494">
        <f>$N9-'[1]Scenario deep dive'!$N9</f>
        <v>0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3394246.7935979273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3357832.8692201264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27455486.015820313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11382640.65742667</v>
      </c>
      <c r="K11" s="370">
        <v>1.3626230608727619</v>
      </c>
      <c r="L11" s="372">
        <v>50119328.427444667</v>
      </c>
      <c r="M11" s="371"/>
      <c r="N11" s="380">
        <v>12070112.999999998</v>
      </c>
      <c r="O11" s="370">
        <v>1.5053173669796862</v>
      </c>
      <c r="P11" s="372">
        <v>52219542.216157258</v>
      </c>
      <c r="Q11" s="369"/>
      <c r="R11" s="380">
        <v>8472745.2524451073</v>
      </c>
      <c r="S11" s="370">
        <v>0.75863439115652154</v>
      </c>
      <c r="T11" s="372">
        <v>40761675.682919972</v>
      </c>
      <c r="U11" s="180"/>
      <c r="V11" s="185">
        <f>VAC_Optim_Scenario!$H55</f>
        <v>12070112.999999998</v>
      </c>
      <c r="W11" s="177">
        <f t="shared" si="0"/>
        <v>1.5053173669796862</v>
      </c>
      <c r="X11" s="185">
        <f>VAC_Optim_Scenario!$J55</f>
        <v>52219542.216157258</v>
      </c>
      <c r="Y11" s="185">
        <f t="shared" si="1"/>
        <v>-687472.34257332794</v>
      </c>
      <c r="Z11" s="491">
        <f>$F11-'[1]Scenario deep dive'!$F11</f>
        <v>0</v>
      </c>
      <c r="AA11" s="494">
        <f>$J11-'[1]Scenario deep dive'!$J11</f>
        <v>5773599.206444988</v>
      </c>
      <c r="AB11" s="494">
        <f>$N11-'[1]Scenario deep dive'!$N11</f>
        <v>1297756.10846713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39290778.509746693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5739258.9855544949</v>
      </c>
      <c r="K12" s="370">
        <v>0.62125960043912287</v>
      </c>
      <c r="L12" s="372">
        <v>49046753.939384624</v>
      </c>
      <c r="M12" s="371"/>
      <c r="N12" s="380">
        <v>6603674.6489330456</v>
      </c>
      <c r="O12" s="370">
        <v>0.86544481608278123</v>
      </c>
      <c r="P12" s="372">
        <v>51379707.531912059</v>
      </c>
      <c r="Q12" s="369"/>
      <c r="R12" s="380">
        <v>5457181.4787297705</v>
      </c>
      <c r="S12" s="370">
        <v>0.54157668890671484</v>
      </c>
      <c r="T12" s="372">
        <v>48137663.740853444</v>
      </c>
      <c r="U12" s="180"/>
      <c r="V12" s="185">
        <f>VAC_Optim_Scenario!$H56</f>
        <v>6603674.6489330456</v>
      </c>
      <c r="W12" s="177">
        <f t="shared" si="0"/>
        <v>0.86544481608278123</v>
      </c>
      <c r="X12" s="185">
        <f>VAC_Optim_Scenario!$J56</f>
        <v>51379707.531912059</v>
      </c>
      <c r="Y12" s="185">
        <f t="shared" si="1"/>
        <v>-864415.66337855067</v>
      </c>
      <c r="Z12" s="491">
        <f>$F12-'[1]Scenario deep dive'!$F12</f>
        <v>4027.4115999196656</v>
      </c>
      <c r="AA12" s="494">
        <f>$J12-'[1]Scenario deep dive'!$J12</f>
        <v>676636.59928638116</v>
      </c>
      <c r="AB12" s="494">
        <f>$N12-'[1]Scenario deep dive'!$N12</f>
        <v>917044.2124931924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63695224.07626316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15700000</v>
      </c>
      <c r="K15" s="370">
        <v>0</v>
      </c>
      <c r="L15" s="372">
        <v>63695224.07626316</v>
      </c>
      <c r="M15" s="371"/>
      <c r="N15" s="380">
        <v>15700000</v>
      </c>
      <c r="O15" s="370">
        <v>0</v>
      </c>
      <c r="P15" s="372">
        <v>63695224.07626316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63695224.07626316</v>
      </c>
      <c r="Y15" s="185">
        <f t="shared" si="1"/>
        <v>0</v>
      </c>
      <c r="Z15" s="492">
        <f>$F15-'[1]Scenario deep dive'!$F15</f>
        <v>0</v>
      </c>
      <c r="AA15" s="494">
        <f>$J15-'[1]Scenario deep dive'!$J15</f>
        <v>-1188801</v>
      </c>
      <c r="AB15" s="494">
        <f>$N15-'[1]Scenario deep dive'!$N15</f>
        <v>-1188801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904451.29161394853</v>
      </c>
      <c r="M16" s="371"/>
      <c r="N16" s="379">
        <v>900000</v>
      </c>
      <c r="O16" s="366">
        <v>-0.1</v>
      </c>
      <c r="P16" s="368">
        <v>904451.29161394853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91677940.557008296</v>
      </c>
      <c r="E17" s="369"/>
      <c r="F17" s="380">
        <v>20333699.638065696</v>
      </c>
      <c r="G17" s="370">
        <v>0.19976986299655983</v>
      </c>
      <c r="H17" s="372">
        <v>103711863.92886993</v>
      </c>
      <c r="I17" s="369"/>
      <c r="J17" s="380">
        <v>28000000.220499996</v>
      </c>
      <c r="K17" s="370">
        <v>0.65211235664975198</v>
      </c>
      <c r="L17" s="372">
        <v>122303515.66035138</v>
      </c>
      <c r="M17" s="371"/>
      <c r="N17" s="380">
        <v>28000000</v>
      </c>
      <c r="O17" s="370">
        <v>0.65211234363936743</v>
      </c>
      <c r="P17" s="372">
        <v>122303515.20283259</v>
      </c>
      <c r="Q17" s="369"/>
      <c r="R17" s="380">
        <v>21000000</v>
      </c>
      <c r="S17" s="370">
        <v>0.2390842577295256</v>
      </c>
      <c r="T17" s="372">
        <v>105724786.72171538</v>
      </c>
      <c r="U17" s="180"/>
      <c r="V17" s="185">
        <f>VAC_Optim_Scenario!$H62</f>
        <v>28000000</v>
      </c>
      <c r="W17" s="177">
        <f t="shared" si="0"/>
        <v>0.65211234363936743</v>
      </c>
      <c r="X17" s="185">
        <f>VAC_Optim_Scenario!$J62</f>
        <v>122303515.20283259</v>
      </c>
      <c r="Y17" s="185">
        <f t="shared" si="1"/>
        <v>0.22049999609589577</v>
      </c>
      <c r="Z17" s="491">
        <f>$F17-'[2]Scenario deep dive'!$F8</f>
        <v>972.85154687613249</v>
      </c>
      <c r="AA17" s="494">
        <f>$J17-'[2]Scenario deep dive'!$J8</f>
        <v>7000000.2204999961</v>
      </c>
      <c r="AB17" s="494">
        <f>$N17-'[2]Scenario deep dive'!$N8</f>
        <v>7000000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6171975.0306531982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4718313.1116648735</v>
      </c>
      <c r="K18" s="370">
        <v>1.144687778029488</v>
      </c>
      <c r="L18" s="372">
        <v>9755344.4072089512</v>
      </c>
      <c r="M18" s="371"/>
      <c r="N18" s="380">
        <v>3792982.8268409837</v>
      </c>
      <c r="O18" s="370">
        <v>0.72408310310953805</v>
      </c>
      <c r="P18" s="372">
        <v>8557739.8044479284</v>
      </c>
      <c r="Q18" s="369"/>
      <c r="R18" s="380">
        <v>2282368.4526044191</v>
      </c>
      <c r="S18" s="370">
        <v>3.7440205729281403E-2</v>
      </c>
      <c r="T18" s="372">
        <v>6309602.5797727108</v>
      </c>
      <c r="U18" s="180"/>
      <c r="V18" s="185">
        <f>VAC_Optim_Scenario!$H63</f>
        <v>3792982.8268409837</v>
      </c>
      <c r="W18" s="177">
        <f t="shared" si="0"/>
        <v>0.72408310310953805</v>
      </c>
      <c r="X18" s="185">
        <f>VAC_Optim_Scenario!$J63</f>
        <v>8557739.8044479284</v>
      </c>
      <c r="Y18" s="185">
        <f t="shared" si="1"/>
        <v>925330.28482388984</v>
      </c>
      <c r="Z18" s="491">
        <f>$F18-'[2]Scenario deep dive'!$F9</f>
        <v>0</v>
      </c>
      <c r="AA18" s="494">
        <f>$J18-'[2]Scenario deep dive'!$J9</f>
        <v>131797.87950214837</v>
      </c>
      <c r="AB18" s="494">
        <f>$N18-'[2]Scenario deep dive'!$N9</f>
        <v>-2940245.6437496124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5944544.9570494974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2556731.7315722317</v>
      </c>
      <c r="K19" s="370">
        <v>0.70448782104815455</v>
      </c>
      <c r="L19" s="372">
        <v>7801337.0110399593</v>
      </c>
      <c r="M19" s="371"/>
      <c r="N19" s="380">
        <v>2417063.0393783748</v>
      </c>
      <c r="O19" s="370">
        <v>0.6113753595855832</v>
      </c>
      <c r="P19" s="372">
        <v>7620283.6007006103</v>
      </c>
      <c r="Q19" s="369"/>
      <c r="R19" s="380">
        <v>2091880.7528473777</v>
      </c>
      <c r="S19" s="370">
        <v>0.39458716856491843</v>
      </c>
      <c r="T19" s="372">
        <v>7132160.5639820658</v>
      </c>
      <c r="U19" s="180"/>
      <c r="V19" s="185">
        <f>VAC_Optim_Scenario!$H64</f>
        <v>2417063.0393783748</v>
      </c>
      <c r="W19" s="177">
        <f t="shared" si="0"/>
        <v>0.6113753595855832</v>
      </c>
      <c r="X19" s="185">
        <f>VAC_Optim_Scenario!$J64</f>
        <v>7620283.6007006103</v>
      </c>
      <c r="Y19" s="185">
        <f t="shared" si="1"/>
        <v>139668.69219385693</v>
      </c>
      <c r="Z19" s="491">
        <f>$F19-'[2]Scenario deep dive'!$F10</f>
        <v>3206.1157225614879</v>
      </c>
      <c r="AA19" s="494">
        <f>$J19-'[2]Scenario deep dive'!$J10</f>
        <v>18123.373642346356</v>
      </c>
      <c r="AB19" s="494">
        <f>$N19-'[2]Scenario deep dive'!$N10</f>
        <v>-367085.54406981915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18886370.658155333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11622167.936262894</v>
      </c>
      <c r="K20" s="370">
        <v>0.13183252317514796</v>
      </c>
      <c r="L20" s="372">
        <v>20596623.354008988</v>
      </c>
      <c r="M20" s="371"/>
      <c r="N20" s="380">
        <v>8687167.133780634</v>
      </c>
      <c r="O20" s="370">
        <v>-0.15399447416410633</v>
      </c>
      <c r="P20" s="372">
        <v>16800018.05910404</v>
      </c>
      <c r="Q20" s="369"/>
      <c r="R20" s="380">
        <v>8306901</v>
      </c>
      <c r="S20" s="370">
        <v>-0.19102694349644914</v>
      </c>
      <c r="T20" s="372">
        <v>16281797.494816165</v>
      </c>
      <c r="U20" s="180"/>
      <c r="V20" s="185">
        <f>VAC_Optim_Scenario!$H65</f>
        <v>8687167.133780634</v>
      </c>
      <c r="W20" s="177">
        <f t="shared" si="0"/>
        <v>-0.15399447416410633</v>
      </c>
      <c r="X20" s="185">
        <f>VAC_Optim_Scenario!$J65</f>
        <v>16800018.05910404</v>
      </c>
      <c r="Y20" s="185">
        <f t="shared" si="1"/>
        <v>2935000.8024822604</v>
      </c>
      <c r="Z20" s="491">
        <f>$F20-'[2]Scenario deep dive'!$F11</f>
        <v>0</v>
      </c>
      <c r="AA20" s="494">
        <f>$J20-'[2]Scenario deep dive'!$J11</f>
        <v>430839.58253191039</v>
      </c>
      <c r="AB20" s="494">
        <f>$N20-'[2]Scenario deep dive'!$N11</f>
        <v>-9985309.7721061017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21020675.494225871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24032152.746086098</v>
      </c>
      <c r="Y21" s="185">
        <f t="shared" si="1"/>
        <v>0</v>
      </c>
      <c r="Z21" s="491">
        <f>$F21-'[2]Scenario deep dive'!$F12</f>
        <v>-6415.2453787680715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40395109.654958591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28089211</v>
      </c>
      <c r="W23" s="177">
        <f>(V23-$C23)/$C23</f>
        <v>0</v>
      </c>
      <c r="X23" s="185">
        <f>VAC_Optim_Scenario!$J68</f>
        <v>40395109.654958591</v>
      </c>
      <c r="Y23" s="185">
        <f t="shared" si="1"/>
        <v>0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2200000</v>
      </c>
      <c r="O24" s="370">
        <v>0.46666666666666667</v>
      </c>
      <c r="P24" s="372">
        <v>8497253.2367697079</v>
      </c>
      <c r="Q24" s="369"/>
      <c r="R24" s="380">
        <v>1954350.9945481978</v>
      </c>
      <c r="S24" s="370">
        <v>0.30290066303213187</v>
      </c>
      <c r="T24" s="372">
        <v>8104206.8009546781</v>
      </c>
      <c r="U24" s="180"/>
      <c r="V24" s="185">
        <f>VAC_Optim_Scenario!$H69</f>
        <v>2200000</v>
      </c>
      <c r="W24" s="177">
        <f t="shared" ref="W24:W25" si="2">(V24-$C24)/$C24</f>
        <v>0.46666666666666667</v>
      </c>
      <c r="X24" s="488">
        <f>VAC_Optim_Scenario!$J69</f>
        <v>8497253.2367697079</v>
      </c>
      <c r="Y24" s="185">
        <f t="shared" si="1"/>
        <v>0</v>
      </c>
      <c r="Z24" s="491">
        <f>$F24-'[2]Scenario deep dive'!$F14</f>
        <v>2236.2645860570483</v>
      </c>
      <c r="AA24" s="494">
        <f>$J24-'[2]Scenario deep dive'!$J14</f>
        <v>0</v>
      </c>
      <c r="AB24" s="494">
        <f>$N24-'[2]Scenario deep dive'!$N14</f>
        <v>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284160884.55212712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f>SUM(J7:J15)</f>
        <v>58513576.000000015</v>
      </c>
      <c r="K26" s="439">
        <f>(J26-$C$26)/$C$26</f>
        <v>0.51929740307677519</v>
      </c>
      <c r="L26" s="368">
        <f>SUM(L7:L15)</f>
        <v>364519133.95458651</v>
      </c>
      <c r="M26" s="371"/>
      <c r="N26" s="379">
        <f>SUM(N7:N15)</f>
        <v>62513576.000000037</v>
      </c>
      <c r="O26" s="439">
        <f>(N26-$C$26)/$C$26</f>
        <v>0.62315688369213074</v>
      </c>
      <c r="P26" s="368">
        <f>SUM(P7:P15)</f>
        <v>375520674.36634612</v>
      </c>
      <c r="Q26" s="369"/>
      <c r="R26" s="379">
        <v>55583327.800000004</v>
      </c>
      <c r="S26" s="439">
        <v>0.40000000000000013</v>
      </c>
      <c r="T26" s="368">
        <v>360139860.66345346</v>
      </c>
      <c r="U26" s="180">
        <f>V26-C26</f>
        <v>24000000.000000037</v>
      </c>
      <c r="V26" s="379">
        <f>SUM(V7:V15)</f>
        <v>62513576.000000037</v>
      </c>
      <c r="W26" s="439">
        <f>(V26-$C$26)/$C$26</f>
        <v>0.62315688369213074</v>
      </c>
      <c r="X26" s="368">
        <f>SUM(X7:X15)</f>
        <v>375520674.36634612</v>
      </c>
      <c r="Y26" s="185">
        <f>V26-F26</f>
        <v>22811199.00000003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215396961.03338698</v>
      </c>
      <c r="E27" s="369"/>
      <c r="F27" s="381">
        <v>68905663</v>
      </c>
      <c r="G27" s="440">
        <v>0</v>
      </c>
      <c r="H27" s="375">
        <v>222412318.09155828</v>
      </c>
      <c r="I27" s="369"/>
      <c r="J27" s="381">
        <f>SUM(J16:J25)</f>
        <v>86486424</v>
      </c>
      <c r="K27" s="440">
        <f>(J27-$C$27)/$C$27</f>
        <v>0.25514246920459932</v>
      </c>
      <c r="L27" s="375">
        <f>SUM(L16:L25)</f>
        <v>257318965.6519202</v>
      </c>
      <c r="M27" s="371"/>
      <c r="N27" s="381">
        <f>SUM(N16:N25)</f>
        <v>82486424</v>
      </c>
      <c r="O27" s="440">
        <f>(N27-$C$27)/$C$27</f>
        <v>0.19709208806248624</v>
      </c>
      <c r="P27" s="375">
        <f>SUM(P16:P25)</f>
        <v>252143701.88639605</v>
      </c>
      <c r="Q27" s="369"/>
      <c r="R27" s="381">
        <v>73024712.200000003</v>
      </c>
      <c r="S27" s="440">
        <v>5.9778094000779047E-2</v>
      </c>
      <c r="T27" s="375">
        <v>232423426.59668708</v>
      </c>
      <c r="U27" s="180">
        <f>V27-C27</f>
        <v>13580761</v>
      </c>
      <c r="V27" s="381">
        <f>SUM(V16:V25)</f>
        <v>82486424</v>
      </c>
      <c r="W27" s="440">
        <f>(V27-$C$27)/$C$27</f>
        <v>0.19709208806248624</v>
      </c>
      <c r="X27" s="375">
        <f>SUM(X16:X25)</f>
        <v>252143701.88639605</v>
      </c>
      <c r="Y27" s="185">
        <f>V27-F27</f>
        <v>13580761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499557845.58551407</v>
      </c>
      <c r="E28" s="179"/>
      <c r="F28" s="442">
        <f>SUM(F7:F25)</f>
        <v>108608040</v>
      </c>
      <c r="G28" s="444">
        <f>(F28-$C$28)/$C$28</f>
        <v>1.106692815055225E-2</v>
      </c>
      <c r="H28" s="443">
        <f>SUM(H7:H25)</f>
        <v>515884477.51702702</v>
      </c>
      <c r="I28" s="435"/>
      <c r="J28" s="442">
        <f>SUM(J7:J25)</f>
        <v>145000000</v>
      </c>
      <c r="K28" s="444">
        <f>(J28-$C$28)/$C$28</f>
        <v>0.34985130550031174</v>
      </c>
      <c r="L28" s="443">
        <f>SUM(L7:L25)</f>
        <v>621838099.60650682</v>
      </c>
      <c r="M28" s="371"/>
      <c r="N28" s="442">
        <f>SUM(N7:N25)</f>
        <v>145000000</v>
      </c>
      <c r="O28" s="444">
        <f>(N28-$C$28)/$C$28</f>
        <v>0.34985130550031174</v>
      </c>
      <c r="P28" s="443">
        <f>SUM(P7:P25)</f>
        <v>627664376.25274229</v>
      </c>
      <c r="Q28" s="505"/>
      <c r="R28" s="442">
        <f>SUM(R7:R25)</f>
        <v>128608040</v>
      </c>
      <c r="S28" s="444">
        <f>(R28-$C$28)/$C$28</f>
        <v>0.19725331511611249</v>
      </c>
      <c r="T28" s="443">
        <f>SUM(T7:T25)</f>
        <v>592563287.26014078</v>
      </c>
      <c r="V28" s="188">
        <f>SUM(V7:V25)</f>
        <v>145000000</v>
      </c>
      <c r="W28" s="189">
        <f>(V28-$C$28)/$C$28</f>
        <v>0.34985130550031174</v>
      </c>
      <c r="X28" s="188">
        <f>SUM(X7:X25)</f>
        <v>627664376.25274229</v>
      </c>
    </row>
    <row r="29" spans="1:28" x14ac:dyDescent="0.25">
      <c r="D29" s="382">
        <f>SUM(D7:D15)/D28</f>
        <v>0.56882478588454999</v>
      </c>
      <c r="E29" s="382"/>
      <c r="F29" s="382"/>
      <c r="G29" s="382"/>
      <c r="H29" s="382">
        <f>SUM(H7:H15)/H28</f>
        <v>0.56887185448564404</v>
      </c>
      <c r="I29" s="382"/>
      <c r="J29" s="382"/>
      <c r="K29" s="382"/>
      <c r="L29" s="382">
        <f>SUM(L7:L15)/L28</f>
        <v>0.58619620474404943</v>
      </c>
      <c r="P29" s="382">
        <f>SUM(P7:P15)/P28</f>
        <v>0.59828259906714032</v>
      </c>
      <c r="Q29" s="382"/>
      <c r="T29" s="382"/>
      <c r="U29" s="180"/>
      <c r="X29" s="499">
        <f>X28/VAC_Optim_Scenario!$E$48</f>
        <v>2778013.5268334174</v>
      </c>
    </row>
    <row r="30" spans="1:28" x14ac:dyDescent="0.25">
      <c r="D30" s="382">
        <f>SUM(D16:D25)/D28</f>
        <v>0.43117521411545007</v>
      </c>
      <c r="E30" s="382"/>
      <c r="F30" s="382"/>
      <c r="G30" s="382"/>
      <c r="H30" s="382">
        <f>SUM(H16:H25)/H28</f>
        <v>0.43112814551435585</v>
      </c>
      <c r="I30" s="382"/>
      <c r="J30" s="382"/>
      <c r="K30" s="382"/>
      <c r="L30" s="382">
        <f>SUM(L16:L25)/L28</f>
        <v>0.41380379525595035</v>
      </c>
      <c r="P30" s="382">
        <f>SUM(P16:P25)/P28</f>
        <v>0.40171740093285951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18" t="str">
        <f>F4</f>
        <v>Optimal channel spend allowed to vary based on custom constraints of the 2024 channel spend</v>
      </c>
      <c r="G31" s="619"/>
      <c r="H31" s="619"/>
      <c r="I31" s="619"/>
      <c r="J31" s="619"/>
      <c r="K31" s="619"/>
      <c r="L31" s="619"/>
      <c r="M31" s="619"/>
      <c r="N31" s="619"/>
      <c r="O31" s="619"/>
      <c r="P31" s="619"/>
      <c r="Q31" s="619"/>
      <c r="R31" s="619"/>
      <c r="S31" s="619"/>
      <c r="T31" s="619"/>
    </row>
    <row r="32" spans="1:28" ht="30.4" customHeight="1" x14ac:dyDescent="0.25">
      <c r="A32" s="482"/>
      <c r="B32" s="482"/>
      <c r="C32" s="621" t="s">
        <v>341</v>
      </c>
      <c r="D32" s="622"/>
      <c r="E32" s="543"/>
      <c r="F32" s="623" t="str">
        <f>F5</f>
        <v>Current Optimal ($92MM)</v>
      </c>
      <c r="G32" s="624"/>
      <c r="H32" s="625"/>
      <c r="I32" s="544"/>
      <c r="J32" s="626" t="str">
        <f>J5</f>
        <v>40M increase in total budget (Adol/Adult split: $20MM/$20MM)</v>
      </c>
      <c r="K32" s="627"/>
      <c r="L32" s="628"/>
      <c r="M32" s="483"/>
      <c r="N32" s="626" t="str">
        <f>N5</f>
        <v>40M increase in total budget (Adol/Adult split: $24MM/$16MM)</v>
      </c>
      <c r="O32" s="627"/>
      <c r="P32" s="628"/>
      <c r="Q32" s="545"/>
      <c r="R32" s="620" t="str">
        <f>R5</f>
        <v>20M increase in total budget ( Global Max 140%)</v>
      </c>
      <c r="S32" s="620"/>
      <c r="T32" s="620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</v>
      </c>
      <c r="K34" s="525">
        <f t="shared" ref="K34:K50" si="9">K7</f>
        <v>0</v>
      </c>
      <c r="L34" s="526">
        <f t="shared" ref="L34:L50" si="10">L7/1000000</f>
        <v>3.6083065090601982</v>
      </c>
      <c r="M34" s="527"/>
      <c r="N34" s="524">
        <f t="shared" ref="N34:N50" si="11">N7/1000000</f>
        <v>1.5401732513926296</v>
      </c>
      <c r="O34" s="525">
        <f t="shared" ref="O34:O50" si="12">O7</f>
        <v>0.54017325139262973</v>
      </c>
      <c r="P34" s="528">
        <f t="shared" ref="P34:P50" si="13">P7/1000000</f>
        <v>5.0270504165755829</v>
      </c>
      <c r="Q34" s="529"/>
      <c r="R34" s="524">
        <f t="shared" ref="R34:R50" si="14">R7/1000000</f>
        <v>1.4774464670283725</v>
      </c>
      <c r="S34" s="525">
        <f t="shared" ref="S34:S50" si="15">S7</f>
        <v>0.47744646702837246</v>
      </c>
      <c r="T34" s="528">
        <f t="shared" ref="T34:T50" si="16">T7/1000000</f>
        <v>6.8152124286170546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77.32256932085221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81.778277188084161</v>
      </c>
      <c r="I35" s="523"/>
      <c r="J35" s="532">
        <f t="shared" si="8"/>
        <v>11.991676357018848</v>
      </c>
      <c r="K35" s="525">
        <f t="shared" si="9"/>
        <v>0.54218347759141905</v>
      </c>
      <c r="L35" s="534">
        <f t="shared" si="10"/>
        <v>95.086899878487728</v>
      </c>
      <c r="M35" s="527"/>
      <c r="N35" s="532">
        <f t="shared" si="11"/>
        <v>13.89961509967436</v>
      </c>
      <c r="O35" s="525">
        <f t="shared" si="12"/>
        <v>0.78755297536456936</v>
      </c>
      <c r="P35" s="535">
        <f t="shared" si="13"/>
        <v>100.23652900149192</v>
      </c>
      <c r="Q35" s="529"/>
      <c r="R35" s="532">
        <f t="shared" si="14"/>
        <v>11.653434194842589</v>
      </c>
      <c r="S35" s="525">
        <f t="shared" si="15"/>
        <v>0.49868401526414313</v>
      </c>
      <c r="T35" s="535">
        <f t="shared" si="16"/>
        <v>97.889996867405003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15.925915704314221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6.5</v>
      </c>
      <c r="K36" s="525">
        <f t="shared" si="9"/>
        <v>2.5326086956521738</v>
      </c>
      <c r="L36" s="534">
        <f t="shared" si="10"/>
        <v>33.9595348390136</v>
      </c>
      <c r="M36" s="527"/>
      <c r="N36" s="532">
        <f t="shared" si="11"/>
        <v>6.5</v>
      </c>
      <c r="O36" s="525">
        <f t="shared" si="12"/>
        <v>2.5326086956521738</v>
      </c>
      <c r="P36" s="535">
        <f t="shared" si="13"/>
        <v>33.9595348390136</v>
      </c>
      <c r="Q36" s="529"/>
      <c r="R36" s="532">
        <f t="shared" si="14"/>
        <v>5.4337194069541646</v>
      </c>
      <c r="S36" s="525">
        <f t="shared" si="15"/>
        <v>1.9531083733446546</v>
      </c>
      <c r="T36" s="535">
        <f t="shared" si="16"/>
        <v>30.498048005856685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3.3942467935979272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27.455486015820313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11.38264065742667</v>
      </c>
      <c r="K38" s="525">
        <f t="shared" si="9"/>
        <v>1.3626230608727619</v>
      </c>
      <c r="L38" s="534">
        <f t="shared" si="10"/>
        <v>50.119328427444664</v>
      </c>
      <c r="M38" s="527"/>
      <c r="N38" s="532">
        <f t="shared" si="11"/>
        <v>12.070112999999997</v>
      </c>
      <c r="O38" s="525">
        <f t="shared" si="12"/>
        <v>1.5053173669796862</v>
      </c>
      <c r="P38" s="535">
        <f t="shared" si="13"/>
        <v>52.219542216157258</v>
      </c>
      <c r="Q38" s="529"/>
      <c r="R38" s="532">
        <f t="shared" si="14"/>
        <v>8.4727452524451081</v>
      </c>
      <c r="S38" s="525">
        <f t="shared" si="15"/>
        <v>0.75863439115652154</v>
      </c>
      <c r="T38" s="535">
        <f t="shared" si="16"/>
        <v>40.761675682919972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39.290778509746694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32">
        <f t="shared" si="8"/>
        <v>5.7392589855544953</v>
      </c>
      <c r="K39" s="525">
        <f t="shared" si="9"/>
        <v>0.62125960043912287</v>
      </c>
      <c r="L39" s="534">
        <f t="shared" si="10"/>
        <v>49.046753939384622</v>
      </c>
      <c r="M39" s="527"/>
      <c r="N39" s="532">
        <f t="shared" si="11"/>
        <v>6.6036746489330458</v>
      </c>
      <c r="O39" s="525">
        <f t="shared" si="12"/>
        <v>0.86544481608278123</v>
      </c>
      <c r="P39" s="535">
        <f t="shared" si="13"/>
        <v>51.379707531912061</v>
      </c>
      <c r="Q39" s="529"/>
      <c r="R39" s="532">
        <f t="shared" si="14"/>
        <v>5.4571814787297708</v>
      </c>
      <c r="S39" s="525">
        <f t="shared" si="15"/>
        <v>0.54157668890671484</v>
      </c>
      <c r="T39" s="535">
        <f t="shared" si="16"/>
        <v>48.137663740853441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32">
        <f t="shared" si="8"/>
        <v>4.8</v>
      </c>
      <c r="K41" s="525">
        <f t="shared" si="9"/>
        <v>1.1621621621621621</v>
      </c>
      <c r="L41" s="534">
        <f t="shared" si="10"/>
        <v>32.875287531392161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63.695224076263159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15.7</v>
      </c>
      <c r="K42" s="525">
        <f t="shared" si="9"/>
        <v>0</v>
      </c>
      <c r="L42" s="534">
        <f t="shared" si="10"/>
        <v>63.695224076263159</v>
      </c>
      <c r="M42" s="527"/>
      <c r="N42" s="532">
        <f t="shared" si="11"/>
        <v>15.7</v>
      </c>
      <c r="O42" s="525">
        <f t="shared" si="12"/>
        <v>0</v>
      </c>
      <c r="P42" s="535">
        <f t="shared" si="13"/>
        <v>63.695224076263159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0.90445129161394855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0.90445129161394855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91.677940557008299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103.71186392886993</v>
      </c>
      <c r="I44" s="523"/>
      <c r="J44" s="532">
        <f t="shared" si="8"/>
        <v>28.000000220499995</v>
      </c>
      <c r="K44" s="525">
        <f t="shared" si="9"/>
        <v>0.65211235664975198</v>
      </c>
      <c r="L44" s="534">
        <f t="shared" si="10"/>
        <v>122.30351566035138</v>
      </c>
      <c r="M44" s="527"/>
      <c r="N44" s="532">
        <f t="shared" si="11"/>
        <v>28</v>
      </c>
      <c r="O44" s="525">
        <f t="shared" si="12"/>
        <v>0.65211234363936743</v>
      </c>
      <c r="P44" s="535">
        <f t="shared" si="13"/>
        <v>122.3035152028326</v>
      </c>
      <c r="Q44" s="529"/>
      <c r="R44" s="532">
        <f t="shared" si="14"/>
        <v>21</v>
      </c>
      <c r="S44" s="525">
        <f t="shared" si="15"/>
        <v>0.2390842577295256</v>
      </c>
      <c r="T44" s="535">
        <f t="shared" si="16"/>
        <v>105.72478672171538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6.171975030653198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4.7183131116648731</v>
      </c>
      <c r="K45" s="525">
        <f t="shared" si="9"/>
        <v>1.144687778029488</v>
      </c>
      <c r="L45" s="534">
        <f t="shared" si="10"/>
        <v>9.7553444072089519</v>
      </c>
      <c r="M45" s="527"/>
      <c r="N45" s="532">
        <f t="shared" si="11"/>
        <v>3.7929828268409835</v>
      </c>
      <c r="O45" s="525">
        <f t="shared" si="12"/>
        <v>0.72408310310953805</v>
      </c>
      <c r="P45" s="535">
        <f t="shared" si="13"/>
        <v>8.5577398044479285</v>
      </c>
      <c r="Q45" s="529"/>
      <c r="R45" s="532">
        <f t="shared" si="14"/>
        <v>2.2823684526044192</v>
      </c>
      <c r="S45" s="525">
        <f t="shared" si="15"/>
        <v>3.7440205729281403E-2</v>
      </c>
      <c r="T45" s="535">
        <f t="shared" si="16"/>
        <v>6.3096025797727107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5.944544957049497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32">
        <f t="shared" si="8"/>
        <v>2.5567317315722318</v>
      </c>
      <c r="K46" s="525">
        <f t="shared" si="9"/>
        <v>0.70448782104815455</v>
      </c>
      <c r="L46" s="534">
        <f t="shared" si="10"/>
        <v>7.8013370110399594</v>
      </c>
      <c r="M46" s="527"/>
      <c r="N46" s="532">
        <f t="shared" si="11"/>
        <v>2.417063039378375</v>
      </c>
      <c r="O46" s="525">
        <f t="shared" si="12"/>
        <v>0.6113753595855832</v>
      </c>
      <c r="P46" s="535">
        <f t="shared" si="13"/>
        <v>7.6202836007006107</v>
      </c>
      <c r="Q46" s="529"/>
      <c r="R46" s="532">
        <f t="shared" si="14"/>
        <v>2.0918807528473775</v>
      </c>
      <c r="S46" s="525">
        <f t="shared" si="15"/>
        <v>0.39458716856491843</v>
      </c>
      <c r="T46" s="535">
        <f t="shared" si="16"/>
        <v>7.1321605639820653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18.886370658155332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32">
        <f t="shared" si="8"/>
        <v>11.622167936262894</v>
      </c>
      <c r="K47" s="525">
        <f t="shared" si="9"/>
        <v>0.13183252317514796</v>
      </c>
      <c r="L47" s="534">
        <f t="shared" si="10"/>
        <v>20.596623354008987</v>
      </c>
      <c r="M47" s="527"/>
      <c r="N47" s="532">
        <f t="shared" si="11"/>
        <v>8.6871671337806333</v>
      </c>
      <c r="O47" s="525">
        <f t="shared" si="12"/>
        <v>-0.15399447416410633</v>
      </c>
      <c r="P47" s="535">
        <f t="shared" si="13"/>
        <v>16.80001805910404</v>
      </c>
      <c r="Q47" s="529"/>
      <c r="R47" s="532">
        <f t="shared" si="14"/>
        <v>8.3069009999999999</v>
      </c>
      <c r="S47" s="525">
        <f t="shared" si="15"/>
        <v>-0.19102694349644914</v>
      </c>
      <c r="T47" s="535">
        <f t="shared" si="16"/>
        <v>16.281797494816164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21.02067549422587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5</v>
      </c>
      <c r="S48" s="525">
        <f t="shared" si="15"/>
        <v>0.25</v>
      </c>
      <c r="T48" s="535">
        <f t="shared" si="16"/>
        <v>24.032152746086098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40.395109654958588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2.2000000000000002</v>
      </c>
      <c r="O51" s="525">
        <f>O24</f>
        <v>0.46666666666666667</v>
      </c>
      <c r="P51" s="535">
        <f>P24/1000000</f>
        <v>8.4972532367697085</v>
      </c>
      <c r="Q51" s="529"/>
      <c r="R51" s="532">
        <f>R24/1000000</f>
        <v>1.9543509945481978</v>
      </c>
      <c r="S51" s="525">
        <f>S24</f>
        <v>0.30290066303213187</v>
      </c>
      <c r="T51" s="535">
        <f>T24/1000000</f>
        <v>8.1042068009546782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284.16088455212713</v>
      </c>
      <c r="E53" s="510"/>
      <c r="F53" s="511">
        <f t="shared" ref="F53:F54" si="19">F26/1000000</f>
        <v>39.702377000000006</v>
      </c>
      <c r="G53" s="484">
        <f t="shared" ref="G53:G54" si="20">G26</f>
        <v>1.8766081932383616E-16</v>
      </c>
      <c r="H53" s="512">
        <f t="shared" ref="H53:H54" si="21">H26/1000000</f>
        <v>293.4721594254687</v>
      </c>
      <c r="I53" s="510"/>
      <c r="J53" s="511">
        <f t="shared" ref="J53:J54" si="22">J26/1000000</f>
        <v>58.513576000000015</v>
      </c>
      <c r="K53" s="484">
        <f t="shared" ref="K53:K54" si="23">K26</f>
        <v>0.51929740307677519</v>
      </c>
      <c r="L53" s="512">
        <f t="shared" ref="L53:L54" si="24">L26/1000000</f>
        <v>364.51913395458649</v>
      </c>
      <c r="M53" s="483"/>
      <c r="N53" s="511">
        <f t="shared" ref="N53:N54" si="25">N26/1000000</f>
        <v>62.513576000000036</v>
      </c>
      <c r="O53" s="484">
        <f t="shared" ref="O53:O54" si="26">O26</f>
        <v>0.62315688369213074</v>
      </c>
      <c r="P53" s="512">
        <f t="shared" ref="P53:P54" si="27">P26/1000000</f>
        <v>375.5206743663461</v>
      </c>
      <c r="Q53" s="513"/>
      <c r="R53" s="511">
        <f t="shared" ref="R53:R54" si="28">R26/1000000</f>
        <v>55.583327800000006</v>
      </c>
      <c r="S53" s="484">
        <f t="shared" ref="S53:S54" si="29">S26</f>
        <v>0.40000000000000013</v>
      </c>
      <c r="T53" s="512">
        <f t="shared" ref="T53:T54" si="30">T26/1000000</f>
        <v>360.13986066345348</v>
      </c>
      <c r="U53" s="180">
        <f>L53-D53</f>
        <v>80.358249402459364</v>
      </c>
      <c r="V53" s="180">
        <f>P53-D53</f>
        <v>91.359789814218971</v>
      </c>
      <c r="W53" s="180">
        <f>T53-D53</f>
        <v>75.978976111326347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215.39696103338699</v>
      </c>
      <c r="E54" s="510"/>
      <c r="F54" s="511">
        <f t="shared" si="19"/>
        <v>68.905663000000004</v>
      </c>
      <c r="G54" s="484">
        <f t="shared" si="20"/>
        <v>0</v>
      </c>
      <c r="H54" s="512">
        <f t="shared" si="21"/>
        <v>222.41231809155829</v>
      </c>
      <c r="I54" s="510"/>
      <c r="J54" s="511">
        <f t="shared" si="22"/>
        <v>86.486424</v>
      </c>
      <c r="K54" s="484">
        <f t="shared" si="23"/>
        <v>0.25514246920459932</v>
      </c>
      <c r="L54" s="512">
        <f t="shared" si="24"/>
        <v>257.31896565192022</v>
      </c>
      <c r="M54" s="483"/>
      <c r="N54" s="511">
        <f t="shared" si="25"/>
        <v>82.486424</v>
      </c>
      <c r="O54" s="484">
        <f t="shared" si="26"/>
        <v>0.19709208806248624</v>
      </c>
      <c r="P54" s="512">
        <f t="shared" si="27"/>
        <v>252.14370188639606</v>
      </c>
      <c r="Q54" s="513"/>
      <c r="R54" s="511">
        <f t="shared" si="28"/>
        <v>73.024712199999996</v>
      </c>
      <c r="S54" s="484">
        <f t="shared" si="29"/>
        <v>5.9778094000779047E-2</v>
      </c>
      <c r="T54" s="512">
        <f t="shared" si="30"/>
        <v>232.42342659668708</v>
      </c>
      <c r="U54" s="180">
        <f>L54-D54</f>
        <v>41.922004618533236</v>
      </c>
      <c r="V54" s="180">
        <f>P54-D54</f>
        <v>36.746740853009072</v>
      </c>
      <c r="W54" s="180">
        <f>T54-D54</f>
        <v>17.026465563300093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499.55784558551409</v>
      </c>
      <c r="E55" s="510"/>
      <c r="F55" s="515">
        <f>F28/1000000</f>
        <v>108.60804</v>
      </c>
      <c r="G55" s="516">
        <f>G28</f>
        <v>1.106692815055225E-2</v>
      </c>
      <c r="H55" s="512">
        <f>H28/1000000</f>
        <v>515.88447751702699</v>
      </c>
      <c r="I55" s="510"/>
      <c r="J55" s="515">
        <f>J28/1000000</f>
        <v>145</v>
      </c>
      <c r="K55" s="516">
        <f>K28</f>
        <v>0.34985130550031174</v>
      </c>
      <c r="L55" s="512">
        <f>L28/1000000</f>
        <v>621.83809960650683</v>
      </c>
      <c r="M55" s="483"/>
      <c r="N55" s="515">
        <f>N28/1000000</f>
        <v>145</v>
      </c>
      <c r="O55" s="516">
        <f>O28</f>
        <v>0.34985130550031174</v>
      </c>
      <c r="P55" s="512">
        <f>P28/1000000</f>
        <v>627.66437625274227</v>
      </c>
      <c r="Q55" s="513"/>
      <c r="R55" s="515">
        <f>R28/1000000</f>
        <v>128.60803999999999</v>
      </c>
      <c r="S55" s="516">
        <f>S28</f>
        <v>0.19725331511611249</v>
      </c>
      <c r="T55" s="512">
        <f>T28/1000000</f>
        <v>592.56328726014078</v>
      </c>
      <c r="U55" s="500">
        <f>U54*1.25</f>
        <v>52.402505773166546</v>
      </c>
      <c r="V55" s="500">
        <f>V54*1.25</f>
        <v>45.93342606626134</v>
      </c>
      <c r="W55" s="500">
        <f>W54*1.25</f>
        <v>21.283081954125116</v>
      </c>
    </row>
    <row r="56" spans="1:23" ht="25.5" x14ac:dyDescent="0.25">
      <c r="A56" s="482"/>
      <c r="B56" s="507" t="s">
        <v>356</v>
      </c>
      <c r="C56" s="511" t="str">
        <f>_xlfn.CONCAT("ROI"," ", ,C61)</f>
        <v>ROI 4.65</v>
      </c>
      <c r="D56" s="517"/>
      <c r="E56" s="510"/>
      <c r="F56" s="511" t="str">
        <f>_xlfn.CONCAT("ROI"," ", ,F61)</f>
        <v>ROI 4.75</v>
      </c>
      <c r="G56" s="516"/>
      <c r="H56" s="518" t="s">
        <v>429</v>
      </c>
      <c r="I56" s="510"/>
      <c r="J56" s="511" t="str">
        <f>_xlfn.CONCAT("ROI"," ", ,J61)</f>
        <v>ROI 4.29</v>
      </c>
      <c r="K56" s="516"/>
      <c r="L56" s="518" t="s">
        <v>438</v>
      </c>
      <c r="M56" s="483"/>
      <c r="N56" s="511" t="str">
        <f>_xlfn.CONCAT("ROI"," ", ,N61)</f>
        <v>ROI 4.33</v>
      </c>
      <c r="O56" s="516"/>
      <c r="P56" s="518" t="s">
        <v>442</v>
      </c>
      <c r="Q56" s="519"/>
      <c r="R56" s="511" t="str">
        <f>_xlfn.CONCAT("ROI"," ", ,R61)</f>
        <v>ROI 4.61</v>
      </c>
      <c r="S56" s="516"/>
      <c r="T56" s="518" t="s">
        <v>363</v>
      </c>
    </row>
    <row r="57" spans="1:23" ht="38.25" x14ac:dyDescent="0.25">
      <c r="A57" s="482"/>
      <c r="B57" s="507" t="s">
        <v>357</v>
      </c>
      <c r="C57" s="511" t="str">
        <f>_xlfn.CONCAT("ROI"," ", ,C63)</f>
        <v>ROI 7.38</v>
      </c>
      <c r="D57" s="517"/>
      <c r="E57" s="510"/>
      <c r="F57" s="511" t="str">
        <f>_xlfn.CONCAT("ROI"," ", ,F63)</f>
        <v>ROI 7.39</v>
      </c>
      <c r="G57" s="516"/>
      <c r="H57" s="518" t="s">
        <v>430</v>
      </c>
      <c r="I57" s="510"/>
      <c r="J57" s="511" t="str">
        <f>_xlfn.CONCAT("ROI"," ", ,J63)</f>
        <v>ROI 6.23</v>
      </c>
      <c r="K57" s="516"/>
      <c r="L57" s="518" t="s">
        <v>433</v>
      </c>
      <c r="M57" s="483"/>
      <c r="N57" s="511" t="str">
        <f>_xlfn.CONCAT("ROI"," ", ,N63)</f>
        <v>ROI 6.01</v>
      </c>
      <c r="O57" s="516"/>
      <c r="P57" s="518" t="s">
        <v>436</v>
      </c>
      <c r="Q57" s="519"/>
      <c r="R57" s="511" t="str">
        <f>_xlfn.CONCAT("ROI"," ", ,R63)</f>
        <v>ROI 6.48</v>
      </c>
      <c r="S57" s="516"/>
      <c r="T57" s="518" t="s">
        <v>377</v>
      </c>
    </row>
    <row r="58" spans="1:23" ht="51" x14ac:dyDescent="0.25">
      <c r="A58" s="482"/>
      <c r="B58" s="507" t="s">
        <v>360</v>
      </c>
      <c r="C58" s="511" t="str">
        <f>_xlfn.CONCAT("ROI"," ", ,C65)</f>
        <v>ROI 3.13</v>
      </c>
      <c r="D58" s="517"/>
      <c r="E58" s="510"/>
      <c r="F58" s="511" t="str">
        <f>_xlfn.CONCAT("ROI"," ", ,F65)</f>
        <v>ROI 3.23</v>
      </c>
      <c r="G58" s="516"/>
      <c r="H58" s="518" t="s">
        <v>431</v>
      </c>
      <c r="I58" s="510"/>
      <c r="J58" s="511" t="str">
        <f>_xlfn.CONCAT("ROI"," ", ,J65)</f>
        <v>ROI 2.98</v>
      </c>
      <c r="K58" s="516"/>
      <c r="L58" s="518" t="s">
        <v>439</v>
      </c>
      <c r="M58" s="483"/>
      <c r="N58" s="511" t="str">
        <f>_xlfn.CONCAT("ROI"," ", ,N65)</f>
        <v>ROI 3.06</v>
      </c>
      <c r="O58" s="516"/>
      <c r="P58" s="518" t="s">
        <v>434</v>
      </c>
      <c r="Q58" s="519"/>
      <c r="R58" s="511" t="str">
        <f>_xlfn.CONCAT("ROI"," ", ,R65)</f>
        <v>ROI 3.18</v>
      </c>
      <c r="S58" s="516"/>
      <c r="T58" s="518" t="s">
        <v>378</v>
      </c>
    </row>
    <row r="59" spans="1:23" ht="38.25" x14ac:dyDescent="0.25">
      <c r="A59" s="482"/>
      <c r="B59" s="507" t="s">
        <v>359</v>
      </c>
      <c r="C59" s="511" t="str">
        <f>_xlfn.CONCAT("ROI"," ", ,C67)</f>
        <v>ROI 3.91</v>
      </c>
      <c r="D59" s="517"/>
      <c r="E59" s="510"/>
      <c r="F59" s="511" t="str">
        <f>_xlfn.CONCAT("ROI"," ", ,F67)</f>
        <v>ROI 4.03</v>
      </c>
      <c r="G59" s="516"/>
      <c r="H59" s="518" t="s">
        <v>430</v>
      </c>
      <c r="I59" s="510"/>
      <c r="J59" s="511" t="str">
        <f>_xlfn.CONCAT("ROI"," ", ,J67)</f>
        <v>ROI 3.72</v>
      </c>
      <c r="K59" s="516"/>
      <c r="L59" s="518" t="s">
        <v>440</v>
      </c>
      <c r="M59" s="483"/>
      <c r="N59" s="511" t="str">
        <f>_xlfn.CONCAT("ROI"," ", ,N67)</f>
        <v>ROI 3.82</v>
      </c>
      <c r="O59" s="516"/>
      <c r="P59" s="518" t="s">
        <v>443</v>
      </c>
      <c r="Q59" s="519"/>
      <c r="R59" s="511" t="str">
        <f>_xlfn.CONCAT("ROI"," ", ,R67)</f>
        <v>ROI 3.98</v>
      </c>
      <c r="S59" s="516"/>
      <c r="T59" s="518" t="s">
        <v>379</v>
      </c>
    </row>
    <row r="60" spans="1:23" ht="38.25" x14ac:dyDescent="0.25">
      <c r="A60" s="482"/>
      <c r="B60" s="507" t="s">
        <v>358</v>
      </c>
      <c r="C60" s="511" t="str">
        <f>_xlfn.CONCAT("ROI"," ", ,C69)</f>
        <v>ROI 2.5</v>
      </c>
      <c r="D60" s="517"/>
      <c r="E60" s="510"/>
      <c r="F60" s="511" t="str">
        <f>_xlfn.CONCAT("ROI"," ", ,F69)</f>
        <v>ROI 2.58</v>
      </c>
      <c r="G60" s="516"/>
      <c r="H60" s="518" t="s">
        <v>432</v>
      </c>
      <c r="I60" s="510"/>
      <c r="J60" s="511" t="str">
        <f>_xlfn.CONCAT("ROI"," ", ,J69)</f>
        <v>ROI 2.38</v>
      </c>
      <c r="K60" s="516"/>
      <c r="L60" s="518" t="s">
        <v>441</v>
      </c>
      <c r="M60" s="483"/>
      <c r="N60" s="511" t="str">
        <f>_xlfn.CONCAT("ROI"," ", ,N69)</f>
        <v>ROI 2.45</v>
      </c>
      <c r="O60" s="516"/>
      <c r="P60" s="518" t="s">
        <v>444</v>
      </c>
      <c r="Q60" s="519"/>
      <c r="R60" s="511" t="str">
        <f>_xlfn.CONCAT("ROI"," ", ,R69)</f>
        <v>ROI 2.55</v>
      </c>
      <c r="S60" s="516"/>
      <c r="T60" s="518" t="s">
        <v>380</v>
      </c>
    </row>
    <row r="61" spans="1:23" x14ac:dyDescent="0.25">
      <c r="C61" s="97">
        <f>ROUND(D55/C55,2)</f>
        <v>4.6500000000000004</v>
      </c>
      <c r="F61" s="97">
        <f>ROUND(H55/F55,2)</f>
        <v>4.75</v>
      </c>
      <c r="H61" s="216">
        <f>(H55-$D$55)</f>
        <v>16.326631931512907</v>
      </c>
      <c r="J61" s="97">
        <f>ROUND(L55/J55,2)</f>
        <v>4.29</v>
      </c>
      <c r="L61" s="216">
        <f>(L55-$D$55)</f>
        <v>122.28025402099274</v>
      </c>
      <c r="N61" s="97">
        <f>ROUND(P55/N55,2)</f>
        <v>4.33</v>
      </c>
      <c r="P61" s="216">
        <f>(P55-$D$55)</f>
        <v>128.10653066722818</v>
      </c>
      <c r="Q61" s="506"/>
      <c r="R61" s="97">
        <f>ROUND(T55/R55,2)</f>
        <v>4.6100000000000003</v>
      </c>
      <c r="T61" s="216">
        <f>(T55-$D$55)</f>
        <v>93.005441674626695</v>
      </c>
    </row>
    <row r="62" spans="1:23" x14ac:dyDescent="0.25">
      <c r="H62" s="280">
        <f>H61/$D$55</f>
        <v>3.2682164990076451E-2</v>
      </c>
      <c r="J62" s="248"/>
      <c r="K62" s="248"/>
      <c r="L62" s="329">
        <f>L61/$D$55</f>
        <v>0.2447769664745679</v>
      </c>
      <c r="M62" s="248"/>
      <c r="N62" s="248"/>
      <c r="O62" s="248"/>
      <c r="P62" s="329">
        <f>P61/$D$55</f>
        <v>0.25643983334318182</v>
      </c>
      <c r="Q62" s="329"/>
      <c r="R62" s="248"/>
      <c r="S62" s="248"/>
      <c r="T62" s="329">
        <f>T61/$D$55</f>
        <v>0.18617552000533252</v>
      </c>
    </row>
    <row r="63" spans="1:23" x14ac:dyDescent="0.25">
      <c r="C63" s="97">
        <f>ROUND(D53/C53,2)</f>
        <v>7.38</v>
      </c>
      <c r="F63" s="97">
        <f>ROUND(H53/F53,2)</f>
        <v>7.39</v>
      </c>
      <c r="H63" s="216">
        <f>H53-$D$53</f>
        <v>9.3112748733415742</v>
      </c>
      <c r="J63" s="97">
        <f>ROUND(L53/J53,2)</f>
        <v>6.23</v>
      </c>
      <c r="L63" s="216">
        <f>L53-$D$53</f>
        <v>80.358249402459364</v>
      </c>
      <c r="N63" s="97">
        <f>ROUND(P53/N53,2)</f>
        <v>6.01</v>
      </c>
      <c r="P63" s="216">
        <f>P53-$D$53</f>
        <v>91.359789814218971</v>
      </c>
      <c r="R63" s="97">
        <f>ROUND(T53/R53,2)</f>
        <v>6.48</v>
      </c>
      <c r="T63" s="216">
        <f>T53-$D$53</f>
        <v>75.978976111326347</v>
      </c>
    </row>
    <row r="64" spans="1:23" x14ac:dyDescent="0.25">
      <c r="H64" s="280">
        <f>H63/$D$53</f>
        <v>3.2767616443823012E-2</v>
      </c>
      <c r="L64" s="329">
        <f>L63/$D$53</f>
        <v>0.28279138252653579</v>
      </c>
      <c r="M64" s="248"/>
      <c r="P64" s="329">
        <f>P63/$D$53</f>
        <v>0.32150726852576261</v>
      </c>
      <c r="T64" s="329">
        <f>T63/$D$53</f>
        <v>0.2673801365415886</v>
      </c>
    </row>
    <row r="65" spans="3:20" x14ac:dyDescent="0.25">
      <c r="C65" s="97">
        <f>ROUND(D54/C54,2)</f>
        <v>3.13</v>
      </c>
      <c r="F65" s="97">
        <f>ROUND(H54/F54,2)</f>
        <v>3.23</v>
      </c>
      <c r="H65" s="216">
        <f>H54-$D$54</f>
        <v>7.0153570581713041</v>
      </c>
      <c r="J65" s="97">
        <f>ROUND(L54/J54,2)</f>
        <v>2.98</v>
      </c>
      <c r="L65" s="216">
        <f>L54-$D$54</f>
        <v>41.922004618533236</v>
      </c>
      <c r="N65" s="97">
        <f>ROUND(P54/N54,2)</f>
        <v>3.06</v>
      </c>
      <c r="P65" s="216">
        <f>P54-$D$54</f>
        <v>36.746740853009072</v>
      </c>
      <c r="R65" s="97">
        <f>ROUND(T54/R54,2)</f>
        <v>3.18</v>
      </c>
      <c r="T65" s="216">
        <f>T54-$D$54</f>
        <v>17.026465563300093</v>
      </c>
    </row>
    <row r="66" spans="3:20" x14ac:dyDescent="0.25">
      <c r="H66" s="280">
        <f>H65/$D$54</f>
        <v>3.256943377712701E-2</v>
      </c>
      <c r="L66" s="329">
        <f>L65/$D$54</f>
        <v>0.19462672276065787</v>
      </c>
      <c r="M66" s="248"/>
      <c r="P66" s="329">
        <f>P65/$D$54</f>
        <v>0.17060008960531828</v>
      </c>
      <c r="T66" s="329">
        <f>T65/$D$54</f>
        <v>7.9046916361373148E-2</v>
      </c>
    </row>
    <row r="67" spans="3:20" x14ac:dyDescent="0.25">
      <c r="C67" s="97">
        <f>ROUND(D54*1.25/C54,2)</f>
        <v>3.91</v>
      </c>
      <c r="F67" s="97">
        <f>ROUND(H54*1.25/F54,2)</f>
        <v>4.03</v>
      </c>
      <c r="H67" s="216">
        <f>H65*1.25</f>
        <v>8.7691963227141301</v>
      </c>
      <c r="J67" s="97">
        <f>ROUND(L54*1.25/J54,2)</f>
        <v>3.72</v>
      </c>
      <c r="L67" s="216">
        <f>L65*1.25</f>
        <v>52.402505773166546</v>
      </c>
      <c r="N67" s="97">
        <f>ROUND(P54*1.25/N54,2)</f>
        <v>3.82</v>
      </c>
      <c r="P67" s="216">
        <f>P65*1.25</f>
        <v>45.93342606626134</v>
      </c>
      <c r="R67" s="97">
        <f>ROUND(T54*1.25/R54,2)</f>
        <v>3.98</v>
      </c>
      <c r="T67" s="216">
        <f>T65*1.25</f>
        <v>21.283081954125116</v>
      </c>
    </row>
    <row r="68" spans="3:20" x14ac:dyDescent="0.25">
      <c r="H68" s="280">
        <f>H67/($D$54*1.25)</f>
        <v>3.256943377712701E-2</v>
      </c>
      <c r="L68" s="329">
        <f>L67/($D$54*1.25)</f>
        <v>0.1946267227606579</v>
      </c>
      <c r="M68" s="248"/>
      <c r="P68" s="329">
        <f>P67/($D$54*1.25)</f>
        <v>0.17060008960531831</v>
      </c>
      <c r="T68" s="329">
        <f>T67/($D$54*1.25)</f>
        <v>7.9046916361373162E-2</v>
      </c>
    </row>
    <row r="69" spans="3:20" x14ac:dyDescent="0.25">
      <c r="C69" s="97">
        <f>ROUND(D54*0.8/C54,2)</f>
        <v>2.5</v>
      </c>
      <c r="F69" s="97">
        <f>ROUND(H54*0.8/F54,2)</f>
        <v>2.58</v>
      </c>
      <c r="H69" s="216">
        <f>H65*0.8</f>
        <v>5.6122856465370434</v>
      </c>
      <c r="J69" s="97">
        <f>ROUND(L54*0.8/J54,2)</f>
        <v>2.38</v>
      </c>
      <c r="L69" s="216">
        <f>L65*0.8</f>
        <v>33.537603694826593</v>
      </c>
      <c r="N69" s="97">
        <f>ROUND(P54*0.8/N54,2)</f>
        <v>2.4500000000000002</v>
      </c>
      <c r="P69" s="216">
        <f>P65*0.8</f>
        <v>29.397392682407258</v>
      </c>
      <c r="R69" s="97">
        <f>ROUND(T54*0.8/R54,2)</f>
        <v>2.5499999999999998</v>
      </c>
      <c r="T69" s="216">
        <f>T65*0.8</f>
        <v>13.621172450640074</v>
      </c>
    </row>
    <row r="70" spans="3:20" x14ac:dyDescent="0.25">
      <c r="H70" s="280">
        <f>H69/($D$54*0.8)</f>
        <v>3.256943377712701E-2</v>
      </c>
      <c r="L70" s="329">
        <f>L69/($D$54*0.8)</f>
        <v>0.1946267227606579</v>
      </c>
      <c r="M70" s="248"/>
      <c r="P70" s="329">
        <f>P69/($D$54*0.8)</f>
        <v>0.17060008960531828</v>
      </c>
      <c r="T70" s="329">
        <f>T69/($D$54*0.8)</f>
        <v>7.9046916361373148E-2</v>
      </c>
    </row>
    <row r="81" ht="27.6" customHeight="1" x14ac:dyDescent="0.25"/>
  </sheetData>
  <mergeCells count="11">
    <mergeCell ref="C32:D32"/>
    <mergeCell ref="F32:H32"/>
    <mergeCell ref="J32:L32"/>
    <mergeCell ref="N32:P32"/>
    <mergeCell ref="R32:T32"/>
    <mergeCell ref="F31:T31"/>
    <mergeCell ref="F4:P4"/>
    <mergeCell ref="F5:H5"/>
    <mergeCell ref="J5:L5"/>
    <mergeCell ref="N5:P5"/>
    <mergeCell ref="R5:T5"/>
  </mergeCells>
  <conditionalFormatting sqref="G34:G52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34:O52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K34:K5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3:G5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3:K5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3:O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34:S5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S53:S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J26:L27" formulaRange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3"/>
  <sheetViews>
    <sheetView tabSelected="1" zoomScale="90" zoomScaleNormal="90" workbookViewId="0">
      <selection activeCell="E8" sqref="E8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25.28515625" style="1" customWidth="1"/>
    <col min="4" max="4" width="22.42578125" style="1" bestFit="1" customWidth="1"/>
    <col min="5" max="5" width="22" style="1" customWidth="1"/>
    <col min="6" max="6" width="12.42578125" style="1" customWidth="1"/>
    <col min="7" max="7" width="13.7109375" style="1" customWidth="1"/>
    <col min="8" max="8" width="14" style="1" customWidth="1"/>
    <col min="9" max="9" width="15" style="1" bestFit="1" customWidth="1"/>
    <col min="10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340</v>
      </c>
    </row>
    <row r="4" spans="1:14" ht="28.9" customHeight="1" x14ac:dyDescent="0.2">
      <c r="A4" s="49" t="s">
        <v>78</v>
      </c>
      <c r="B4" s="636" t="s">
        <v>342</v>
      </c>
      <c r="C4" s="637"/>
      <c r="D4" s="637"/>
      <c r="E4" s="637"/>
      <c r="F4" s="637"/>
      <c r="G4" s="637"/>
      <c r="H4" s="637"/>
      <c r="I4" s="637"/>
      <c r="N4" s="1" t="s">
        <v>270</v>
      </c>
    </row>
    <row r="5" spans="1:14" x14ac:dyDescent="0.2">
      <c r="A5" s="48" t="s">
        <v>79</v>
      </c>
      <c r="B5" s="1" t="s">
        <v>127</v>
      </c>
      <c r="E5" s="638" t="s">
        <v>50</v>
      </c>
      <c r="F5" s="639"/>
      <c r="G5" s="639"/>
      <c r="H5" s="639"/>
      <c r="I5" s="640"/>
      <c r="N5" s="1" t="s">
        <v>271</v>
      </c>
    </row>
    <row r="6" spans="1:14" x14ac:dyDescent="0.2">
      <c r="A6" s="48" t="s">
        <v>80</v>
      </c>
      <c r="B6" s="1" t="s">
        <v>195</v>
      </c>
      <c r="E6" s="641" t="s">
        <v>51</v>
      </c>
      <c r="F6" s="642"/>
      <c r="G6" s="642"/>
      <c r="H6" s="642"/>
      <c r="I6" s="643"/>
    </row>
    <row r="7" spans="1:14" s="98" customFormat="1" x14ac:dyDescent="0.2">
      <c r="A7" s="580"/>
      <c r="E7" s="652" t="s">
        <v>426</v>
      </c>
      <c r="F7" s="652"/>
      <c r="G7" s="652"/>
      <c r="H7" s="652"/>
      <c r="I7" s="652"/>
    </row>
    <row r="8" spans="1:14" s="98" customFormat="1" ht="15" x14ac:dyDescent="0.25">
      <c r="A8" s="117"/>
      <c r="B8" s="117"/>
      <c r="E8" s="593" t="s">
        <v>406</v>
      </c>
      <c r="F8"/>
      <c r="G8"/>
      <c r="H8"/>
      <c r="I8"/>
    </row>
    <row r="9" spans="1:14" ht="15.75" thickBot="1" x14ac:dyDescent="0.3">
      <c r="C9"/>
      <c r="D9" s="485" t="s">
        <v>348</v>
      </c>
      <c r="E9" s="589">
        <f>INDEX(Case_Constraints!$C$2:$G$23,MATCH($D9,Case_Constraints!$C$2:$C$23,0),MATCH($E$8,Case_Constraints!$C$2:$G$2,0))</f>
        <v>24000000</v>
      </c>
    </row>
    <row r="10" spans="1:14" ht="13.5" thickBot="1" x14ac:dyDescent="0.25">
      <c r="A10" s="51" t="s">
        <v>81</v>
      </c>
      <c r="D10" s="485" t="s">
        <v>349</v>
      </c>
      <c r="E10" s="589">
        <f>INDEX(Case_Constraints!$C$2:$G$23,MATCH($D10,Case_Constraints!$C$2:$C$23,0),MATCH($E$8,Case_Constraints!$C$2:$G$2,0))</f>
        <v>16000000</v>
      </c>
    </row>
    <row r="11" spans="1:14" ht="13.5" thickBot="1" x14ac:dyDescent="0.25">
      <c r="A11" s="29" t="s">
        <v>83</v>
      </c>
      <c r="B11" s="57">
        <f>J42</f>
        <v>2778013.5268334169</v>
      </c>
      <c r="C11" s="489"/>
      <c r="K11" s="1">
        <f>G51/D51</f>
        <v>3.6083065090601982</v>
      </c>
    </row>
    <row r="12" spans="1:14" ht="13.5" thickBot="1" x14ac:dyDescent="0.25">
      <c r="A12" s="50"/>
      <c r="E12" s="1" t="s">
        <v>94</v>
      </c>
      <c r="K12" s="98">
        <f t="shared" ref="K12:K13" si="0">G52/D52</f>
        <v>9.9440299505531407</v>
      </c>
    </row>
    <row r="13" spans="1:14" x14ac:dyDescent="0.2">
      <c r="A13" s="400" t="s">
        <v>82</v>
      </c>
      <c r="B13" s="395" t="s">
        <v>84</v>
      </c>
      <c r="C13" s="395" t="s">
        <v>97</v>
      </c>
      <c r="D13" s="395" t="s">
        <v>98</v>
      </c>
      <c r="E13" s="395" t="s">
        <v>160</v>
      </c>
      <c r="F13" s="395" t="s">
        <v>161</v>
      </c>
      <c r="G13" s="396" t="s">
        <v>302</v>
      </c>
      <c r="K13" s="98">
        <f t="shared" si="0"/>
        <v>8.6553889697359896</v>
      </c>
    </row>
    <row r="14" spans="1:14" s="98" customFormat="1" x14ac:dyDescent="0.2">
      <c r="A14" s="401" t="s">
        <v>300</v>
      </c>
      <c r="B14" s="397">
        <f>SUM(E21:E29,E9)</f>
        <v>62513576</v>
      </c>
      <c r="C14" s="398">
        <f>SUM(E21:E29)*E14</f>
        <v>38513576</v>
      </c>
      <c r="D14" s="398">
        <f>B14*F14</f>
        <v>62513576</v>
      </c>
      <c r="E14" s="399">
        <v>1</v>
      </c>
      <c r="F14" s="399">
        <v>1</v>
      </c>
      <c r="G14" s="415">
        <f>I30</f>
        <v>62513576.000000037</v>
      </c>
      <c r="H14" s="501">
        <f>D14-C14</f>
        <v>24000000</v>
      </c>
      <c r="I14" s="98">
        <f>(C14+5000000)/C14</f>
        <v>1.1298243507691936</v>
      </c>
    </row>
    <row r="15" spans="1:14" s="98" customFormat="1" x14ac:dyDescent="0.2">
      <c r="A15" s="401" t="s">
        <v>301</v>
      </c>
      <c r="B15" s="397">
        <f>SUM(E31:E40,E10)</f>
        <v>84905663</v>
      </c>
      <c r="C15" s="398">
        <f>SUM(E31:E40)*E15</f>
        <v>68905663</v>
      </c>
      <c r="D15" s="398">
        <f>B15*F15</f>
        <v>84905663</v>
      </c>
      <c r="E15" s="399">
        <v>1</v>
      </c>
      <c r="F15" s="399">
        <v>1</v>
      </c>
      <c r="G15" s="415">
        <f>I41</f>
        <v>82486424</v>
      </c>
      <c r="H15" s="501">
        <f>D15-C15</f>
        <v>16000000</v>
      </c>
      <c r="I15" s="98">
        <f>(C15+5000000)/C15</f>
        <v>1.0725629764276414</v>
      </c>
    </row>
    <row r="16" spans="1:14" s="251" customFormat="1" ht="13.5" thickBot="1" x14ac:dyDescent="0.25">
      <c r="A16" s="402" t="s">
        <v>159</v>
      </c>
      <c r="B16" s="95">
        <v>145000000</v>
      </c>
      <c r="C16" s="502">
        <f>SUM(C14:C15)</f>
        <v>107419239</v>
      </c>
      <c r="D16" s="502">
        <f>SUM(D14:D15)</f>
        <v>147419239</v>
      </c>
      <c r="E16" s="403">
        <v>1</v>
      </c>
      <c r="F16" s="403">
        <v>1</v>
      </c>
      <c r="G16" s="416">
        <f>I42</f>
        <v>145000000</v>
      </c>
      <c r="I16" s="486">
        <f>E42+20000000</f>
        <v>127419239</v>
      </c>
      <c r="J16" s="251">
        <f>I16/E42</f>
        <v>1.1861863869655602</v>
      </c>
      <c r="K16" s="265"/>
      <c r="L16" s="265"/>
    </row>
    <row r="17" spans="1:17" ht="13.5" thickBot="1" x14ac:dyDescent="0.25">
      <c r="B17" s="701" t="s">
        <v>437</v>
      </c>
      <c r="L17" s="143">
        <f>G72</f>
        <v>499557845.58551407</v>
      </c>
      <c r="M17" s="113">
        <f>J72</f>
        <v>627664376.25274229</v>
      </c>
    </row>
    <row r="18" spans="1:17" ht="60.6" customHeight="1" thickBot="1" x14ac:dyDescent="0.25">
      <c r="A18" s="52" t="s">
        <v>85</v>
      </c>
      <c r="D18" s="96" t="s">
        <v>95</v>
      </c>
      <c r="E18" s="96" t="s">
        <v>95</v>
      </c>
      <c r="F18" s="96" t="s">
        <v>96</v>
      </c>
      <c r="G18" s="274"/>
      <c r="H18" s="274"/>
      <c r="I18" s="56" t="s">
        <v>95</v>
      </c>
      <c r="J18" s="56" t="s">
        <v>96</v>
      </c>
    </row>
    <row r="19" spans="1:17" ht="27.75" customHeight="1" x14ac:dyDescent="0.2">
      <c r="A19" s="612" t="s">
        <v>2</v>
      </c>
      <c r="B19" s="614" t="s">
        <v>3</v>
      </c>
      <c r="C19" s="614" t="s">
        <v>38</v>
      </c>
      <c r="D19" s="614" t="s">
        <v>128</v>
      </c>
      <c r="E19" s="644" t="s">
        <v>86</v>
      </c>
      <c r="F19" s="646"/>
      <c r="G19" s="615" t="s">
        <v>131</v>
      </c>
      <c r="H19" s="616"/>
      <c r="I19" s="615" t="s">
        <v>89</v>
      </c>
      <c r="J19" s="616"/>
      <c r="K19" s="644" t="s">
        <v>90</v>
      </c>
      <c r="L19" s="645"/>
      <c r="M19" s="645"/>
      <c r="N19" s="646"/>
    </row>
    <row r="20" spans="1:17" ht="25.5" x14ac:dyDescent="0.2">
      <c r="A20" s="613"/>
      <c r="B20" s="613"/>
      <c r="C20" s="613"/>
      <c r="D20" s="613"/>
      <c r="E20" s="78" t="s">
        <v>149</v>
      </c>
      <c r="F20" s="78" t="s">
        <v>193</v>
      </c>
      <c r="G20" s="78" t="s">
        <v>87</v>
      </c>
      <c r="H20" s="551" t="s">
        <v>88</v>
      </c>
      <c r="I20" s="55" t="s">
        <v>148</v>
      </c>
      <c r="J20" s="55" t="s">
        <v>196</v>
      </c>
      <c r="K20" s="78" t="s">
        <v>130</v>
      </c>
      <c r="L20" s="78" t="s">
        <v>197</v>
      </c>
      <c r="M20" s="78" t="s">
        <v>91</v>
      </c>
      <c r="N20" s="78" t="s">
        <v>92</v>
      </c>
    </row>
    <row r="21" spans="1:17" x14ac:dyDescent="0.2">
      <c r="A21" s="267" t="s">
        <v>175</v>
      </c>
      <c r="B21" s="285" t="s">
        <v>225</v>
      </c>
      <c r="C21" s="53" t="s">
        <v>129</v>
      </c>
      <c r="D21" s="296">
        <v>1</v>
      </c>
      <c r="E21" s="340">
        <v>1000000</v>
      </c>
      <c r="F21" s="297">
        <f>GINOFF!I9</f>
        <v>15970.197880234569</v>
      </c>
      <c r="G21" s="581">
        <v>1000000</v>
      </c>
      <c r="H21" s="590">
        <f>INDEX(Case_Constraints!$C$2:$G$23,MATCH(_xlfn.CONCAT(A21," ",B21),Case_Constraints!$C$2:$C$23,0),MATCH($E$8,Case_Constraints!$C$2:$G$2,0))</f>
        <v>7500000</v>
      </c>
      <c r="I21" s="584">
        <v>1540173.2513926297</v>
      </c>
      <c r="J21" s="298">
        <f>GINOFF!F9</f>
        <v>22249.492859058082</v>
      </c>
      <c r="K21" s="299">
        <f>I21-E21</f>
        <v>540173.2513926297</v>
      </c>
      <c r="L21" s="299">
        <f>J21-F21</f>
        <v>6279.2949788235128</v>
      </c>
      <c r="M21" s="300">
        <f>K21/E21</f>
        <v>0.54017325139262973</v>
      </c>
      <c r="N21" s="300">
        <f>L21/F21</f>
        <v>0.393188301479661</v>
      </c>
      <c r="O21" s="323">
        <f>E21/F21</f>
        <v>62.616631772461922</v>
      </c>
      <c r="P21" s="287">
        <f>G21/1000000</f>
        <v>1</v>
      </c>
      <c r="Q21" s="287">
        <f>H21/1000000</f>
        <v>7.5</v>
      </c>
    </row>
    <row r="22" spans="1:17" x14ac:dyDescent="0.2">
      <c r="A22" s="268" t="s">
        <v>175</v>
      </c>
      <c r="B22" s="286" t="s">
        <v>226</v>
      </c>
      <c r="C22" s="54" t="s">
        <v>129</v>
      </c>
      <c r="D22" s="301">
        <v>1</v>
      </c>
      <c r="E22" s="306">
        <v>7775778</v>
      </c>
      <c r="F22" s="302">
        <f>GMCM!I9</f>
        <v>342226.11897340976</v>
      </c>
      <c r="G22" s="582">
        <v>5400000</v>
      </c>
      <c r="H22" s="591">
        <f>INDEX(Case_Constraints!$C$2:$G$23,MATCH(_xlfn.CONCAT(A22," ",B22),Case_Constraints!$C$2:$C$23,0),MATCH($E$8,Case_Constraints!$C$2:$G$2,0))</f>
        <v>16000000</v>
      </c>
      <c r="I22" s="585">
        <v>13899615.099674361</v>
      </c>
      <c r="J22" s="303">
        <f>GMCM!F9</f>
        <v>443642.24573555775</v>
      </c>
      <c r="K22" s="304">
        <f>I22-E22</f>
        <v>6123837.0996743608</v>
      </c>
      <c r="L22" s="304">
        <f t="shared" ref="L22" si="1">J22-F22</f>
        <v>101416.12676214799</v>
      </c>
      <c r="M22" s="305">
        <f>K22/E22</f>
        <v>0.78755297536456936</v>
      </c>
      <c r="N22" s="305">
        <f t="shared" ref="N22:N40" si="2">L22/F22</f>
        <v>0.29634245061823528</v>
      </c>
      <c r="O22" s="323">
        <f t="shared" ref="O22:O38" si="3">E22/F22</f>
        <v>22.721170503658026</v>
      </c>
      <c r="P22" s="287">
        <f t="shared" ref="P22:Q30" si="4">G22/1000000</f>
        <v>5.4</v>
      </c>
      <c r="Q22" s="287">
        <f t="shared" si="4"/>
        <v>16</v>
      </c>
    </row>
    <row r="23" spans="1:17" s="98" customFormat="1" x14ac:dyDescent="0.2">
      <c r="A23" s="268" t="s">
        <v>175</v>
      </c>
      <c r="B23" s="286" t="s">
        <v>227</v>
      </c>
      <c r="C23" s="54" t="s">
        <v>169</v>
      </c>
      <c r="D23" s="301">
        <v>1</v>
      </c>
      <c r="E23" s="306">
        <v>1840000</v>
      </c>
      <c r="F23" s="302">
        <f>GSOC!I9</f>
        <v>70487.367019183061</v>
      </c>
      <c r="G23" s="582">
        <v>1599500</v>
      </c>
      <c r="H23" s="591">
        <f>INDEX(Case_Constraints!$C$2:$G$23,MATCH(_xlfn.CONCAT(A23," ",B23),Case_Constraints!$C$2:$C$23,0),MATCH($E$8,Case_Constraints!$C$2:$G$2,0))</f>
        <v>6500000</v>
      </c>
      <c r="I23" s="585">
        <v>6500000</v>
      </c>
      <c r="J23" s="303">
        <f>GSOC!F9</f>
        <v>150303.3320306878</v>
      </c>
      <c r="K23" s="304">
        <f t="shared" ref="K23:K40" si="5">I23-E23</f>
        <v>4660000</v>
      </c>
      <c r="L23" s="304">
        <f t="shared" ref="L23:L40" si="6">J23-F23</f>
        <v>79815.965011504741</v>
      </c>
      <c r="M23" s="305">
        <f t="shared" ref="M23:M40" si="7">K23/E23</f>
        <v>2.5326086956521738</v>
      </c>
      <c r="N23" s="305">
        <f t="shared" si="2"/>
        <v>1.1323442538261206</v>
      </c>
      <c r="O23" s="323">
        <f t="shared" si="3"/>
        <v>26.103968382011573</v>
      </c>
      <c r="P23" s="287">
        <f t="shared" si="4"/>
        <v>1.5994999999999999</v>
      </c>
      <c r="Q23" s="287">
        <f t="shared" si="4"/>
        <v>6.5</v>
      </c>
    </row>
    <row r="24" spans="1:17" s="98" customFormat="1" x14ac:dyDescent="0.2">
      <c r="A24" s="268" t="s">
        <v>175</v>
      </c>
      <c r="B24" s="286" t="s">
        <v>245</v>
      </c>
      <c r="C24" s="54" t="s">
        <v>129</v>
      </c>
      <c r="D24" s="301">
        <v>1</v>
      </c>
      <c r="E24" s="306">
        <v>1220000</v>
      </c>
      <c r="F24" s="302">
        <f>GOLV!I9</f>
        <v>15022.779470646754</v>
      </c>
      <c r="G24" s="582">
        <v>1000000</v>
      </c>
      <c r="H24" s="591">
        <f>INDEX(Case_Constraints!$C$2:$G$23,MATCH(_xlfn.CONCAT(A24," ",B24),Case_Constraints!$C$2:$C$23,0),MATCH($E$8,Case_Constraints!$C$2:$G$2,0))</f>
        <v>3500000</v>
      </c>
      <c r="I24" s="585">
        <v>1000000</v>
      </c>
      <c r="J24" s="303">
        <f>GOLV!F9</f>
        <v>14861.613123927265</v>
      </c>
      <c r="K24" s="304">
        <f t="shared" si="5"/>
        <v>-220000</v>
      </c>
      <c r="L24" s="304">
        <f t="shared" si="6"/>
        <v>-161.1663467194885</v>
      </c>
      <c r="M24" s="305">
        <f t="shared" si="7"/>
        <v>-0.18032786885245902</v>
      </c>
      <c r="N24" s="305">
        <f t="shared" si="2"/>
        <v>-1.0728131038227244E-2</v>
      </c>
      <c r="O24" s="323">
        <f t="shared" si="3"/>
        <v>81.210005271246729</v>
      </c>
      <c r="P24" s="287">
        <f t="shared" si="4"/>
        <v>1</v>
      </c>
      <c r="Q24" s="287">
        <f t="shared" si="4"/>
        <v>3.5</v>
      </c>
    </row>
    <row r="25" spans="1:17" s="98" customFormat="1" x14ac:dyDescent="0.2">
      <c r="A25" s="268" t="s">
        <v>175</v>
      </c>
      <c r="B25" s="286" t="s">
        <v>247</v>
      </c>
      <c r="C25" s="54" t="s">
        <v>169</v>
      </c>
      <c r="D25" s="301">
        <v>1</v>
      </c>
      <c r="E25" s="306">
        <v>4817798</v>
      </c>
      <c r="F25" s="302">
        <f>GSTRV!I9</f>
        <v>121516.7124715425</v>
      </c>
      <c r="G25" s="582">
        <v>4817798</v>
      </c>
      <c r="H25" s="591">
        <f>INDEX(Case_Constraints!$C$2:$G$23,MATCH(_xlfn.CONCAT(A25," ",B25),Case_Constraints!$C$2:$C$23,0),MATCH($E$8,Case_Constraints!$C$2:$G$2,0))</f>
        <v>12070113</v>
      </c>
      <c r="I25" s="585">
        <v>12070112.999999998</v>
      </c>
      <c r="J25" s="303">
        <f>GSTRV!F9</f>
        <v>231121.28094253899</v>
      </c>
      <c r="K25" s="304">
        <f t="shared" si="5"/>
        <v>7252314.9999999981</v>
      </c>
      <c r="L25" s="304">
        <f t="shared" si="6"/>
        <v>109604.56847099648</v>
      </c>
      <c r="M25" s="305">
        <f t="shared" si="7"/>
        <v>1.5053173669796862</v>
      </c>
      <c r="N25" s="305">
        <f t="shared" si="2"/>
        <v>0.90197114653397426</v>
      </c>
      <c r="O25" s="323">
        <f t="shared" si="3"/>
        <v>39.647204915358948</v>
      </c>
      <c r="P25" s="287">
        <f t="shared" si="4"/>
        <v>4.8177979999999998</v>
      </c>
      <c r="Q25" s="287">
        <f t="shared" si="4"/>
        <v>12.070112999999999</v>
      </c>
    </row>
    <row r="26" spans="1:17" s="98" customFormat="1" x14ac:dyDescent="0.2">
      <c r="A26" s="268" t="s">
        <v>175</v>
      </c>
      <c r="B26" s="286" t="s">
        <v>228</v>
      </c>
      <c r="C26" s="54" t="s">
        <v>169</v>
      </c>
      <c r="D26" s="301">
        <v>1</v>
      </c>
      <c r="E26" s="306">
        <v>3540000</v>
      </c>
      <c r="F26" s="302">
        <f>GDISP!I9</f>
        <v>173899.1701768022</v>
      </c>
      <c r="G26" s="582">
        <v>1600000</v>
      </c>
      <c r="H26" s="591">
        <f>INDEX(Case_Constraints!$C$2:$G$23,MATCH(_xlfn.CONCAT(A26," ",B26),Case_Constraints!$C$2:$C$23,0),MATCH($E$8,Case_Constraints!$C$2:$G$2,0))</f>
        <v>7000000</v>
      </c>
      <c r="I26" s="585">
        <v>6603674.6489330456</v>
      </c>
      <c r="J26" s="303">
        <f>GDISP!F9</f>
        <v>227404.21143627539</v>
      </c>
      <c r="K26" s="304">
        <f t="shared" si="5"/>
        <v>3063674.6489330456</v>
      </c>
      <c r="L26" s="304">
        <f t="shared" si="6"/>
        <v>53505.04125947319</v>
      </c>
      <c r="M26" s="305">
        <f t="shared" si="7"/>
        <v>0.86544481608278123</v>
      </c>
      <c r="N26" s="305">
        <f t="shared" si="2"/>
        <v>0.30767853121481226</v>
      </c>
      <c r="O26" s="323">
        <f t="shared" si="3"/>
        <v>20.356623878083514</v>
      </c>
      <c r="P26" s="287">
        <f t="shared" si="4"/>
        <v>1.6</v>
      </c>
      <c r="Q26" s="287">
        <f t="shared" si="4"/>
        <v>7</v>
      </c>
    </row>
    <row r="27" spans="1:17" s="98" customFormat="1" x14ac:dyDescent="0.2">
      <c r="A27" s="268" t="s">
        <v>175</v>
      </c>
      <c r="B27" s="286" t="s">
        <v>229</v>
      </c>
      <c r="C27" s="54" t="s">
        <v>169</v>
      </c>
      <c r="D27" s="301">
        <v>1</v>
      </c>
      <c r="E27" s="306">
        <v>400000</v>
      </c>
      <c r="F27" s="302">
        <f>GSEARCH!I9</f>
        <v>145038.35480357721</v>
      </c>
      <c r="G27" s="582">
        <v>300000</v>
      </c>
      <c r="H27" s="591">
        <f>INDEX(Case_Constraints!$C$2:$G$23,MATCH(_xlfn.CONCAT(A27," ",B27),Case_Constraints!$C$2:$C$23,0),MATCH($E$8,Case_Constraints!$C$2:$G$2,0))</f>
        <v>400000</v>
      </c>
      <c r="I27" s="585">
        <v>400000</v>
      </c>
      <c r="J27" s="303">
        <f>GSEARCH!F9</f>
        <v>145038.35480357721</v>
      </c>
      <c r="K27" s="304">
        <f t="shared" si="5"/>
        <v>0</v>
      </c>
      <c r="L27" s="304">
        <f t="shared" si="6"/>
        <v>0</v>
      </c>
      <c r="M27" s="305">
        <f t="shared" si="7"/>
        <v>0</v>
      </c>
      <c r="N27" s="305">
        <f t="shared" si="2"/>
        <v>0</v>
      </c>
      <c r="O27" s="323">
        <f t="shared" si="3"/>
        <v>2.7578911836232054</v>
      </c>
      <c r="P27" s="287">
        <f t="shared" si="4"/>
        <v>0.3</v>
      </c>
      <c r="Q27" s="287">
        <f t="shared" si="4"/>
        <v>0.4</v>
      </c>
    </row>
    <row r="28" spans="1:17" x14ac:dyDescent="0.2">
      <c r="A28" s="268" t="s">
        <v>175</v>
      </c>
      <c r="B28" s="286" t="s">
        <v>284</v>
      </c>
      <c r="C28" s="54" t="s">
        <v>169</v>
      </c>
      <c r="D28" s="301">
        <v>1</v>
      </c>
      <c r="E28" s="306">
        <v>2220000</v>
      </c>
      <c r="F28" s="302">
        <f>GRADIO!I9</f>
        <v>91610.125423352103</v>
      </c>
      <c r="G28" s="582">
        <v>1400000</v>
      </c>
      <c r="H28" s="591">
        <f>INDEX(Case_Constraints!$C$2:$G$23,MATCH(_xlfn.CONCAT(A28," ",B28),Case_Constraints!$C$2:$C$23,0),MATCH($E$8,Case_Constraints!$C$2:$G$2,0))</f>
        <v>4800000</v>
      </c>
      <c r="I28" s="585">
        <v>4800000</v>
      </c>
      <c r="J28" s="303">
        <f>GRADIO!F9</f>
        <v>145504.50354692468</v>
      </c>
      <c r="K28" s="304">
        <f t="shared" si="5"/>
        <v>2580000</v>
      </c>
      <c r="L28" s="304">
        <f t="shared" si="6"/>
        <v>53894.378123572576</v>
      </c>
      <c r="M28" s="305">
        <f t="shared" si="7"/>
        <v>1.1621621621621621</v>
      </c>
      <c r="N28" s="305">
        <f t="shared" si="2"/>
        <v>0.58830154280996649</v>
      </c>
      <c r="O28" s="323">
        <f t="shared" si="3"/>
        <v>24.233129140920326</v>
      </c>
      <c r="P28" s="287">
        <f t="shared" si="4"/>
        <v>1.4</v>
      </c>
      <c r="Q28" s="287">
        <f t="shared" si="4"/>
        <v>4.8</v>
      </c>
    </row>
    <row r="29" spans="1:17" s="98" customFormat="1" x14ac:dyDescent="0.2">
      <c r="A29" s="341" t="s">
        <v>175</v>
      </c>
      <c r="B29" s="342" t="s">
        <v>189</v>
      </c>
      <c r="C29" s="343" t="s">
        <v>169</v>
      </c>
      <c r="D29" s="344">
        <v>1</v>
      </c>
      <c r="E29" s="345">
        <v>15700000</v>
      </c>
      <c r="F29" s="352">
        <f>GTV!I9</f>
        <v>281912.11859902256</v>
      </c>
      <c r="G29" s="583">
        <v>15700000</v>
      </c>
      <c r="H29" s="592">
        <f>INDEX(Case_Constraints!$C$2:$G$23,MATCH(_xlfn.CONCAT(A29," ",B29),Case_Constraints!$C$2:$C$23,0),MATCH($E$8,Case_Constraints!$C$2:$G$2,0))</f>
        <v>15700000</v>
      </c>
      <c r="I29" s="586">
        <v>15700000</v>
      </c>
      <c r="J29" s="353">
        <f>GTV!F9</f>
        <v>281912.11859902256</v>
      </c>
      <c r="K29" s="346">
        <f t="shared" si="5"/>
        <v>0</v>
      </c>
      <c r="L29" s="346">
        <f t="shared" si="6"/>
        <v>0</v>
      </c>
      <c r="M29" s="347">
        <f t="shared" si="7"/>
        <v>0</v>
      </c>
      <c r="N29" s="347">
        <f t="shared" si="2"/>
        <v>0</v>
      </c>
      <c r="O29" s="323">
        <f t="shared" si="3"/>
        <v>55.691114230995083</v>
      </c>
      <c r="P29" s="287">
        <f t="shared" si="4"/>
        <v>15.7</v>
      </c>
      <c r="Q29" s="287">
        <f t="shared" si="4"/>
        <v>15.7</v>
      </c>
    </row>
    <row r="30" spans="1:17" s="98" customFormat="1" x14ac:dyDescent="0.2">
      <c r="A30" s="404" t="s">
        <v>175</v>
      </c>
      <c r="B30" s="405" t="s">
        <v>231</v>
      </c>
      <c r="C30" s="36"/>
      <c r="D30" s="406"/>
      <c r="E30" s="407">
        <f t="shared" ref="E30:L30" si="8">SUM(E21:E29)</f>
        <v>38513576</v>
      </c>
      <c r="F30" s="408">
        <f t="shared" si="8"/>
        <v>1257682.9448177707</v>
      </c>
      <c r="G30" s="409">
        <f t="shared" si="8"/>
        <v>32817298</v>
      </c>
      <c r="H30" s="588">
        <f t="shared" si="8"/>
        <v>73470113</v>
      </c>
      <c r="I30" s="407">
        <f t="shared" si="8"/>
        <v>62513576.000000037</v>
      </c>
      <c r="J30" s="408">
        <f t="shared" si="8"/>
        <v>1662037.1530775696</v>
      </c>
      <c r="K30" s="409">
        <f t="shared" si="8"/>
        <v>24000000.000000037</v>
      </c>
      <c r="L30" s="409">
        <f t="shared" si="8"/>
        <v>404354.20825979899</v>
      </c>
      <c r="M30" s="410">
        <f t="shared" si="7"/>
        <v>0.62315688369213074</v>
      </c>
      <c r="N30" s="410">
        <f t="shared" si="2"/>
        <v>0.32150726852576267</v>
      </c>
      <c r="O30" s="323"/>
      <c r="P30" s="287">
        <f t="shared" si="4"/>
        <v>32.817298000000001</v>
      </c>
      <c r="Q30" s="287"/>
    </row>
    <row r="31" spans="1:17" s="98" customFormat="1" x14ac:dyDescent="0.2">
      <c r="A31" s="339" t="s">
        <v>285</v>
      </c>
      <c r="B31" s="237" t="s">
        <v>286</v>
      </c>
      <c r="C31" s="54" t="s">
        <v>129</v>
      </c>
      <c r="D31" s="301">
        <v>1</v>
      </c>
      <c r="E31" s="306">
        <v>1000000</v>
      </c>
      <c r="F31" s="302">
        <f>GINOFF_adt!I9</f>
        <v>4323.5214887261391</v>
      </c>
      <c r="G31" s="582">
        <v>900000</v>
      </c>
      <c r="H31" s="590">
        <f>INDEX(Case_Constraints!$C$2:$G$23,MATCH(_xlfn.CONCAT(A31," ",B31),Case_Constraints!$C$2:$C$23,0),MATCH($E$8,Case_Constraints!$C$2:$G$2,0))</f>
        <v>6500000</v>
      </c>
      <c r="I31" s="585">
        <v>900000</v>
      </c>
      <c r="J31" s="303">
        <f>GINOFF_adt!F9</f>
        <v>4003.0596247408539</v>
      </c>
      <c r="K31" s="304">
        <f t="shared" si="5"/>
        <v>-100000</v>
      </c>
      <c r="L31" s="304">
        <f t="shared" si="6"/>
        <v>-320.46186398528516</v>
      </c>
      <c r="M31" s="305">
        <f t="shared" si="7"/>
        <v>-0.1</v>
      </c>
      <c r="N31" s="305">
        <f t="shared" si="2"/>
        <v>-7.4120566954717387E-2</v>
      </c>
      <c r="O31" s="323">
        <f t="shared" si="3"/>
        <v>231.29294086026042</v>
      </c>
      <c r="P31" s="287">
        <f t="shared" ref="P31:P38" si="9">G31/1000000</f>
        <v>0.9</v>
      </c>
      <c r="Q31" s="287">
        <f t="shared" ref="Q31:Q38" si="10">H31/1000000</f>
        <v>6.5</v>
      </c>
    </row>
    <row r="32" spans="1:17" s="98" customFormat="1" x14ac:dyDescent="0.2">
      <c r="A32" s="339" t="s">
        <v>285</v>
      </c>
      <c r="B32" s="237" t="s">
        <v>226</v>
      </c>
      <c r="C32" s="54" t="s">
        <v>129</v>
      </c>
      <c r="D32" s="301">
        <v>1</v>
      </c>
      <c r="E32" s="306">
        <v>16948000</v>
      </c>
      <c r="F32" s="302">
        <f>GMCM_adt!I9</f>
        <v>405762.3287466066</v>
      </c>
      <c r="G32" s="582">
        <v>10500000</v>
      </c>
      <c r="H32" s="591">
        <f>INDEX(Case_Constraints!$C$2:$G$23,MATCH(_xlfn.CONCAT(A32," ",B32),Case_Constraints!$C$2:$C$23,0),MATCH($E$8,Case_Constraints!$C$2:$G$2,0))</f>
        <v>28000000</v>
      </c>
      <c r="I32" s="585">
        <v>28000000</v>
      </c>
      <c r="J32" s="303">
        <f>GMCM_adt!F9</f>
        <v>541309.70701439586</v>
      </c>
      <c r="K32" s="304">
        <f t="shared" si="5"/>
        <v>11052000</v>
      </c>
      <c r="L32" s="304">
        <f t="shared" si="6"/>
        <v>135547.37826778926</v>
      </c>
      <c r="M32" s="305">
        <f t="shared" si="7"/>
        <v>0.65211234363936743</v>
      </c>
      <c r="N32" s="305">
        <f t="shared" si="2"/>
        <v>0.33405609309886641</v>
      </c>
      <c r="O32" s="323">
        <f t="shared" si="3"/>
        <v>41.768293405531516</v>
      </c>
      <c r="P32" s="287">
        <f t="shared" si="9"/>
        <v>10.5</v>
      </c>
      <c r="Q32" s="287">
        <f t="shared" si="10"/>
        <v>28</v>
      </c>
    </row>
    <row r="33" spans="1:17" s="98" customFormat="1" x14ac:dyDescent="0.2">
      <c r="A33" s="339" t="s">
        <v>285</v>
      </c>
      <c r="B33" s="237" t="s">
        <v>227</v>
      </c>
      <c r="C33" s="54" t="s">
        <v>170</v>
      </c>
      <c r="D33" s="301">
        <v>1</v>
      </c>
      <c r="E33" s="306">
        <v>2200000</v>
      </c>
      <c r="F33" s="302">
        <f>GSOCIAL_adt!I9</f>
        <v>27316.876297482511</v>
      </c>
      <c r="G33" s="582">
        <v>1800000</v>
      </c>
      <c r="H33" s="591">
        <f>INDEX(Case_Constraints!$C$2:$G$23,MATCH(_xlfn.CONCAT(A33," ",B33),Case_Constraints!$C$2:$C$23,0),MATCH($E$8,Case_Constraints!$C$2:$G$2,0))</f>
        <v>7000000</v>
      </c>
      <c r="I33" s="585">
        <v>3792982.8268409837</v>
      </c>
      <c r="J33" s="303">
        <f>GSOCIAL_adt!F9</f>
        <v>37876.160947366239</v>
      </c>
      <c r="K33" s="304">
        <f t="shared" si="5"/>
        <v>1592982.8268409837</v>
      </c>
      <c r="L33" s="304">
        <f t="shared" si="6"/>
        <v>10559.284649883728</v>
      </c>
      <c r="M33" s="305">
        <f t="shared" si="7"/>
        <v>0.72408310310953805</v>
      </c>
      <c r="N33" s="305">
        <f t="shared" si="2"/>
        <v>0.38654802748646844</v>
      </c>
      <c r="O33" s="323">
        <f t="shared" si="3"/>
        <v>80.536294708145277</v>
      </c>
      <c r="P33" s="287">
        <f t="shared" si="9"/>
        <v>1.8</v>
      </c>
      <c r="Q33" s="287">
        <f t="shared" si="10"/>
        <v>7</v>
      </c>
    </row>
    <row r="34" spans="1:17" s="98" customFormat="1" x14ac:dyDescent="0.2">
      <c r="A34" s="339" t="s">
        <v>285</v>
      </c>
      <c r="B34" s="237" t="s">
        <v>245</v>
      </c>
      <c r="C34" s="54" t="s">
        <v>129</v>
      </c>
      <c r="D34" s="301">
        <v>1</v>
      </c>
      <c r="E34" s="306">
        <v>1500000</v>
      </c>
      <c r="F34" s="302">
        <f>GOLV_adt!I9</f>
        <v>26310.281300564297</v>
      </c>
      <c r="G34" s="582">
        <v>1100000</v>
      </c>
      <c r="H34" s="591">
        <f>INDEX(Case_Constraints!$C$2:$G$23,MATCH(_xlfn.CONCAT(A34," ",B34),Case_Constraints!$C$2:$C$23,0),MATCH($E$8,Case_Constraints!$C$2:$G$2,0))</f>
        <v>3500000</v>
      </c>
      <c r="I34" s="585">
        <v>2417063.0393783748</v>
      </c>
      <c r="J34" s="303">
        <f>GOLV_adt!F9</f>
        <v>33727.023106579669</v>
      </c>
      <c r="K34" s="304">
        <f t="shared" si="5"/>
        <v>917063.03937837481</v>
      </c>
      <c r="L34" s="304">
        <f t="shared" si="6"/>
        <v>7416.7418060153723</v>
      </c>
      <c r="M34" s="305">
        <f t="shared" si="7"/>
        <v>0.6113753595855832</v>
      </c>
      <c r="N34" s="305">
        <f t="shared" si="2"/>
        <v>0.28189519227437143</v>
      </c>
      <c r="O34" s="323">
        <f t="shared" si="3"/>
        <v>57.011933200722879</v>
      </c>
      <c r="P34" s="287">
        <f t="shared" si="9"/>
        <v>1.1000000000000001</v>
      </c>
      <c r="Q34" s="287">
        <f t="shared" si="10"/>
        <v>3.5</v>
      </c>
    </row>
    <row r="35" spans="1:17" s="98" customFormat="1" x14ac:dyDescent="0.2">
      <c r="A35" s="339" t="s">
        <v>285</v>
      </c>
      <c r="B35" s="237" t="s">
        <v>247</v>
      </c>
      <c r="C35" s="54" t="s">
        <v>170</v>
      </c>
      <c r="D35" s="301">
        <v>1</v>
      </c>
      <c r="E35" s="306">
        <v>10268452</v>
      </c>
      <c r="F35" s="302">
        <f>GSTRTV_adt!I9</f>
        <v>83590.203851267303</v>
      </c>
      <c r="G35" s="582">
        <v>8306901</v>
      </c>
      <c r="H35" s="591">
        <f>INDEX(Case_Constraints!$C$2:$G$23,MATCH(_xlfn.CONCAT(A35," ",B35),Case_Constraints!$C$2:$C$23,0),MATCH($E$8,Case_Constraints!$C$2:$G$2,0))</f>
        <v>27304858</v>
      </c>
      <c r="I35" s="585">
        <v>8687167.133780634</v>
      </c>
      <c r="J35" s="303">
        <f>GSTRTV_adt!F9</f>
        <v>74356.103651872356</v>
      </c>
      <c r="K35" s="304">
        <f t="shared" si="5"/>
        <v>-1581284.866219366</v>
      </c>
      <c r="L35" s="304">
        <f t="shared" si="6"/>
        <v>-9234.1001993949467</v>
      </c>
      <c r="M35" s="305">
        <f t="shared" si="7"/>
        <v>-0.15399447416410633</v>
      </c>
      <c r="N35" s="305">
        <f t="shared" si="2"/>
        <v>-0.11046868860166022</v>
      </c>
      <c r="O35" s="323">
        <f t="shared" si="3"/>
        <v>122.84276777540508</v>
      </c>
      <c r="P35" s="287">
        <f t="shared" si="9"/>
        <v>8.3069009999999999</v>
      </c>
      <c r="Q35" s="287">
        <f t="shared" si="10"/>
        <v>27.304857999999999</v>
      </c>
    </row>
    <row r="36" spans="1:17" s="98" customFormat="1" x14ac:dyDescent="0.2">
      <c r="A36" s="339" t="s">
        <v>285</v>
      </c>
      <c r="B36" s="237" t="s">
        <v>228</v>
      </c>
      <c r="C36" s="54" t="s">
        <v>170</v>
      </c>
      <c r="D36" s="301">
        <v>1</v>
      </c>
      <c r="E36" s="306">
        <v>4000000</v>
      </c>
      <c r="F36" s="302">
        <f>GDISP_adt!I9</f>
        <v>93036.538435982438</v>
      </c>
      <c r="G36" s="582">
        <v>2900000</v>
      </c>
      <c r="H36" s="591">
        <f>INDEX(Case_Constraints!$C$2:$G$23,MATCH(_xlfn.CONCAT(A36," ",B36),Case_Constraints!$C$2:$C$23,0),MATCH($E$8,Case_Constraints!$C$2:$G$2,0))</f>
        <v>5000000</v>
      </c>
      <c r="I36" s="585">
        <v>5000000</v>
      </c>
      <c r="J36" s="303">
        <f>GDISP_adt!F9</f>
        <v>106365.19760151411</v>
      </c>
      <c r="K36" s="304">
        <f t="shared" si="5"/>
        <v>1000000</v>
      </c>
      <c r="L36" s="304">
        <f t="shared" si="6"/>
        <v>13328.659165531673</v>
      </c>
      <c r="M36" s="305">
        <f t="shared" si="7"/>
        <v>0.25</v>
      </c>
      <c r="N36" s="305">
        <f t="shared" si="2"/>
        <v>0.14326262981831592</v>
      </c>
      <c r="O36" s="323">
        <f t="shared" si="3"/>
        <v>42.993860984546004</v>
      </c>
      <c r="P36" s="287">
        <f t="shared" si="9"/>
        <v>2.9</v>
      </c>
      <c r="Q36" s="287">
        <f t="shared" si="10"/>
        <v>5</v>
      </c>
    </row>
    <row r="37" spans="1:17" s="98" customFormat="1" x14ac:dyDescent="0.2">
      <c r="A37" s="339" t="s">
        <v>285</v>
      </c>
      <c r="B37" s="237" t="s">
        <v>229</v>
      </c>
      <c r="C37" s="54" t="s">
        <v>170</v>
      </c>
      <c r="D37" s="301">
        <v>1</v>
      </c>
      <c r="E37" s="306">
        <v>200000</v>
      </c>
      <c r="F37" s="302">
        <f>GPDSRCH_adt!I9</f>
        <v>79531.473375019181</v>
      </c>
      <c r="G37" s="582">
        <v>100000</v>
      </c>
      <c r="H37" s="591">
        <f>INDEX(Case_Constraints!$C$2:$G$23,MATCH(_xlfn.CONCAT(A37," ",B37),Case_Constraints!$C$2:$C$23,0),MATCH($E$8,Case_Constraints!$C$2:$G$2,0))</f>
        <v>200000</v>
      </c>
      <c r="I37" s="585">
        <v>200000</v>
      </c>
      <c r="J37" s="303">
        <f>GPDSRCH_adt!F9</f>
        <v>79531.473375019181</v>
      </c>
      <c r="K37" s="304">
        <f t="shared" si="5"/>
        <v>0</v>
      </c>
      <c r="L37" s="304">
        <f t="shared" si="6"/>
        <v>0</v>
      </c>
      <c r="M37" s="305">
        <f t="shared" si="7"/>
        <v>0</v>
      </c>
      <c r="N37" s="305">
        <f t="shared" si="2"/>
        <v>0</v>
      </c>
      <c r="O37" s="323">
        <f t="shared" si="3"/>
        <v>2.5147277110902859</v>
      </c>
      <c r="P37" s="287">
        <f t="shared" si="9"/>
        <v>0.1</v>
      </c>
      <c r="Q37" s="287">
        <f t="shared" si="10"/>
        <v>0.2</v>
      </c>
    </row>
    <row r="38" spans="1:17" s="98" customFormat="1" x14ac:dyDescent="0.2">
      <c r="A38" s="339" t="s">
        <v>285</v>
      </c>
      <c r="B38" s="237" t="s">
        <v>287</v>
      </c>
      <c r="C38" s="54" t="s">
        <v>170</v>
      </c>
      <c r="D38" s="301">
        <v>1</v>
      </c>
      <c r="E38" s="306">
        <v>28089211</v>
      </c>
      <c r="F38" s="302">
        <f>GLINEARTV_adt!I9</f>
        <v>178786.88879772768</v>
      </c>
      <c r="G38" s="582">
        <v>28089211</v>
      </c>
      <c r="H38" s="591">
        <f>INDEX(Case_Constraints!$C$2:$G$23,MATCH(_xlfn.CONCAT(A38," ",B38),Case_Constraints!$C$2:$C$23,0),MATCH($E$8,Case_Constraints!$C$2:$G$2,0))</f>
        <v>28089211</v>
      </c>
      <c r="I38" s="585">
        <v>28089211</v>
      </c>
      <c r="J38" s="303">
        <f>GLINEARTV_adt!F9</f>
        <v>178786.88879772768</v>
      </c>
      <c r="K38" s="304">
        <f t="shared" si="5"/>
        <v>0</v>
      </c>
      <c r="L38" s="304">
        <f t="shared" si="6"/>
        <v>0</v>
      </c>
      <c r="M38" s="305">
        <f t="shared" si="7"/>
        <v>0</v>
      </c>
      <c r="N38" s="305">
        <f t="shared" si="2"/>
        <v>0</v>
      </c>
      <c r="O38" s="323">
        <f t="shared" si="3"/>
        <v>157.11001622596055</v>
      </c>
      <c r="P38" s="287">
        <f t="shared" si="9"/>
        <v>28.089210999999999</v>
      </c>
      <c r="Q38" s="287">
        <f t="shared" si="10"/>
        <v>28.089210999999999</v>
      </c>
    </row>
    <row r="39" spans="1:17" s="98" customFormat="1" x14ac:dyDescent="0.2">
      <c r="A39" s="339" t="s">
        <v>285</v>
      </c>
      <c r="B39" s="237" t="s">
        <v>192</v>
      </c>
      <c r="C39" s="54" t="s">
        <v>170</v>
      </c>
      <c r="D39" s="301">
        <v>1</v>
      </c>
      <c r="E39" s="306">
        <v>1500000</v>
      </c>
      <c r="F39" s="302">
        <f>GAUDIO!I9</f>
        <v>32266.574959240672</v>
      </c>
      <c r="G39" s="582">
        <v>500000</v>
      </c>
      <c r="H39" s="591">
        <f>INDEX(Case_Constraints!$C$2:$G$23,MATCH(_xlfn.CONCAT(A39," ",B39),Case_Constraints!$C$2:$C$23,0),MATCH($E$8,Case_Constraints!$C$2:$G$2,0))</f>
        <v>2200000</v>
      </c>
      <c r="I39" s="585">
        <v>2200000</v>
      </c>
      <c r="J39" s="303">
        <f>GAUDIO!F9</f>
        <v>37608.450193722703</v>
      </c>
      <c r="K39" s="304">
        <f t="shared" si="5"/>
        <v>700000</v>
      </c>
      <c r="L39" s="304">
        <f t="shared" si="6"/>
        <v>5341.8752344820314</v>
      </c>
      <c r="M39" s="305">
        <f t="shared" si="7"/>
        <v>0.46666666666666667</v>
      </c>
      <c r="N39" s="305">
        <f t="shared" si="2"/>
        <v>0.16555445507401761</v>
      </c>
      <c r="O39" s="323"/>
      <c r="P39" s="287"/>
      <c r="Q39" s="287"/>
    </row>
    <row r="40" spans="1:17" s="98" customFormat="1" x14ac:dyDescent="0.2">
      <c r="A40" s="339" t="s">
        <v>285</v>
      </c>
      <c r="B40" s="237" t="s">
        <v>304</v>
      </c>
      <c r="C40" s="54" t="s">
        <v>129</v>
      </c>
      <c r="D40" s="301">
        <v>1</v>
      </c>
      <c r="E40" s="306">
        <v>3200000</v>
      </c>
      <c r="F40" s="302">
        <f>GPHRMCY_adt!I9</f>
        <v>22412.309442908503</v>
      </c>
      <c r="G40" s="582">
        <v>3200000</v>
      </c>
      <c r="H40" s="592">
        <f>INDEX(Case_Constraints!$C$2:$G$23,MATCH(_xlfn.CONCAT(A40," ",B40),Case_Constraints!$C$2:$C$23,0),MATCH($E$8,Case_Constraints!$C$2:$G$2,0))</f>
        <v>3200000</v>
      </c>
      <c r="I40" s="585">
        <v>3200000</v>
      </c>
      <c r="J40" s="303">
        <f>GPHRMCY_adt!F9</f>
        <v>22412.309442908503</v>
      </c>
      <c r="K40" s="304">
        <f t="shared" si="5"/>
        <v>0</v>
      </c>
      <c r="L40" s="304">
        <f t="shared" si="6"/>
        <v>0</v>
      </c>
      <c r="M40" s="305">
        <f t="shared" si="7"/>
        <v>0</v>
      </c>
      <c r="N40" s="305">
        <f t="shared" si="2"/>
        <v>0</v>
      </c>
      <c r="O40" s="323"/>
      <c r="P40" s="287"/>
      <c r="Q40" s="287"/>
    </row>
    <row r="41" spans="1:17" s="98" customFormat="1" x14ac:dyDescent="0.2">
      <c r="A41" s="404" t="s">
        <v>285</v>
      </c>
      <c r="B41" s="405" t="s">
        <v>231</v>
      </c>
      <c r="C41" s="36"/>
      <c r="D41" s="406"/>
      <c r="E41" s="409">
        <f t="shared" ref="E41:L41" si="11">SUM(E31:E40)</f>
        <v>68905663</v>
      </c>
      <c r="F41" s="409">
        <f t="shared" si="11"/>
        <v>953336.99669552525</v>
      </c>
      <c r="G41" s="409">
        <f t="shared" si="11"/>
        <v>57396112</v>
      </c>
      <c r="H41" s="587">
        <f t="shared" si="11"/>
        <v>110994069</v>
      </c>
      <c r="I41" s="409">
        <f t="shared" si="11"/>
        <v>82486424</v>
      </c>
      <c r="J41" s="408">
        <f t="shared" si="11"/>
        <v>1115976.3737558471</v>
      </c>
      <c r="K41" s="409">
        <f t="shared" si="11"/>
        <v>13580760.999999993</v>
      </c>
      <c r="L41" s="409">
        <f t="shared" si="11"/>
        <v>162639.37706032183</v>
      </c>
      <c r="M41" s="410">
        <f t="shared" ref="M41" si="12">K41/E41</f>
        <v>0.19709208806248613</v>
      </c>
      <c r="N41" s="410">
        <f t="shared" ref="N41" si="13">L41/F41</f>
        <v>0.1706000896053185</v>
      </c>
      <c r="O41" s="323"/>
      <c r="P41" s="287"/>
      <c r="Q41" s="287"/>
    </row>
    <row r="42" spans="1:17" s="98" customFormat="1" x14ac:dyDescent="0.2">
      <c r="A42" s="411" t="s">
        <v>154</v>
      </c>
      <c r="B42" s="411" t="s">
        <v>99</v>
      </c>
      <c r="C42" s="411"/>
      <c r="D42" s="412"/>
      <c r="E42" s="413">
        <f t="shared" ref="E42:L42" si="14">SUM(E21:E29,E31:E40)</f>
        <v>107419239</v>
      </c>
      <c r="F42" s="413">
        <f t="shared" si="14"/>
        <v>2211019.9415132962</v>
      </c>
      <c r="G42" s="413">
        <f t="shared" si="14"/>
        <v>90213410</v>
      </c>
      <c r="H42" s="413">
        <f t="shared" si="14"/>
        <v>184464182</v>
      </c>
      <c r="I42" s="413">
        <f t="shared" si="14"/>
        <v>145000000</v>
      </c>
      <c r="J42" s="417">
        <f t="shared" si="14"/>
        <v>2778013.5268334169</v>
      </c>
      <c r="K42" s="418">
        <f t="shared" si="14"/>
        <v>37580761.00000003</v>
      </c>
      <c r="L42" s="418">
        <f t="shared" si="14"/>
        <v>566993.58532012079</v>
      </c>
      <c r="M42" s="414">
        <f>K42/E42</f>
        <v>0.34985130550031202</v>
      </c>
      <c r="N42" s="414">
        <f>L42/F42</f>
        <v>0.2564398333431816</v>
      </c>
    </row>
    <row r="43" spans="1:17" x14ac:dyDescent="0.2">
      <c r="E43" s="113"/>
      <c r="I43" s="143">
        <f>I41-E41</f>
        <v>13580761</v>
      </c>
    </row>
    <row r="45" spans="1:17" x14ac:dyDescent="0.2">
      <c r="J45" s="313"/>
      <c r="K45" s="87"/>
    </row>
    <row r="46" spans="1:17" s="98" customFormat="1" x14ac:dyDescent="0.2">
      <c r="D46" s="651" t="s">
        <v>154</v>
      </c>
      <c r="E46" s="651"/>
      <c r="F46" s="651"/>
      <c r="G46" s="651"/>
      <c r="H46" s="651"/>
      <c r="I46" s="651"/>
      <c r="J46" s="650"/>
      <c r="K46" s="650"/>
      <c r="L46" s="650"/>
      <c r="M46" s="650"/>
      <c r="N46" s="650"/>
      <c r="O46" s="650"/>
      <c r="P46" s="128"/>
    </row>
    <row r="47" spans="1:17" ht="25.5" x14ac:dyDescent="0.2">
      <c r="A47" s="654" t="s">
        <v>132</v>
      </c>
      <c r="D47" s="140" t="s">
        <v>126</v>
      </c>
      <c r="E47" s="140" t="s">
        <v>141</v>
      </c>
      <c r="F47" s="140" t="s">
        <v>145</v>
      </c>
      <c r="G47" s="140" t="s">
        <v>142</v>
      </c>
      <c r="H47" s="140" t="s">
        <v>143</v>
      </c>
      <c r="I47" s="140" t="s">
        <v>144</v>
      </c>
      <c r="J47" s="82"/>
      <c r="K47" s="82"/>
      <c r="L47" s="82"/>
      <c r="M47" s="82"/>
      <c r="N47" s="82"/>
      <c r="O47" s="82"/>
      <c r="P47" s="128"/>
    </row>
    <row r="48" spans="1:17" x14ac:dyDescent="0.2">
      <c r="A48" s="654"/>
      <c r="D48" s="154">
        <v>1</v>
      </c>
      <c r="E48" s="126">
        <v>225.94</v>
      </c>
      <c r="F48" s="295">
        <f>E48</f>
        <v>225.94</v>
      </c>
      <c r="G48" s="126">
        <f>E48</f>
        <v>225.94</v>
      </c>
      <c r="H48" s="141"/>
      <c r="I48" s="126">
        <f>E48</f>
        <v>225.94</v>
      </c>
      <c r="J48" s="127"/>
      <c r="K48" s="129"/>
      <c r="L48" s="130"/>
      <c r="M48" s="129"/>
      <c r="N48" s="131"/>
      <c r="O48" s="129"/>
      <c r="P48" s="128"/>
    </row>
    <row r="49" spans="1:22" ht="13.9" customHeight="1" x14ac:dyDescent="0.2">
      <c r="A49" s="653" t="s">
        <v>2</v>
      </c>
      <c r="B49" s="614" t="s">
        <v>3</v>
      </c>
      <c r="C49" s="614" t="str">
        <f t="shared" ref="C49:C59" si="15">D19</f>
        <v>Response Scaling Factor for Sensitivity Analysis</v>
      </c>
      <c r="D49" s="647" t="s">
        <v>86</v>
      </c>
      <c r="E49" s="648"/>
      <c r="F49" s="648"/>
      <c r="G49" s="649"/>
      <c r="H49" s="634" t="s">
        <v>89</v>
      </c>
      <c r="I49" s="635"/>
      <c r="J49" s="635"/>
      <c r="K49" s="647" t="s">
        <v>136</v>
      </c>
      <c r="L49" s="648"/>
      <c r="M49" s="648"/>
      <c r="N49" s="649"/>
      <c r="P49" s="128"/>
      <c r="Q49" s="128"/>
      <c r="R49" s="128"/>
      <c r="S49" s="128"/>
      <c r="T49" s="128"/>
      <c r="U49" s="128"/>
      <c r="V49" s="128"/>
    </row>
    <row r="50" spans="1:22" ht="74.45" customHeight="1" x14ac:dyDescent="0.2">
      <c r="A50" s="613"/>
      <c r="B50" s="613"/>
      <c r="C50" s="613">
        <f t="shared" si="15"/>
        <v>0</v>
      </c>
      <c r="D50" s="93" t="s">
        <v>163</v>
      </c>
      <c r="E50" s="93" t="s">
        <v>133</v>
      </c>
      <c r="F50" s="93" t="s">
        <v>134</v>
      </c>
      <c r="G50" s="93" t="s">
        <v>146</v>
      </c>
      <c r="H50" s="55" t="s">
        <v>156</v>
      </c>
      <c r="I50" s="55" t="s">
        <v>135</v>
      </c>
      <c r="J50" s="55" t="s">
        <v>147</v>
      </c>
      <c r="K50" s="93" t="s">
        <v>137</v>
      </c>
      <c r="L50" s="93" t="s">
        <v>138</v>
      </c>
      <c r="M50" s="93" t="s">
        <v>139</v>
      </c>
      <c r="N50" s="93" t="s">
        <v>140</v>
      </c>
      <c r="P50" s="1" t="s">
        <v>208</v>
      </c>
    </row>
    <row r="51" spans="1:22" x14ac:dyDescent="0.2">
      <c r="A51" s="231" t="str">
        <f t="shared" ref="A51:B54" si="16">A21</f>
        <v>Gardasil Adolescents</v>
      </c>
      <c r="B51" s="231" t="str">
        <f t="shared" si="16"/>
        <v>HCC In Office</v>
      </c>
      <c r="C51" s="296">
        <f t="shared" si="15"/>
        <v>1</v>
      </c>
      <c r="D51" s="99">
        <f t="shared" ref="D51:D68" si="17">E21</f>
        <v>1000000</v>
      </c>
      <c r="E51" s="253" t="s">
        <v>168</v>
      </c>
      <c r="F51" s="101">
        <f t="shared" ref="F51:F68" si="18">F21/$D$48</f>
        <v>15970.197880234569</v>
      </c>
      <c r="G51" s="103">
        <f>F51*$F$48</f>
        <v>3608306.5090601984</v>
      </c>
      <c r="H51" s="105">
        <f t="shared" ref="H51:H68" si="19">I21</f>
        <v>1540173.2513926297</v>
      </c>
      <c r="I51" s="101">
        <f t="shared" ref="I51:I68" si="20">J21/$D$48</f>
        <v>22249.492859058082</v>
      </c>
      <c r="J51" s="107">
        <f>I51*$F$48</f>
        <v>5027050.4165755827</v>
      </c>
      <c r="K51" s="99">
        <f>H51-D51</f>
        <v>540173.2513926297</v>
      </c>
      <c r="L51" s="99">
        <f>J51-G51</f>
        <v>1418743.9075153843</v>
      </c>
      <c r="M51" s="109">
        <f>K51/D51</f>
        <v>0.54017325139262973</v>
      </c>
      <c r="N51" s="110">
        <f>L51/G51</f>
        <v>0.39318830147966094</v>
      </c>
      <c r="O51" s="142"/>
      <c r="P51" s="307">
        <f>(J51-G51)/1000000</f>
        <v>1.4187439075153843</v>
      </c>
    </row>
    <row r="52" spans="1:22" x14ac:dyDescent="0.2">
      <c r="A52" s="237" t="str">
        <f t="shared" si="16"/>
        <v>Gardasil Adolescents</v>
      </c>
      <c r="B52" s="237" t="str">
        <f t="shared" si="16"/>
        <v>HCP MCM</v>
      </c>
      <c r="C52" s="301">
        <f t="shared" si="15"/>
        <v>1</v>
      </c>
      <c r="D52" s="100">
        <f t="shared" si="17"/>
        <v>7775778</v>
      </c>
      <c r="E52" s="254" t="s">
        <v>168</v>
      </c>
      <c r="F52" s="102">
        <f t="shared" si="18"/>
        <v>342226.11897340976</v>
      </c>
      <c r="G52" s="104">
        <f t="shared" ref="G52:G71" si="21">F52*$F$48</f>
        <v>77322569.320852205</v>
      </c>
      <c r="H52" s="106">
        <f t="shared" si="19"/>
        <v>13899615.099674361</v>
      </c>
      <c r="I52" s="102">
        <f t="shared" si="20"/>
        <v>443642.24573555775</v>
      </c>
      <c r="J52" s="108">
        <f t="shared" ref="J52" si="22">I52*$F$48</f>
        <v>100236529.00149192</v>
      </c>
      <c r="K52" s="100">
        <f t="shared" ref="K52" si="23">H52-D52</f>
        <v>6123837.0996743608</v>
      </c>
      <c r="L52" s="100">
        <f t="shared" ref="L52" si="24">J52-G52</f>
        <v>22913959.680639714</v>
      </c>
      <c r="M52" s="111">
        <f t="shared" ref="M52" si="25">K52/D52</f>
        <v>0.78755297536456936</v>
      </c>
      <c r="N52" s="112">
        <f t="shared" ref="N52" si="26">L52/G52</f>
        <v>0.29634245061823522</v>
      </c>
      <c r="O52" s="142"/>
      <c r="P52" s="307">
        <f t="shared" ref="P52:P59" si="27">(J52-G52)/1000000</f>
        <v>22.913959680639714</v>
      </c>
    </row>
    <row r="53" spans="1:22" s="98" customFormat="1" x14ac:dyDescent="0.2">
      <c r="A53" s="237" t="str">
        <f t="shared" si="16"/>
        <v>Gardasil Adolescents</v>
      </c>
      <c r="B53" s="237" t="str">
        <f t="shared" si="16"/>
        <v>HCC Social</v>
      </c>
      <c r="C53" s="301">
        <f t="shared" si="15"/>
        <v>1</v>
      </c>
      <c r="D53" s="100">
        <f t="shared" si="17"/>
        <v>1840000</v>
      </c>
      <c r="E53" s="254" t="s">
        <v>168</v>
      </c>
      <c r="F53" s="102">
        <f t="shared" si="18"/>
        <v>70487.367019183061</v>
      </c>
      <c r="G53" s="104">
        <f t="shared" si="21"/>
        <v>15925915.704314221</v>
      </c>
      <c r="H53" s="106">
        <f t="shared" si="19"/>
        <v>6500000</v>
      </c>
      <c r="I53" s="102">
        <f t="shared" si="20"/>
        <v>150303.3320306878</v>
      </c>
      <c r="J53" s="108">
        <f t="shared" ref="J53:J71" si="28">I53*$F$48</f>
        <v>33959534.839013599</v>
      </c>
      <c r="K53" s="100">
        <f t="shared" ref="K53:K71" si="29">H53-D53</f>
        <v>4660000</v>
      </c>
      <c r="L53" s="100">
        <f t="shared" ref="L53:L71" si="30">J53-G53</f>
        <v>18033619.134699378</v>
      </c>
      <c r="M53" s="111">
        <f t="shared" ref="M53:M68" si="31">K53/D53</f>
        <v>2.5326086956521738</v>
      </c>
      <c r="N53" s="112">
        <f t="shared" ref="N53:N68" si="32">L53/G53</f>
        <v>1.1323442538261204</v>
      </c>
      <c r="O53" s="142"/>
      <c r="P53" s="307">
        <f t="shared" si="27"/>
        <v>18.033619134699379</v>
      </c>
    </row>
    <row r="54" spans="1:22" s="98" customFormat="1" x14ac:dyDescent="0.2">
      <c r="A54" s="237" t="str">
        <f t="shared" si="16"/>
        <v>Gardasil Adolescents</v>
      </c>
      <c r="B54" s="237" t="str">
        <f t="shared" si="16"/>
        <v>HCC Online Video</v>
      </c>
      <c r="C54" s="301">
        <f t="shared" si="15"/>
        <v>1</v>
      </c>
      <c r="D54" s="100">
        <f t="shared" si="17"/>
        <v>1220000</v>
      </c>
      <c r="E54" s="254" t="s">
        <v>168</v>
      </c>
      <c r="F54" s="102">
        <f t="shared" si="18"/>
        <v>15022.779470646754</v>
      </c>
      <c r="G54" s="104">
        <f t="shared" si="21"/>
        <v>3394246.7935979273</v>
      </c>
      <c r="H54" s="106">
        <f t="shared" si="19"/>
        <v>1000000</v>
      </c>
      <c r="I54" s="102">
        <f t="shared" si="20"/>
        <v>14861.613123927265</v>
      </c>
      <c r="J54" s="108">
        <f t="shared" si="28"/>
        <v>3357832.8692201264</v>
      </c>
      <c r="K54" s="100">
        <f t="shared" si="29"/>
        <v>-220000</v>
      </c>
      <c r="L54" s="100">
        <f t="shared" si="30"/>
        <v>-36413.924377800897</v>
      </c>
      <c r="M54" s="111">
        <f t="shared" si="31"/>
        <v>-0.18032786885245902</v>
      </c>
      <c r="N54" s="112">
        <f t="shared" si="32"/>
        <v>-1.0728131038227147E-2</v>
      </c>
      <c r="O54" s="142"/>
      <c r="P54" s="307">
        <f t="shared" si="27"/>
        <v>-3.6413924377800895E-2</v>
      </c>
    </row>
    <row r="55" spans="1:22" s="98" customFormat="1" x14ac:dyDescent="0.2">
      <c r="A55" s="237" t="s">
        <v>175</v>
      </c>
      <c r="B55" s="237" t="str">
        <f>B25</f>
        <v>HCC Streaming Video</v>
      </c>
      <c r="C55" s="301">
        <f t="shared" si="15"/>
        <v>1</v>
      </c>
      <c r="D55" s="100">
        <f t="shared" si="17"/>
        <v>4817798</v>
      </c>
      <c r="E55" s="254" t="s">
        <v>168</v>
      </c>
      <c r="F55" s="102">
        <f t="shared" si="18"/>
        <v>121516.7124715425</v>
      </c>
      <c r="G55" s="104">
        <f t="shared" si="21"/>
        <v>27455486.015820313</v>
      </c>
      <c r="H55" s="106">
        <f t="shared" si="19"/>
        <v>12070112.999999998</v>
      </c>
      <c r="I55" s="102">
        <f t="shared" si="20"/>
        <v>231121.28094253899</v>
      </c>
      <c r="J55" s="108">
        <f t="shared" si="28"/>
        <v>52219542.216157258</v>
      </c>
      <c r="K55" s="100">
        <f t="shared" si="29"/>
        <v>7252314.9999999981</v>
      </c>
      <c r="L55" s="100">
        <f t="shared" si="30"/>
        <v>24764056.200336944</v>
      </c>
      <c r="M55" s="111">
        <f t="shared" si="31"/>
        <v>1.5053173669796862</v>
      </c>
      <c r="N55" s="112">
        <f t="shared" si="32"/>
        <v>0.90197114653397426</v>
      </c>
      <c r="O55" s="142"/>
      <c r="P55" s="307">
        <f t="shared" si="27"/>
        <v>24.764056200336945</v>
      </c>
    </row>
    <row r="56" spans="1:22" s="98" customFormat="1" x14ac:dyDescent="0.2">
      <c r="A56" s="237" t="str">
        <f>A26</f>
        <v>Gardasil Adolescents</v>
      </c>
      <c r="B56" s="237" t="str">
        <f>B26</f>
        <v>HCC Display</v>
      </c>
      <c r="C56" s="301">
        <f t="shared" si="15"/>
        <v>1</v>
      </c>
      <c r="D56" s="100">
        <f t="shared" si="17"/>
        <v>3540000</v>
      </c>
      <c r="E56" s="254" t="s">
        <v>168</v>
      </c>
      <c r="F56" s="102">
        <f t="shared" si="18"/>
        <v>173899.1701768022</v>
      </c>
      <c r="G56" s="104">
        <f t="shared" si="21"/>
        <v>39290778.509746693</v>
      </c>
      <c r="H56" s="106">
        <f t="shared" si="19"/>
        <v>6603674.6489330456</v>
      </c>
      <c r="I56" s="102">
        <f t="shared" si="20"/>
        <v>227404.21143627539</v>
      </c>
      <c r="J56" s="108">
        <f t="shared" si="28"/>
        <v>51379707.531912059</v>
      </c>
      <c r="K56" s="100">
        <f t="shared" si="29"/>
        <v>3063674.6489330456</v>
      </c>
      <c r="L56" s="100">
        <f t="shared" si="30"/>
        <v>12088929.022165366</v>
      </c>
      <c r="M56" s="111">
        <f t="shared" si="31"/>
        <v>0.86544481608278123</v>
      </c>
      <c r="N56" s="112">
        <f t="shared" si="32"/>
        <v>0.30767853121481209</v>
      </c>
      <c r="O56" s="142"/>
      <c r="P56" s="307">
        <f t="shared" si="27"/>
        <v>12.088929022165365</v>
      </c>
    </row>
    <row r="57" spans="1:22" x14ac:dyDescent="0.2">
      <c r="A57" s="237" t="str">
        <f>A27</f>
        <v>Gardasil Adolescents</v>
      </c>
      <c r="B57" s="237" t="str">
        <f>B27</f>
        <v>HCC Paid Search</v>
      </c>
      <c r="C57" s="301">
        <f t="shared" si="15"/>
        <v>1</v>
      </c>
      <c r="D57" s="100">
        <f t="shared" si="17"/>
        <v>400000</v>
      </c>
      <c r="E57" s="254" t="s">
        <v>168</v>
      </c>
      <c r="F57" s="102">
        <f t="shared" si="18"/>
        <v>145038.35480357721</v>
      </c>
      <c r="G57" s="104">
        <f t="shared" si="21"/>
        <v>32769965.884320233</v>
      </c>
      <c r="H57" s="106">
        <f t="shared" si="19"/>
        <v>400000</v>
      </c>
      <c r="I57" s="102">
        <f t="shared" si="20"/>
        <v>145038.35480357721</v>
      </c>
      <c r="J57" s="108">
        <f t="shared" si="28"/>
        <v>32769965.884320233</v>
      </c>
      <c r="K57" s="100">
        <f t="shared" si="29"/>
        <v>0</v>
      </c>
      <c r="L57" s="100">
        <f t="shared" si="30"/>
        <v>0</v>
      </c>
      <c r="M57" s="111">
        <f t="shared" si="31"/>
        <v>0</v>
      </c>
      <c r="N57" s="112">
        <f t="shared" si="32"/>
        <v>0</v>
      </c>
      <c r="O57" s="142"/>
      <c r="P57" s="307">
        <f t="shared" si="27"/>
        <v>0</v>
      </c>
    </row>
    <row r="58" spans="1:22" s="98" customFormat="1" x14ac:dyDescent="0.2">
      <c r="A58" s="237" t="str">
        <f>A28</f>
        <v>Gardasil Adolescents</v>
      </c>
      <c r="B58" s="237" t="str">
        <f>B28</f>
        <v>HCC Audio</v>
      </c>
      <c r="C58" s="301">
        <f t="shared" si="15"/>
        <v>1</v>
      </c>
      <c r="D58" s="100">
        <f t="shared" si="17"/>
        <v>2220000</v>
      </c>
      <c r="E58" s="254" t="s">
        <v>168</v>
      </c>
      <c r="F58" s="102">
        <f t="shared" si="18"/>
        <v>91610.125423352103</v>
      </c>
      <c r="G58" s="104">
        <f t="shared" si="21"/>
        <v>20698391.738152172</v>
      </c>
      <c r="H58" s="106">
        <f t="shared" si="19"/>
        <v>4800000</v>
      </c>
      <c r="I58" s="102">
        <f t="shared" si="20"/>
        <v>145504.50354692468</v>
      </c>
      <c r="J58" s="108">
        <f t="shared" si="28"/>
        <v>32875287.531392161</v>
      </c>
      <c r="K58" s="100">
        <f t="shared" si="29"/>
        <v>2580000</v>
      </c>
      <c r="L58" s="100">
        <f t="shared" si="30"/>
        <v>12176895.793239988</v>
      </c>
      <c r="M58" s="111">
        <f t="shared" si="31"/>
        <v>1.1621621621621621</v>
      </c>
      <c r="N58" s="112">
        <f t="shared" si="32"/>
        <v>0.5883015428099666</v>
      </c>
      <c r="O58" s="142"/>
      <c r="P58" s="307">
        <f t="shared" si="27"/>
        <v>12.176895793239989</v>
      </c>
    </row>
    <row r="59" spans="1:22" s="98" customFormat="1" x14ac:dyDescent="0.2">
      <c r="A59" s="355" t="str">
        <f>A29</f>
        <v>Gardasil Adolescents</v>
      </c>
      <c r="B59" s="355" t="str">
        <f>B29</f>
        <v>HCC TV</v>
      </c>
      <c r="C59" s="344">
        <f t="shared" si="15"/>
        <v>1</v>
      </c>
      <c r="D59" s="356">
        <f t="shared" si="17"/>
        <v>15700000</v>
      </c>
      <c r="E59" s="357" t="s">
        <v>168</v>
      </c>
      <c r="F59" s="358">
        <f t="shared" si="18"/>
        <v>281912.11859902256</v>
      </c>
      <c r="G59" s="359">
        <f t="shared" si="21"/>
        <v>63695224.07626316</v>
      </c>
      <c r="H59" s="360">
        <f t="shared" si="19"/>
        <v>15700000</v>
      </c>
      <c r="I59" s="358">
        <f t="shared" si="20"/>
        <v>281912.11859902256</v>
      </c>
      <c r="J59" s="361">
        <f t="shared" si="28"/>
        <v>63695224.07626316</v>
      </c>
      <c r="K59" s="356">
        <f t="shared" si="29"/>
        <v>0</v>
      </c>
      <c r="L59" s="356">
        <f t="shared" si="30"/>
        <v>0</v>
      </c>
      <c r="M59" s="362">
        <f t="shared" si="31"/>
        <v>0</v>
      </c>
      <c r="N59" s="363">
        <f t="shared" si="32"/>
        <v>0</v>
      </c>
      <c r="O59" s="142"/>
      <c r="P59" s="307">
        <f t="shared" si="27"/>
        <v>0</v>
      </c>
    </row>
    <row r="60" spans="1:22" s="98" customFormat="1" x14ac:dyDescent="0.2">
      <c r="A60" s="405" t="str">
        <f>A30</f>
        <v>Gardasil Adolescents</v>
      </c>
      <c r="B60" s="405" t="s">
        <v>231</v>
      </c>
      <c r="C60" s="406"/>
      <c r="D60" s="424">
        <f t="shared" si="17"/>
        <v>38513576</v>
      </c>
      <c r="E60" s="408"/>
      <c r="F60" s="425">
        <f t="shared" si="18"/>
        <v>1257682.9448177707</v>
      </c>
      <c r="G60" s="426">
        <f t="shared" si="21"/>
        <v>284160884.55212712</v>
      </c>
      <c r="H60" s="427">
        <f t="shared" si="19"/>
        <v>62513576.000000037</v>
      </c>
      <c r="I60" s="425">
        <f t="shared" si="20"/>
        <v>1662037.1530775696</v>
      </c>
      <c r="J60" s="426">
        <f t="shared" si="28"/>
        <v>375520674.36634606</v>
      </c>
      <c r="K60" s="427">
        <f t="shared" si="29"/>
        <v>24000000.000000037</v>
      </c>
      <c r="L60" s="427">
        <f t="shared" si="30"/>
        <v>91359789.814218938</v>
      </c>
      <c r="M60" s="428">
        <f t="shared" si="31"/>
        <v>0.62315688369213074</v>
      </c>
      <c r="N60" s="429">
        <f t="shared" si="32"/>
        <v>0.3215072685257625</v>
      </c>
      <c r="O60" s="142"/>
      <c r="P60" s="307"/>
    </row>
    <row r="61" spans="1:22" s="98" customFormat="1" x14ac:dyDescent="0.2">
      <c r="A61" s="364" t="s">
        <v>285</v>
      </c>
      <c r="B61" s="237" t="str">
        <f>B31</f>
        <v>HCC InOffice</v>
      </c>
      <c r="C61" s="301">
        <f>D31</f>
        <v>1</v>
      </c>
      <c r="D61" s="100">
        <f t="shared" si="17"/>
        <v>1000000</v>
      </c>
      <c r="E61" s="254" t="s">
        <v>168</v>
      </c>
      <c r="F61" s="102">
        <f t="shared" si="18"/>
        <v>4323.5214887261391</v>
      </c>
      <c r="G61" s="104">
        <f t="shared" si="21"/>
        <v>976856.44516278384</v>
      </c>
      <c r="H61" s="106">
        <f t="shared" si="19"/>
        <v>900000</v>
      </c>
      <c r="I61" s="102">
        <f t="shared" si="20"/>
        <v>4003.0596247408539</v>
      </c>
      <c r="J61" s="108">
        <f t="shared" si="28"/>
        <v>904451.29161394853</v>
      </c>
      <c r="K61" s="100">
        <f t="shared" si="29"/>
        <v>-100000</v>
      </c>
      <c r="L61" s="100">
        <f t="shared" si="30"/>
        <v>-72405.153548835311</v>
      </c>
      <c r="M61" s="111">
        <f t="shared" si="31"/>
        <v>-0.1</v>
      </c>
      <c r="N61" s="112">
        <f t="shared" si="32"/>
        <v>-7.412056695471736E-2</v>
      </c>
      <c r="O61" s="142"/>
      <c r="P61" s="307"/>
    </row>
    <row r="62" spans="1:22" s="98" customFormat="1" x14ac:dyDescent="0.2">
      <c r="A62" s="364" t="s">
        <v>285</v>
      </c>
      <c r="B62" s="237" t="str">
        <f t="shared" ref="B62:B71" si="33">B32</f>
        <v>HCP MCM</v>
      </c>
      <c r="C62" s="301">
        <f t="shared" ref="C62:D70" si="34">D32</f>
        <v>1</v>
      </c>
      <c r="D62" s="100">
        <f t="shared" si="17"/>
        <v>16948000</v>
      </c>
      <c r="E62" s="254" t="s">
        <v>168</v>
      </c>
      <c r="F62" s="102">
        <f t="shared" si="18"/>
        <v>405762.3287466066</v>
      </c>
      <c r="G62" s="104">
        <f t="shared" si="21"/>
        <v>91677940.557008296</v>
      </c>
      <c r="H62" s="106">
        <f t="shared" si="19"/>
        <v>28000000</v>
      </c>
      <c r="I62" s="102">
        <f t="shared" si="20"/>
        <v>541309.70701439586</v>
      </c>
      <c r="J62" s="108">
        <f t="shared" si="28"/>
        <v>122303515.20283259</v>
      </c>
      <c r="K62" s="100">
        <f t="shared" si="29"/>
        <v>11052000</v>
      </c>
      <c r="L62" s="100">
        <f t="shared" si="30"/>
        <v>30625574.645824298</v>
      </c>
      <c r="M62" s="111">
        <f t="shared" si="31"/>
        <v>0.65211234363936743</v>
      </c>
      <c r="N62" s="112">
        <f t="shared" si="32"/>
        <v>0.33405609309886636</v>
      </c>
      <c r="O62" s="142"/>
      <c r="P62" s="307"/>
    </row>
    <row r="63" spans="1:22" s="98" customFormat="1" x14ac:dyDescent="0.2">
      <c r="A63" s="364" t="s">
        <v>285</v>
      </c>
      <c r="B63" s="237" t="str">
        <f t="shared" si="33"/>
        <v>HCC Social</v>
      </c>
      <c r="C63" s="301">
        <f t="shared" si="34"/>
        <v>1</v>
      </c>
      <c r="D63" s="100">
        <f t="shared" si="17"/>
        <v>2200000</v>
      </c>
      <c r="E63" s="254" t="s">
        <v>168</v>
      </c>
      <c r="F63" s="102">
        <f t="shared" si="18"/>
        <v>27316.876297482511</v>
      </c>
      <c r="G63" s="104">
        <f t="shared" si="21"/>
        <v>6171975.0306531982</v>
      </c>
      <c r="H63" s="106">
        <f t="shared" si="19"/>
        <v>3792982.8268409837</v>
      </c>
      <c r="I63" s="102">
        <f t="shared" si="20"/>
        <v>37876.160947366239</v>
      </c>
      <c r="J63" s="108">
        <f t="shared" si="28"/>
        <v>8557739.8044479284</v>
      </c>
      <c r="K63" s="100">
        <f t="shared" si="29"/>
        <v>1592982.8268409837</v>
      </c>
      <c r="L63" s="100">
        <f t="shared" si="30"/>
        <v>2385764.7737947302</v>
      </c>
      <c r="M63" s="111">
        <f t="shared" si="31"/>
        <v>0.72408310310953805</v>
      </c>
      <c r="N63" s="112">
        <f t="shared" si="32"/>
        <v>0.38654802748646855</v>
      </c>
      <c r="O63" s="142"/>
      <c r="P63" s="307"/>
    </row>
    <row r="64" spans="1:22" s="98" customFormat="1" x14ac:dyDescent="0.2">
      <c r="A64" s="364" t="s">
        <v>285</v>
      </c>
      <c r="B64" s="237" t="str">
        <f t="shared" si="33"/>
        <v>HCC Online Video</v>
      </c>
      <c r="C64" s="301">
        <f t="shared" si="34"/>
        <v>1</v>
      </c>
      <c r="D64" s="100">
        <f t="shared" si="17"/>
        <v>1500000</v>
      </c>
      <c r="E64" s="254" t="s">
        <v>168</v>
      </c>
      <c r="F64" s="102">
        <f t="shared" si="18"/>
        <v>26310.281300564297</v>
      </c>
      <c r="G64" s="104">
        <f t="shared" si="21"/>
        <v>5944544.9570494974</v>
      </c>
      <c r="H64" s="106">
        <f t="shared" si="19"/>
        <v>2417063.0393783748</v>
      </c>
      <c r="I64" s="102">
        <f t="shared" si="20"/>
        <v>33727.023106579669</v>
      </c>
      <c r="J64" s="108">
        <f t="shared" si="28"/>
        <v>7620283.6007006103</v>
      </c>
      <c r="K64" s="100">
        <f t="shared" si="29"/>
        <v>917063.03937837481</v>
      </c>
      <c r="L64" s="100">
        <f t="shared" si="30"/>
        <v>1675738.6436511129</v>
      </c>
      <c r="M64" s="111">
        <f t="shared" si="31"/>
        <v>0.6113753595855832</v>
      </c>
      <c r="N64" s="112">
        <f t="shared" si="32"/>
        <v>0.28189519227437138</v>
      </c>
      <c r="O64" s="142"/>
      <c r="P64" s="307"/>
    </row>
    <row r="65" spans="1:16" s="98" customFormat="1" x14ac:dyDescent="0.2">
      <c r="A65" s="364" t="s">
        <v>285</v>
      </c>
      <c r="B65" s="237" t="str">
        <f t="shared" si="33"/>
        <v>HCC Streaming Video</v>
      </c>
      <c r="C65" s="301">
        <f t="shared" si="34"/>
        <v>1</v>
      </c>
      <c r="D65" s="100">
        <f t="shared" si="17"/>
        <v>10268452</v>
      </c>
      <c r="E65" s="254" t="s">
        <v>168</v>
      </c>
      <c r="F65" s="102">
        <f t="shared" si="18"/>
        <v>83590.203851267303</v>
      </c>
      <c r="G65" s="104">
        <f t="shared" si="21"/>
        <v>18886370.658155333</v>
      </c>
      <c r="H65" s="106">
        <f t="shared" si="19"/>
        <v>8687167.133780634</v>
      </c>
      <c r="I65" s="102">
        <f t="shared" si="20"/>
        <v>74356.103651872356</v>
      </c>
      <c r="J65" s="108">
        <f t="shared" si="28"/>
        <v>16800018.05910404</v>
      </c>
      <c r="K65" s="100">
        <f t="shared" si="29"/>
        <v>-1581284.866219366</v>
      </c>
      <c r="L65" s="100">
        <f t="shared" si="30"/>
        <v>-2086352.599051293</v>
      </c>
      <c r="M65" s="111">
        <f t="shared" si="31"/>
        <v>-0.15399447416410633</v>
      </c>
      <c r="N65" s="112">
        <f t="shared" si="32"/>
        <v>-0.11046868860166016</v>
      </c>
      <c r="O65" s="142"/>
      <c r="P65" s="307"/>
    </row>
    <row r="66" spans="1:16" s="98" customFormat="1" x14ac:dyDescent="0.2">
      <c r="A66" s="364" t="s">
        <v>285</v>
      </c>
      <c r="B66" s="237" t="str">
        <f t="shared" si="33"/>
        <v>HCC Display</v>
      </c>
      <c r="C66" s="301">
        <f t="shared" si="34"/>
        <v>1</v>
      </c>
      <c r="D66" s="100">
        <f t="shared" si="17"/>
        <v>4000000</v>
      </c>
      <c r="E66" s="254" t="s">
        <v>168</v>
      </c>
      <c r="F66" s="102">
        <f t="shared" si="18"/>
        <v>93036.538435982438</v>
      </c>
      <c r="G66" s="104">
        <f t="shared" si="21"/>
        <v>21020675.494225871</v>
      </c>
      <c r="H66" s="106">
        <f t="shared" si="19"/>
        <v>5000000</v>
      </c>
      <c r="I66" s="102">
        <f t="shared" si="20"/>
        <v>106365.19760151411</v>
      </c>
      <c r="J66" s="108">
        <f t="shared" si="28"/>
        <v>24032152.746086098</v>
      </c>
      <c r="K66" s="100">
        <f t="shared" si="29"/>
        <v>1000000</v>
      </c>
      <c r="L66" s="100">
        <f t="shared" si="30"/>
        <v>3011477.2518602274</v>
      </c>
      <c r="M66" s="111">
        <f t="shared" si="31"/>
        <v>0.25</v>
      </c>
      <c r="N66" s="112">
        <f t="shared" si="32"/>
        <v>0.143262629818316</v>
      </c>
      <c r="O66" s="142"/>
      <c r="P66" s="307"/>
    </row>
    <row r="67" spans="1:16" s="98" customFormat="1" x14ac:dyDescent="0.2">
      <c r="A67" s="364" t="s">
        <v>285</v>
      </c>
      <c r="B67" s="237" t="str">
        <f t="shared" si="33"/>
        <v>HCC Paid Search</v>
      </c>
      <c r="C67" s="301">
        <f t="shared" si="34"/>
        <v>1</v>
      </c>
      <c r="D67" s="100">
        <f t="shared" si="17"/>
        <v>200000</v>
      </c>
      <c r="E67" s="254" t="s">
        <v>168</v>
      </c>
      <c r="F67" s="102">
        <f t="shared" si="18"/>
        <v>79531.473375019181</v>
      </c>
      <c r="G67" s="104">
        <f t="shared" si="21"/>
        <v>17969341.094351832</v>
      </c>
      <c r="H67" s="106">
        <f t="shared" si="19"/>
        <v>200000</v>
      </c>
      <c r="I67" s="102">
        <f t="shared" si="20"/>
        <v>79531.473375019181</v>
      </c>
      <c r="J67" s="108">
        <f t="shared" si="28"/>
        <v>17969341.094351832</v>
      </c>
      <c r="K67" s="100">
        <f t="shared" si="29"/>
        <v>0</v>
      </c>
      <c r="L67" s="100">
        <f t="shared" si="30"/>
        <v>0</v>
      </c>
      <c r="M67" s="111">
        <f t="shared" si="31"/>
        <v>0</v>
      </c>
      <c r="N67" s="112">
        <f t="shared" si="32"/>
        <v>0</v>
      </c>
      <c r="O67" s="142"/>
      <c r="P67" s="307"/>
    </row>
    <row r="68" spans="1:16" s="98" customFormat="1" x14ac:dyDescent="0.2">
      <c r="A68" s="364" t="s">
        <v>285</v>
      </c>
      <c r="B68" s="237" t="str">
        <f t="shared" si="33"/>
        <v>HCC Linear TV</v>
      </c>
      <c r="C68" s="301">
        <f t="shared" si="34"/>
        <v>1</v>
      </c>
      <c r="D68" s="100">
        <f t="shared" si="17"/>
        <v>28089211</v>
      </c>
      <c r="E68" s="254" t="s">
        <v>168</v>
      </c>
      <c r="F68" s="102">
        <f t="shared" si="18"/>
        <v>178786.88879772768</v>
      </c>
      <c r="G68" s="104">
        <f t="shared" si="21"/>
        <v>40395109.654958591</v>
      </c>
      <c r="H68" s="106">
        <f t="shared" si="19"/>
        <v>28089211</v>
      </c>
      <c r="I68" s="102">
        <f t="shared" si="20"/>
        <v>178786.88879772768</v>
      </c>
      <c r="J68" s="108">
        <f t="shared" si="28"/>
        <v>40395109.654958591</v>
      </c>
      <c r="K68" s="100">
        <f t="shared" si="29"/>
        <v>0</v>
      </c>
      <c r="L68" s="100">
        <f t="shared" si="30"/>
        <v>0</v>
      </c>
      <c r="M68" s="111">
        <f t="shared" si="31"/>
        <v>0</v>
      </c>
      <c r="N68" s="112">
        <f t="shared" si="32"/>
        <v>0</v>
      </c>
      <c r="O68" s="142"/>
      <c r="P68" s="307"/>
    </row>
    <row r="69" spans="1:16" s="98" customFormat="1" x14ac:dyDescent="0.2">
      <c r="A69" s="364" t="s">
        <v>285</v>
      </c>
      <c r="B69" s="237" t="str">
        <f t="shared" si="33"/>
        <v>HCC Radio</v>
      </c>
      <c r="C69" s="301">
        <f t="shared" si="34"/>
        <v>1</v>
      </c>
      <c r="D69" s="100">
        <f t="shared" si="34"/>
        <v>1500000</v>
      </c>
      <c r="E69" s="254" t="s">
        <v>168</v>
      </c>
      <c r="F69" s="102">
        <f t="shared" ref="F69:F71" si="35">F39/$D$48</f>
        <v>32266.574959240672</v>
      </c>
      <c r="G69" s="104">
        <f t="shared" si="21"/>
        <v>7290309.9462908376</v>
      </c>
      <c r="H69" s="106">
        <f t="shared" ref="H69:H71" si="36">I39</f>
        <v>2200000</v>
      </c>
      <c r="I69" s="102">
        <f t="shared" ref="I69:I71" si="37">J39/$D$48</f>
        <v>37608.450193722703</v>
      </c>
      <c r="J69" s="108">
        <f t="shared" si="28"/>
        <v>8497253.2367697079</v>
      </c>
      <c r="K69" s="100">
        <f t="shared" si="29"/>
        <v>700000</v>
      </c>
      <c r="L69" s="100">
        <f t="shared" si="30"/>
        <v>1206943.2904788703</v>
      </c>
      <c r="M69" s="111">
        <f t="shared" ref="M69:M71" si="38">K69/D69</f>
        <v>0.46666666666666667</v>
      </c>
      <c r="N69" s="112">
        <f t="shared" ref="N69:N71" si="39">L69/G69</f>
        <v>0.16555445507401761</v>
      </c>
      <c r="O69" s="142"/>
      <c r="P69" s="307"/>
    </row>
    <row r="70" spans="1:16" s="98" customFormat="1" x14ac:dyDescent="0.2">
      <c r="A70" s="364" t="s">
        <v>285</v>
      </c>
      <c r="B70" s="237" t="str">
        <f t="shared" si="33"/>
        <v>HCC Pharmacy</v>
      </c>
      <c r="C70" s="301">
        <f t="shared" si="34"/>
        <v>1</v>
      </c>
      <c r="D70" s="100">
        <f t="shared" si="34"/>
        <v>3200000</v>
      </c>
      <c r="E70" s="254" t="s">
        <v>168</v>
      </c>
      <c r="F70" s="102">
        <f t="shared" si="35"/>
        <v>22412.309442908503</v>
      </c>
      <c r="G70" s="104">
        <f t="shared" si="21"/>
        <v>5063837.1955307471</v>
      </c>
      <c r="H70" s="106">
        <f t="shared" si="36"/>
        <v>3200000</v>
      </c>
      <c r="I70" s="102">
        <f t="shared" si="37"/>
        <v>22412.309442908503</v>
      </c>
      <c r="J70" s="108">
        <f t="shared" si="28"/>
        <v>5063837.1955307471</v>
      </c>
      <c r="K70" s="100">
        <f t="shared" si="29"/>
        <v>0</v>
      </c>
      <c r="L70" s="100">
        <f t="shared" si="30"/>
        <v>0</v>
      </c>
      <c r="M70" s="111">
        <f t="shared" si="38"/>
        <v>0</v>
      </c>
      <c r="N70" s="112">
        <f t="shared" si="39"/>
        <v>0</v>
      </c>
      <c r="O70" s="142"/>
      <c r="P70" s="307"/>
    </row>
    <row r="71" spans="1:16" s="98" customFormat="1" x14ac:dyDescent="0.2">
      <c r="A71" s="405" t="s">
        <v>285</v>
      </c>
      <c r="B71" s="405" t="str">
        <f t="shared" si="33"/>
        <v>Total</v>
      </c>
      <c r="C71" s="36"/>
      <c r="D71" s="424">
        <f t="shared" ref="D71" si="40">E41</f>
        <v>68905663</v>
      </c>
      <c r="E71" s="408"/>
      <c r="F71" s="430">
        <f t="shared" si="35"/>
        <v>953336.99669552525</v>
      </c>
      <c r="G71" s="431">
        <f t="shared" si="21"/>
        <v>215396961.03338698</v>
      </c>
      <c r="H71" s="424">
        <f t="shared" si="36"/>
        <v>82486424</v>
      </c>
      <c r="I71" s="430">
        <f t="shared" si="37"/>
        <v>1115976.3737558471</v>
      </c>
      <c r="J71" s="431">
        <f t="shared" si="28"/>
        <v>252143701.88639608</v>
      </c>
      <c r="K71" s="424">
        <f t="shared" si="29"/>
        <v>13580761</v>
      </c>
      <c r="L71" s="424">
        <f t="shared" si="30"/>
        <v>36746740.853009105</v>
      </c>
      <c r="M71" s="432">
        <f t="shared" si="38"/>
        <v>0.19709208806248624</v>
      </c>
      <c r="N71" s="433">
        <f t="shared" si="39"/>
        <v>0.17060008960531844</v>
      </c>
      <c r="O71" s="142"/>
      <c r="P71" s="307"/>
    </row>
    <row r="72" spans="1:16" s="98" customFormat="1" x14ac:dyDescent="0.2">
      <c r="A72" s="411" t="s">
        <v>154</v>
      </c>
      <c r="B72" s="411" t="s">
        <v>99</v>
      </c>
      <c r="C72" s="412"/>
      <c r="D72" s="419">
        <f>SUM(D51:D59,D61:D70)</f>
        <v>107419239</v>
      </c>
      <c r="E72" s="420"/>
      <c r="F72" s="421">
        <f>SUM(F51:F59,F61:F70)</f>
        <v>2211019.9415132962</v>
      </c>
      <c r="G72" s="419">
        <f>SUM(G51:G59,G61:G70)</f>
        <v>499557845.58551407</v>
      </c>
      <c r="H72" s="419">
        <f>SUM(H51:H59,H61:H70)</f>
        <v>145000000</v>
      </c>
      <c r="I72" s="421">
        <f>SUM(I51:I59,I61:I70)</f>
        <v>2778013.5268334169</v>
      </c>
      <c r="J72" s="419">
        <f>SUM(J51:J59,J61:J70)</f>
        <v>627664376.25274229</v>
      </c>
      <c r="K72" s="419">
        <f t="shared" ref="K72" si="41">H72-D72</f>
        <v>37580761</v>
      </c>
      <c r="L72" s="419">
        <f t="shared" ref="L72" si="42">J72-G72</f>
        <v>128106530.66722822</v>
      </c>
      <c r="M72" s="422">
        <f t="shared" ref="M72" si="43">K72/D72</f>
        <v>0.34985130550031174</v>
      </c>
      <c r="N72" s="423">
        <f t="shared" ref="N72" si="44">L72/G72</f>
        <v>0.25643983334318188</v>
      </c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50"/>
      <c r="E74" s="255"/>
      <c r="F74" s="151"/>
      <c r="G74" s="113"/>
      <c r="H74" s="98"/>
      <c r="I74" s="94"/>
      <c r="J74" s="113"/>
      <c r="K74" s="98"/>
      <c r="L74" s="113"/>
      <c r="M74" s="117"/>
      <c r="N74" s="114"/>
    </row>
    <row r="75" spans="1:16" x14ac:dyDescent="0.2">
      <c r="D75" s="150"/>
      <c r="E75" s="255"/>
      <c r="F75" s="151"/>
      <c r="G75" s="113"/>
      <c r="H75" s="98"/>
      <c r="I75" s="94"/>
      <c r="J75" s="113"/>
      <c r="K75" s="98"/>
      <c r="L75" s="113"/>
      <c r="M75" s="117"/>
      <c r="N75" s="114"/>
    </row>
    <row r="76" spans="1:16" x14ac:dyDescent="0.2">
      <c r="D76" s="128"/>
      <c r="E76" s="256"/>
      <c r="F76" s="128"/>
      <c r="G76" s="98"/>
      <c r="H76" s="98"/>
      <c r="I76" s="98"/>
      <c r="J76" s="98"/>
      <c r="K76" s="98"/>
      <c r="L76" s="98"/>
      <c r="M76" s="98"/>
      <c r="N76" s="98"/>
    </row>
    <row r="77" spans="1:16" x14ac:dyDescent="0.2">
      <c r="D77" s="152"/>
      <c r="E77" s="256"/>
      <c r="F77" s="128"/>
      <c r="G77" s="98"/>
      <c r="H77" s="98"/>
      <c r="I77" s="98"/>
      <c r="J77" s="98"/>
      <c r="K77" s="98"/>
      <c r="L77" s="98"/>
      <c r="M77" s="98"/>
      <c r="N77" s="98"/>
    </row>
    <row r="78" spans="1:16" x14ac:dyDescent="0.2">
      <c r="D78" s="128"/>
      <c r="E78" s="256"/>
      <c r="F78" s="128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  <row r="82" spans="5:5" x14ac:dyDescent="0.2">
      <c r="E82" s="257"/>
    </row>
    <row r="83" spans="5:5" x14ac:dyDescent="0.2">
      <c r="E83" s="257"/>
    </row>
  </sheetData>
  <mergeCells count="21">
    <mergeCell ref="A49:A50"/>
    <mergeCell ref="B49:B50"/>
    <mergeCell ref="A47:A48"/>
    <mergeCell ref="A19:A20"/>
    <mergeCell ref="B19:B20"/>
    <mergeCell ref="H49:J49"/>
    <mergeCell ref="B4:I4"/>
    <mergeCell ref="E5:I5"/>
    <mergeCell ref="E6:I6"/>
    <mergeCell ref="K19:N19"/>
    <mergeCell ref="K49:N49"/>
    <mergeCell ref="J46:O46"/>
    <mergeCell ref="C19:C20"/>
    <mergeCell ref="D19:D20"/>
    <mergeCell ref="E19:F19"/>
    <mergeCell ref="G19:H19"/>
    <mergeCell ref="I19:J19"/>
    <mergeCell ref="D46:I46"/>
    <mergeCell ref="C49:C50"/>
    <mergeCell ref="D49:G49"/>
    <mergeCell ref="E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30:H30 K30:L30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88AF1C-A584-4D2E-8033-3FC9F3F77217}">
          <x14:formula1>
            <xm:f>Case_Constraints!$D$2:$G$2</xm:f>
          </x14:formula1>
          <xm:sqref>E8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201C6-567A-4949-BB03-D3250FB7E6E9}">
  <dimension ref="C2:G27"/>
  <sheetViews>
    <sheetView zoomScale="80" zoomScaleNormal="80" workbookViewId="0">
      <selection activeCell="E23" sqref="E23:F32"/>
    </sheetView>
  </sheetViews>
  <sheetFormatPr defaultRowHeight="15" x14ac:dyDescent="0.25"/>
  <cols>
    <col min="3" max="3" width="44.140625" bestFit="1" customWidth="1"/>
    <col min="4" max="7" width="16.5703125" bestFit="1" customWidth="1"/>
  </cols>
  <sheetData>
    <row r="2" spans="3:7" x14ac:dyDescent="0.25">
      <c r="C2" s="552" t="s">
        <v>3</v>
      </c>
      <c r="D2" s="552" t="s">
        <v>403</v>
      </c>
      <c r="E2" s="552" t="s">
        <v>404</v>
      </c>
      <c r="F2" s="552" t="s">
        <v>405</v>
      </c>
      <c r="G2" s="552" t="s">
        <v>406</v>
      </c>
    </row>
    <row r="3" spans="3:7" x14ac:dyDescent="0.25">
      <c r="C3" s="552" t="s">
        <v>348</v>
      </c>
      <c r="D3" s="487">
        <v>20000000</v>
      </c>
      <c r="E3" s="487">
        <v>24000000</v>
      </c>
      <c r="F3" s="487">
        <v>20000000</v>
      </c>
      <c r="G3" s="487">
        <v>24000000</v>
      </c>
    </row>
    <row r="4" spans="3:7" x14ac:dyDescent="0.25">
      <c r="C4" s="551" t="s">
        <v>349</v>
      </c>
      <c r="D4" s="576">
        <v>20000000</v>
      </c>
      <c r="E4" s="576">
        <v>16000000</v>
      </c>
      <c r="F4" s="576">
        <v>20000000</v>
      </c>
      <c r="G4" s="576">
        <v>16000000</v>
      </c>
    </row>
    <row r="5" spans="3:7" x14ac:dyDescent="0.25">
      <c r="C5" s="577" t="s">
        <v>407</v>
      </c>
      <c r="D5" s="573">
        <v>7500000</v>
      </c>
      <c r="E5" s="340">
        <v>7500000</v>
      </c>
      <c r="F5" s="340">
        <v>7500000</v>
      </c>
      <c r="G5" s="340">
        <v>7500000</v>
      </c>
    </row>
    <row r="6" spans="3:7" x14ac:dyDescent="0.25">
      <c r="C6" s="578" t="s">
        <v>408</v>
      </c>
      <c r="D6" s="574">
        <v>12000000</v>
      </c>
      <c r="E6" s="306">
        <v>12000000</v>
      </c>
      <c r="F6" s="306">
        <v>16000000</v>
      </c>
      <c r="G6" s="306">
        <v>16000000</v>
      </c>
    </row>
    <row r="7" spans="3:7" x14ac:dyDescent="0.25">
      <c r="C7" s="578" t="s">
        <v>409</v>
      </c>
      <c r="D7" s="574">
        <v>6500000</v>
      </c>
      <c r="E7" s="306">
        <v>6500000</v>
      </c>
      <c r="F7" s="306">
        <v>6500000</v>
      </c>
      <c r="G7" s="306">
        <v>6500000</v>
      </c>
    </row>
    <row r="8" spans="3:7" s="97" customFormat="1" x14ac:dyDescent="0.25">
      <c r="C8" s="578" t="s">
        <v>410</v>
      </c>
      <c r="D8" s="574">
        <v>3500000</v>
      </c>
      <c r="E8" s="306">
        <v>3500000</v>
      </c>
      <c r="F8" s="306">
        <v>3500000</v>
      </c>
      <c r="G8" s="306">
        <v>3500000</v>
      </c>
    </row>
    <row r="9" spans="3:7" s="97" customFormat="1" x14ac:dyDescent="0.25">
      <c r="C9" s="578" t="s">
        <v>411</v>
      </c>
      <c r="D9" s="574">
        <v>12070113</v>
      </c>
      <c r="E9" s="306">
        <v>12070113</v>
      </c>
      <c r="F9" s="306">
        <v>12070113</v>
      </c>
      <c r="G9" s="306">
        <v>12070113</v>
      </c>
    </row>
    <row r="10" spans="3:7" s="97" customFormat="1" x14ac:dyDescent="0.25">
      <c r="C10" s="578" t="s">
        <v>412</v>
      </c>
      <c r="D10" s="574">
        <v>7000000</v>
      </c>
      <c r="E10" s="306">
        <v>7000000</v>
      </c>
      <c r="F10" s="306">
        <v>7000000</v>
      </c>
      <c r="G10" s="306">
        <v>7000000</v>
      </c>
    </row>
    <row r="11" spans="3:7" s="97" customFormat="1" x14ac:dyDescent="0.25">
      <c r="C11" s="578" t="s">
        <v>413</v>
      </c>
      <c r="D11" s="574">
        <v>400000</v>
      </c>
      <c r="E11" s="306">
        <v>400000</v>
      </c>
      <c r="F11" s="306">
        <v>400000</v>
      </c>
      <c r="G11" s="306">
        <v>400000</v>
      </c>
    </row>
    <row r="12" spans="3:7" s="97" customFormat="1" x14ac:dyDescent="0.25">
      <c r="C12" s="578" t="s">
        <v>414</v>
      </c>
      <c r="D12" s="574">
        <f>4800000</f>
        <v>4800000</v>
      </c>
      <c r="E12" s="306">
        <f>4800000</f>
        <v>4800000</v>
      </c>
      <c r="F12" s="306">
        <f>4800000</f>
        <v>4800000</v>
      </c>
      <c r="G12" s="306">
        <f>4800000</f>
        <v>4800000</v>
      </c>
    </row>
    <row r="13" spans="3:7" s="97" customFormat="1" x14ac:dyDescent="0.25">
      <c r="C13" s="578" t="s">
        <v>415</v>
      </c>
      <c r="D13" s="575">
        <v>15700000</v>
      </c>
      <c r="E13" s="345">
        <v>15700000</v>
      </c>
      <c r="F13" s="345">
        <v>15700000</v>
      </c>
      <c r="G13" s="345">
        <v>15700000</v>
      </c>
    </row>
    <row r="14" spans="3:7" s="97" customFormat="1" x14ac:dyDescent="0.25">
      <c r="C14" s="577" t="s">
        <v>416</v>
      </c>
      <c r="D14" s="574">
        <v>6500000</v>
      </c>
      <c r="E14" s="306">
        <v>6500000</v>
      </c>
      <c r="F14" s="306">
        <v>6500000</v>
      </c>
      <c r="G14" s="306">
        <v>6500000</v>
      </c>
    </row>
    <row r="15" spans="3:7" s="97" customFormat="1" x14ac:dyDescent="0.25">
      <c r="C15" s="578" t="s">
        <v>417</v>
      </c>
      <c r="D15" s="574">
        <v>22050000</v>
      </c>
      <c r="E15" s="306">
        <v>22050000</v>
      </c>
      <c r="F15" s="306">
        <v>28000000</v>
      </c>
      <c r="G15" s="306">
        <v>28000000</v>
      </c>
    </row>
    <row r="16" spans="3:7" s="97" customFormat="1" x14ac:dyDescent="0.25">
      <c r="C16" s="578" t="s">
        <v>418</v>
      </c>
      <c r="D16" s="574">
        <v>7000000</v>
      </c>
      <c r="E16" s="306">
        <v>7000000</v>
      </c>
      <c r="F16" s="306">
        <v>7000000</v>
      </c>
      <c r="G16" s="306">
        <v>7000000</v>
      </c>
    </row>
    <row r="17" spans="3:7" s="97" customFormat="1" x14ac:dyDescent="0.25">
      <c r="C17" s="578" t="s">
        <v>419</v>
      </c>
      <c r="D17" s="574">
        <v>3500000</v>
      </c>
      <c r="E17" s="306">
        <v>3500000</v>
      </c>
      <c r="F17" s="306">
        <v>3500000</v>
      </c>
      <c r="G17" s="306">
        <v>3500000</v>
      </c>
    </row>
    <row r="18" spans="3:7" s="97" customFormat="1" x14ac:dyDescent="0.25">
      <c r="C18" s="578" t="s">
        <v>420</v>
      </c>
      <c r="D18" s="574">
        <v>27304858</v>
      </c>
      <c r="E18" s="306">
        <v>27304858</v>
      </c>
      <c r="F18" s="306">
        <v>27304858</v>
      </c>
      <c r="G18" s="306">
        <v>27304858</v>
      </c>
    </row>
    <row r="19" spans="3:7" x14ac:dyDescent="0.25">
      <c r="C19" s="578" t="s">
        <v>421</v>
      </c>
      <c r="D19" s="574">
        <v>5000000</v>
      </c>
      <c r="E19" s="306">
        <v>5000000</v>
      </c>
      <c r="F19" s="306">
        <v>5000000</v>
      </c>
      <c r="G19" s="306">
        <v>5000000</v>
      </c>
    </row>
    <row r="20" spans="3:7" x14ac:dyDescent="0.25">
      <c r="C20" s="578" t="s">
        <v>422</v>
      </c>
      <c r="D20" s="574">
        <v>200000</v>
      </c>
      <c r="E20" s="306">
        <v>200000</v>
      </c>
      <c r="F20" s="306">
        <v>200000</v>
      </c>
      <c r="G20" s="306">
        <v>200000</v>
      </c>
    </row>
    <row r="21" spans="3:7" s="97" customFormat="1" x14ac:dyDescent="0.25">
      <c r="C21" s="578" t="s">
        <v>423</v>
      </c>
      <c r="D21" s="574">
        <v>28089211</v>
      </c>
      <c r="E21" s="306">
        <v>28089211</v>
      </c>
      <c r="F21" s="306">
        <v>28089211</v>
      </c>
      <c r="G21" s="306">
        <v>28089211</v>
      </c>
    </row>
    <row r="22" spans="3:7" s="97" customFormat="1" x14ac:dyDescent="0.25">
      <c r="C22" s="578" t="s">
        <v>424</v>
      </c>
      <c r="D22" s="574">
        <f>2200000</f>
        <v>2200000</v>
      </c>
      <c r="E22" s="306">
        <f>2200000</f>
        <v>2200000</v>
      </c>
      <c r="F22" s="306">
        <f>2200000</f>
        <v>2200000</v>
      </c>
      <c r="G22" s="306">
        <f>2200000</f>
        <v>2200000</v>
      </c>
    </row>
    <row r="23" spans="3:7" s="97" customFormat="1" x14ac:dyDescent="0.25">
      <c r="C23" s="579" t="s">
        <v>425</v>
      </c>
      <c r="D23" s="575">
        <f>3200000</f>
        <v>3200000</v>
      </c>
      <c r="E23" s="345">
        <f>3200000</f>
        <v>3200000</v>
      </c>
      <c r="F23" s="345">
        <f>3200000</f>
        <v>3200000</v>
      </c>
      <c r="G23" s="345">
        <f>3200000</f>
        <v>3200000</v>
      </c>
    </row>
    <row r="24" spans="3:7" s="97" customFormat="1" x14ac:dyDescent="0.25"/>
    <row r="25" spans="3:7" s="97" customFormat="1" x14ac:dyDescent="0.25"/>
    <row r="26" spans="3:7" s="97" customFormat="1" x14ac:dyDescent="0.25"/>
    <row r="27" spans="3:7" s="97" customFormat="1" x14ac:dyDescent="0.25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55" t="s">
        <v>106</v>
      </c>
      <c r="C4" s="655"/>
      <c r="D4" s="655"/>
      <c r="E4" s="655"/>
      <c r="F4" s="656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57" t="s">
        <v>8</v>
      </c>
      <c r="B7" s="660" t="s">
        <v>9</v>
      </c>
      <c r="C7" s="661"/>
      <c r="D7" s="662" t="s">
        <v>12</v>
      </c>
      <c r="E7" s="663"/>
      <c r="F7" s="664"/>
      <c r="G7" s="660" t="s">
        <v>124</v>
      </c>
      <c r="H7" s="660"/>
      <c r="I7" s="665"/>
      <c r="J7" s="98" t="s">
        <v>125</v>
      </c>
    </row>
    <row r="8" spans="1:18" ht="28.15" customHeight="1" x14ac:dyDescent="0.2">
      <c r="A8" s="65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59"/>
      <c r="B9" s="95">
        <f>VAC_Optim_Scenario!G21</f>
        <v>1000000</v>
      </c>
      <c r="C9" s="95">
        <f>VAC_Optim_Scenario!H21</f>
        <v>7500000</v>
      </c>
      <c r="D9" s="68">
        <f>VAC_Optim_Scenario!I21</f>
        <v>1540173.2513926297</v>
      </c>
      <c r="E9" s="84">
        <f>((($R$12/(1+EXP($P$12+$Q$12*D9)))-1) - ($F$12-$C$12))*$I$12</f>
        <v>22249.492859058082</v>
      </c>
      <c r="F9" s="89">
        <f>E9*$G$12</f>
        <v>22249.492859058082</v>
      </c>
      <c r="G9" s="95">
        <f>VAC_Optim_Scenario!E21</f>
        <v>1000000</v>
      </c>
      <c r="H9" s="85">
        <f>((($R$12/(1+EXP($P$12+$Q$12*G9)))-1) - ($F$12-$C$12))*$I$12</f>
        <v>15970.197880234569</v>
      </c>
      <c r="I9" s="90">
        <f>H9*$G$12</f>
        <v>15970.197880234569</v>
      </c>
      <c r="J9" s="87">
        <f>G9/I9</f>
        <v>62.616631772461922</v>
      </c>
      <c r="K9" s="98" t="s">
        <v>180</v>
      </c>
    </row>
    <row r="10" spans="1:18" ht="13.5" thickBot="1" x14ac:dyDescent="0.25"/>
    <row r="11" spans="1:18" ht="51.6" customHeight="1" x14ac:dyDescent="0.2">
      <c r="A11" s="65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6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59"/>
      <c r="B12" s="95">
        <f>'[3]HCC Inoffice Curve'!$B$12</f>
        <v>1700000</v>
      </c>
      <c r="C12" s="153">
        <f>'[3]HCC Inoffice Curve'!$C$12</f>
        <v>23857.888119863572</v>
      </c>
      <c r="D12" s="153">
        <f>'[3]HCC Inoffice Curve'!$D$12</f>
        <v>0</v>
      </c>
      <c r="E12" s="153">
        <f>'[3]HCC Inoffice Curve'!$E$12</f>
        <v>47715.776239727144</v>
      </c>
      <c r="F12" s="153">
        <f>'[3]HCC Inoffice Curve'!$F$12</f>
        <v>8649234</v>
      </c>
      <c r="G12" s="155">
        <f>VAC_Optim_Scenario!$D$48</f>
        <v>1</v>
      </c>
      <c r="H12" s="71">
        <f>C12*G12</f>
        <v>23857.888119863572</v>
      </c>
      <c r="I12" s="115">
        <f>VAC_Optim_Scenario!D21</f>
        <v>1</v>
      </c>
      <c r="K12" s="667"/>
      <c r="L12" s="71">
        <f>F12-C12</f>
        <v>8625376.1118801367</v>
      </c>
      <c r="M12" s="71">
        <f>L12+E12</f>
        <v>8673091.8881198633</v>
      </c>
      <c r="N12" s="72">
        <f>B12</f>
        <v>1700000</v>
      </c>
      <c r="O12" s="71">
        <f>F12</f>
        <v>8649234</v>
      </c>
      <c r="P12" s="24">
        <f>LN((($M$12+1)/($L$12+1))-1)</f>
        <v>-5.1972018820696562</v>
      </c>
      <c r="Q12" s="73">
        <f>(LN((($M$12+1)/($O$12+1))-1)-$P$12)/$N$12</f>
        <v>-4.0935845482839045E-7</v>
      </c>
      <c r="R12" s="74">
        <f>M12+1</f>
        <v>8673092.8881198633</v>
      </c>
    </row>
    <row r="13" spans="1:18" ht="34.15" customHeight="1" x14ac:dyDescent="0.2">
      <c r="A13" s="668" t="s">
        <v>182</v>
      </c>
      <c r="B13" s="669"/>
      <c r="C13" s="669"/>
      <c r="D13" s="669"/>
      <c r="E13" s="669"/>
      <c r="F13" s="670"/>
      <c r="G13" s="119" t="s">
        <v>150</v>
      </c>
      <c r="H13" s="119" t="s">
        <v>151</v>
      </c>
      <c r="K13" s="668" t="s">
        <v>115</v>
      </c>
      <c r="L13" s="669"/>
      <c r="M13" s="669"/>
      <c r="N13" s="669"/>
      <c r="O13" s="669"/>
      <c r="P13" s="669"/>
      <c r="Q13" s="669"/>
      <c r="R13" s="670"/>
    </row>
    <row r="14" spans="1:18" ht="33.6" customHeight="1" thickBot="1" x14ac:dyDescent="0.25">
      <c r="A14" s="671"/>
      <c r="B14" s="672"/>
      <c r="C14" s="672"/>
      <c r="D14" s="672"/>
      <c r="E14" s="672"/>
      <c r="F14" s="673"/>
      <c r="G14" s="95">
        <f>VAC_Optim_Scenario!$I$48</f>
        <v>225.94</v>
      </c>
      <c r="H14" s="95">
        <f>VAC_Optim_Scenario!$F$48</f>
        <v>225.94</v>
      </c>
      <c r="K14" s="671"/>
      <c r="L14" s="672"/>
      <c r="M14" s="672"/>
      <c r="N14" s="672"/>
      <c r="O14" s="672"/>
      <c r="P14" s="672"/>
      <c r="Q14" s="672"/>
      <c r="R14" s="673"/>
    </row>
    <row r="16" spans="1:18" ht="13.5" thickBot="1" x14ac:dyDescent="0.25"/>
    <row r="17" spans="1:8" ht="42.6" customHeight="1" x14ac:dyDescent="0.2">
      <c r="A17" s="66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67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3731.9067859649658</v>
      </c>
      <c r="C23" s="79">
        <f t="shared" ref="C23:C42" si="1">B23*$G$12</f>
        <v>3731.9067859649658</v>
      </c>
      <c r="D23" s="98">
        <f>(B23-B22)/A23</f>
        <v>1.8659533929824831E-2</v>
      </c>
      <c r="E23" s="116">
        <f t="shared" ref="E23:E42" si="2">B23*$H$14</f>
        <v>843187.01922092435</v>
      </c>
    </row>
    <row r="24" spans="1:8" x14ac:dyDescent="0.2">
      <c r="A24" s="86">
        <f t="shared" ref="A24:A42" si="3">A23+(($C$18-$B$18)/$D$18)</f>
        <v>400000</v>
      </c>
      <c r="B24" s="79">
        <f t="shared" si="0"/>
        <v>7173.3086972367018</v>
      </c>
      <c r="C24" s="79">
        <f t="shared" si="1"/>
        <v>7173.3086972367018</v>
      </c>
      <c r="D24" s="98">
        <f t="shared" ref="D24:D42" si="4">(B24-B23)/A24</f>
        <v>8.6035047781793401E-3</v>
      </c>
      <c r="E24" s="116">
        <f t="shared" si="2"/>
        <v>1620737.3670536603</v>
      </c>
    </row>
    <row r="25" spans="1:8" x14ac:dyDescent="0.2">
      <c r="A25" s="86">
        <f t="shared" si="3"/>
        <v>600000</v>
      </c>
      <c r="B25" s="79">
        <f t="shared" si="0"/>
        <v>10346.61325889267</v>
      </c>
      <c r="C25" s="79">
        <f t="shared" si="1"/>
        <v>10346.61325889267</v>
      </c>
      <c r="D25" s="98">
        <f t="shared" si="4"/>
        <v>5.2888409360932805E-3</v>
      </c>
      <c r="E25" s="116">
        <f t="shared" si="2"/>
        <v>2337713.79971421</v>
      </c>
    </row>
    <row r="26" spans="1:8" x14ac:dyDescent="0.2">
      <c r="A26" s="86">
        <f t="shared" si="3"/>
        <v>800000</v>
      </c>
      <c r="B26" s="79">
        <f t="shared" si="0"/>
        <v>13272.530711770058</v>
      </c>
      <c r="C26" s="79">
        <f t="shared" si="1"/>
        <v>13272.530711770058</v>
      </c>
      <c r="D26" s="98">
        <f t="shared" si="4"/>
        <v>3.6573968160967343E-3</v>
      </c>
      <c r="E26" s="116">
        <f t="shared" si="2"/>
        <v>2998795.5890173269</v>
      </c>
    </row>
    <row r="27" spans="1:8" x14ac:dyDescent="0.2">
      <c r="A27" s="86">
        <f t="shared" si="3"/>
        <v>1000000</v>
      </c>
      <c r="B27" s="79">
        <f t="shared" si="0"/>
        <v>15970.197880234569</v>
      </c>
      <c r="C27" s="79">
        <f t="shared" si="1"/>
        <v>15970.197880234569</v>
      </c>
      <c r="D27" s="98">
        <f t="shared" si="4"/>
        <v>2.6976671684645118E-3</v>
      </c>
      <c r="E27" s="116">
        <f t="shared" si="2"/>
        <v>3608306.5090601984</v>
      </c>
    </row>
    <row r="28" spans="1:8" x14ac:dyDescent="0.2">
      <c r="A28" s="86">
        <f t="shared" si="3"/>
        <v>1200000</v>
      </c>
      <c r="B28" s="79">
        <f t="shared" si="0"/>
        <v>18457.293716503307</v>
      </c>
      <c r="C28" s="79">
        <f t="shared" si="1"/>
        <v>18457.293716503307</v>
      </c>
      <c r="D28" s="98">
        <f t="shared" si="4"/>
        <v>2.0725798635572814E-3</v>
      </c>
      <c r="E28" s="116">
        <f t="shared" si="2"/>
        <v>4170240.942306757</v>
      </c>
    </row>
    <row r="29" spans="1:8" x14ac:dyDescent="0.2">
      <c r="A29" s="86">
        <f t="shared" si="3"/>
        <v>1400000</v>
      </c>
      <c r="B29" s="79">
        <f t="shared" si="0"/>
        <v>20750.14696871303</v>
      </c>
      <c r="C29" s="79">
        <f t="shared" si="1"/>
        <v>20750.14696871303</v>
      </c>
      <c r="D29" s="98">
        <f t="shared" si="4"/>
        <v>1.6377523230069449E-3</v>
      </c>
      <c r="E29" s="116">
        <f t="shared" si="2"/>
        <v>4688288.2061110223</v>
      </c>
    </row>
    <row r="30" spans="1:8" x14ac:dyDescent="0.2">
      <c r="A30" s="86">
        <f t="shared" si="3"/>
        <v>1600000</v>
      </c>
      <c r="B30" s="79">
        <f t="shared" si="0"/>
        <v>22863.836414532736</v>
      </c>
      <c r="C30" s="79">
        <f t="shared" si="1"/>
        <v>22863.836414532736</v>
      </c>
      <c r="D30" s="98">
        <f t="shared" si="4"/>
        <v>1.321055903637316E-3</v>
      </c>
      <c r="E30" s="116">
        <f t="shared" si="2"/>
        <v>5165855.1994995261</v>
      </c>
    </row>
    <row r="31" spans="1:8" x14ac:dyDescent="0.2">
      <c r="A31" s="86">
        <f t="shared" si="3"/>
        <v>1800000</v>
      </c>
      <c r="B31" s="79">
        <f t="shared" si="0"/>
        <v>24812.284093238413</v>
      </c>
      <c r="C31" s="79">
        <f t="shared" si="1"/>
        <v>24812.284093238413</v>
      </c>
      <c r="D31" s="98">
        <f t="shared" si="4"/>
        <v>1.0824709326142652E-3</v>
      </c>
      <c r="E31" s="116">
        <f t="shared" si="2"/>
        <v>5606087.4680262869</v>
      </c>
    </row>
    <row r="32" spans="1:8" x14ac:dyDescent="0.2">
      <c r="A32" s="86">
        <f t="shared" si="3"/>
        <v>2000000</v>
      </c>
      <c r="B32" s="79">
        <f t="shared" si="0"/>
        <v>26608.341957086697</v>
      </c>
      <c r="C32" s="79">
        <f t="shared" si="1"/>
        <v>26608.341957086697</v>
      </c>
      <c r="D32" s="98">
        <f t="shared" si="4"/>
        <v>8.9802893192414196E-4</v>
      </c>
      <c r="E32" s="116">
        <f t="shared" si="2"/>
        <v>6011888.7817841684</v>
      </c>
    </row>
    <row r="33" spans="1:5" x14ac:dyDescent="0.2">
      <c r="A33" s="86">
        <f t="shared" si="3"/>
        <v>2200000</v>
      </c>
      <c r="B33" s="79">
        <f t="shared" si="0"/>
        <v>28263.872348684818</v>
      </c>
      <c r="C33" s="79">
        <f t="shared" si="1"/>
        <v>28263.872348684818</v>
      </c>
      <c r="D33" s="98">
        <f t="shared" si="4"/>
        <v>7.5251381436278197E-4</v>
      </c>
      <c r="E33" s="116">
        <f t="shared" si="2"/>
        <v>6385939.3184618475</v>
      </c>
    </row>
    <row r="34" spans="1:5" x14ac:dyDescent="0.2">
      <c r="A34" s="86">
        <f>A33+(($C$18-$B$18)/$D$18)</f>
        <v>2400000</v>
      </c>
      <c r="B34" s="79">
        <f t="shared" si="0"/>
        <v>29789.822695303708</v>
      </c>
      <c r="C34" s="79">
        <f t="shared" si="1"/>
        <v>29789.822695303708</v>
      </c>
      <c r="D34" s="98">
        <f t="shared" si="4"/>
        <v>6.3581264442453785E-4</v>
      </c>
      <c r="E34" s="116">
        <f t="shared" si="2"/>
        <v>6730712.5397769194</v>
      </c>
    </row>
    <row r="35" spans="1:5" x14ac:dyDescent="0.2">
      <c r="A35" s="86">
        <f t="shared" si="3"/>
        <v>2600000</v>
      </c>
      <c r="B35" s="79">
        <f t="shared" si="0"/>
        <v>31196.294794134796</v>
      </c>
      <c r="C35" s="79">
        <f t="shared" si="1"/>
        <v>31196.294794134796</v>
      </c>
      <c r="D35" s="98">
        <f t="shared" si="4"/>
        <v>5.409508072427259E-4</v>
      </c>
      <c r="E35" s="116">
        <f t="shared" si="2"/>
        <v>7048490.8457868155</v>
      </c>
    </row>
    <row r="36" spans="1:5" x14ac:dyDescent="0.2">
      <c r="A36" s="86">
        <f t="shared" si="3"/>
        <v>2800000</v>
      </c>
      <c r="B36" s="79">
        <f t="shared" si="0"/>
        <v>32492.609044991434</v>
      </c>
      <c r="C36" s="79">
        <f t="shared" si="1"/>
        <v>32492.609044991434</v>
      </c>
      <c r="D36" s="98">
        <f t="shared" si="4"/>
        <v>4.6296937530594212E-4</v>
      </c>
      <c r="E36" s="116">
        <f t="shared" si="2"/>
        <v>7341380.0876253648</v>
      </c>
    </row>
    <row r="37" spans="1:5" x14ac:dyDescent="0.2">
      <c r="A37" s="86">
        <f t="shared" si="3"/>
        <v>3000000</v>
      </c>
      <c r="B37" s="79">
        <f t="shared" si="0"/>
        <v>33687.363969050348</v>
      </c>
      <c r="C37" s="79">
        <f t="shared" si="1"/>
        <v>33687.363969050348</v>
      </c>
      <c r="D37" s="98">
        <f t="shared" si="4"/>
        <v>3.982516413529714E-4</v>
      </c>
      <c r="E37" s="116">
        <f t="shared" si="2"/>
        <v>7611323.0151672354</v>
      </c>
    </row>
    <row r="38" spans="1:5" x14ac:dyDescent="0.2">
      <c r="A38" s="86">
        <f t="shared" si="3"/>
        <v>3200000</v>
      </c>
      <c r="B38" s="79">
        <f t="shared" si="0"/>
        <v>34788.491334240884</v>
      </c>
      <c r="C38" s="79">
        <f t="shared" si="1"/>
        <v>34788.491334240884</v>
      </c>
      <c r="D38" s="98">
        <f t="shared" si="4"/>
        <v>3.4410230162204244E-4</v>
      </c>
      <c r="E38" s="116">
        <f t="shared" si="2"/>
        <v>7860111.7320583854</v>
      </c>
    </row>
    <row r="39" spans="1:5" x14ac:dyDescent="0.2">
      <c r="A39" s="86">
        <f t="shared" si="3"/>
        <v>3400000</v>
      </c>
      <c r="B39" s="79">
        <f t="shared" si="0"/>
        <v>35803.30719011277</v>
      </c>
      <c r="C39" s="79">
        <f t="shared" si="1"/>
        <v>35803.30719011277</v>
      </c>
      <c r="D39" s="98">
        <f t="shared" si="4"/>
        <v>2.9847525172702532E-4</v>
      </c>
      <c r="E39" s="116">
        <f t="shared" si="2"/>
        <v>8089399.2265340788</v>
      </c>
    </row>
    <row r="40" spans="1:5" x14ac:dyDescent="0.2">
      <c r="A40" s="86">
        <f t="shared" si="3"/>
        <v>3600000</v>
      </c>
      <c r="B40" s="79">
        <f t="shared" si="0"/>
        <v>36738.559097478166</v>
      </c>
      <c r="C40" s="79">
        <f t="shared" si="1"/>
        <v>36738.559097478166</v>
      </c>
      <c r="D40" s="98">
        <f t="shared" si="4"/>
        <v>2.5979219649038793E-4</v>
      </c>
      <c r="E40" s="116">
        <f t="shared" si="2"/>
        <v>8300710.0424842164</v>
      </c>
    </row>
    <row r="41" spans="1:5" x14ac:dyDescent="0.2">
      <c r="A41" s="86">
        <f>A40+(($C$18-$B$18)/$D$18)</f>
        <v>3800000</v>
      </c>
      <c r="B41" s="79">
        <f t="shared" si="0"/>
        <v>37600.469821108505</v>
      </c>
      <c r="C41" s="79">
        <f t="shared" si="1"/>
        <v>37600.469821108505</v>
      </c>
      <c r="D41" s="98">
        <f t="shared" si="4"/>
        <v>2.2681861148166814E-4</v>
      </c>
      <c r="E41" s="116">
        <f t="shared" si="2"/>
        <v>8495450.1513812561</v>
      </c>
    </row>
    <row r="42" spans="1:5" x14ac:dyDescent="0.2">
      <c r="A42" s="86">
        <f t="shared" si="3"/>
        <v>4000000</v>
      </c>
      <c r="B42" s="79">
        <f t="shared" si="0"/>
        <v>38394.777737218887</v>
      </c>
      <c r="C42" s="79">
        <f t="shared" si="1"/>
        <v>38394.777737218887</v>
      </c>
      <c r="D42" s="98">
        <f t="shared" si="4"/>
        <v>1.9857697902759538E-4</v>
      </c>
      <c r="E42" s="116">
        <f t="shared" si="2"/>
        <v>8674916.0819472354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D9" sqref="D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2" t="s">
        <v>102</v>
      </c>
      <c r="I2" s="333"/>
      <c r="J2" s="333"/>
      <c r="K2" s="333"/>
      <c r="L2" s="334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55" t="s">
        <v>106</v>
      </c>
      <c r="C4" s="655"/>
      <c r="D4" s="655"/>
      <c r="E4" s="655"/>
      <c r="F4" s="656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57" t="s">
        <v>8</v>
      </c>
      <c r="B7" s="660" t="s">
        <v>9</v>
      </c>
      <c r="C7" s="661"/>
      <c r="D7" s="662" t="s">
        <v>12</v>
      </c>
      <c r="E7" s="663"/>
      <c r="F7" s="664"/>
      <c r="G7" s="660" t="s">
        <v>124</v>
      </c>
      <c r="H7" s="660"/>
      <c r="I7" s="665"/>
      <c r="J7" s="98" t="s">
        <v>125</v>
      </c>
    </row>
    <row r="8" spans="1:18" ht="28.35" customHeight="1" x14ac:dyDescent="0.2">
      <c r="A8" s="658"/>
      <c r="B8" s="331" t="s">
        <v>10</v>
      </c>
      <c r="C8" s="17" t="s">
        <v>11</v>
      </c>
      <c r="D8" s="19" t="s">
        <v>20</v>
      </c>
      <c r="E8" s="331" t="s">
        <v>21</v>
      </c>
      <c r="F8" s="81" t="s">
        <v>117</v>
      </c>
      <c r="G8" s="335" t="s">
        <v>22</v>
      </c>
      <c r="H8" s="331" t="s">
        <v>23</v>
      </c>
      <c r="I8" s="88" t="s">
        <v>123</v>
      </c>
    </row>
    <row r="9" spans="1:18" ht="14.45" customHeight="1" thickBot="1" x14ac:dyDescent="0.25">
      <c r="A9" s="659"/>
      <c r="B9" s="95">
        <f>VAC_Optim_Scenario!G31</f>
        <v>900000</v>
      </c>
      <c r="C9" s="95">
        <f>VAC_Optim_Scenario!H31</f>
        <v>6500000</v>
      </c>
      <c r="D9" s="68">
        <f>VAC_Optim_Scenario!I31</f>
        <v>900000</v>
      </c>
      <c r="E9" s="84">
        <f>((($R$12/(1+EXP($P$12+$Q$12*D9)))-1) - ($F$12-$C$12))*$I$12</f>
        <v>4003.0596247408539</v>
      </c>
      <c r="F9" s="89">
        <f>E9*$G$12</f>
        <v>4003.0596247408539</v>
      </c>
      <c r="G9" s="95">
        <f>VAC_Optim_Scenario!E31</f>
        <v>1000000</v>
      </c>
      <c r="H9" s="85">
        <f>((($R$12/(1+EXP($P$12+$Q$12*G9)))-1) - ($F$12-$C$12))*$I$12</f>
        <v>4323.5214887261391</v>
      </c>
      <c r="I9" s="90">
        <f>H9*$G$12</f>
        <v>4323.5214887261391</v>
      </c>
      <c r="J9" s="87">
        <f>G9/I9</f>
        <v>231.29294086026042</v>
      </c>
      <c r="K9" s="98" t="s">
        <v>180</v>
      </c>
    </row>
    <row r="10" spans="1:18" ht="13.5" thickBot="1" x14ac:dyDescent="0.25"/>
    <row r="11" spans="1:18" ht="51.6" customHeight="1" x14ac:dyDescent="0.2">
      <c r="A11" s="657" t="s">
        <v>15</v>
      </c>
      <c r="B11" s="337" t="s">
        <v>16</v>
      </c>
      <c r="C11" s="337" t="s">
        <v>17</v>
      </c>
      <c r="D11" s="337" t="s">
        <v>18</v>
      </c>
      <c r="E11" s="337" t="s">
        <v>19</v>
      </c>
      <c r="F11" s="338" t="s">
        <v>109</v>
      </c>
      <c r="G11" s="336" t="s">
        <v>181</v>
      </c>
      <c r="H11" s="337" t="s">
        <v>119</v>
      </c>
      <c r="I11" s="92" t="s">
        <v>122</v>
      </c>
      <c r="K11" s="666" t="s">
        <v>25</v>
      </c>
      <c r="L11" s="337" t="s">
        <v>110</v>
      </c>
      <c r="M11" s="337" t="s">
        <v>111</v>
      </c>
      <c r="N11" s="337" t="s">
        <v>112</v>
      </c>
      <c r="O11" s="337" t="s">
        <v>113</v>
      </c>
      <c r="P11" s="337" t="s">
        <v>26</v>
      </c>
      <c r="Q11" s="337" t="s">
        <v>27</v>
      </c>
      <c r="R11" s="338" t="s">
        <v>28</v>
      </c>
    </row>
    <row r="12" spans="1:18" ht="15" customHeight="1" thickBot="1" x14ac:dyDescent="0.25">
      <c r="A12" s="659"/>
      <c r="B12" s="348">
        <f>'[5]HCC Inoffice Curve'!$B$12</f>
        <v>1100000</v>
      </c>
      <c r="C12" s="348">
        <f>'[5]HCC Inoffice Curve'!$C$12</f>
        <v>4624.4260378861645</v>
      </c>
      <c r="D12" s="348">
        <f>'[5]HCC Inoffice Curve'!$D$12</f>
        <v>0</v>
      </c>
      <c r="E12" s="348">
        <f>'[5]HCC Inoffice Curve'!$E$12</f>
        <v>9248.852075772329</v>
      </c>
      <c r="F12" s="348">
        <f>'[5]HCC Inoffice Curve'!$F$12</f>
        <v>4647854</v>
      </c>
      <c r="G12" s="354">
        <f>VAC_Optim_Scenario!$D$48</f>
        <v>1</v>
      </c>
      <c r="H12" s="71">
        <f>C12*G12</f>
        <v>4624.4260378861645</v>
      </c>
      <c r="I12" s="350">
        <f>VAC_Optim_Scenario!D31</f>
        <v>1</v>
      </c>
      <c r="K12" s="667"/>
      <c r="L12" s="71">
        <f>F12-C12</f>
        <v>4643229.5739621138</v>
      </c>
      <c r="M12" s="71">
        <f>L12+E12</f>
        <v>4652478.4260378862</v>
      </c>
      <c r="N12" s="72">
        <f>B12</f>
        <v>1100000</v>
      </c>
      <c r="O12" s="71">
        <f>F12</f>
        <v>4647854</v>
      </c>
      <c r="P12" s="24">
        <f>LN((($M$12+1)/($L$12+1))-1)</f>
        <v>-6.2186662034361841</v>
      </c>
      <c r="Q12" s="24">
        <f>(LN((($M$12+1)/($O$12+1))-1)-$P$12)/$N$12</f>
        <v>-6.3103875913506805E-7</v>
      </c>
      <c r="R12" s="74">
        <f>M12+1</f>
        <v>4652479.4260378862</v>
      </c>
    </row>
    <row r="13" spans="1:18" ht="34.35" customHeight="1" x14ac:dyDescent="0.2">
      <c r="A13" s="668" t="s">
        <v>182</v>
      </c>
      <c r="B13" s="669"/>
      <c r="C13" s="669"/>
      <c r="D13" s="669"/>
      <c r="E13" s="669"/>
      <c r="F13" s="670"/>
      <c r="G13" s="331" t="s">
        <v>150</v>
      </c>
      <c r="H13" s="331" t="s">
        <v>151</v>
      </c>
      <c r="K13" s="668" t="s">
        <v>115</v>
      </c>
      <c r="L13" s="669"/>
      <c r="M13" s="669"/>
      <c r="N13" s="669"/>
      <c r="O13" s="669"/>
      <c r="P13" s="669"/>
      <c r="Q13" s="669"/>
      <c r="R13" s="670"/>
    </row>
    <row r="14" spans="1:18" ht="33.6" customHeight="1" thickBot="1" x14ac:dyDescent="0.25">
      <c r="A14" s="671"/>
      <c r="B14" s="672"/>
      <c r="C14" s="672"/>
      <c r="D14" s="672"/>
      <c r="E14" s="672"/>
      <c r="F14" s="673"/>
      <c r="G14" s="95">
        <f>VAC_Optim_Scenario!$I$48</f>
        <v>225.94</v>
      </c>
      <c r="H14" s="95">
        <f>VAC_Optim_Scenario!$F$48</f>
        <v>225.94</v>
      </c>
      <c r="K14" s="671"/>
      <c r="L14" s="672"/>
      <c r="M14" s="672"/>
      <c r="N14" s="672"/>
      <c r="O14" s="672"/>
      <c r="P14" s="672"/>
      <c r="Q14" s="672"/>
      <c r="R14" s="673"/>
    </row>
    <row r="16" spans="1:18" ht="13.5" thickBot="1" x14ac:dyDescent="0.25"/>
    <row r="17" spans="1:8" ht="42.6" customHeight="1" x14ac:dyDescent="0.2">
      <c r="A17" s="666" t="s">
        <v>34</v>
      </c>
      <c r="B17" s="337" t="s">
        <v>32</v>
      </c>
      <c r="C17" s="337" t="s">
        <v>31</v>
      </c>
      <c r="D17" s="338" t="s">
        <v>33</v>
      </c>
      <c r="F17" s="96"/>
      <c r="G17" s="96"/>
      <c r="H17" s="351"/>
    </row>
    <row r="18" spans="1:8" ht="23.45" customHeight="1" thickBot="1" x14ac:dyDescent="0.25">
      <c r="A18" s="667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31" t="s">
        <v>35</v>
      </c>
      <c r="B21" s="331" t="s">
        <v>183</v>
      </c>
      <c r="C21" s="331" t="s">
        <v>184</v>
      </c>
      <c r="D21" s="98" t="s">
        <v>185</v>
      </c>
      <c r="E21" s="33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1094.6985983606428</v>
      </c>
      <c r="C23" s="79">
        <f t="shared" ref="C23:C42" si="1">B23*$G$12</f>
        <v>1094.6985983606428</v>
      </c>
      <c r="D23" s="98">
        <f>(B23-B22)/A23</f>
        <v>5.4734929918032141E-3</v>
      </c>
      <c r="E23" s="116">
        <f t="shared" ref="E23:E42" si="2">B23*$H$14</f>
        <v>247336.20131360364</v>
      </c>
    </row>
    <row r="24" spans="1:8" x14ac:dyDescent="0.2">
      <c r="A24" s="86">
        <f t="shared" ref="A24:A42" si="3">A23+(($C$18-$B$18)/$D$18)</f>
        <v>400000</v>
      </c>
      <c r="B24" s="79">
        <f t="shared" si="0"/>
        <v>2060.028745601885</v>
      </c>
      <c r="C24" s="79">
        <f t="shared" si="1"/>
        <v>2060.028745601885</v>
      </c>
      <c r="D24" s="98">
        <f t="shared" ref="D24:D42" si="4">(B24-B23)/A24</f>
        <v>2.4133253681031057E-3</v>
      </c>
      <c r="E24" s="116">
        <f t="shared" si="2"/>
        <v>465442.89478128991</v>
      </c>
    </row>
    <row r="25" spans="1:8" x14ac:dyDescent="0.2">
      <c r="A25" s="86">
        <f t="shared" si="3"/>
        <v>600000</v>
      </c>
      <c r="B25" s="79">
        <f t="shared" si="0"/>
        <v>2911.2341486681253</v>
      </c>
      <c r="C25" s="79">
        <f t="shared" si="1"/>
        <v>2911.2341486681253</v>
      </c>
      <c r="D25" s="98">
        <f t="shared" si="4"/>
        <v>1.418675671777067E-3</v>
      </c>
      <c r="E25" s="116">
        <f t="shared" si="2"/>
        <v>657764.24355007627</v>
      </c>
    </row>
    <row r="26" spans="1:8" x14ac:dyDescent="0.2">
      <c r="A26" s="86">
        <f t="shared" si="3"/>
        <v>800000</v>
      </c>
      <c r="B26" s="79">
        <f t="shared" si="0"/>
        <v>3661.7722855526954</v>
      </c>
      <c r="C26" s="79">
        <f t="shared" si="1"/>
        <v>3661.7722855526954</v>
      </c>
      <c r="D26" s="98">
        <f t="shared" si="4"/>
        <v>9.381726711057127E-4</v>
      </c>
      <c r="E26" s="116">
        <f t="shared" si="2"/>
        <v>827340.83019777597</v>
      </c>
    </row>
    <row r="27" spans="1:8" x14ac:dyDescent="0.2">
      <c r="A27" s="86">
        <f t="shared" si="3"/>
        <v>1000000</v>
      </c>
      <c r="B27" s="79">
        <f t="shared" si="0"/>
        <v>4323.5214887261391</v>
      </c>
      <c r="C27" s="79">
        <f t="shared" si="1"/>
        <v>4323.5214887261391</v>
      </c>
      <c r="D27" s="98">
        <f t="shared" si="4"/>
        <v>6.6174920317344367E-4</v>
      </c>
      <c r="E27" s="116">
        <f t="shared" si="2"/>
        <v>976856.44516278384</v>
      </c>
    </row>
    <row r="28" spans="1:8" x14ac:dyDescent="0.2">
      <c r="A28" s="86">
        <f t="shared" si="3"/>
        <v>1200000</v>
      </c>
      <c r="B28" s="79">
        <f t="shared" si="0"/>
        <v>4906.9645185051486</v>
      </c>
      <c r="C28" s="79">
        <f t="shared" si="1"/>
        <v>4906.9645185051486</v>
      </c>
      <c r="D28" s="98">
        <f t="shared" si="4"/>
        <v>4.8620252481584126E-4</v>
      </c>
      <c r="E28" s="116">
        <f t="shared" si="2"/>
        <v>1108679.5633110532</v>
      </c>
    </row>
    <row r="29" spans="1:8" x14ac:dyDescent="0.2">
      <c r="A29" s="86">
        <f t="shared" si="3"/>
        <v>1400000</v>
      </c>
      <c r="B29" s="79">
        <f t="shared" si="0"/>
        <v>5421.3511831834912</v>
      </c>
      <c r="C29" s="79">
        <f t="shared" si="1"/>
        <v>5421.3511831834912</v>
      </c>
      <c r="D29" s="98">
        <f t="shared" si="4"/>
        <v>3.6741904619881616E-4</v>
      </c>
      <c r="E29" s="116">
        <f t="shared" si="2"/>
        <v>1224900.0863284781</v>
      </c>
    </row>
    <row r="30" spans="1:8" x14ac:dyDescent="0.2">
      <c r="A30" s="86">
        <f t="shared" si="3"/>
        <v>1600000</v>
      </c>
      <c r="B30" s="79">
        <f t="shared" si="0"/>
        <v>5874.8423103904352</v>
      </c>
      <c r="C30" s="79">
        <f t="shared" si="1"/>
        <v>5874.8423103904352</v>
      </c>
      <c r="D30" s="98">
        <f t="shared" si="4"/>
        <v>2.8343195450433994E-4</v>
      </c>
      <c r="E30" s="116">
        <f t="shared" si="2"/>
        <v>1327361.8716096149</v>
      </c>
    </row>
    <row r="31" spans="1:8" x14ac:dyDescent="0.2">
      <c r="A31" s="86">
        <f t="shared" si="3"/>
        <v>1800000</v>
      </c>
      <c r="B31" s="79">
        <f t="shared" si="0"/>
        <v>6274.6371406298131</v>
      </c>
      <c r="C31" s="79">
        <f t="shared" si="1"/>
        <v>6274.6371406298131</v>
      </c>
      <c r="D31" s="98">
        <f t="shared" si="4"/>
        <v>2.2210823902187661E-4</v>
      </c>
      <c r="E31" s="116">
        <f t="shared" si="2"/>
        <v>1417691.5155539</v>
      </c>
    </row>
    <row r="32" spans="1:8" x14ac:dyDescent="0.2">
      <c r="A32" s="86">
        <f t="shared" si="3"/>
        <v>2000000</v>
      </c>
      <c r="B32" s="79">
        <f t="shared" si="0"/>
        <v>6627.0859993798658</v>
      </c>
      <c r="C32" s="79">
        <f t="shared" si="1"/>
        <v>6627.0859993798658</v>
      </c>
      <c r="D32" s="98">
        <f t="shared" si="4"/>
        <v>1.7622442937502636E-4</v>
      </c>
      <c r="E32" s="116">
        <f t="shared" si="2"/>
        <v>1497323.8106998869</v>
      </c>
    </row>
    <row r="33" spans="1:5" x14ac:dyDescent="0.2">
      <c r="A33" s="86">
        <f t="shared" si="3"/>
        <v>2200000</v>
      </c>
      <c r="B33" s="79">
        <f t="shared" si="0"/>
        <v>6937.7899081483483</v>
      </c>
      <c r="C33" s="79">
        <f t="shared" si="1"/>
        <v>6937.7899081483483</v>
      </c>
      <c r="D33" s="98">
        <f t="shared" si="4"/>
        <v>1.4122904944021932E-4</v>
      </c>
      <c r="E33" s="116">
        <f t="shared" si="2"/>
        <v>1567524.2518470378</v>
      </c>
    </row>
    <row r="34" spans="1:5" x14ac:dyDescent="0.2">
      <c r="A34" s="86">
        <f>A33+(($C$18-$B$18)/$D$18)</f>
        <v>2400000</v>
      </c>
      <c r="B34" s="79">
        <f t="shared" si="0"/>
        <v>7211.6886169007048</v>
      </c>
      <c r="C34" s="79">
        <f t="shared" si="1"/>
        <v>7211.6886169007048</v>
      </c>
      <c r="D34" s="98">
        <f t="shared" si="4"/>
        <v>1.1412446198014853E-4</v>
      </c>
      <c r="E34" s="116">
        <f t="shared" si="2"/>
        <v>1629408.9261025451</v>
      </c>
    </row>
    <row r="35" spans="1:5" x14ac:dyDescent="0.2">
      <c r="A35" s="86">
        <f t="shared" si="3"/>
        <v>2600000</v>
      </c>
      <c r="B35" s="79">
        <f t="shared" si="0"/>
        <v>7453.138379140757</v>
      </c>
      <c r="C35" s="79">
        <f t="shared" si="1"/>
        <v>7453.138379140757</v>
      </c>
      <c r="D35" s="98">
        <f t="shared" si="4"/>
        <v>9.2865293169250852E-5</v>
      </c>
      <c r="E35" s="116">
        <f t="shared" si="2"/>
        <v>1683962.0853830627</v>
      </c>
    </row>
    <row r="36" spans="1:5" x14ac:dyDescent="0.2">
      <c r="A36" s="86">
        <f t="shared" si="3"/>
        <v>2800000</v>
      </c>
      <c r="B36" s="79">
        <f t="shared" si="0"/>
        <v>7665.9806457282975</v>
      </c>
      <c r="C36" s="79">
        <f t="shared" si="1"/>
        <v>7665.9806457282975</v>
      </c>
      <c r="D36" s="98">
        <f t="shared" si="4"/>
        <v>7.6015095209835902E-5</v>
      </c>
      <c r="E36" s="116">
        <f t="shared" si="2"/>
        <v>1732051.6670958516</v>
      </c>
    </row>
    <row r="37" spans="1:5" x14ac:dyDescent="0.2">
      <c r="A37" s="86">
        <f t="shared" si="3"/>
        <v>3000000</v>
      </c>
      <c r="B37" s="79">
        <f t="shared" si="0"/>
        <v>7853.602722954005</v>
      </c>
      <c r="C37" s="79">
        <f t="shared" si="1"/>
        <v>7853.602722954005</v>
      </c>
      <c r="D37" s="98">
        <f t="shared" si="4"/>
        <v>6.2540692408569155E-5</v>
      </c>
      <c r="E37" s="116">
        <f t="shared" si="2"/>
        <v>1774442.9992242279</v>
      </c>
    </row>
    <row r="38" spans="1:5" x14ac:dyDescent="0.2">
      <c r="A38" s="86">
        <f t="shared" si="3"/>
        <v>3200000</v>
      </c>
      <c r="B38" s="79">
        <f t="shared" si="0"/>
        <v>8018.9913233900443</v>
      </c>
      <c r="C38" s="79">
        <f t="shared" si="1"/>
        <v>8018.9913233900443</v>
      </c>
      <c r="D38" s="98">
        <f t="shared" si="4"/>
        <v>5.1683937636262272E-5</v>
      </c>
      <c r="E38" s="116">
        <f t="shared" si="2"/>
        <v>1811810.8996067466</v>
      </c>
    </row>
    <row r="39" spans="1:5" x14ac:dyDescent="0.2">
      <c r="A39" s="86">
        <f t="shared" si="3"/>
        <v>3400000</v>
      </c>
      <c r="B39" s="79">
        <f t="shared" si="0"/>
        <v>8164.7798332860693</v>
      </c>
      <c r="C39" s="79">
        <f t="shared" si="1"/>
        <v>8164.7798332860693</v>
      </c>
      <c r="D39" s="98">
        <f t="shared" si="4"/>
        <v>4.2878973498830903E-5</v>
      </c>
      <c r="E39" s="116">
        <f t="shared" si="2"/>
        <v>1844750.3555326546</v>
      </c>
    </row>
    <row r="40" spans="1:5" x14ac:dyDescent="0.2">
      <c r="A40" s="86">
        <f t="shared" si="3"/>
        <v>3600000</v>
      </c>
      <c r="B40" s="79">
        <f t="shared" si="0"/>
        <v>8293.2900268742815</v>
      </c>
      <c r="C40" s="79">
        <f t="shared" si="1"/>
        <v>8293.2900268742815</v>
      </c>
      <c r="D40" s="98">
        <f t="shared" si="4"/>
        <v>3.569727599672559E-5</v>
      </c>
      <c r="E40" s="116">
        <f t="shared" si="2"/>
        <v>1873785.9486719752</v>
      </c>
    </row>
    <row r="41" spans="1:5" x14ac:dyDescent="0.2">
      <c r="A41" s="86">
        <f>A40+(($C$18-$B$18)/$D$18)</f>
        <v>3800000</v>
      </c>
      <c r="B41" s="79">
        <f t="shared" si="0"/>
        <v>8406.5688745556399</v>
      </c>
      <c r="C41" s="79">
        <f t="shared" si="1"/>
        <v>8406.5688745556399</v>
      </c>
      <c r="D41" s="98">
        <f t="shared" si="4"/>
        <v>2.9810223074041699E-5</v>
      </c>
      <c r="E41" s="116">
        <f t="shared" si="2"/>
        <v>1899380.1715171013</v>
      </c>
    </row>
    <row r="42" spans="1:5" x14ac:dyDescent="0.2">
      <c r="A42" s="86">
        <f t="shared" si="3"/>
        <v>4000000</v>
      </c>
      <c r="B42" s="79">
        <f t="shared" si="0"/>
        <v>8506.4210178060457</v>
      </c>
      <c r="C42" s="79">
        <f t="shared" si="1"/>
        <v>8506.4210178060457</v>
      </c>
      <c r="D42" s="98">
        <f t="shared" si="4"/>
        <v>2.4963035812601448E-5</v>
      </c>
      <c r="E42" s="116">
        <f t="shared" si="2"/>
        <v>1921940.764763098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E9" sqref="E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55" t="s">
        <v>106</v>
      </c>
      <c r="C4" s="655"/>
      <c r="D4" s="655"/>
      <c r="E4" s="655"/>
      <c r="F4" s="656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57" t="s">
        <v>8</v>
      </c>
      <c r="B7" s="660" t="s">
        <v>9</v>
      </c>
      <c r="C7" s="661"/>
      <c r="D7" s="662" t="s">
        <v>12</v>
      </c>
      <c r="E7" s="663"/>
      <c r="F7" s="664"/>
      <c r="G7" s="660" t="s">
        <v>124</v>
      </c>
      <c r="H7" s="660"/>
      <c r="I7" s="665"/>
      <c r="J7" s="98" t="s">
        <v>125</v>
      </c>
    </row>
    <row r="8" spans="1:18" ht="28.15" customHeight="1" x14ac:dyDescent="0.2">
      <c r="A8" s="65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59"/>
      <c r="B9" s="95">
        <f>VAC_Optim_Scenario!G22</f>
        <v>5400000</v>
      </c>
      <c r="C9" s="95">
        <f>VAC_Optim_Scenario!H22</f>
        <v>16000000</v>
      </c>
      <c r="D9" s="68">
        <f>VAC_Optim_Scenario!I22</f>
        <v>13899615.099674361</v>
      </c>
      <c r="E9" s="84">
        <f>((($R$12/(1+EXP($P$12+$Q$12*D9)))-1) - ($F$12-$C$12))*$I$12</f>
        <v>443642.24573555775</v>
      </c>
      <c r="F9" s="89">
        <f>E9*$G$12</f>
        <v>443642.24573555775</v>
      </c>
      <c r="G9" s="95">
        <f>VAC_Optim_Scenario!E22</f>
        <v>7775778</v>
      </c>
      <c r="H9" s="85">
        <f>((($R$12/(1+EXP($P$12+$Q$12*G9)))-1) - ($F$12-$C$12))*$I$12</f>
        <v>342226.11897340976</v>
      </c>
      <c r="I9" s="90">
        <f>H9*$G$12</f>
        <v>342226.11897340976</v>
      </c>
      <c r="J9" s="87">
        <f>G9/I9</f>
        <v>22.721170503658026</v>
      </c>
      <c r="K9" s="98" t="s">
        <v>180</v>
      </c>
    </row>
    <row r="10" spans="1:18" ht="13.5" thickBot="1" x14ac:dyDescent="0.25"/>
    <row r="11" spans="1:18" ht="51.6" customHeight="1" x14ac:dyDescent="0.2">
      <c r="A11" s="65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6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59"/>
      <c r="B12" s="95">
        <f>'[6]HCP MCM SCurve'!$B$12</f>
        <v>5365372.8900000006</v>
      </c>
      <c r="C12" s="95">
        <f>'[6]HCP MCM SCurve'!$C$12</f>
        <v>271478.24772726599</v>
      </c>
      <c r="D12" s="95">
        <f>'[6]HCP MCM SCurve'!$D$12</f>
        <v>0</v>
      </c>
      <c r="E12" s="95">
        <f>'[6]HCP MCM SCurve'!$E$12</f>
        <v>515808.67068180529</v>
      </c>
      <c r="F12" s="95">
        <f>'[6]HCP MCM SCurve'!$F$12</f>
        <v>8649234</v>
      </c>
      <c r="G12" s="91">
        <f>VAC_Optim_Scenario!$D$48</f>
        <v>1</v>
      </c>
      <c r="H12" s="71">
        <f>C12*G12</f>
        <v>271478.24772726599</v>
      </c>
      <c r="I12" s="115">
        <f>VAC_Optim_Scenario!D22</f>
        <v>1</v>
      </c>
      <c r="K12" s="667"/>
      <c r="L12" s="71">
        <f>F12-C12</f>
        <v>8377755.7522727344</v>
      </c>
      <c r="M12" s="71">
        <f>L12+E12</f>
        <v>8893564.4229545388</v>
      </c>
      <c r="N12" s="72">
        <f>B12</f>
        <v>5365372.8900000006</v>
      </c>
      <c r="O12" s="71">
        <f>F12</f>
        <v>8649234</v>
      </c>
      <c r="P12" s="24">
        <f>LN((($M$12+1)/($L$12+1))-1)</f>
        <v>-2.7875995635125794</v>
      </c>
      <c r="Q12" s="73">
        <f>(LN((($M$12+1)/($O$12+1))-1)-$P$12)/$N$12</f>
        <v>-1.4520986845292592E-7</v>
      </c>
      <c r="R12" s="74">
        <f>M12+1</f>
        <v>8893565.4229545388</v>
      </c>
    </row>
    <row r="13" spans="1:18" ht="34.15" customHeight="1" x14ac:dyDescent="0.2">
      <c r="A13" s="668" t="s">
        <v>187</v>
      </c>
      <c r="B13" s="669"/>
      <c r="C13" s="669"/>
      <c r="D13" s="669"/>
      <c r="E13" s="669"/>
      <c r="F13" s="670"/>
      <c r="G13" s="119" t="s">
        <v>150</v>
      </c>
      <c r="H13" s="119" t="s">
        <v>151</v>
      </c>
      <c r="K13" s="668" t="s">
        <v>115</v>
      </c>
      <c r="L13" s="669"/>
      <c r="M13" s="669"/>
      <c r="N13" s="669"/>
      <c r="O13" s="669"/>
      <c r="P13" s="669"/>
      <c r="Q13" s="669"/>
      <c r="R13" s="670"/>
    </row>
    <row r="14" spans="1:18" ht="33.6" customHeight="1" thickBot="1" x14ac:dyDescent="0.25">
      <c r="A14" s="671"/>
      <c r="B14" s="672"/>
      <c r="C14" s="672"/>
      <c r="D14" s="672"/>
      <c r="E14" s="672"/>
      <c r="F14" s="673"/>
      <c r="G14" s="95">
        <f>VAC_Optim_Scenario!$I$48</f>
        <v>225.94</v>
      </c>
      <c r="H14" s="95">
        <f>VAC_Optim_Scenario!$F$48</f>
        <v>225.94</v>
      </c>
      <c r="K14" s="671"/>
      <c r="L14" s="672"/>
      <c r="M14" s="672"/>
      <c r="N14" s="672"/>
      <c r="O14" s="672"/>
      <c r="P14" s="672"/>
      <c r="Q14" s="672"/>
      <c r="R14" s="673"/>
    </row>
    <row r="16" spans="1:18" ht="13.5" thickBot="1" x14ac:dyDescent="0.25"/>
    <row r="17" spans="1:8" ht="42.6" customHeight="1" x14ac:dyDescent="0.2">
      <c r="A17" s="66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67"/>
      <c r="B18" s="75">
        <v>0</v>
      </c>
      <c r="C18" s="76">
        <v>12000000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-9.3132257461547852E-10</v>
      </c>
      <c r="C22" s="79">
        <f>B22*$G$12</f>
        <v>-9.3132257461547852E-10</v>
      </c>
      <c r="E22" s="116">
        <f>B22*$H$14</f>
        <v>-2.1042302250862121E-7</v>
      </c>
    </row>
    <row r="23" spans="1:8" x14ac:dyDescent="0.2">
      <c r="A23" s="86">
        <f>A22+(($C$18-$B$18)/$D$18)</f>
        <v>600000</v>
      </c>
      <c r="B23" s="79">
        <f t="shared" si="0"/>
        <v>40739.230897238478</v>
      </c>
      <c r="C23" s="79">
        <f t="shared" ref="C23:C42" si="1">B23*$G$12</f>
        <v>40739.230897238478</v>
      </c>
      <c r="D23" s="98">
        <f>(B23-B22)/A23</f>
        <v>6.7898718162065677E-2</v>
      </c>
      <c r="E23" s="116">
        <f t="shared" ref="E23:E42" si="2">B23*$H$14</f>
        <v>9204621.8289220612</v>
      </c>
    </row>
    <row r="24" spans="1:8" x14ac:dyDescent="0.2">
      <c r="A24" s="86">
        <f t="shared" ref="A24:A42" si="3">A23+(($C$18-$B$18)/$D$18)</f>
        <v>1200000</v>
      </c>
      <c r="B24" s="79">
        <f t="shared" si="0"/>
        <v>78428.809096541256</v>
      </c>
      <c r="C24" s="79">
        <f t="shared" si="1"/>
        <v>78428.809096541256</v>
      </c>
      <c r="D24" s="98">
        <f t="shared" ref="D24:D42" si="4">(B24-B23)/A24</f>
        <v>3.1407981832752313E-2</v>
      </c>
      <c r="E24" s="116">
        <f t="shared" si="2"/>
        <v>17720205.127272531</v>
      </c>
    </row>
    <row r="25" spans="1:8" x14ac:dyDescent="0.2">
      <c r="A25" s="86">
        <f t="shared" si="3"/>
        <v>1800000</v>
      </c>
      <c r="B25" s="79">
        <f t="shared" si="0"/>
        <v>113271.26307916827</v>
      </c>
      <c r="C25" s="79">
        <f t="shared" si="1"/>
        <v>113271.26307916827</v>
      </c>
      <c r="D25" s="98">
        <f t="shared" si="4"/>
        <v>1.9356918879237232E-2</v>
      </c>
      <c r="E25" s="116">
        <f t="shared" si="2"/>
        <v>25592509.180107281</v>
      </c>
    </row>
    <row r="26" spans="1:8" x14ac:dyDescent="0.2">
      <c r="A26" s="86">
        <f t="shared" si="3"/>
        <v>2400000</v>
      </c>
      <c r="B26" s="79">
        <f t="shared" si="0"/>
        <v>145459.66681052744</v>
      </c>
      <c r="C26" s="79">
        <f t="shared" si="1"/>
        <v>145459.66681052744</v>
      </c>
      <c r="D26" s="98">
        <f t="shared" si="4"/>
        <v>1.3411834888066321E-2</v>
      </c>
      <c r="E26" s="116">
        <f t="shared" si="2"/>
        <v>32865157.119170569</v>
      </c>
    </row>
    <row r="27" spans="1:8" x14ac:dyDescent="0.2">
      <c r="A27" s="86">
        <f t="shared" si="3"/>
        <v>3000000</v>
      </c>
      <c r="B27" s="79">
        <f t="shared" si="0"/>
        <v>175177.42119361833</v>
      </c>
      <c r="C27" s="79">
        <f t="shared" si="1"/>
        <v>175177.42119361833</v>
      </c>
      <c r="D27" s="98">
        <f t="shared" si="4"/>
        <v>9.9059181276969603E-3</v>
      </c>
      <c r="E27" s="116">
        <f t="shared" si="2"/>
        <v>39579586.544486128</v>
      </c>
    </row>
    <row r="28" spans="1:8" x14ac:dyDescent="0.2">
      <c r="A28" s="86">
        <f t="shared" si="3"/>
        <v>3600000</v>
      </c>
      <c r="B28" s="79">
        <f t="shared" si="0"/>
        <v>202598.17686557397</v>
      </c>
      <c r="C28" s="79">
        <f t="shared" si="1"/>
        <v>202598.17686557397</v>
      </c>
      <c r="D28" s="98">
        <f t="shared" si="4"/>
        <v>7.6168765755432345E-3</v>
      </c>
      <c r="E28" s="116">
        <f t="shared" si="2"/>
        <v>45775032.081007786</v>
      </c>
    </row>
    <row r="29" spans="1:8" x14ac:dyDescent="0.2">
      <c r="A29" s="86">
        <f t="shared" si="3"/>
        <v>4200000</v>
      </c>
      <c r="B29" s="79">
        <f t="shared" si="0"/>
        <v>227885.87447749265</v>
      </c>
      <c r="C29" s="79">
        <f t="shared" si="1"/>
        <v>227885.87447749265</v>
      </c>
      <c r="D29" s="98">
        <f t="shared" si="4"/>
        <v>6.0208803837901604E-3</v>
      </c>
      <c r="E29" s="116">
        <f t="shared" si="2"/>
        <v>51488534.47944469</v>
      </c>
    </row>
    <row r="30" spans="1:8" x14ac:dyDescent="0.2">
      <c r="A30" s="86">
        <f t="shared" si="3"/>
        <v>4800000</v>
      </c>
      <c r="B30" s="79">
        <f t="shared" si="0"/>
        <v>251194.88106508367</v>
      </c>
      <c r="C30" s="79">
        <f t="shared" si="1"/>
        <v>251194.88106508367</v>
      </c>
      <c r="D30" s="98">
        <f t="shared" si="4"/>
        <v>4.8560430390814629E-3</v>
      </c>
      <c r="E30" s="116">
        <f t="shared" si="2"/>
        <v>56754971.427845001</v>
      </c>
    </row>
    <row r="31" spans="1:8" x14ac:dyDescent="0.2">
      <c r="A31" s="86">
        <f t="shared" si="3"/>
        <v>5400000</v>
      </c>
      <c r="B31" s="79">
        <f t="shared" si="0"/>
        <v>272670.20355859026</v>
      </c>
      <c r="C31" s="79">
        <f t="shared" si="1"/>
        <v>272670.20355859026</v>
      </c>
      <c r="D31" s="98">
        <f t="shared" si="4"/>
        <v>3.9769115728715918E-3</v>
      </c>
      <c r="E31" s="116">
        <f t="shared" si="2"/>
        <v>61607105.792027883</v>
      </c>
    </row>
    <row r="32" spans="1:8" x14ac:dyDescent="0.2">
      <c r="A32" s="86">
        <f t="shared" si="3"/>
        <v>6000000</v>
      </c>
      <c r="B32" s="79">
        <f t="shared" si="0"/>
        <v>292447.76282965764</v>
      </c>
      <c r="C32" s="79">
        <f t="shared" si="1"/>
        <v>292447.76282965764</v>
      </c>
      <c r="D32" s="98">
        <f t="shared" si="4"/>
        <v>3.2962598785112301E-3</v>
      </c>
      <c r="E32" s="116">
        <f t="shared" si="2"/>
        <v>66075647.533732846</v>
      </c>
    </row>
    <row r="33" spans="1:5" x14ac:dyDescent="0.2">
      <c r="A33" s="86">
        <f t="shared" si="3"/>
        <v>6600000</v>
      </c>
      <c r="B33" s="79">
        <f t="shared" si="0"/>
        <v>310654.7138853576</v>
      </c>
      <c r="C33" s="79">
        <f t="shared" si="1"/>
        <v>310654.7138853576</v>
      </c>
      <c r="D33" s="98">
        <f t="shared" si="4"/>
        <v>2.7586289478333274E-3</v>
      </c>
      <c r="E33" s="116">
        <f t="shared" si="2"/>
        <v>70189326.055257693</v>
      </c>
    </row>
    <row r="34" spans="1:5" x14ac:dyDescent="0.2">
      <c r="A34" s="86">
        <f>A33+(($C$18-$B$18)/$D$18)</f>
        <v>7200000</v>
      </c>
      <c r="B34" s="79">
        <f t="shared" si="0"/>
        <v>327409.79986672848</v>
      </c>
      <c r="C34" s="79">
        <f t="shared" si="1"/>
        <v>327409.79986672848</v>
      </c>
      <c r="D34" s="98">
        <f t="shared" si="4"/>
        <v>2.3270952751904004E-3</v>
      </c>
      <c r="E34" s="116">
        <f t="shared" si="2"/>
        <v>73974970.18188864</v>
      </c>
    </row>
    <row r="35" spans="1:5" x14ac:dyDescent="0.2">
      <c r="A35" s="86">
        <f t="shared" si="3"/>
        <v>7800000</v>
      </c>
      <c r="B35" s="79">
        <f t="shared" si="0"/>
        <v>342823.72937526181</v>
      </c>
      <c r="C35" s="79">
        <f t="shared" si="1"/>
        <v>342823.72937526181</v>
      </c>
      <c r="D35" s="98">
        <f t="shared" si="4"/>
        <v>1.9761448087863244E-3</v>
      </c>
      <c r="E35" s="116">
        <f t="shared" si="2"/>
        <v>77457593.415046647</v>
      </c>
    </row>
    <row r="36" spans="1:5" x14ac:dyDescent="0.2">
      <c r="A36" s="86">
        <f t="shared" si="3"/>
        <v>8400000</v>
      </c>
      <c r="B36" s="79">
        <f t="shared" si="0"/>
        <v>356999.56833022274</v>
      </c>
      <c r="C36" s="79">
        <f t="shared" si="1"/>
        <v>356999.56833022274</v>
      </c>
      <c r="D36" s="98">
        <f t="shared" si="4"/>
        <v>1.6875998755905865E-3</v>
      </c>
      <c r="E36" s="116">
        <f t="shared" si="2"/>
        <v>80660482.468530521</v>
      </c>
    </row>
    <row r="37" spans="1:5" x14ac:dyDescent="0.2">
      <c r="A37" s="86">
        <f t="shared" si="3"/>
        <v>9000000</v>
      </c>
      <c r="B37" s="79">
        <f t="shared" si="0"/>
        <v>370033.139053775</v>
      </c>
      <c r="C37" s="79">
        <f t="shared" si="1"/>
        <v>370033.139053775</v>
      </c>
      <c r="D37" s="98">
        <f t="shared" si="4"/>
        <v>1.4481745248391396E-3</v>
      </c>
      <c r="E37" s="116">
        <f t="shared" si="2"/>
        <v>83605287.437809929</v>
      </c>
    </row>
    <row r="38" spans="1:5" x14ac:dyDescent="0.2">
      <c r="A38" s="86">
        <f t="shared" si="3"/>
        <v>9600000</v>
      </c>
      <c r="B38" s="79">
        <f t="shared" si="0"/>
        <v>382013.42059681378</v>
      </c>
      <c r="C38" s="79">
        <f t="shared" si="1"/>
        <v>382013.42059681378</v>
      </c>
      <c r="D38" s="98">
        <f t="shared" si="4"/>
        <v>1.2479459940665401E-3</v>
      </c>
      <c r="E38" s="116">
        <f t="shared" si="2"/>
        <v>86312112.249644101</v>
      </c>
    </row>
    <row r="39" spans="1:5" x14ac:dyDescent="0.2">
      <c r="A39" s="86">
        <f t="shared" si="3"/>
        <v>10200000</v>
      </c>
      <c r="B39" s="79">
        <f t="shared" si="0"/>
        <v>393022.94546622783</v>
      </c>
      <c r="C39" s="79">
        <f t="shared" si="1"/>
        <v>393022.94546622783</v>
      </c>
      <c r="D39" s="98">
        <f t="shared" si="4"/>
        <v>1.079365183275887E-3</v>
      </c>
      <c r="E39" s="116">
        <f t="shared" si="2"/>
        <v>88799604.298639521</v>
      </c>
    </row>
    <row r="40" spans="1:5" x14ac:dyDescent="0.2">
      <c r="A40" s="86">
        <f t="shared" si="3"/>
        <v>10800000</v>
      </c>
      <c r="B40" s="79">
        <f t="shared" si="0"/>
        <v>403138.18890681118</v>
      </c>
      <c r="C40" s="79">
        <f t="shared" si="1"/>
        <v>403138.18890681118</v>
      </c>
      <c r="D40" s="98">
        <f t="shared" si="4"/>
        <v>9.3659661486882853E-4</v>
      </c>
      <c r="E40" s="116">
        <f t="shared" si="2"/>
        <v>91085042.401604921</v>
      </c>
    </row>
    <row r="41" spans="1:5" x14ac:dyDescent="0.2">
      <c r="A41" s="86">
        <f>A40+(($C$18-$B$18)/$D$18)</f>
        <v>11400000</v>
      </c>
      <c r="B41" s="79">
        <f t="shared" si="0"/>
        <v>412429.94774184003</v>
      </c>
      <c r="C41" s="79">
        <f t="shared" si="1"/>
        <v>412429.94774184003</v>
      </c>
      <c r="D41" s="98">
        <f t="shared" si="4"/>
        <v>8.1506656447621548E-4</v>
      </c>
      <c r="E41" s="116">
        <f t="shared" si="2"/>
        <v>93184422.392791331</v>
      </c>
    </row>
    <row r="42" spans="1:5" x14ac:dyDescent="0.2">
      <c r="A42" s="86">
        <f t="shared" si="3"/>
        <v>12000000</v>
      </c>
      <c r="B42" s="79">
        <f t="shared" si="0"/>
        <v>420963.7064994704</v>
      </c>
      <c r="C42" s="79">
        <f t="shared" si="1"/>
        <v>420963.7064994704</v>
      </c>
      <c r="D42" s="98">
        <f t="shared" si="4"/>
        <v>7.1114656313586364E-4</v>
      </c>
      <c r="E42" s="116">
        <f t="shared" si="2"/>
        <v>95112539.846490338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2" t="s">
        <v>102</v>
      </c>
      <c r="I2" s="333"/>
      <c r="J2" s="333"/>
      <c r="K2" s="333"/>
      <c r="L2" s="334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55" t="s">
        <v>106</v>
      </c>
      <c r="C4" s="655"/>
      <c r="D4" s="655"/>
      <c r="E4" s="655"/>
      <c r="F4" s="656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57" t="s">
        <v>8</v>
      </c>
      <c r="B7" s="660" t="s">
        <v>9</v>
      </c>
      <c r="C7" s="661"/>
      <c r="D7" s="662" t="s">
        <v>12</v>
      </c>
      <c r="E7" s="663"/>
      <c r="F7" s="664"/>
      <c r="G7" s="660" t="s">
        <v>124</v>
      </c>
      <c r="H7" s="660"/>
      <c r="I7" s="665"/>
      <c r="J7" s="98" t="s">
        <v>125</v>
      </c>
    </row>
    <row r="8" spans="1:18" ht="28.35" customHeight="1" x14ac:dyDescent="0.2">
      <c r="A8" s="658"/>
      <c r="B8" s="331" t="s">
        <v>10</v>
      </c>
      <c r="C8" s="17" t="s">
        <v>11</v>
      </c>
      <c r="D8" s="19" t="s">
        <v>20</v>
      </c>
      <c r="E8" s="331" t="s">
        <v>21</v>
      </c>
      <c r="F8" s="81" t="s">
        <v>117</v>
      </c>
      <c r="G8" s="335" t="s">
        <v>22</v>
      </c>
      <c r="H8" s="331" t="s">
        <v>23</v>
      </c>
      <c r="I8" s="88" t="s">
        <v>123</v>
      </c>
    </row>
    <row r="9" spans="1:18" ht="14.45" customHeight="1" thickBot="1" x14ac:dyDescent="0.25">
      <c r="A9" s="659"/>
      <c r="B9" s="95">
        <f>VAC_Optim_Scenario!G32</f>
        <v>10500000</v>
      </c>
      <c r="C9" s="95">
        <f>VAC_Optim_Scenario!H32</f>
        <v>28000000</v>
      </c>
      <c r="D9" s="68">
        <f>VAC_Optim_Scenario!I32</f>
        <v>28000000</v>
      </c>
      <c r="E9" s="84">
        <f>((($R$12/(1+EXP($P$12+$Q$12*D9)))-1) - ($F$12-$C$12))*$I$12</f>
        <v>541309.70701439586</v>
      </c>
      <c r="F9" s="89">
        <f>E9*$G$12</f>
        <v>541309.70701439586</v>
      </c>
      <c r="G9" s="95">
        <f>VAC_Optim_Scenario!E32</f>
        <v>16948000</v>
      </c>
      <c r="H9" s="85">
        <f>((($R$12/(1+EXP($P$12+$Q$12*G9)))-1) - ($F$12-$C$12))*$I$12</f>
        <v>405762.3287466066</v>
      </c>
      <c r="I9" s="90">
        <f>H9*$G$12</f>
        <v>405762.3287466066</v>
      </c>
      <c r="J9" s="87">
        <f>G9/I9</f>
        <v>41.768293405531516</v>
      </c>
      <c r="K9" s="98" t="s">
        <v>180</v>
      </c>
    </row>
    <row r="10" spans="1:18" ht="13.5" thickBot="1" x14ac:dyDescent="0.25"/>
    <row r="11" spans="1:18" ht="51.6" customHeight="1" x14ac:dyDescent="0.2">
      <c r="A11" s="657" t="s">
        <v>15</v>
      </c>
      <c r="B11" s="337" t="s">
        <v>16</v>
      </c>
      <c r="C11" s="337" t="s">
        <v>17</v>
      </c>
      <c r="D11" s="337" t="s">
        <v>18</v>
      </c>
      <c r="E11" s="337" t="s">
        <v>19</v>
      </c>
      <c r="F11" s="338" t="s">
        <v>109</v>
      </c>
      <c r="G11" s="336" t="s">
        <v>181</v>
      </c>
      <c r="H11" s="337" t="s">
        <v>119</v>
      </c>
      <c r="I11" s="92" t="s">
        <v>122</v>
      </c>
      <c r="K11" s="666" t="s">
        <v>25</v>
      </c>
      <c r="L11" s="337" t="s">
        <v>110</v>
      </c>
      <c r="M11" s="337" t="s">
        <v>111</v>
      </c>
      <c r="N11" s="337" t="s">
        <v>112</v>
      </c>
      <c r="O11" s="337" t="s">
        <v>113</v>
      </c>
      <c r="P11" s="337" t="s">
        <v>26</v>
      </c>
      <c r="Q11" s="337" t="s">
        <v>27</v>
      </c>
      <c r="R11" s="338" t="s">
        <v>28</v>
      </c>
    </row>
    <row r="12" spans="1:18" ht="15" customHeight="1" thickBot="1" x14ac:dyDescent="0.25">
      <c r="A12" s="659"/>
      <c r="B12" s="348">
        <f>'[7]HCP MCM SCurve'!$B$12</f>
        <v>10503728.719999999</v>
      </c>
      <c r="C12" s="348">
        <f>'[7]HCP MCM SCurve'!$C$12</f>
        <v>286085.27480051044</v>
      </c>
      <c r="D12" s="348">
        <f>'[7]HCP MCM SCurve'!$D$12</f>
        <v>0</v>
      </c>
      <c r="E12" s="348">
        <f>'[7]HCP MCM SCurve'!$E$12</f>
        <v>715213.18700127606</v>
      </c>
      <c r="F12" s="348">
        <f>'[7]HCP MCM SCurve'!$F$12</f>
        <v>4647854</v>
      </c>
      <c r="G12" s="349">
        <f>VAC_Optim_Scenario!$D$48</f>
        <v>1</v>
      </c>
      <c r="H12" s="71">
        <f>C12*G12</f>
        <v>286085.27480051044</v>
      </c>
      <c r="I12" s="350">
        <f>VAC_Optim_Scenario!D32</f>
        <v>1</v>
      </c>
      <c r="K12" s="667"/>
      <c r="L12" s="71">
        <f>F12-C12</f>
        <v>4361768.7251994899</v>
      </c>
      <c r="M12" s="71">
        <f>L12+E12</f>
        <v>5076981.9122007657</v>
      </c>
      <c r="N12" s="72">
        <f>B12</f>
        <v>10503728.719999999</v>
      </c>
      <c r="O12" s="71">
        <f>F12</f>
        <v>4647854</v>
      </c>
      <c r="P12" s="24">
        <f>LN((($M$12+1)/($L$12+1))-1)</f>
        <v>-1.8080524923727479</v>
      </c>
      <c r="Q12" s="24">
        <f>(LN((($M$12+1)/($O$12+1))-1)-$P$12)/$N$12</f>
        <v>-5.4680922046389248E-8</v>
      </c>
      <c r="R12" s="74">
        <f>M12+1</f>
        <v>5076982.9122007657</v>
      </c>
    </row>
    <row r="13" spans="1:18" ht="34.35" customHeight="1" x14ac:dyDescent="0.2">
      <c r="A13" s="668" t="s">
        <v>187</v>
      </c>
      <c r="B13" s="669"/>
      <c r="C13" s="669"/>
      <c r="D13" s="669"/>
      <c r="E13" s="669"/>
      <c r="F13" s="670"/>
      <c r="G13" s="331" t="s">
        <v>150</v>
      </c>
      <c r="H13" s="331" t="s">
        <v>151</v>
      </c>
      <c r="K13" s="668" t="s">
        <v>115</v>
      </c>
      <c r="L13" s="669"/>
      <c r="M13" s="669"/>
      <c r="N13" s="669"/>
      <c r="O13" s="669"/>
      <c r="P13" s="669"/>
      <c r="Q13" s="669"/>
      <c r="R13" s="670"/>
    </row>
    <row r="14" spans="1:18" ht="33.6" customHeight="1" thickBot="1" x14ac:dyDescent="0.25">
      <c r="A14" s="671"/>
      <c r="B14" s="672"/>
      <c r="C14" s="672"/>
      <c r="D14" s="672"/>
      <c r="E14" s="672"/>
      <c r="F14" s="673"/>
      <c r="G14" s="95">
        <f>VAC_Optim_Scenario!$I$48</f>
        <v>225.94</v>
      </c>
      <c r="H14" s="95">
        <f>VAC_Optim_Scenario!$F$48</f>
        <v>225.94</v>
      </c>
      <c r="K14" s="671"/>
      <c r="L14" s="672"/>
      <c r="M14" s="672"/>
      <c r="N14" s="672"/>
      <c r="O14" s="672"/>
      <c r="P14" s="672"/>
      <c r="Q14" s="672"/>
      <c r="R14" s="673"/>
    </row>
    <row r="16" spans="1:18" ht="13.5" thickBot="1" x14ac:dyDescent="0.25"/>
    <row r="17" spans="1:8" ht="42.6" customHeight="1" x14ac:dyDescent="0.2">
      <c r="A17" s="666" t="s">
        <v>34</v>
      </c>
      <c r="B17" s="337" t="s">
        <v>32</v>
      </c>
      <c r="C17" s="337" t="s">
        <v>31</v>
      </c>
      <c r="D17" s="338" t="s">
        <v>33</v>
      </c>
      <c r="F17" s="96"/>
      <c r="G17" s="96"/>
      <c r="H17" s="351"/>
    </row>
    <row r="18" spans="1:8" ht="23.45" customHeight="1" thickBot="1" x14ac:dyDescent="0.25">
      <c r="A18" s="667"/>
      <c r="B18" s="75">
        <v>0</v>
      </c>
      <c r="C18" s="76">
        <v>12500000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31" t="s">
        <v>35</v>
      </c>
      <c r="B21" s="331" t="s">
        <v>177</v>
      </c>
      <c r="C21" s="331" t="s">
        <v>184</v>
      </c>
      <c r="D21" s="98" t="s">
        <v>188</v>
      </c>
      <c r="E21" s="331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20742.869440459646</v>
      </c>
      <c r="C23" s="79">
        <f t="shared" ref="C23:C42" si="1">B23*$G$12</f>
        <v>20742.869440459646</v>
      </c>
      <c r="D23" s="98">
        <f>(B23-B22)/A23</f>
        <v>3.3188591104735432E-2</v>
      </c>
      <c r="E23" s="116">
        <f t="shared" ref="E23:E42" si="2">B23*$H$14</f>
        <v>4686643.9213774521</v>
      </c>
    </row>
    <row r="24" spans="1:8" x14ac:dyDescent="0.2">
      <c r="A24" s="86">
        <f t="shared" ref="A24:A47" si="3">A23+(($C$18-$B$18)/$D$18)</f>
        <v>1250000</v>
      </c>
      <c r="B24" s="79">
        <f t="shared" si="0"/>
        <v>40977.139981578104</v>
      </c>
      <c r="C24" s="79">
        <f t="shared" si="1"/>
        <v>40977.139981578104</v>
      </c>
      <c r="D24" s="98">
        <f t="shared" ref="D24:D42" si="4">(B24-B23)/A24</f>
        <v>1.6187416432894765E-2</v>
      </c>
      <c r="E24" s="116">
        <f t="shared" si="2"/>
        <v>9258375.0074377563</v>
      </c>
    </row>
    <row r="25" spans="1:8" x14ac:dyDescent="0.2">
      <c r="A25" s="86">
        <f t="shared" si="3"/>
        <v>1875000</v>
      </c>
      <c r="B25" s="79">
        <f t="shared" si="0"/>
        <v>60709.905563058332</v>
      </c>
      <c r="C25" s="79">
        <f t="shared" si="1"/>
        <v>60709.905563058332</v>
      </c>
      <c r="D25" s="98">
        <f t="shared" si="4"/>
        <v>1.0524141643456121E-2</v>
      </c>
      <c r="E25" s="116">
        <f t="shared" si="2"/>
        <v>13716796.0629174</v>
      </c>
    </row>
    <row r="26" spans="1:8" x14ac:dyDescent="0.2">
      <c r="A26" s="86">
        <f t="shared" si="3"/>
        <v>2500000</v>
      </c>
      <c r="B26" s="79">
        <f t="shared" si="0"/>
        <v>79948.484011327848</v>
      </c>
      <c r="C26" s="79">
        <f t="shared" si="1"/>
        <v>79948.484011327848</v>
      </c>
      <c r="D26" s="98">
        <f t="shared" si="4"/>
        <v>7.6954313793078065E-3</v>
      </c>
      <c r="E26" s="116">
        <f t="shared" si="2"/>
        <v>18063560.477519415</v>
      </c>
    </row>
    <row r="27" spans="1:8" x14ac:dyDescent="0.2">
      <c r="A27" s="86">
        <f t="shared" si="3"/>
        <v>3125000</v>
      </c>
      <c r="B27" s="79">
        <f t="shared" si="0"/>
        <v>98700.393903219141</v>
      </c>
      <c r="C27" s="79">
        <f t="shared" si="1"/>
        <v>98700.393903219141</v>
      </c>
      <c r="D27" s="98">
        <f t="shared" si="4"/>
        <v>6.0006111654052141E-3</v>
      </c>
      <c r="E27" s="116">
        <f t="shared" si="2"/>
        <v>22300366.998493332</v>
      </c>
    </row>
    <row r="28" spans="1:8" x14ac:dyDescent="0.2">
      <c r="A28" s="86">
        <f t="shared" si="3"/>
        <v>3750000</v>
      </c>
      <c r="B28" s="79">
        <f t="shared" si="0"/>
        <v>116973.33223579265</v>
      </c>
      <c r="C28" s="79">
        <f t="shared" si="1"/>
        <v>116973.33223579265</v>
      </c>
      <c r="D28" s="98">
        <f t="shared" si="4"/>
        <v>4.8727835553529358E-3</v>
      </c>
      <c r="E28" s="116">
        <f t="shared" si="2"/>
        <v>26428954.685354993</v>
      </c>
    </row>
    <row r="29" spans="1:8" x14ac:dyDescent="0.2">
      <c r="A29" s="86">
        <f t="shared" si="3"/>
        <v>4375000</v>
      </c>
      <c r="B29" s="79">
        <f t="shared" si="0"/>
        <v>134775.15292733442</v>
      </c>
      <c r="C29" s="79">
        <f t="shared" si="1"/>
        <v>134775.15292733442</v>
      </c>
      <c r="D29" s="98">
        <f t="shared" si="4"/>
        <v>4.0689875866381188E-3</v>
      </c>
      <c r="E29" s="116">
        <f t="shared" si="2"/>
        <v>30451098.052401938</v>
      </c>
    </row>
    <row r="30" spans="1:8" x14ac:dyDescent="0.2">
      <c r="A30" s="86">
        <f t="shared" si="3"/>
        <v>5000000</v>
      </c>
      <c r="B30" s="79">
        <f t="shared" si="0"/>
        <v>152113.84616882913</v>
      </c>
      <c r="C30" s="79">
        <f t="shared" si="1"/>
        <v>152113.84616882913</v>
      </c>
      <c r="D30" s="98">
        <f t="shared" si="4"/>
        <v>3.4677386482989416E-3</v>
      </c>
      <c r="E30" s="116">
        <f t="shared" si="2"/>
        <v>34368602.403385252</v>
      </c>
    </row>
    <row r="31" spans="1:8" x14ac:dyDescent="0.2">
      <c r="A31" s="86">
        <f t="shared" si="3"/>
        <v>5625000</v>
      </c>
      <c r="B31" s="79">
        <f t="shared" si="0"/>
        <v>168997.5186399091</v>
      </c>
      <c r="C31" s="79">
        <f t="shared" si="1"/>
        <v>168997.5186399091</v>
      </c>
      <c r="D31" s="98">
        <f t="shared" si="4"/>
        <v>3.00154177263644E-3</v>
      </c>
      <c r="E31" s="116">
        <f t="shared" si="2"/>
        <v>38183299.36150106</v>
      </c>
    </row>
    <row r="32" spans="1:8" x14ac:dyDescent="0.2">
      <c r="A32" s="86">
        <f t="shared" si="3"/>
        <v>6250000</v>
      </c>
      <c r="B32" s="79">
        <f t="shared" si="0"/>
        <v>185434.37459826563</v>
      </c>
      <c r="C32" s="79">
        <f t="shared" si="1"/>
        <v>185434.37459826563</v>
      </c>
      <c r="D32" s="98">
        <f t="shared" si="4"/>
        <v>2.6298969533370435E-3</v>
      </c>
      <c r="E32" s="116">
        <f t="shared" si="2"/>
        <v>41897042.596732132</v>
      </c>
    </row>
    <row r="33" spans="1:5" x14ac:dyDescent="0.2">
      <c r="A33" s="86">
        <f t="shared" si="3"/>
        <v>6875000</v>
      </c>
      <c r="B33" s="79">
        <f t="shared" si="0"/>
        <v>201432.69784695189</v>
      </c>
      <c r="C33" s="79">
        <f t="shared" si="1"/>
        <v>201432.69784695189</v>
      </c>
      <c r="D33" s="98">
        <f t="shared" si="4"/>
        <v>2.3270288361725484E-3</v>
      </c>
      <c r="E33" s="116">
        <f t="shared" si="2"/>
        <v>45511703.751540311</v>
      </c>
    </row>
    <row r="34" spans="1:5" x14ac:dyDescent="0.2">
      <c r="A34" s="86">
        <f>A33+(($C$18-$B$18)/$D$18)</f>
        <v>7500000</v>
      </c>
      <c r="B34" s="79">
        <f t="shared" si="0"/>
        <v>217000.83457973972</v>
      </c>
      <c r="C34" s="79">
        <f t="shared" si="1"/>
        <v>217000.83457973972</v>
      </c>
      <c r="D34" s="98">
        <f t="shared" si="4"/>
        <v>2.0757515643717102E-3</v>
      </c>
      <c r="E34" s="116">
        <f t="shared" si="2"/>
        <v>49029168.564946391</v>
      </c>
    </row>
    <row r="35" spans="1:5" x14ac:dyDescent="0.2">
      <c r="A35" s="86">
        <f t="shared" si="3"/>
        <v>8125000</v>
      </c>
      <c r="B35" s="79">
        <f t="shared" si="0"/>
        <v>232147.17710087262</v>
      </c>
      <c r="C35" s="79">
        <f t="shared" si="1"/>
        <v>232147.17710087262</v>
      </c>
      <c r="D35" s="98">
        <f t="shared" si="4"/>
        <v>1.8641652333702032E-3</v>
      </c>
      <c r="E35" s="116">
        <f t="shared" si="2"/>
        <v>52451333.19417116</v>
      </c>
    </row>
    <row r="36" spans="1:5" x14ac:dyDescent="0.2">
      <c r="A36" s="86">
        <f t="shared" si="3"/>
        <v>8750000</v>
      </c>
      <c r="B36" s="79">
        <f t="shared" si="0"/>
        <v>246880.14841201156</v>
      </c>
      <c r="C36" s="79">
        <f t="shared" si="1"/>
        <v>246880.14841201156</v>
      </c>
      <c r="D36" s="98">
        <f t="shared" si="4"/>
        <v>1.6837681498444506E-3</v>
      </c>
      <c r="E36" s="116">
        <f t="shared" si="2"/>
        <v>55780100.732209891</v>
      </c>
    </row>
    <row r="37" spans="1:5" x14ac:dyDescent="0.2">
      <c r="A37" s="86">
        <f t="shared" si="3"/>
        <v>9375000</v>
      </c>
      <c r="B37" s="79">
        <f t="shared" si="0"/>
        <v>261208.18765604869</v>
      </c>
      <c r="C37" s="79">
        <f t="shared" si="1"/>
        <v>261208.18765604869</v>
      </c>
      <c r="D37" s="98">
        <f t="shared" si="4"/>
        <v>1.5283241860306262E-3</v>
      </c>
      <c r="E37" s="116">
        <f t="shared" si="2"/>
        <v>59017377.919007637</v>
      </c>
    </row>
    <row r="38" spans="1:5" x14ac:dyDescent="0.2">
      <c r="A38" s="86">
        <f t="shared" si="3"/>
        <v>10000000</v>
      </c>
      <c r="B38" s="79">
        <f t="shared" si="0"/>
        <v>275139.73640458379</v>
      </c>
      <c r="C38" s="79">
        <f t="shared" si="1"/>
        <v>275139.73640458379</v>
      </c>
      <c r="D38" s="98">
        <f t="shared" si="4"/>
        <v>1.3931548748535103E-3</v>
      </c>
      <c r="E38" s="116">
        <f t="shared" si="2"/>
        <v>62165072.043251663</v>
      </c>
    </row>
    <row r="39" spans="1:5" x14ac:dyDescent="0.2">
      <c r="A39" s="86">
        <f t="shared" si="3"/>
        <v>10625000</v>
      </c>
      <c r="B39" s="79">
        <f t="shared" si="0"/>
        <v>288683.22577341832</v>
      </c>
      <c r="C39" s="79">
        <f t="shared" si="1"/>
        <v>288683.22577341832</v>
      </c>
      <c r="D39" s="98">
        <f t="shared" si="4"/>
        <v>1.2746813523608971E-3</v>
      </c>
      <c r="E39" s="116">
        <f t="shared" si="2"/>
        <v>65225088.031246133</v>
      </c>
    </row>
    <row r="40" spans="1:5" x14ac:dyDescent="0.2">
      <c r="A40" s="86">
        <f t="shared" si="3"/>
        <v>11250000</v>
      </c>
      <c r="B40" s="79">
        <f t="shared" si="0"/>
        <v>301847.06434817147</v>
      </c>
      <c r="C40" s="79">
        <f t="shared" si="1"/>
        <v>301847.06434817147</v>
      </c>
      <c r="D40" s="98">
        <f t="shared" si="4"/>
        <v>1.1701189844225016E-3</v>
      </c>
      <c r="E40" s="116">
        <f t="shared" si="2"/>
        <v>68199325.718825862</v>
      </c>
    </row>
    <row r="41" spans="1:5" x14ac:dyDescent="0.2">
      <c r="A41" s="86">
        <f>A40+(($C$18-$B$18)/$D$18)</f>
        <v>11875000</v>
      </c>
      <c r="B41" s="79">
        <f t="shared" si="0"/>
        <v>314639.62690023426</v>
      </c>
      <c r="C41" s="79">
        <f t="shared" si="1"/>
        <v>314639.62690023426</v>
      </c>
      <c r="D41" s="98">
        <f t="shared" si="4"/>
        <v>1.0772684254368669E-3</v>
      </c>
      <c r="E41" s="116">
        <f t="shared" si="2"/>
        <v>71089677.301838934</v>
      </c>
    </row>
    <row r="42" spans="1:5" x14ac:dyDescent="0.2">
      <c r="A42" s="86">
        <f t="shared" si="3"/>
        <v>12500000</v>
      </c>
      <c r="B42" s="79">
        <f t="shared" si="0"/>
        <v>327069.24387163762</v>
      </c>
      <c r="C42" s="79">
        <f t="shared" si="1"/>
        <v>327069.24387163762</v>
      </c>
      <c r="D42" s="98">
        <f t="shared" si="4"/>
        <v>9.9436935771226882E-4</v>
      </c>
      <c r="E42" s="116">
        <f t="shared" si="2"/>
        <v>73898024.9603578</v>
      </c>
    </row>
    <row r="43" spans="1:5" x14ac:dyDescent="0.2">
      <c r="A43" s="86">
        <f t="shared" si="3"/>
        <v>13125000</v>
      </c>
      <c r="B43" s="79">
        <f t="shared" si="0"/>
        <v>339144.19160605222</v>
      </c>
    </row>
    <row r="44" spans="1:5" x14ac:dyDescent="0.2">
      <c r="A44" s="86">
        <f t="shared" si="3"/>
        <v>13750000</v>
      </c>
      <c r="B44" s="79">
        <f t="shared" si="0"/>
        <v>350872.68330195546</v>
      </c>
    </row>
    <row r="45" spans="1:5" x14ac:dyDescent="0.2">
      <c r="A45" s="86">
        <f t="shared" si="3"/>
        <v>14375000</v>
      </c>
      <c r="B45" s="79">
        <f t="shared" si="0"/>
        <v>362262.86066315416</v>
      </c>
    </row>
    <row r="46" spans="1:5" x14ac:dyDescent="0.2">
      <c r="A46" s="86">
        <f t="shared" si="3"/>
        <v>15000000</v>
      </c>
      <c r="B46" s="79">
        <f t="shared" si="0"/>
        <v>373322.78622108512</v>
      </c>
    </row>
    <row r="47" spans="1:5" x14ac:dyDescent="0.2">
      <c r="A47" s="86">
        <f t="shared" si="3"/>
        <v>15625000</v>
      </c>
      <c r="B47" s="79">
        <f t="shared" si="0"/>
        <v>384060.43630284723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28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659"/>
      <c r="B9" s="157">
        <f>VAC_Optim_Scenario!G$23</f>
        <v>1599500</v>
      </c>
      <c r="C9" s="157">
        <f>VAC_Optim_Scenario!H$23</f>
        <v>6500000</v>
      </c>
      <c r="D9" s="158">
        <f>VAC_Optim_Scenario!I$23</f>
        <v>6500000</v>
      </c>
      <c r="E9" s="84">
        <f>((GSOC!D9/$B$12)^$D$12)*$C$12*$F$12</f>
        <v>150303.3320306878</v>
      </c>
      <c r="F9" s="84">
        <f>E9*F11</f>
        <v>150303.3320306878</v>
      </c>
      <c r="G9" s="76">
        <f>VAC_Optim_Scenario!E23</f>
        <v>1840000</v>
      </c>
      <c r="H9" s="159">
        <f>((GSOC!G9/$B$12)^$D$12)*$C$12*$F$12</f>
        <v>70487.367019183061</v>
      </c>
      <c r="I9" s="160">
        <f>H9*F11</f>
        <v>70487.367019183061</v>
      </c>
    </row>
    <row r="10" spans="1:9" ht="15.75" thickBot="1" x14ac:dyDescent="0.3"/>
    <row r="11" spans="1:9" ht="48.95" customHeight="1" x14ac:dyDescent="0.25">
      <c r="A11" s="654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654"/>
      <c r="B12" s="162">
        <f>'[8]HCC Social - Power'!$B$12</f>
        <v>1873000</v>
      </c>
      <c r="C12" s="162">
        <f>'[8]HCC Social - Power'!$C$12</f>
        <v>71243.17418511775</v>
      </c>
      <c r="D12" s="312">
        <f>'[8]HCC Social - Power'!$D$12</f>
        <v>0.6</v>
      </c>
      <c r="E12" s="262" t="s">
        <v>122</v>
      </c>
      <c r="F12" s="163">
        <f>VAC_Optim_Scenario!D23</f>
        <v>1</v>
      </c>
      <c r="G12" s="266">
        <f>B12*2</f>
        <v>3746000</v>
      </c>
    </row>
    <row r="13" spans="1:9" ht="18.75" customHeight="1" x14ac:dyDescent="0.25">
      <c r="A13" s="668" t="s">
        <v>171</v>
      </c>
      <c r="B13" s="669"/>
      <c r="C13" s="669"/>
      <c r="D13" s="669"/>
      <c r="E13" s="262" t="s">
        <v>172</v>
      </c>
      <c r="F13" s="262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66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66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59"/>
      <c r="B9" s="157">
        <f>VAC_Optim_Scenario!G33</f>
        <v>1800000</v>
      </c>
      <c r="C9" s="157">
        <f>VAC_Optim_Scenario!H33</f>
        <v>7000000</v>
      </c>
      <c r="D9" s="158">
        <f>VAC_Optim_Scenario!I33</f>
        <v>3792982.8268409837</v>
      </c>
      <c r="E9" s="84">
        <f>((GSOCIAL_adt!D9/$B$12)^$D$12)*$C$12*$F$12</f>
        <v>37876.160947366239</v>
      </c>
      <c r="F9" s="84">
        <f>E9*F11</f>
        <v>37876.160947366239</v>
      </c>
      <c r="G9" s="76">
        <f>VAC_Optim_Scenario!E33</f>
        <v>2200000</v>
      </c>
      <c r="H9" s="159">
        <f>((GSOCIAL_adt!G9/$B$12)^$D$12)*$C$12*$F$12</f>
        <v>27316.876297482511</v>
      </c>
      <c r="I9" s="160">
        <f>H9*F11</f>
        <v>27316.876297482511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'[9]HCC Social - Power'!$B$12</f>
        <v>1751000</v>
      </c>
      <c r="C12" s="162">
        <f>'[9]HCC Social - Power'!$C$12</f>
        <v>23820.403572058858</v>
      </c>
      <c r="D12" s="327">
        <f>'[9]HCC Social - Power'!$D$12</f>
        <v>0.6</v>
      </c>
      <c r="E12" s="331" t="s">
        <v>122</v>
      </c>
      <c r="F12" s="163">
        <f>VAC_Optim_Scenario!D33</f>
        <v>1</v>
      </c>
      <c r="G12" s="266">
        <f>B12*2</f>
        <v>3502000</v>
      </c>
    </row>
    <row r="13" spans="1:9" ht="18.75" customHeight="1" x14ac:dyDescent="0.25">
      <c r="A13" s="668" t="s">
        <v>171</v>
      </c>
      <c r="B13" s="669"/>
      <c r="C13" s="669"/>
      <c r="D13" s="669"/>
      <c r="E13" s="331" t="s">
        <v>172</v>
      </c>
      <c r="F13" s="331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VAC_Optim_Scenario!$I$48</f>
        <v>225.94</v>
      </c>
      <c r="F14" s="95">
        <f>VAC_Optim_Scenario!$F$48</f>
        <v>225.94</v>
      </c>
    </row>
    <row r="15" spans="1:9" ht="15.75" thickBot="1" x14ac:dyDescent="0.3"/>
    <row r="16" spans="1:9" x14ac:dyDescent="0.25">
      <c r="A16" s="666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6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55" t="s">
        <v>106</v>
      </c>
      <c r="C4" s="655"/>
      <c r="D4" s="655"/>
      <c r="E4" s="655"/>
      <c r="F4" s="656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57" t="s">
        <v>8</v>
      </c>
      <c r="B7" s="660" t="s">
        <v>9</v>
      </c>
      <c r="C7" s="661"/>
      <c r="D7" s="662" t="s">
        <v>12</v>
      </c>
      <c r="E7" s="663"/>
      <c r="F7" s="664"/>
      <c r="G7" s="660" t="s">
        <v>124</v>
      </c>
      <c r="H7" s="660"/>
      <c r="I7" s="665"/>
      <c r="J7" s="98" t="s">
        <v>125</v>
      </c>
    </row>
    <row r="8" spans="1:18" ht="28.15" customHeight="1" x14ac:dyDescent="0.2">
      <c r="A8" s="658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659"/>
      <c r="B9" s="95">
        <f>VAC_Optim_Scenario!G24</f>
        <v>1000000</v>
      </c>
      <c r="C9" s="95">
        <f>VAC_Optim_Scenario!H24</f>
        <v>3500000</v>
      </c>
      <c r="D9" s="68">
        <f>VAC_Optim_Scenario!I24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VAC_Optim_Scenario!E24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198</v>
      </c>
    </row>
    <row r="10" spans="1:18" ht="13.5" thickBot="1" x14ac:dyDescent="0.25"/>
    <row r="11" spans="1:18" ht="51.6" customHeight="1" x14ac:dyDescent="0.2">
      <c r="A11" s="657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666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659"/>
      <c r="B12" s="95">
        <f>'[10]HCC Online Video Curve'!$B$12</f>
        <v>173076.94</v>
      </c>
      <c r="C12" s="95">
        <f>'[10]HCC Online Video Curve'!$C$12</f>
        <v>7568.2941111774026</v>
      </c>
      <c r="D12" s="95">
        <f>'[10]HCC Online Video Curve'!$D$12</f>
        <v>0</v>
      </c>
      <c r="E12" s="95">
        <f>'[10]HCC Online Video Curve'!$E$12</f>
        <v>15136.588222354803</v>
      </c>
      <c r="F12" s="95">
        <f>'[10]HCC Online Video Curve'!$F$12</f>
        <v>8649234</v>
      </c>
      <c r="G12" s="91">
        <f>VAC_Optim_Scenario!$D$48</f>
        <v>1</v>
      </c>
      <c r="H12" s="71">
        <f>C12*G12</f>
        <v>7568.2941111774026</v>
      </c>
      <c r="I12" s="115">
        <f>VAC_Optim_Scenario!D24</f>
        <v>1</v>
      </c>
      <c r="K12" s="667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668" t="s">
        <v>114</v>
      </c>
      <c r="B13" s="669"/>
      <c r="C13" s="669"/>
      <c r="D13" s="669"/>
      <c r="E13" s="669"/>
      <c r="F13" s="670"/>
      <c r="G13" s="133" t="s">
        <v>150</v>
      </c>
      <c r="H13" s="133" t="s">
        <v>151</v>
      </c>
      <c r="K13" s="668" t="s">
        <v>115</v>
      </c>
      <c r="L13" s="669"/>
      <c r="M13" s="669"/>
      <c r="N13" s="669"/>
      <c r="O13" s="669"/>
      <c r="P13" s="669"/>
      <c r="Q13" s="669"/>
      <c r="R13" s="670"/>
    </row>
    <row r="14" spans="1:18" ht="33.6" customHeight="1" thickBot="1" x14ac:dyDescent="0.25">
      <c r="A14" s="671"/>
      <c r="B14" s="672"/>
      <c r="C14" s="672"/>
      <c r="D14" s="672"/>
      <c r="E14" s="672"/>
      <c r="F14" s="673"/>
      <c r="G14" s="95">
        <f>VAC_Optim_Scenario!$I$48</f>
        <v>225.94</v>
      </c>
      <c r="H14" s="95">
        <f>VAC_Optim_Scenario!$F$48</f>
        <v>225.94</v>
      </c>
      <c r="K14" s="671"/>
      <c r="L14" s="672"/>
      <c r="M14" s="672"/>
      <c r="N14" s="672"/>
      <c r="O14" s="672"/>
      <c r="P14" s="672"/>
      <c r="Q14" s="672"/>
      <c r="R14" s="673"/>
    </row>
    <row r="16" spans="1:18" ht="13.5" thickBot="1" x14ac:dyDescent="0.25"/>
    <row r="17" spans="1:8" ht="42.6" customHeight="1" x14ac:dyDescent="0.2">
      <c r="A17" s="666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667"/>
      <c r="B18" s="75">
        <v>0</v>
      </c>
      <c r="C18" s="76">
        <v>2000000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290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2" t="s">
        <v>102</v>
      </c>
      <c r="I2" s="333"/>
      <c r="J2" s="333"/>
      <c r="K2" s="333"/>
      <c r="L2" s="334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55" t="s">
        <v>106</v>
      </c>
      <c r="C4" s="655"/>
      <c r="D4" s="655"/>
      <c r="E4" s="655"/>
      <c r="F4" s="656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57" t="s">
        <v>8</v>
      </c>
      <c r="B7" s="660" t="s">
        <v>9</v>
      </c>
      <c r="C7" s="661"/>
      <c r="D7" s="662" t="s">
        <v>12</v>
      </c>
      <c r="E7" s="663"/>
      <c r="F7" s="664"/>
      <c r="G7" s="660" t="s">
        <v>124</v>
      </c>
      <c r="H7" s="660"/>
      <c r="I7" s="665"/>
      <c r="J7" s="98" t="s">
        <v>125</v>
      </c>
    </row>
    <row r="8" spans="1:18" ht="28.35" customHeight="1" x14ac:dyDescent="0.2">
      <c r="A8" s="658"/>
      <c r="B8" s="331" t="s">
        <v>10</v>
      </c>
      <c r="C8" s="17" t="s">
        <v>11</v>
      </c>
      <c r="D8" s="19" t="s">
        <v>20</v>
      </c>
      <c r="E8" s="331" t="s">
        <v>21</v>
      </c>
      <c r="F8" s="81" t="s">
        <v>117</v>
      </c>
      <c r="G8" s="335" t="s">
        <v>22</v>
      </c>
      <c r="H8" s="331" t="s">
        <v>23</v>
      </c>
      <c r="I8" s="88" t="s">
        <v>123</v>
      </c>
    </row>
    <row r="9" spans="1:18" ht="14.45" customHeight="1" thickBot="1" x14ac:dyDescent="0.25">
      <c r="A9" s="659"/>
      <c r="B9" s="95">
        <f>VAC_Optim_Scenario!G34</f>
        <v>1100000</v>
      </c>
      <c r="C9" s="95">
        <f>VAC_Optim_Scenario!H34</f>
        <v>3500000</v>
      </c>
      <c r="D9" s="68">
        <f>VAC_Optim_Scenario!I34</f>
        <v>2417063.0393783748</v>
      </c>
      <c r="E9" s="84">
        <f>((($R$12/(1+EXP($P$12+$Q$12*D9)))-1) - ($F$12-$C$12))*$I$12</f>
        <v>33727.023106579669</v>
      </c>
      <c r="F9" s="89">
        <f>E9*$G$12</f>
        <v>33727.023106579669</v>
      </c>
      <c r="G9" s="95">
        <f>VAC_Optim_Scenario!E34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180</v>
      </c>
    </row>
    <row r="10" spans="1:18" ht="13.5" thickBot="1" x14ac:dyDescent="0.25"/>
    <row r="11" spans="1:18" ht="51.6" customHeight="1" x14ac:dyDescent="0.2">
      <c r="A11" s="657" t="s">
        <v>15</v>
      </c>
      <c r="B11" s="337" t="s">
        <v>16</v>
      </c>
      <c r="C11" s="337" t="s">
        <v>17</v>
      </c>
      <c r="D11" s="337" t="s">
        <v>18</v>
      </c>
      <c r="E11" s="337" t="s">
        <v>19</v>
      </c>
      <c r="F11" s="338" t="s">
        <v>109</v>
      </c>
      <c r="G11" s="336" t="s">
        <v>181</v>
      </c>
      <c r="H11" s="337" t="s">
        <v>119</v>
      </c>
      <c r="I11" s="92" t="s">
        <v>122</v>
      </c>
      <c r="K11" s="666" t="s">
        <v>25</v>
      </c>
      <c r="L11" s="337" t="s">
        <v>110</v>
      </c>
      <c r="M11" s="337" t="s">
        <v>111</v>
      </c>
      <c r="N11" s="337" t="s">
        <v>112</v>
      </c>
      <c r="O11" s="337" t="s">
        <v>113</v>
      </c>
      <c r="P11" s="337" t="s">
        <v>26</v>
      </c>
      <c r="Q11" s="337" t="s">
        <v>27</v>
      </c>
      <c r="R11" s="338" t="s">
        <v>28</v>
      </c>
    </row>
    <row r="12" spans="1:18" ht="15" customHeight="1" thickBot="1" x14ac:dyDescent="0.25">
      <c r="A12" s="659"/>
      <c r="B12" s="348">
        <f>'[11]HCC Online Video Curve'!$B$12</f>
        <v>1111779.04</v>
      </c>
      <c r="C12" s="348">
        <f>'[11]HCC Online Video Curve'!$C$12</f>
        <v>21646.235649615326</v>
      </c>
      <c r="D12" s="348">
        <f>'[11]HCC Online Video Curve'!$D$12</f>
        <v>0</v>
      </c>
      <c r="E12" s="348">
        <f>'[11]HCC Online Video Curve'!$E$12</f>
        <v>43292.471299230652</v>
      </c>
      <c r="F12" s="348">
        <f>'[11]HCC Online Video Curve'!$F$12</f>
        <v>4647854</v>
      </c>
      <c r="G12" s="349">
        <f>VAC_Optim_Scenario!$D$48</f>
        <v>1</v>
      </c>
      <c r="H12" s="71">
        <f>C12*G12</f>
        <v>21646.235649615326</v>
      </c>
      <c r="I12" s="350">
        <f>VAC_Optim_Scenario!D34</f>
        <v>1</v>
      </c>
      <c r="K12" s="667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668" t="s">
        <v>182</v>
      </c>
      <c r="B13" s="669"/>
      <c r="C13" s="669"/>
      <c r="D13" s="669"/>
      <c r="E13" s="669"/>
      <c r="F13" s="670"/>
      <c r="G13" s="331" t="s">
        <v>150</v>
      </c>
      <c r="H13" s="331" t="s">
        <v>151</v>
      </c>
      <c r="K13" s="668" t="s">
        <v>115</v>
      </c>
      <c r="L13" s="669"/>
      <c r="M13" s="669"/>
      <c r="N13" s="669"/>
      <c r="O13" s="669"/>
      <c r="P13" s="669"/>
      <c r="Q13" s="669"/>
      <c r="R13" s="670"/>
    </row>
    <row r="14" spans="1:18" ht="33.6" customHeight="1" thickBot="1" x14ac:dyDescent="0.25">
      <c r="A14" s="671"/>
      <c r="B14" s="672"/>
      <c r="C14" s="672"/>
      <c r="D14" s="672"/>
      <c r="E14" s="672"/>
      <c r="F14" s="673"/>
      <c r="G14" s="95">
        <f>VAC_Optim_Scenario!$I$48</f>
        <v>225.94</v>
      </c>
      <c r="H14" s="95">
        <f>VAC_Optim_Scenario!$F$48</f>
        <v>225.94</v>
      </c>
      <c r="K14" s="671"/>
      <c r="L14" s="672"/>
      <c r="M14" s="672"/>
      <c r="N14" s="672"/>
      <c r="O14" s="672"/>
      <c r="P14" s="672"/>
      <c r="Q14" s="672"/>
      <c r="R14" s="673"/>
    </row>
    <row r="16" spans="1:18" ht="13.5" thickBot="1" x14ac:dyDescent="0.25"/>
    <row r="17" spans="1:8" ht="42.6" customHeight="1" x14ac:dyDescent="0.2">
      <c r="A17" s="666" t="s">
        <v>34</v>
      </c>
      <c r="B17" s="337" t="s">
        <v>32</v>
      </c>
      <c r="C17" s="337" t="s">
        <v>31</v>
      </c>
      <c r="D17" s="338" t="s">
        <v>33</v>
      </c>
      <c r="F17" s="96"/>
      <c r="G17" s="96"/>
      <c r="H17" s="351"/>
    </row>
    <row r="18" spans="1:8" ht="23.45" customHeight="1" thickBot="1" x14ac:dyDescent="0.25">
      <c r="A18" s="667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31" t="s">
        <v>35</v>
      </c>
      <c r="B21" s="331" t="s">
        <v>183</v>
      </c>
      <c r="C21" s="331" t="s">
        <v>184</v>
      </c>
      <c r="D21" s="98" t="s">
        <v>185</v>
      </c>
      <c r="E21" s="33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269" t="s">
        <v>10</v>
      </c>
      <c r="C8" s="269" t="s">
        <v>11</v>
      </c>
      <c r="D8" s="269" t="s">
        <v>20</v>
      </c>
      <c r="E8" s="269" t="s">
        <v>21</v>
      </c>
      <c r="F8" s="269" t="s">
        <v>117</v>
      </c>
      <c r="G8" s="269" t="s">
        <v>22</v>
      </c>
      <c r="H8" s="269" t="s">
        <v>23</v>
      </c>
      <c r="I8" s="4" t="s">
        <v>123</v>
      </c>
    </row>
    <row r="9" spans="1:9" ht="15.75" thickBot="1" x14ac:dyDescent="0.3">
      <c r="A9" s="659"/>
      <c r="B9" s="157">
        <f>VAC_Optim_Scenario!G25</f>
        <v>4817798</v>
      </c>
      <c r="C9" s="157">
        <f>VAC_Optim_Scenario!H25</f>
        <v>12070113</v>
      </c>
      <c r="D9" s="158">
        <f>VAC_Optim_Scenario!I25</f>
        <v>12070112.999999998</v>
      </c>
      <c r="E9" s="84">
        <f>((GSTRV!D9/$B$12)^$D$12)*$C$12*$F$12</f>
        <v>231121.28094253899</v>
      </c>
      <c r="F9" s="84">
        <f>E9*F11</f>
        <v>231121.28094253899</v>
      </c>
      <c r="G9" s="76">
        <f>VAC_Optim_Scenario!E25</f>
        <v>4817798</v>
      </c>
      <c r="H9" s="159">
        <f>((GSTRV!G9/$B$12)^$D$12)*$C$12*$F$12</f>
        <v>121516.7124715425</v>
      </c>
      <c r="I9" s="160">
        <f>H9*F11</f>
        <v>121516.7124715425</v>
      </c>
    </row>
    <row r="10" spans="1:9" ht="15.75" thickBot="1" x14ac:dyDescent="0.3"/>
    <row r="11" spans="1:9" ht="48.95" customHeight="1" x14ac:dyDescent="0.25">
      <c r="A11" s="654" t="s">
        <v>15</v>
      </c>
      <c r="B11" s="270" t="s">
        <v>16</v>
      </c>
      <c r="C11" s="270" t="s">
        <v>17</v>
      </c>
      <c r="D11" s="270" t="s">
        <v>170</v>
      </c>
      <c r="E11" s="269" t="s">
        <v>126</v>
      </c>
      <c r="F11" s="161">
        <v>1</v>
      </c>
    </row>
    <row r="12" spans="1:9" ht="40.5" customHeight="1" thickBot="1" x14ac:dyDescent="0.3">
      <c r="A12" s="654"/>
      <c r="B12" s="162">
        <f>'[12]Streaming Video - Power'!$B$12</f>
        <v>5935125</v>
      </c>
      <c r="C12" s="162">
        <f>'[12]Streaming Video - Power'!$C$12</f>
        <v>140618.64530883348</v>
      </c>
      <c r="D12" s="312">
        <f>'[12]Streaming Video - Power'!$D$12</f>
        <v>0.7</v>
      </c>
      <c r="E12" s="269" t="s">
        <v>122</v>
      </c>
      <c r="F12" s="163">
        <f>VAC_Optim_Scenario!D25</f>
        <v>1</v>
      </c>
      <c r="H12" s="266"/>
    </row>
    <row r="13" spans="1:9" ht="18.75" customHeight="1" x14ac:dyDescent="0.25">
      <c r="A13" s="668" t="s">
        <v>171</v>
      </c>
      <c r="B13" s="669"/>
      <c r="C13" s="669"/>
      <c r="D13" s="669"/>
      <c r="E13" s="269" t="s">
        <v>172</v>
      </c>
      <c r="F13" s="269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66" t="s">
        <v>34</v>
      </c>
      <c r="B16" s="270" t="s">
        <v>32</v>
      </c>
      <c r="C16" s="270" t="s">
        <v>31</v>
      </c>
      <c r="D16" s="271" t="s">
        <v>33</v>
      </c>
    </row>
    <row r="17" spans="1:4" ht="15.75" thickBot="1" x14ac:dyDescent="0.3">
      <c r="A17" s="667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269" t="s">
        <v>35</v>
      </c>
      <c r="B20" s="269" t="s">
        <v>177</v>
      </c>
      <c r="C20" s="269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291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59"/>
      <c r="B9" s="157">
        <f>VAC_Optim_Scenario!G35</f>
        <v>8306901</v>
      </c>
      <c r="C9" s="157">
        <f>VAC_Optim_Scenario!H35</f>
        <v>27304858</v>
      </c>
      <c r="D9" s="158">
        <f>VAC_Optim_Scenario!I35</f>
        <v>8687167.133780634</v>
      </c>
      <c r="E9" s="84">
        <f>((GSTRTV_adt!D9/$B$12)^$D$12)*$C$12*$F$12</f>
        <v>74356.103651872356</v>
      </c>
      <c r="F9" s="84">
        <f>E9*F11</f>
        <v>74356.103651872356</v>
      </c>
      <c r="G9" s="76">
        <f>VAC_Optim_Scenario!E35</f>
        <v>10268452</v>
      </c>
      <c r="H9" s="159">
        <f>((GSTRTV_adt!G9/$B$12)^$D$12)*$C$12*$F$12</f>
        <v>83590.203851267303</v>
      </c>
      <c r="I9" s="160">
        <f>H9*F11</f>
        <v>83590.203851267303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'[13]Streaming Video - Power'!$B$12</f>
        <v>13418576</v>
      </c>
      <c r="C12" s="162">
        <f>'[13]Streaming Video - Power'!$C$12</f>
        <v>100808.3256282994</v>
      </c>
      <c r="D12" s="327">
        <f>'[13]Streaming Video - Power'!$D$12</f>
        <v>0.7</v>
      </c>
      <c r="E12" s="331" t="s">
        <v>122</v>
      </c>
      <c r="F12" s="163">
        <f>VAC_Optim_Scenario!D35</f>
        <v>1</v>
      </c>
      <c r="G12" s="266">
        <f>B12*2</f>
        <v>26837152</v>
      </c>
    </row>
    <row r="13" spans="1:9" ht="18.75" customHeight="1" x14ac:dyDescent="0.25">
      <c r="A13" s="668" t="s">
        <v>171</v>
      </c>
      <c r="B13" s="669"/>
      <c r="C13" s="669"/>
      <c r="D13" s="669"/>
      <c r="E13" s="331" t="s">
        <v>172</v>
      </c>
      <c r="F13" s="331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66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67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265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4" t="s">
        <v>102</v>
      </c>
      <c r="I2" s="315"/>
      <c r="J2" s="315"/>
      <c r="K2" s="315"/>
      <c r="L2" s="316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55" t="s">
        <v>106</v>
      </c>
      <c r="C4" s="655"/>
      <c r="D4" s="655"/>
      <c r="E4" s="655"/>
      <c r="F4" s="656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57" t="s">
        <v>8</v>
      </c>
      <c r="B7" s="660" t="s">
        <v>9</v>
      </c>
      <c r="C7" s="661"/>
      <c r="D7" s="662" t="s">
        <v>12</v>
      </c>
      <c r="E7" s="663"/>
      <c r="F7" s="664"/>
      <c r="G7" s="660" t="s">
        <v>124</v>
      </c>
      <c r="H7" s="660"/>
      <c r="I7" s="665"/>
      <c r="J7" s="98" t="s">
        <v>125</v>
      </c>
    </row>
    <row r="8" spans="1:18" ht="28.15" customHeight="1" x14ac:dyDescent="0.2">
      <c r="A8" s="658"/>
      <c r="B8" s="318" t="s">
        <v>10</v>
      </c>
      <c r="C8" s="17" t="s">
        <v>11</v>
      </c>
      <c r="D8" s="19" t="s">
        <v>20</v>
      </c>
      <c r="E8" s="318" t="s">
        <v>21</v>
      </c>
      <c r="F8" s="81" t="s">
        <v>117</v>
      </c>
      <c r="G8" s="317" t="s">
        <v>22</v>
      </c>
      <c r="H8" s="318" t="s">
        <v>23</v>
      </c>
      <c r="I8" s="88" t="s">
        <v>123</v>
      </c>
    </row>
    <row r="9" spans="1:18" ht="14.65" customHeight="1" thickBot="1" x14ac:dyDescent="0.25">
      <c r="A9" s="659"/>
      <c r="B9" s="95">
        <f>VAC_Optim_Scenario!G26</f>
        <v>1600000</v>
      </c>
      <c r="C9" s="95">
        <f>VAC_Optim_Scenario!H26</f>
        <v>7000000</v>
      </c>
      <c r="D9" s="68">
        <f>VAC_Optim_Scenario!I26</f>
        <v>6603674.6489330456</v>
      </c>
      <c r="E9" s="84">
        <f>((($R$12/(1+EXP($P$12+$Q$12*D9)))-1) - ($F$12-$C$12))*$I$12</f>
        <v>227404.21143627539</v>
      </c>
      <c r="F9" s="89">
        <f>E9*$G$12</f>
        <v>227404.21143627539</v>
      </c>
      <c r="G9" s="95">
        <f>VAC_Optim_Scenario!E26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198</v>
      </c>
    </row>
    <row r="10" spans="1:18" ht="13.5" thickBot="1" x14ac:dyDescent="0.25"/>
    <row r="11" spans="1:18" ht="51.6" customHeight="1" x14ac:dyDescent="0.2">
      <c r="A11" s="657" t="s">
        <v>15</v>
      </c>
      <c r="B11" s="320" t="s">
        <v>16</v>
      </c>
      <c r="C11" s="320" t="s">
        <v>17</v>
      </c>
      <c r="D11" s="320" t="s">
        <v>18</v>
      </c>
      <c r="E11" s="320" t="s">
        <v>19</v>
      </c>
      <c r="F11" s="321" t="s">
        <v>109</v>
      </c>
      <c r="G11" s="319" t="s">
        <v>118</v>
      </c>
      <c r="H11" s="320" t="s">
        <v>119</v>
      </c>
      <c r="I11" s="92" t="s">
        <v>122</v>
      </c>
      <c r="K11" s="666" t="s">
        <v>25</v>
      </c>
      <c r="L11" s="320" t="s">
        <v>110</v>
      </c>
      <c r="M11" s="320" t="s">
        <v>111</v>
      </c>
      <c r="N11" s="320" t="s">
        <v>112</v>
      </c>
      <c r="O11" s="320" t="s">
        <v>113</v>
      </c>
      <c r="P11" s="320" t="s">
        <v>26</v>
      </c>
      <c r="Q11" s="320" t="s">
        <v>27</v>
      </c>
      <c r="R11" s="321" t="s">
        <v>28</v>
      </c>
    </row>
    <row r="12" spans="1:18" ht="15" customHeight="1" thickBot="1" x14ac:dyDescent="0.25">
      <c r="A12" s="659"/>
      <c r="B12" s="95">
        <f>'[14]HCC Display'!$B$12</f>
        <v>1648357.37</v>
      </c>
      <c r="C12" s="95">
        <f>'[14]HCC Display'!$C$12</f>
        <v>104116.3698638577</v>
      </c>
      <c r="D12" s="95">
        <f>'[14]HCC Display'!$D$12</f>
        <v>0</v>
      </c>
      <c r="E12" s="95">
        <f>'[14]HCC Display'!$E$12</f>
        <v>260290.92465964428</v>
      </c>
      <c r="F12" s="95">
        <f>'[14]HCC Display'!$F$12</f>
        <v>8649234</v>
      </c>
      <c r="G12" s="91">
        <f>VAC_Optim_Scenario!$D$48</f>
        <v>1</v>
      </c>
      <c r="H12" s="71">
        <f>C12*G12</f>
        <v>104116.3698638577</v>
      </c>
      <c r="I12" s="115">
        <f>VAC_Optim_Scenario!D24</f>
        <v>1</v>
      </c>
      <c r="K12" s="667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668" t="s">
        <v>114</v>
      </c>
      <c r="B13" s="669"/>
      <c r="C13" s="669"/>
      <c r="D13" s="669"/>
      <c r="E13" s="669"/>
      <c r="F13" s="670"/>
      <c r="G13" s="318" t="s">
        <v>150</v>
      </c>
      <c r="H13" s="318" t="s">
        <v>151</v>
      </c>
      <c r="K13" s="668" t="s">
        <v>115</v>
      </c>
      <c r="L13" s="669"/>
      <c r="M13" s="669"/>
      <c r="N13" s="669"/>
      <c r="O13" s="669"/>
      <c r="P13" s="669"/>
      <c r="Q13" s="669"/>
      <c r="R13" s="670"/>
    </row>
    <row r="14" spans="1:18" ht="33.6" customHeight="1" thickBot="1" x14ac:dyDescent="0.25">
      <c r="A14" s="671"/>
      <c r="B14" s="672"/>
      <c r="C14" s="672"/>
      <c r="D14" s="672"/>
      <c r="E14" s="672"/>
      <c r="F14" s="673"/>
      <c r="G14" s="95">
        <f>VAC_Optim_Scenario!$I$48</f>
        <v>225.94</v>
      </c>
      <c r="H14" s="95">
        <f>VAC_Optim_Scenario!$F$48</f>
        <v>225.94</v>
      </c>
      <c r="K14" s="671"/>
      <c r="L14" s="672"/>
      <c r="M14" s="672"/>
      <c r="N14" s="672"/>
      <c r="O14" s="672"/>
      <c r="P14" s="672"/>
      <c r="Q14" s="672"/>
      <c r="R14" s="673"/>
    </row>
    <row r="16" spans="1:18" ht="13.5" thickBot="1" x14ac:dyDescent="0.25"/>
    <row r="17" spans="1:8" ht="42.6" customHeight="1" x14ac:dyDescent="0.2">
      <c r="A17" s="666" t="s">
        <v>34</v>
      </c>
      <c r="B17" s="320" t="s">
        <v>32</v>
      </c>
      <c r="C17" s="320" t="s">
        <v>31</v>
      </c>
      <c r="D17" s="321" t="s">
        <v>33</v>
      </c>
      <c r="F17" s="82"/>
      <c r="G17" s="82"/>
      <c r="H17" s="83"/>
    </row>
    <row r="18" spans="1:8" ht="23.65" customHeight="1" thickBot="1" x14ac:dyDescent="0.25">
      <c r="A18" s="667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18" t="s">
        <v>35</v>
      </c>
      <c r="B21" s="318" t="s">
        <v>120</v>
      </c>
      <c r="C21" s="318" t="s">
        <v>199</v>
      </c>
      <c r="D21" s="98" t="s">
        <v>121</v>
      </c>
      <c r="E21" s="318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D9" sqref="D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294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59"/>
      <c r="B9" s="157">
        <f>VAC_Optim_Scenario!G36</f>
        <v>2900000</v>
      </c>
      <c r="C9" s="157">
        <f>VAC_Optim_Scenario!H36</f>
        <v>5000000</v>
      </c>
      <c r="D9" s="158">
        <f>VAC_Optim_Scenario!I36</f>
        <v>5000000</v>
      </c>
      <c r="E9" s="84">
        <f>((GDISP_adt!D9/$B$12)^$D$12)*$C$12*$F$12</f>
        <v>106365.19760151411</v>
      </c>
      <c r="F9" s="84">
        <f>E9*F11</f>
        <v>106365.19760151411</v>
      </c>
      <c r="G9" s="76">
        <f>VAC_Optim_Scenario!E36</f>
        <v>4000000</v>
      </c>
      <c r="H9" s="159">
        <f>((GDISP_adt!G9/$B$12)^$D$12)*$C$12*$F$12</f>
        <v>93036.538435982438</v>
      </c>
      <c r="I9" s="160">
        <f>H9*F11</f>
        <v>93036.538435982438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'[15]HCC Display - Power'!$B$12</f>
        <v>2859426.82</v>
      </c>
      <c r="C12" s="162">
        <f>'[15]HCC Display - Power'!$C$12</f>
        <v>76065.012406995462</v>
      </c>
      <c r="D12" s="327">
        <f>'[15]HCC Display - Power'!$D$12</f>
        <v>0.6</v>
      </c>
      <c r="E12" s="331" t="s">
        <v>122</v>
      </c>
      <c r="F12" s="163">
        <f>VAC_Optim_Scenario!D36</f>
        <v>1</v>
      </c>
      <c r="G12" s="266">
        <f>B12*2</f>
        <v>5718853.6399999997</v>
      </c>
    </row>
    <row r="13" spans="1:9" ht="18.75" customHeight="1" x14ac:dyDescent="0.25">
      <c r="A13" s="668" t="s">
        <v>171</v>
      </c>
      <c r="B13" s="669"/>
      <c r="C13" s="669"/>
      <c r="D13" s="669"/>
      <c r="E13" s="331" t="s">
        <v>172</v>
      </c>
      <c r="F13" s="331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VAC_Optim_Scenario!$I$48</f>
        <v>225.94</v>
      </c>
      <c r="F14" s="95">
        <f>VAC_Optim_Scenario!$F$48</f>
        <v>225.94</v>
      </c>
    </row>
    <row r="15" spans="1:9" ht="15.75" thickBot="1" x14ac:dyDescent="0.3"/>
    <row r="16" spans="1:9" x14ac:dyDescent="0.25">
      <c r="A16" s="666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6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659"/>
      <c r="B9" s="157">
        <f>VAC_Optim_Scenario!G27</f>
        <v>300000</v>
      </c>
      <c r="C9" s="157">
        <f>VAC_Optim_Scenario!H27</f>
        <v>400000</v>
      </c>
      <c r="D9" s="158">
        <f>VAC_Optim_Scenario!I27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VAC_Optim_Scenario!E27</f>
        <v>400000</v>
      </c>
      <c r="H9" s="159">
        <f>((GSEARCH!G9/$B$12)^$D$12)*$C$12*$F$12</f>
        <v>145038.35480357721</v>
      </c>
      <c r="I9" s="160">
        <f>H9*F11</f>
        <v>145038.35480357721</v>
      </c>
    </row>
    <row r="10" spans="1:9" ht="15.75" thickBot="1" x14ac:dyDescent="0.3"/>
    <row r="11" spans="1:9" ht="48.95" customHeight="1" x14ac:dyDescent="0.25">
      <c r="A11" s="654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654"/>
      <c r="B12" s="162">
        <f>'[16]HCC Paid Search - Power'!$B$12</f>
        <v>344707</v>
      </c>
      <c r="C12" s="162">
        <f>'[16]HCC Paid Search - Power'!$C$12</f>
        <v>130694.08808973072</v>
      </c>
      <c r="D12" s="312">
        <f>'[16]HCC Paid Search - Power'!$D$12</f>
        <v>0.7</v>
      </c>
      <c r="E12" s="147" t="s">
        <v>122</v>
      </c>
      <c r="F12" s="163">
        <f>VAC_Optim_Scenario!D27</f>
        <v>1</v>
      </c>
    </row>
    <row r="13" spans="1:9" ht="18.75" customHeight="1" x14ac:dyDescent="0.25">
      <c r="A13" s="668" t="s">
        <v>171</v>
      </c>
      <c r="B13" s="669"/>
      <c r="C13" s="669"/>
      <c r="D13" s="669"/>
      <c r="E13" s="147" t="s">
        <v>172</v>
      </c>
      <c r="F13" s="147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66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667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59"/>
      <c r="B9" s="157">
        <f>VAC_Optim_Scenario!G37</f>
        <v>100000</v>
      </c>
      <c r="C9" s="157">
        <f>VAC_Optim_Scenario!H37</f>
        <v>200000</v>
      </c>
      <c r="D9" s="158">
        <f>VAC_Optim_Scenario!I37</f>
        <v>200000</v>
      </c>
      <c r="E9" s="84">
        <f>((GPDSRCH_adt!D9/$B$12)^$D$12)*$C$12*$F$12</f>
        <v>79531.473375019181</v>
      </c>
      <c r="F9" s="84">
        <f>E9*F11</f>
        <v>79531.473375019181</v>
      </c>
      <c r="G9" s="76">
        <f>VAC_Optim_Scenario!E37</f>
        <v>200000</v>
      </c>
      <c r="H9" s="159">
        <f>((GPDSRCH_adt!G9/$B$12)^$D$12)*$C$12*$F$12</f>
        <v>79531.473375019181</v>
      </c>
      <c r="I9" s="160">
        <f>H9*F11</f>
        <v>79531.473375019181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'[17]HCC Paid Search - Power'!$B$12</f>
        <v>50000</v>
      </c>
      <c r="C12" s="162">
        <f>'[17]HCC Paid Search - Power'!$C$12</f>
        <v>30136.792938374307</v>
      </c>
      <c r="D12" s="327">
        <f>'[17]HCC Paid Search - Power'!$D$12</f>
        <v>0.7</v>
      </c>
      <c r="E12" s="331" t="s">
        <v>122</v>
      </c>
      <c r="F12" s="163">
        <f>VAC_Optim_Scenario!D37</f>
        <v>1</v>
      </c>
      <c r="G12" s="266">
        <f>B12*2</f>
        <v>100000</v>
      </c>
    </row>
    <row r="13" spans="1:9" ht="18.75" customHeight="1" x14ac:dyDescent="0.25">
      <c r="A13" s="668" t="s">
        <v>171</v>
      </c>
      <c r="B13" s="669"/>
      <c r="C13" s="669"/>
      <c r="D13" s="669"/>
      <c r="E13" s="331" t="s">
        <v>172</v>
      </c>
      <c r="F13" s="331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66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6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59"/>
      <c r="B9" s="157">
        <f>VAC_Optim_Scenario!G28</f>
        <v>1400000</v>
      </c>
      <c r="C9" s="157">
        <f>VAC_Optim_Scenario!H28</f>
        <v>4800000</v>
      </c>
      <c r="D9" s="158">
        <f>VAC_Optim_Scenario!I28</f>
        <v>4800000</v>
      </c>
      <c r="E9" s="159">
        <f>((GRADIO!D9/$B$12)^$D$12)*$C$12*$F$12</f>
        <v>145504.50354692468</v>
      </c>
      <c r="F9" s="84">
        <f>E9*F11</f>
        <v>145504.50354692468</v>
      </c>
      <c r="G9" s="76">
        <f>VAC_Optim_Scenario!E28</f>
        <v>2220000</v>
      </c>
      <c r="H9" s="159">
        <f>((GRADIO!G9/$B$12)^$D$12)*$C$12*$F$12</f>
        <v>91610.125423352103</v>
      </c>
      <c r="I9" s="160">
        <f>H9*F11</f>
        <v>91610.125423352103</v>
      </c>
    </row>
    <row r="10" spans="1:9" ht="15.75" thickBot="1" x14ac:dyDescent="0.3"/>
    <row r="11" spans="1:9" ht="48.95" customHeight="1" x14ac:dyDescent="0.25">
      <c r="A11" s="654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54"/>
      <c r="B12" s="162">
        <f>'[18]Radio - Power'!$B$12</f>
        <v>1437048.41</v>
      </c>
      <c r="C12" s="162">
        <f>'[18]Radio - Power'!$C$12</f>
        <v>70569.092436493243</v>
      </c>
      <c r="D12" s="312">
        <f>'[18]Radio - Power'!$D$12</f>
        <v>0.6</v>
      </c>
      <c r="E12" s="144" t="s">
        <v>122</v>
      </c>
      <c r="F12" s="163">
        <f>VAC_Optim_Scenario!D28</f>
        <v>1</v>
      </c>
    </row>
    <row r="13" spans="1:9" ht="18.75" customHeight="1" x14ac:dyDescent="0.25">
      <c r="A13" s="668" t="s">
        <v>171</v>
      </c>
      <c r="B13" s="669"/>
      <c r="C13" s="669"/>
      <c r="D13" s="669"/>
      <c r="E13" s="144" t="s">
        <v>172</v>
      </c>
      <c r="F13" s="144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66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67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zoomScaleNormal="100"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324" t="s">
        <v>10</v>
      </c>
      <c r="C8" s="324" t="s">
        <v>11</v>
      </c>
      <c r="D8" s="324" t="s">
        <v>20</v>
      </c>
      <c r="E8" s="324" t="s">
        <v>21</v>
      </c>
      <c r="F8" s="324" t="s">
        <v>117</v>
      </c>
      <c r="G8" s="324" t="s">
        <v>22</v>
      </c>
      <c r="H8" s="324" t="s">
        <v>23</v>
      </c>
      <c r="I8" s="4" t="s">
        <v>123</v>
      </c>
    </row>
    <row r="9" spans="1:9" ht="15.75" thickBot="1" x14ac:dyDescent="0.3">
      <c r="A9" s="659"/>
      <c r="B9" s="157">
        <f>VAC_Optim_Scenario!G39</f>
        <v>500000</v>
      </c>
      <c r="C9" s="157">
        <f>VAC_Optim_Scenario!H39</f>
        <v>2200000</v>
      </c>
      <c r="D9" s="158">
        <f>VAC_Optim_Scenario!I39</f>
        <v>2200000</v>
      </c>
      <c r="E9" s="84">
        <f>((GAUDIO!D9/$B$12)^$D$12)*$C$12*$F$12</f>
        <v>37608.450193722703</v>
      </c>
      <c r="F9" s="84">
        <f>E9*F11</f>
        <v>37608.450193722703</v>
      </c>
      <c r="G9" s="76">
        <f>VAC_Optim_Scenario!E39</f>
        <v>1500000</v>
      </c>
      <c r="H9" s="159">
        <f>((GAUDIO!G9/$B$12)^$D$12)*$C$12*$F$12</f>
        <v>32266.574959240672</v>
      </c>
      <c r="I9" s="160">
        <f>H9*F11</f>
        <v>32266.574959240672</v>
      </c>
    </row>
    <row r="10" spans="1:9" ht="15.75" thickBot="1" x14ac:dyDescent="0.3"/>
    <row r="11" spans="1:9" ht="48.95" customHeight="1" x14ac:dyDescent="0.25">
      <c r="A11" s="654" t="s">
        <v>15</v>
      </c>
      <c r="B11" s="325" t="s">
        <v>16</v>
      </c>
      <c r="C11" s="325" t="s">
        <v>17</v>
      </c>
      <c r="D11" s="325" t="s">
        <v>170</v>
      </c>
      <c r="E11" s="324" t="s">
        <v>126</v>
      </c>
      <c r="F11" s="161">
        <v>1</v>
      </c>
    </row>
    <row r="12" spans="1:9" ht="40.5" customHeight="1" thickBot="1" x14ac:dyDescent="0.3">
      <c r="A12" s="654"/>
      <c r="B12" s="162">
        <f>'[19]Radio - Power'!$B$12</f>
        <v>923975</v>
      </c>
      <c r="C12" s="162">
        <f>'[19]Radio - Power'!$C$12</f>
        <v>26581.559263521289</v>
      </c>
      <c r="D12" s="327">
        <f>'[19]Radio - Power'!$D$12</f>
        <v>0.4</v>
      </c>
      <c r="E12" s="324" t="s">
        <v>122</v>
      </c>
      <c r="F12" s="163">
        <f>[20]VAC_Optim_Scenario!D24</f>
        <v>1</v>
      </c>
      <c r="G12" s="266">
        <f>B12*2</f>
        <v>1847950</v>
      </c>
    </row>
    <row r="13" spans="1:9" ht="18.75" customHeight="1" x14ac:dyDescent="0.25">
      <c r="A13" s="668" t="s">
        <v>171</v>
      </c>
      <c r="B13" s="669"/>
      <c r="C13" s="669"/>
      <c r="D13" s="669"/>
      <c r="E13" s="324" t="s">
        <v>172</v>
      </c>
      <c r="F13" s="324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66" t="s">
        <v>34</v>
      </c>
      <c r="B16" s="325" t="s">
        <v>32</v>
      </c>
      <c r="C16" s="325" t="s">
        <v>31</v>
      </c>
      <c r="D16" s="326" t="s">
        <v>33</v>
      </c>
    </row>
    <row r="17" spans="1:4" ht="15.75" thickBot="1" x14ac:dyDescent="0.3">
      <c r="A17" s="66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24" t="s">
        <v>35</v>
      </c>
      <c r="B20" s="324" t="s">
        <v>177</v>
      </c>
      <c r="C20" s="324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59"/>
      <c r="B9" s="157">
        <f>VAC_Optim_Scenario!G29</f>
        <v>15700000</v>
      </c>
      <c r="C9" s="157">
        <f>VAC_Optim_Scenario!H29</f>
        <v>15700000</v>
      </c>
      <c r="D9" s="158">
        <f>VAC_Optim_Scenario!I29</f>
        <v>15700000</v>
      </c>
      <c r="E9" s="84">
        <f>((GTV!D9/$B$12)^$D$12)*$C$12*$F$12</f>
        <v>281912.11859902256</v>
      </c>
      <c r="F9" s="84">
        <f>E9*F11</f>
        <v>281912.11859902256</v>
      </c>
      <c r="G9" s="76">
        <f>VAC_Optim_Scenario!E29</f>
        <v>15700000</v>
      </c>
      <c r="H9" s="159">
        <f>((GTV!G9/$B$12)^$D$12)*$C$12*$F$12</f>
        <v>281912.11859902256</v>
      </c>
      <c r="I9" s="160">
        <f>H9*F11</f>
        <v>281912.11859902256</v>
      </c>
    </row>
    <row r="10" spans="1:9" ht="15.75" thickBot="1" x14ac:dyDescent="0.3"/>
    <row r="11" spans="1:9" ht="48.95" customHeight="1" x14ac:dyDescent="0.25">
      <c r="A11" s="654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54"/>
      <c r="B12" s="162">
        <f>'[21]TV - Power'!$B$12</f>
        <v>13503524.99</v>
      </c>
      <c r="C12" s="162">
        <f>'[21]TV - Power'!$C$12</f>
        <v>253686.28893952153</v>
      </c>
      <c r="D12" s="312">
        <f>'[21]TV - Power'!$D$12</f>
        <v>0.7</v>
      </c>
      <c r="E12" s="144" t="s">
        <v>122</v>
      </c>
      <c r="F12" s="163">
        <f>VAC_Optim_Scenario!D29</f>
        <v>1</v>
      </c>
    </row>
    <row r="13" spans="1:9" ht="18.75" customHeight="1" x14ac:dyDescent="0.25">
      <c r="A13" s="668" t="s">
        <v>171</v>
      </c>
      <c r="B13" s="669"/>
      <c r="C13" s="669"/>
      <c r="D13" s="669"/>
      <c r="E13" s="144" t="s">
        <v>172</v>
      </c>
      <c r="F13" s="144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66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67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55" t="s">
        <v>106</v>
      </c>
      <c r="C4" s="655"/>
      <c r="D4" s="655"/>
      <c r="E4" s="655"/>
      <c r="F4" s="656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57" t="s">
        <v>8</v>
      </c>
      <c r="B7" s="660" t="s">
        <v>9</v>
      </c>
      <c r="C7" s="661"/>
      <c r="D7" s="662" t="s">
        <v>12</v>
      </c>
      <c r="E7" s="663"/>
      <c r="F7" s="664"/>
      <c r="G7" s="660" t="s">
        <v>124</v>
      </c>
      <c r="H7" s="660"/>
      <c r="I7" s="665"/>
      <c r="J7" s="98" t="s">
        <v>125</v>
      </c>
    </row>
    <row r="8" spans="1:18" ht="28.15" customHeight="1" x14ac:dyDescent="0.2">
      <c r="A8" s="65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59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65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66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59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VAC_Optim_Scenario!$D$48</f>
        <v>1</v>
      </c>
      <c r="H12" s="71">
        <f>C12*G12</f>
        <v>54924.559200000003</v>
      </c>
      <c r="I12" s="115" t="e">
        <f>VAC_Optim_Scenario!#REF!</f>
        <v>#REF!</v>
      </c>
      <c r="K12" s="667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668" t="s">
        <v>114</v>
      </c>
      <c r="B13" s="669"/>
      <c r="C13" s="669"/>
      <c r="D13" s="669"/>
      <c r="E13" s="669"/>
      <c r="F13" s="670"/>
      <c r="G13" s="119" t="s">
        <v>150</v>
      </c>
      <c r="H13" s="119" t="s">
        <v>151</v>
      </c>
      <c r="K13" s="668" t="s">
        <v>115</v>
      </c>
      <c r="L13" s="669"/>
      <c r="M13" s="669"/>
      <c r="N13" s="669"/>
      <c r="O13" s="669"/>
      <c r="P13" s="669"/>
      <c r="Q13" s="669"/>
      <c r="R13" s="670"/>
    </row>
    <row r="14" spans="1:18" ht="33.6" customHeight="1" thickBot="1" x14ac:dyDescent="0.25">
      <c r="A14" s="671"/>
      <c r="B14" s="672"/>
      <c r="C14" s="672"/>
      <c r="D14" s="672"/>
      <c r="E14" s="672"/>
      <c r="F14" s="673"/>
      <c r="G14" s="95">
        <f>VAC_Optim_Scenario!I48</f>
        <v>225.94</v>
      </c>
      <c r="H14" s="95">
        <f>VAC_Optim_Scenario!G48</f>
        <v>225.94</v>
      </c>
      <c r="K14" s="671"/>
      <c r="L14" s="672"/>
      <c r="M14" s="672"/>
      <c r="N14" s="672"/>
      <c r="O14" s="672"/>
      <c r="P14" s="672"/>
      <c r="Q14" s="672"/>
      <c r="R14" s="673"/>
    </row>
    <row r="16" spans="1:18" ht="13.5" thickBot="1" x14ac:dyDescent="0.25"/>
    <row r="17" spans="1:8" ht="42.6" customHeight="1" x14ac:dyDescent="0.2">
      <c r="A17" s="66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67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297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74"/>
      <c r="C4" s="675"/>
      <c r="D4" s="675"/>
      <c r="E4" s="675"/>
      <c r="F4" s="67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57" t="s">
        <v>8</v>
      </c>
      <c r="B7" s="660" t="s">
        <v>9</v>
      </c>
      <c r="C7" s="660"/>
      <c r="D7" s="660" t="s">
        <v>12</v>
      </c>
      <c r="E7" s="660"/>
      <c r="F7" s="660"/>
      <c r="G7" s="660" t="s">
        <v>124</v>
      </c>
      <c r="H7" s="660"/>
      <c r="I7" s="665"/>
    </row>
    <row r="8" spans="1:9" x14ac:dyDescent="0.25">
      <c r="A8" s="658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59"/>
      <c r="B9" s="157">
        <f>VAC_Optim_Scenario!G38</f>
        <v>28089211</v>
      </c>
      <c r="C9" s="157">
        <f>VAC_Optim_Scenario!H38</f>
        <v>28089211</v>
      </c>
      <c r="D9" s="158">
        <f>VAC_Optim_Scenario!I38</f>
        <v>28089211</v>
      </c>
      <c r="E9" s="84">
        <f>((GLINEARTV_adt!D9/$B$12)^$D$12)*$C$12*$F$12</f>
        <v>178786.88879772768</v>
      </c>
      <c r="F9" s="84">
        <f>E9*F11</f>
        <v>178786.88879772768</v>
      </c>
      <c r="G9" s="76">
        <f>VAC_Optim_Scenario!E38</f>
        <v>28089211</v>
      </c>
      <c r="H9" s="159">
        <f>((GLINEARTV_adt!G9/$B$12)^$D$12)*$C$12*$F$12</f>
        <v>178786.88879772768</v>
      </c>
      <c r="I9" s="160">
        <f>H9*F11</f>
        <v>178786.88879772768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'[22]TV - Power'!$B$12</f>
        <v>25810928.600000001</v>
      </c>
      <c r="C12" s="162">
        <f>'[22]TV - Power'!$C$12</f>
        <v>168508.00202805389</v>
      </c>
      <c r="D12" s="327">
        <f>'[22]TV - Power'!$D$12</f>
        <v>0.7</v>
      </c>
      <c r="E12" s="331" t="s">
        <v>122</v>
      </c>
      <c r="F12" s="163">
        <f>VAC_Optim_Scenario!D38</f>
        <v>1</v>
      </c>
      <c r="G12" s="266">
        <f>B12*2</f>
        <v>51621857.200000003</v>
      </c>
    </row>
    <row r="13" spans="1:9" ht="18.75" customHeight="1" x14ac:dyDescent="0.25">
      <c r="A13" s="668" t="s">
        <v>171</v>
      </c>
      <c r="B13" s="669"/>
      <c r="C13" s="669"/>
      <c r="D13" s="669"/>
      <c r="E13" s="331" t="s">
        <v>172</v>
      </c>
      <c r="F13" s="331" t="s">
        <v>173</v>
      </c>
    </row>
    <row r="14" spans="1:9" ht="15.75" thickBot="1" x14ac:dyDescent="0.3">
      <c r="A14" s="671"/>
      <c r="B14" s="672"/>
      <c r="C14" s="672"/>
      <c r="D14" s="672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66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67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305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90" t="s">
        <v>102</v>
      </c>
      <c r="I2" s="391"/>
      <c r="J2" s="391"/>
      <c r="K2" s="391"/>
      <c r="L2" s="392"/>
    </row>
    <row r="3" spans="1:18" ht="13.5" thickBot="1" x14ac:dyDescent="0.25">
      <c r="A3" s="11" t="s">
        <v>3</v>
      </c>
      <c r="B3" s="12" t="s">
        <v>306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55" t="s">
        <v>106</v>
      </c>
      <c r="C4" s="655"/>
      <c r="D4" s="655"/>
      <c r="E4" s="655"/>
      <c r="F4" s="656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[23]VAC_Optim_Scenario!$G$14</f>
        <v>0.5</v>
      </c>
      <c r="C6" s="94">
        <f>[23]VAC_Optim_Scenario!$H$14</f>
        <v>2</v>
      </c>
    </row>
    <row r="7" spans="1:18" ht="27.75" customHeight="1" x14ac:dyDescent="0.2">
      <c r="A7" s="657" t="s">
        <v>8</v>
      </c>
      <c r="B7" s="660" t="s">
        <v>9</v>
      </c>
      <c r="C7" s="661"/>
      <c r="D7" s="662" t="s">
        <v>12</v>
      </c>
      <c r="E7" s="663"/>
      <c r="F7" s="664"/>
      <c r="G7" s="660" t="s">
        <v>124</v>
      </c>
      <c r="H7" s="660"/>
      <c r="I7" s="665"/>
      <c r="J7" s="98" t="s">
        <v>125</v>
      </c>
    </row>
    <row r="8" spans="1:18" ht="28.35" customHeight="1" x14ac:dyDescent="0.2">
      <c r="A8" s="658"/>
      <c r="B8" s="389" t="s">
        <v>10</v>
      </c>
      <c r="C8" s="17" t="s">
        <v>11</v>
      </c>
      <c r="D8" s="19" t="s">
        <v>20</v>
      </c>
      <c r="E8" s="389" t="s">
        <v>21</v>
      </c>
      <c r="F8" s="81" t="s">
        <v>117</v>
      </c>
      <c r="G8" s="393" t="s">
        <v>22</v>
      </c>
      <c r="H8" s="389" t="s">
        <v>23</v>
      </c>
      <c r="I8" s="88" t="s">
        <v>123</v>
      </c>
    </row>
    <row r="9" spans="1:18" ht="14.45" customHeight="1" thickBot="1" x14ac:dyDescent="0.25">
      <c r="A9" s="659"/>
      <c r="B9" s="95">
        <f>VAC_Optim_Scenario!G40</f>
        <v>3200000</v>
      </c>
      <c r="C9" s="95">
        <f>VAC_Optim_Scenario!H40</f>
        <v>3200000</v>
      </c>
      <c r="D9" s="95">
        <f>VAC_Optim_Scenario!I40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VAC_Optim_Scenario!E40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180</v>
      </c>
    </row>
    <row r="10" spans="1:18" ht="13.5" thickBot="1" x14ac:dyDescent="0.25"/>
    <row r="11" spans="1:18" ht="51.6" customHeight="1" x14ac:dyDescent="0.2">
      <c r="A11" s="657" t="s">
        <v>15</v>
      </c>
      <c r="B11" s="395" t="s">
        <v>16</v>
      </c>
      <c r="C11" s="395" t="s">
        <v>17</v>
      </c>
      <c r="D11" s="395" t="s">
        <v>18</v>
      </c>
      <c r="E11" s="395" t="s">
        <v>19</v>
      </c>
      <c r="F11" s="396" t="s">
        <v>109</v>
      </c>
      <c r="G11" s="394" t="s">
        <v>181</v>
      </c>
      <c r="H11" s="395" t="s">
        <v>119</v>
      </c>
      <c r="I11" s="92" t="s">
        <v>122</v>
      </c>
      <c r="K11" s="666" t="s">
        <v>25</v>
      </c>
      <c r="L11" s="395" t="s">
        <v>110</v>
      </c>
      <c r="M11" s="395" t="s">
        <v>111</v>
      </c>
      <c r="N11" s="395" t="s">
        <v>112</v>
      </c>
      <c r="O11" s="395" t="s">
        <v>113</v>
      </c>
      <c r="P11" s="395" t="s">
        <v>26</v>
      </c>
      <c r="Q11" s="395" t="s">
        <v>27</v>
      </c>
      <c r="R11" s="396" t="s">
        <v>28</v>
      </c>
    </row>
    <row r="12" spans="1:18" ht="15" customHeight="1" thickBot="1" x14ac:dyDescent="0.25">
      <c r="A12" s="659"/>
      <c r="B12" s="348">
        <f>'[24]HCC PHARMACY SCurve'!$B$12</f>
        <v>2411882</v>
      </c>
      <c r="C12" s="153">
        <f>'[24]HCC PHARMACY SCurve'!$C$12</f>
        <v>18205.431530494821</v>
      </c>
      <c r="D12" s="153">
        <f>'[24]HCC PHARMACY SCurve'!$D$12</f>
        <v>0</v>
      </c>
      <c r="E12" s="153">
        <f>'[24]HCC PHARMACY SCurve'!$E$12</f>
        <v>45513.578826237055</v>
      </c>
      <c r="F12" s="153">
        <f>'[24]HCC PHARMACY SCurve'!$F$12</f>
        <v>4647854</v>
      </c>
      <c r="G12" s="349">
        <f>[23]VAC_Optim_Scenario!$D$33</f>
        <v>1</v>
      </c>
      <c r="H12" s="71">
        <f>C12*G12</f>
        <v>18205.431530494821</v>
      </c>
      <c r="I12" s="350">
        <f>[23]VAC_Optim_Scenario!D26</f>
        <v>1</v>
      </c>
      <c r="K12" s="667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668" t="s">
        <v>182</v>
      </c>
      <c r="B13" s="669"/>
      <c r="C13" s="669"/>
      <c r="D13" s="669"/>
      <c r="E13" s="669"/>
      <c r="F13" s="670"/>
      <c r="G13" s="389" t="s">
        <v>150</v>
      </c>
      <c r="H13" s="389" t="s">
        <v>151</v>
      </c>
      <c r="K13" s="668" t="s">
        <v>115</v>
      </c>
      <c r="L13" s="669"/>
      <c r="M13" s="669"/>
      <c r="N13" s="669"/>
      <c r="O13" s="669"/>
      <c r="P13" s="669"/>
      <c r="Q13" s="669"/>
      <c r="R13" s="670"/>
    </row>
    <row r="14" spans="1:18" ht="33.6" customHeight="1" thickBot="1" x14ac:dyDescent="0.25">
      <c r="A14" s="671"/>
      <c r="B14" s="672"/>
      <c r="C14" s="672"/>
      <c r="D14" s="672"/>
      <c r="E14" s="672"/>
      <c r="F14" s="673"/>
      <c r="G14" s="95">
        <f>VAC_Optim_Scenario!I48</f>
        <v>225.94</v>
      </c>
      <c r="H14" s="95">
        <f>VAC_Optim_Scenario!G48</f>
        <v>225.94</v>
      </c>
      <c r="K14" s="671"/>
      <c r="L14" s="672"/>
      <c r="M14" s="672"/>
      <c r="N14" s="672"/>
      <c r="O14" s="672"/>
      <c r="P14" s="672"/>
      <c r="Q14" s="672"/>
      <c r="R14" s="673"/>
    </row>
    <row r="16" spans="1:18" ht="13.5" thickBot="1" x14ac:dyDescent="0.25"/>
    <row r="17" spans="1:8" ht="42.6" customHeight="1" x14ac:dyDescent="0.2">
      <c r="A17" s="666" t="s">
        <v>34</v>
      </c>
      <c r="B17" s="395" t="s">
        <v>32</v>
      </c>
      <c r="C17" s="395" t="s">
        <v>31</v>
      </c>
      <c r="D17" s="396" t="s">
        <v>33</v>
      </c>
      <c r="F17" s="96"/>
      <c r="G17" s="96"/>
      <c r="H17" s="351"/>
    </row>
    <row r="18" spans="1:8" ht="23.45" customHeight="1" thickBot="1" x14ac:dyDescent="0.25">
      <c r="A18" s="667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89" t="s">
        <v>35</v>
      </c>
      <c r="B21" s="389" t="s">
        <v>183</v>
      </c>
      <c r="C21" s="389" t="s">
        <v>184</v>
      </c>
      <c r="D21" s="98" t="s">
        <v>185</v>
      </c>
      <c r="E21" s="38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638" t="s">
        <v>100</v>
      </c>
      <c r="G2" s="639"/>
      <c r="H2" s="639"/>
      <c r="I2" s="639"/>
      <c r="J2" s="639"/>
      <c r="K2" s="639"/>
      <c r="L2" s="640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641" t="s">
        <v>72</v>
      </c>
      <c r="G3" s="642"/>
      <c r="H3" s="642"/>
      <c r="I3" s="642"/>
      <c r="J3" s="642"/>
      <c r="K3" s="642"/>
      <c r="L3" s="643"/>
    </row>
    <row r="4" spans="1:12" ht="13.5" thickBot="1" x14ac:dyDescent="0.25">
      <c r="A4" s="29" t="s">
        <v>38</v>
      </c>
      <c r="B4" s="677" t="s">
        <v>39</v>
      </c>
      <c r="C4" s="677"/>
      <c r="D4" s="678"/>
    </row>
    <row r="6" spans="1:12" ht="13.5" thickBot="1" x14ac:dyDescent="0.25"/>
    <row r="7" spans="1:12" ht="27.75" customHeight="1" x14ac:dyDescent="0.2">
      <c r="A7" s="657" t="s">
        <v>8</v>
      </c>
      <c r="B7" s="660" t="s">
        <v>9</v>
      </c>
      <c r="C7" s="661"/>
      <c r="D7" s="662" t="s">
        <v>12</v>
      </c>
      <c r="E7" s="664"/>
      <c r="F7" s="663" t="s">
        <v>24</v>
      </c>
      <c r="G7" s="685"/>
    </row>
    <row r="8" spans="1:12" ht="25.5" x14ac:dyDescent="0.2">
      <c r="A8" s="6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59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65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657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659"/>
      <c r="B12" s="12">
        <v>20</v>
      </c>
      <c r="C12" s="12">
        <v>30</v>
      </c>
      <c r="D12" s="12">
        <v>0</v>
      </c>
      <c r="E12" s="14">
        <v>70</v>
      </c>
      <c r="G12" s="659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668" t="s">
        <v>30</v>
      </c>
      <c r="B13" s="669"/>
      <c r="C13" s="669"/>
      <c r="D13" s="669"/>
      <c r="E13" s="670"/>
      <c r="G13" s="679" t="s">
        <v>29</v>
      </c>
      <c r="H13" s="680"/>
      <c r="I13" s="680"/>
      <c r="J13" s="681"/>
    </row>
    <row r="14" spans="1:12" ht="33.6" customHeight="1" x14ac:dyDescent="0.2">
      <c r="A14" s="671"/>
      <c r="B14" s="672"/>
      <c r="C14" s="672"/>
      <c r="D14" s="672"/>
      <c r="E14" s="673"/>
      <c r="G14" s="682"/>
      <c r="H14" s="683"/>
      <c r="I14" s="683"/>
      <c r="J14" s="684"/>
    </row>
    <row r="16" spans="1:12" ht="13.5" thickBot="1" x14ac:dyDescent="0.25"/>
    <row r="17" spans="1:4" ht="16.899999999999999" customHeight="1" x14ac:dyDescent="0.2">
      <c r="A17" s="666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667"/>
      <c r="B18" s="12">
        <v>0</v>
      </c>
      <c r="C18" s="12">
        <v>100</v>
      </c>
      <c r="D18" s="26">
        <v>20</v>
      </c>
    </row>
    <row r="20" spans="1:4" x14ac:dyDescent="0.2">
      <c r="A20" s="654" t="s">
        <v>37</v>
      </c>
      <c r="B20" s="654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638" t="s">
        <v>100</v>
      </c>
      <c r="G2" s="639"/>
      <c r="H2" s="639"/>
      <c r="I2" s="639"/>
      <c r="J2" s="639"/>
      <c r="K2" s="639"/>
      <c r="L2" s="640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641" t="s">
        <v>72</v>
      </c>
      <c r="G3" s="642"/>
      <c r="H3" s="642"/>
      <c r="I3" s="642"/>
      <c r="J3" s="642"/>
      <c r="K3" s="642"/>
      <c r="L3" s="643"/>
    </row>
    <row r="4" spans="1:12" ht="31.9" customHeight="1" thickBot="1" x14ac:dyDescent="0.25">
      <c r="A4" s="29" t="s">
        <v>38</v>
      </c>
      <c r="B4" s="690" t="s">
        <v>41</v>
      </c>
      <c r="C4" s="691"/>
      <c r="D4" s="692"/>
    </row>
    <row r="6" spans="1:12" ht="13.5" thickBot="1" x14ac:dyDescent="0.25"/>
    <row r="7" spans="1:12" ht="27.75" customHeight="1" x14ac:dyDescent="0.2">
      <c r="A7" s="657" t="s">
        <v>8</v>
      </c>
      <c r="B7" s="660" t="s">
        <v>9</v>
      </c>
      <c r="C7" s="661"/>
      <c r="D7" s="662" t="s">
        <v>12</v>
      </c>
      <c r="E7" s="664"/>
      <c r="F7" s="663" t="s">
        <v>24</v>
      </c>
      <c r="G7" s="685"/>
      <c r="H7" s="1" t="s">
        <v>54</v>
      </c>
    </row>
    <row r="8" spans="1:12" ht="25.5" x14ac:dyDescent="0.2">
      <c r="A8" s="6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59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657" t="s">
        <v>42</v>
      </c>
      <c r="B11" s="612" t="s">
        <v>47</v>
      </c>
      <c r="C11" s="687" t="s">
        <v>46</v>
      </c>
      <c r="D11" s="663"/>
      <c r="E11" s="663"/>
      <c r="F11" s="3" t="s">
        <v>48</v>
      </c>
      <c r="G11" s="33"/>
      <c r="H11" s="32"/>
      <c r="I11" s="32"/>
      <c r="J11" s="32"/>
    </row>
    <row r="12" spans="1:12" x14ac:dyDescent="0.2">
      <c r="A12" s="688"/>
      <c r="B12" s="613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689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686" t="s">
        <v>52</v>
      </c>
      <c r="B14" s="686"/>
      <c r="C14" s="686"/>
      <c r="D14" s="686"/>
      <c r="E14" s="686"/>
      <c r="F14" s="686"/>
      <c r="G14" s="38"/>
      <c r="H14" s="39"/>
      <c r="I14" s="39"/>
      <c r="J14" s="39"/>
    </row>
    <row r="15" spans="1:12" ht="30.6" customHeight="1" x14ac:dyDescent="0.2">
      <c r="A15" s="686"/>
      <c r="B15" s="686"/>
      <c r="C15" s="686"/>
      <c r="D15" s="686"/>
      <c r="E15" s="686"/>
      <c r="F15" s="686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666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667"/>
      <c r="B19" s="12">
        <v>0</v>
      </c>
      <c r="C19" s="12">
        <v>20000000</v>
      </c>
      <c r="D19" s="26">
        <v>20</v>
      </c>
    </row>
    <row r="21" spans="1:4" x14ac:dyDescent="0.2">
      <c r="A21" s="654" t="s">
        <v>37</v>
      </c>
      <c r="B21" s="654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693" t="s">
        <v>106</v>
      </c>
      <c r="C4" s="693"/>
      <c r="D4" s="693"/>
      <c r="E4" s="693"/>
      <c r="F4" s="694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657" t="s">
        <v>8</v>
      </c>
      <c r="B7" s="660" t="s">
        <v>9</v>
      </c>
      <c r="C7" s="661"/>
      <c r="D7" s="662" t="s">
        <v>12</v>
      </c>
      <c r="E7" s="664"/>
      <c r="F7" s="663" t="s">
        <v>24</v>
      </c>
      <c r="G7" s="685"/>
    </row>
    <row r="8" spans="1:15" ht="25.5" x14ac:dyDescent="0.2">
      <c r="A8" s="658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659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657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666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659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667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668" t="s">
        <v>114</v>
      </c>
      <c r="B13" s="669"/>
      <c r="C13" s="669"/>
      <c r="D13" s="669"/>
      <c r="E13" s="669"/>
      <c r="F13" s="670"/>
      <c r="H13" s="668" t="s">
        <v>115</v>
      </c>
      <c r="I13" s="669"/>
      <c r="J13" s="669"/>
      <c r="K13" s="669"/>
      <c r="L13" s="669"/>
      <c r="M13" s="669"/>
      <c r="N13" s="669"/>
      <c r="O13" s="670"/>
    </row>
    <row r="14" spans="1:15" ht="33.6" customHeight="1" x14ac:dyDescent="0.2">
      <c r="A14" s="671"/>
      <c r="B14" s="672"/>
      <c r="C14" s="672"/>
      <c r="D14" s="672"/>
      <c r="E14" s="672"/>
      <c r="F14" s="673"/>
      <c r="H14" s="671"/>
      <c r="I14" s="672"/>
      <c r="J14" s="672"/>
      <c r="K14" s="672"/>
      <c r="L14" s="672"/>
      <c r="M14" s="672"/>
      <c r="N14" s="672"/>
      <c r="O14" s="673"/>
    </row>
    <row r="16" spans="1:15" ht="13.5" thickBot="1" x14ac:dyDescent="0.25"/>
    <row r="17" spans="1:4" ht="16.899999999999999" customHeight="1" x14ac:dyDescent="0.2">
      <c r="A17" s="666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667"/>
      <c r="B18" s="75">
        <v>0</v>
      </c>
      <c r="C18" s="76">
        <v>200000000</v>
      </c>
      <c r="D18" s="26">
        <v>20</v>
      </c>
    </row>
    <row r="20" spans="1:4" x14ac:dyDescent="0.2">
      <c r="A20" s="654" t="s">
        <v>37</v>
      </c>
      <c r="B20" s="654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638" t="s">
        <v>100</v>
      </c>
      <c r="G2" s="639"/>
      <c r="H2" s="639"/>
      <c r="I2" s="639"/>
      <c r="J2" s="639"/>
      <c r="K2" s="639"/>
      <c r="L2" s="640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641" t="s">
        <v>72</v>
      </c>
      <c r="G3" s="642"/>
      <c r="H3" s="642"/>
      <c r="I3" s="642"/>
      <c r="J3" s="642"/>
      <c r="K3" s="642"/>
      <c r="L3" s="643"/>
    </row>
    <row r="4" spans="1:14" ht="13.5" thickBot="1" x14ac:dyDescent="0.25">
      <c r="A4" s="29" t="s">
        <v>38</v>
      </c>
      <c r="B4" s="677" t="s">
        <v>57</v>
      </c>
      <c r="C4" s="677"/>
      <c r="D4" s="678"/>
    </row>
    <row r="6" spans="1:14" ht="13.5" thickBot="1" x14ac:dyDescent="0.25"/>
    <row r="7" spans="1:14" ht="27.75" customHeight="1" x14ac:dyDescent="0.2">
      <c r="A7" s="657" t="s">
        <v>8</v>
      </c>
      <c r="B7" s="660" t="s">
        <v>9</v>
      </c>
      <c r="C7" s="661"/>
      <c r="D7" s="662" t="s">
        <v>12</v>
      </c>
      <c r="E7" s="664"/>
      <c r="F7" s="663" t="s">
        <v>24</v>
      </c>
      <c r="G7" s="685"/>
      <c r="I7" s="700" t="s">
        <v>73</v>
      </c>
      <c r="J7" s="700"/>
      <c r="K7" s="700"/>
      <c r="L7" s="700"/>
      <c r="N7" s="47" t="s">
        <v>58</v>
      </c>
    </row>
    <row r="8" spans="1:14" ht="25.5" x14ac:dyDescent="0.2">
      <c r="A8" s="6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700"/>
      <c r="J8" s="700"/>
      <c r="K8" s="700"/>
      <c r="L8" s="700"/>
      <c r="N8" s="47" t="s">
        <v>59</v>
      </c>
    </row>
    <row r="9" spans="1:14" ht="13.5" thickBot="1" x14ac:dyDescent="0.25">
      <c r="A9" s="659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654" t="s">
        <v>60</v>
      </c>
      <c r="B11" s="3" t="s">
        <v>61</v>
      </c>
      <c r="C11" s="3" t="s">
        <v>62</v>
      </c>
      <c r="D11" s="32"/>
      <c r="E11" s="698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654"/>
      <c r="B12" s="41">
        <v>0</v>
      </c>
      <c r="C12" s="41">
        <v>0</v>
      </c>
      <c r="D12" s="32"/>
      <c r="E12" s="699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654"/>
      <c r="B13" s="41">
        <v>1</v>
      </c>
      <c r="C13" s="41">
        <v>0.75</v>
      </c>
      <c r="D13" s="32"/>
      <c r="E13" s="699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654"/>
      <c r="B14" s="41">
        <v>2</v>
      </c>
      <c r="C14" s="41">
        <v>0</v>
      </c>
      <c r="D14" s="32"/>
      <c r="E14" s="699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654"/>
      <c r="B15" s="41">
        <v>3</v>
      </c>
      <c r="C15" s="41">
        <v>-1</v>
      </c>
      <c r="D15" s="32"/>
      <c r="E15" s="699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654"/>
      <c r="B16" s="41">
        <v>4</v>
      </c>
      <c r="C16" s="41">
        <v>3</v>
      </c>
      <c r="D16" s="32"/>
      <c r="E16" s="699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654"/>
      <c r="B17" s="42">
        <v>5</v>
      </c>
      <c r="C17" s="42">
        <v>3</v>
      </c>
      <c r="D17" s="40"/>
      <c r="E17" s="699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695" t="s">
        <v>74</v>
      </c>
      <c r="B18" s="696"/>
      <c r="C18" s="697"/>
      <c r="D18" s="33"/>
      <c r="E18" s="686" t="s">
        <v>75</v>
      </c>
      <c r="F18" s="686"/>
      <c r="G18" s="686"/>
      <c r="H18" s="686"/>
      <c r="I18" s="686"/>
      <c r="J18" s="686"/>
      <c r="K18" s="686"/>
      <c r="L18" s="686"/>
      <c r="M18" s="686"/>
    </row>
    <row r="19" spans="1:13" ht="35.65" customHeight="1" x14ac:dyDescent="0.2">
      <c r="A19" s="671"/>
      <c r="B19" s="672"/>
      <c r="C19" s="673"/>
      <c r="D19" s="33"/>
      <c r="E19" s="686"/>
      <c r="F19" s="686"/>
      <c r="G19" s="686"/>
      <c r="H19" s="686"/>
      <c r="I19" s="686"/>
      <c r="J19" s="686"/>
      <c r="K19" s="686"/>
      <c r="L19" s="686"/>
      <c r="M19" s="686"/>
    </row>
    <row r="21" spans="1:13" ht="13.5" thickBot="1" x14ac:dyDescent="0.25"/>
    <row r="22" spans="1:13" ht="16.899999999999999" customHeight="1" x14ac:dyDescent="0.2">
      <c r="A22" s="666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667"/>
      <c r="B23" s="12">
        <v>0</v>
      </c>
      <c r="C23" s="12">
        <v>5</v>
      </c>
      <c r="D23" s="26">
        <v>20</v>
      </c>
    </row>
    <row r="25" spans="1:13" x14ac:dyDescent="0.2">
      <c r="A25" s="654" t="s">
        <v>37</v>
      </c>
      <c r="B25" s="654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dive_24_10M</vt:lpstr>
      <vt:lpstr>Scenario deep dive_24_20M</vt:lpstr>
      <vt:lpstr>Scenario deep dive_24_20M_rm_mc</vt:lpstr>
      <vt:lpstr>Case1_Constraints</vt:lpstr>
      <vt:lpstr>Case2_Constraints</vt:lpstr>
      <vt:lpstr>Scenario deep dive_24_40M_case1</vt:lpstr>
      <vt:lpstr>Scenario deep dive_24_40M_case2</vt:lpstr>
      <vt:lpstr>VAC_Optim_Scenario</vt:lpstr>
      <vt:lpstr>Case_Constraints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Taunk, Vasu</cp:lastModifiedBy>
  <cp:lastPrinted>2013-05-08T17:24:00Z</cp:lastPrinted>
  <dcterms:created xsi:type="dcterms:W3CDTF">2013-03-17T16:17:06Z</dcterms:created>
  <dcterms:modified xsi:type="dcterms:W3CDTF">2023-12-04T14:47:29Z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  <property fmtid="{D5CDD505-2E9C-101B-9397-08002B2CF9AE}" pid="18" name="_AdHocReviewCycleID">
    <vt:i4>-1161248034</vt:i4>
  </property>
  <property fmtid="{D5CDD505-2E9C-101B-9397-08002B2CF9AE}" pid="19" name="_NewReviewCycle">
    <vt:lpwstr/>
  </property>
  <property fmtid="{D5CDD505-2E9C-101B-9397-08002B2CF9AE}" pid="20" name="_EmailSubject">
    <vt:lpwstr>PFA</vt:lpwstr>
  </property>
  <property fmtid="{D5CDD505-2E9C-101B-9397-08002B2CF9AE}" pid="21" name="_AuthorEmail">
    <vt:lpwstr>sarath.a@merck.com</vt:lpwstr>
  </property>
  <property fmtid="{D5CDD505-2E9C-101B-9397-08002B2CF9AE}" pid="22" name="_AuthorEmailDisplayName">
    <vt:lpwstr>A, Sarath</vt:lpwstr>
  </property>
  <property fmtid="{D5CDD505-2E9C-101B-9397-08002B2CF9AE}" pid="23" name="_PreviousAdHocReviewCycleID">
    <vt:i4>-2059472871</vt:i4>
  </property>
  <property fmtid="{D5CDD505-2E9C-101B-9397-08002B2CF9AE}" pid="24" name="_ReviewingToolsShownOnce">
    <vt:lpwstr/>
  </property>
</Properties>
</file>