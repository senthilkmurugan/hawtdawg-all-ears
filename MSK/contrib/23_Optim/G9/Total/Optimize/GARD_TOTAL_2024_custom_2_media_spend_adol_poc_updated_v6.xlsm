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Total\Optimize\"/>
    </mc:Choice>
  </mc:AlternateContent>
  <xr:revisionPtr revIDLastSave="0" documentId="13_ncr:1_{8840492E-13FA-4463-A2A0-4A5F0A9B6CAD}" xr6:coauthVersionLast="47" xr6:coauthVersionMax="47" xr10:uidLastSave="{00000000-0000-0000-0000-000000000000}"/>
  <bookViews>
    <workbookView xWindow="-120" yWindow="-120" windowWidth="20730" windowHeight="11160" tabRatio="709" firstSheet="10" activeTab="11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r:id="rId9"/>
    <sheet name="Scenario deep dive_24_10M" sheetId="102" r:id="rId10"/>
    <sheet name="Scenario deep dive_24_20M" sheetId="91" r:id="rId11"/>
    <sheet name="Scenario deep dive_24_20M_rm_mc" sheetId="103" r:id="rId12"/>
    <sheet name="VAC_Optim_Scenario" sheetId="23" r:id="rId13"/>
    <sheet name="GINOFF" sheetId="51" r:id="rId14"/>
    <sheet name="GINOFF_adt" sheetId="93" r:id="rId15"/>
    <sheet name="GMCM" sheetId="50" r:id="rId16"/>
    <sheet name="GMCM_adt" sheetId="94" r:id="rId17"/>
    <sheet name="GSOC" sheetId="82" r:id="rId18"/>
    <sheet name="GSOCIAL_adt" sheetId="95" r:id="rId19"/>
    <sheet name="GOLV" sheetId="59" r:id="rId20"/>
    <sheet name="GOLV_adt" sheetId="96" r:id="rId21"/>
    <sheet name="GSTRV" sheetId="84" r:id="rId22"/>
    <sheet name="GSTRTV_adt" sheetId="97" r:id="rId23"/>
    <sheet name="GDISP" sheetId="88" r:id="rId24"/>
    <sheet name="GDISP_adt" sheetId="98" r:id="rId25"/>
    <sheet name="GSEARCH" sheetId="77" r:id="rId26"/>
    <sheet name="GPDSRCH_adt" sheetId="99" r:id="rId27"/>
    <sheet name="GRADIO" sheetId="75" r:id="rId28"/>
    <sheet name="GAUDIO" sheetId="90" r:id="rId29"/>
    <sheet name="GTV" sheetId="74" r:id="rId30"/>
    <sheet name="GPRNT" sheetId="48" state="hidden" r:id="rId31"/>
    <sheet name="GLINEARTV_adt" sheetId="100" r:id="rId32"/>
    <sheet name="GPHRMCY_adt" sheetId="101" r:id="rId33"/>
    <sheet name="Fn.Templates ==&gt;" sheetId="3" r:id="rId34"/>
    <sheet name="FT_SCurveEst" sheetId="2" r:id="rId35"/>
    <sheet name="FT_Equation" sheetId="4" r:id="rId36"/>
    <sheet name="FT_SCurve3Est" sheetId="13" r:id="rId37"/>
    <sheet name="FT_Interpolate" sheetId="5" r:id="rId38"/>
  </sheets>
  <functionGroups builtInGroupCount="19"/>
  <externalReferences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</externalReferences>
  <definedNames>
    <definedName name="_xlnm._FilterDatabase" localSheetId="7" hidden="1">'Contribution, promo eff, ROI'!$E$26:$F$35</definedName>
    <definedName name="_xlnm._FilterDatabase" localSheetId="12" hidden="1">VAC_Optim_Scenario!$H$19:$H$27</definedName>
    <definedName name="solver_adj" localSheetId="12" hidden="1">VAC_Optim_Scenario!$I$19:$I$27,VAC_Optim_Scenario!$I$29:$I$38</definedName>
    <definedName name="solver_cvg" localSheetId="6" hidden="1">0.0001</definedName>
    <definedName name="solver_cvg" localSheetId="5" hidden="1">0.0001</definedName>
    <definedName name="solver_cvg" localSheetId="12" hidden="1">0.0001</definedName>
    <definedName name="solver_drv" localSheetId="6" hidden="1">1</definedName>
    <definedName name="solver_drv" localSheetId="5" hidden="1">1</definedName>
    <definedName name="solver_drv" localSheetId="12" hidden="1">1</definedName>
    <definedName name="solver_eng" localSheetId="32" hidden="1">1</definedName>
    <definedName name="solver_eng" localSheetId="6" hidden="1">1</definedName>
    <definedName name="solver_eng" localSheetId="5" hidden="1">1</definedName>
    <definedName name="solver_eng" localSheetId="12" hidden="1">1</definedName>
    <definedName name="solver_est" localSheetId="6" hidden="1">1</definedName>
    <definedName name="solver_est" localSheetId="5" hidden="1">1</definedName>
    <definedName name="solver_est" localSheetId="12" hidden="1">1</definedName>
    <definedName name="solver_itr" localSheetId="6" hidden="1">2147483647</definedName>
    <definedName name="solver_itr" localSheetId="5" hidden="1">2147483647</definedName>
    <definedName name="solver_itr" localSheetId="12" hidden="1">2147483647</definedName>
    <definedName name="solver_lhs0" localSheetId="12" hidden="1">VAC_Optim_Scenario!$I$40</definedName>
    <definedName name="solver_lhs1" localSheetId="12" hidden="1">VAC_Optim_Scenario!$C$14</definedName>
    <definedName name="solver_lhs10" localSheetId="12" hidden="1">VAC_Optim_Scenario!$I$39</definedName>
    <definedName name="solver_lhs11" localSheetId="12" hidden="1">VAC_Optim_Scenario!$I$39</definedName>
    <definedName name="solver_lhs2" localSheetId="12" hidden="1">VAC_Optim_Scenario!$G$12:$G$13</definedName>
    <definedName name="solver_lhs3" localSheetId="12" hidden="1">VAC_Optim_Scenario!$G$12:$G$13</definedName>
    <definedName name="solver_lhs4" localSheetId="12" hidden="1">VAC_Optim_Scenario!$I$19:$I$27</definedName>
    <definedName name="solver_lhs5" localSheetId="12" hidden="1">VAC_Optim_Scenario!$I$19:$I$27</definedName>
    <definedName name="solver_lhs6" localSheetId="12" hidden="1">VAC_Optim_Scenario!$I$29:$I$38</definedName>
    <definedName name="solver_lhs7" localSheetId="12" hidden="1">VAC_Optim_Scenario!$I$29:$I$38</definedName>
    <definedName name="solver_lhs8" localSheetId="12" hidden="1">VAC_Optim_Scenario!$I$29:$I$38</definedName>
    <definedName name="solver_lhs9" localSheetId="12" hidden="1">VAC_Optim_Scenario!$I$29:$I$38</definedName>
    <definedName name="solver_mip" localSheetId="6" hidden="1">2147483647</definedName>
    <definedName name="solver_mip" localSheetId="5" hidden="1">2147483647</definedName>
    <definedName name="solver_mip" localSheetId="12" hidden="1">2147483647</definedName>
    <definedName name="solver_mni" localSheetId="6" hidden="1">30</definedName>
    <definedName name="solver_mni" localSheetId="5" hidden="1">30</definedName>
    <definedName name="solver_mni" localSheetId="12" hidden="1">30</definedName>
    <definedName name="solver_mrt" localSheetId="6" hidden="1">0.075</definedName>
    <definedName name="solver_mrt" localSheetId="5" hidden="1">0.075</definedName>
    <definedName name="solver_mrt" localSheetId="12" hidden="1">0.075</definedName>
    <definedName name="solver_msl" localSheetId="6" hidden="1">2</definedName>
    <definedName name="solver_msl" localSheetId="5" hidden="1">2</definedName>
    <definedName name="solver_msl" localSheetId="12" hidden="1">2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12" hidden="1">1</definedName>
    <definedName name="solver_nod" localSheetId="6" hidden="1">2147483647</definedName>
    <definedName name="solver_nod" localSheetId="5" hidden="1">2147483647</definedName>
    <definedName name="solver_nod" localSheetId="12" hidden="1">2147483647</definedName>
    <definedName name="solver_num" localSheetId="32" hidden="1">0</definedName>
    <definedName name="solver_num" localSheetId="6" hidden="1">0</definedName>
    <definedName name="solver_num" localSheetId="5" hidden="1">0</definedName>
    <definedName name="solver_num" localSheetId="12" hidden="1">7</definedName>
    <definedName name="solver_nwt" localSheetId="6" hidden="1">1</definedName>
    <definedName name="solver_nwt" localSheetId="5" hidden="1">1</definedName>
    <definedName name="solver_nwt" localSheetId="12" hidden="1">1</definedName>
    <definedName name="solver_opt" localSheetId="32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2" hidden="1">VAC_Optim_Scenario!$B$9</definedName>
    <definedName name="solver_pre" localSheetId="6" hidden="1">0.000001</definedName>
    <definedName name="solver_pre" localSheetId="5" hidden="1">0.000001</definedName>
    <definedName name="solver_pre" localSheetId="12" hidden="1">0.00000001</definedName>
    <definedName name="solver_rbv" localSheetId="6" hidden="1">1</definedName>
    <definedName name="solver_rbv" localSheetId="5" hidden="1">1</definedName>
    <definedName name="solver_rbv" localSheetId="12" hidden="1">1</definedName>
    <definedName name="solver_rel0" localSheetId="12" hidden="1">3</definedName>
    <definedName name="solver_rel1" localSheetId="12" hidden="1">2</definedName>
    <definedName name="solver_rel10" localSheetId="12" hidden="1">3</definedName>
    <definedName name="solver_rel11" localSheetId="12" hidden="1">3</definedName>
    <definedName name="solver_rel2" localSheetId="12" hidden="1">1</definedName>
    <definedName name="solver_rel3" localSheetId="12" hidden="1">3</definedName>
    <definedName name="solver_rel4" localSheetId="12" hidden="1">1</definedName>
    <definedName name="solver_rel5" localSheetId="12" hidden="1">3</definedName>
    <definedName name="solver_rel6" localSheetId="12" hidden="1">1</definedName>
    <definedName name="solver_rel7" localSheetId="12" hidden="1">3</definedName>
    <definedName name="solver_rel8" localSheetId="12" hidden="1">3</definedName>
    <definedName name="solver_rel9" localSheetId="12" hidden="1">3</definedName>
    <definedName name="solver_rhs0" localSheetId="12" hidden="1">VAC_Optim_Scenario!$C$14</definedName>
    <definedName name="solver_rhs1" localSheetId="12" hidden="1">VAC_Optim_Scenario!$I$40</definedName>
    <definedName name="solver_rhs10" localSheetId="12" hidden="1">VAC_Optim_Scenario!$G$39</definedName>
    <definedName name="solver_rhs11" localSheetId="12" hidden="1">VAC_Optim_Scenario!$G$39</definedName>
    <definedName name="solver_rhs2" localSheetId="12" hidden="1">VAC_Optim_Scenario!$D$12:$D$13</definedName>
    <definedName name="solver_rhs3" localSheetId="12" hidden="1">VAC_Optim_Scenario!$C$12:$C$13</definedName>
    <definedName name="solver_rhs4" localSheetId="12" hidden="1">VAC_Optim_Scenario!$H$19:$H$27</definedName>
    <definedName name="solver_rhs5" localSheetId="12" hidden="1">VAC_Optim_Scenario!$G$19:$G$27</definedName>
    <definedName name="solver_rhs6" localSheetId="12" hidden="1">VAC_Optim_Scenario!$H$29:$H$38</definedName>
    <definedName name="solver_rhs7" localSheetId="12" hidden="1">VAC_Optim_Scenario!$G$29:$G$38</definedName>
    <definedName name="solver_rhs8" localSheetId="12" hidden="1">VAC_Optim_Scenario!$G$29:$G$38</definedName>
    <definedName name="solver_rhs9" localSheetId="12" hidden="1">VAC_Optim_Scenario!$G$29:$G$38</definedName>
    <definedName name="solver_rlx" localSheetId="6" hidden="1">2</definedName>
    <definedName name="solver_rlx" localSheetId="5" hidden="1">2</definedName>
    <definedName name="solver_rlx" localSheetId="12" hidden="1">2</definedName>
    <definedName name="solver_rsd" localSheetId="6" hidden="1">0</definedName>
    <definedName name="solver_rsd" localSheetId="5" hidden="1">0</definedName>
    <definedName name="solver_rsd" localSheetId="12" hidden="1">0</definedName>
    <definedName name="solver_scl" localSheetId="6" hidden="1">1</definedName>
    <definedName name="solver_scl" localSheetId="5" hidden="1">1</definedName>
    <definedName name="solver_scl" localSheetId="12" hidden="1">1</definedName>
    <definedName name="solver_sho" localSheetId="6" hidden="1">2</definedName>
    <definedName name="solver_sho" localSheetId="5" hidden="1">2</definedName>
    <definedName name="solver_sho" localSheetId="12" hidden="1">2</definedName>
    <definedName name="solver_ssz" localSheetId="6" hidden="1">100</definedName>
    <definedName name="solver_ssz" localSheetId="5" hidden="1">100</definedName>
    <definedName name="solver_ssz" localSheetId="12" hidden="1">100</definedName>
    <definedName name="solver_tim" localSheetId="6" hidden="1">2147483647</definedName>
    <definedName name="solver_tim" localSheetId="5" hidden="1">2147483647</definedName>
    <definedName name="solver_tim" localSheetId="12" hidden="1">2147483647</definedName>
    <definedName name="solver_tol" localSheetId="6" hidden="1">0.01</definedName>
    <definedName name="solver_tol" localSheetId="5" hidden="1">0.01</definedName>
    <definedName name="solver_tol" localSheetId="12" hidden="1">0.01</definedName>
    <definedName name="solver_typ" localSheetId="32" hidden="1">1</definedName>
    <definedName name="solver_typ" localSheetId="6" hidden="1">1</definedName>
    <definedName name="solver_typ" localSheetId="5" hidden="1">1</definedName>
    <definedName name="solver_typ" localSheetId="12" hidden="1">1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12" hidden="1">0</definedName>
    <definedName name="solver_ver" localSheetId="32" hidden="1">3</definedName>
    <definedName name="solver_ver" localSheetId="6" hidden="1">3</definedName>
    <definedName name="solver_ver" localSheetId="5" hidden="1">3</definedName>
    <definedName name="solver_ver" localSheetId="1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8" i="103" l="1"/>
  <c r="S27" i="103"/>
  <c r="S26" i="103"/>
  <c r="O28" i="103"/>
  <c r="O27" i="103"/>
  <c r="O26" i="103"/>
  <c r="K28" i="103"/>
  <c r="K27" i="103"/>
  <c r="K26" i="103"/>
  <c r="G28" i="103"/>
  <c r="T27" i="103"/>
  <c r="R27" i="103"/>
  <c r="T26" i="103"/>
  <c r="R26" i="103"/>
  <c r="V53" i="103"/>
  <c r="V54" i="103"/>
  <c r="V55" i="103"/>
  <c r="F12" i="50" l="1"/>
  <c r="E12" i="50"/>
  <c r="D12" i="50"/>
  <c r="C12" i="50"/>
  <c r="B12" i="50"/>
  <c r="F12" i="51" l="1"/>
  <c r="E12" i="51"/>
  <c r="D12" i="51"/>
  <c r="C12" i="51"/>
  <c r="B12" i="51"/>
  <c r="H37" i="23" l="1"/>
  <c r="H30" i="23"/>
  <c r="C14" i="23"/>
  <c r="E8" i="23"/>
  <c r="L27" i="103" l="1"/>
  <c r="L54" i="103" s="1"/>
  <c r="L26" i="103"/>
  <c r="L53" i="103" s="1"/>
  <c r="L52" i="103"/>
  <c r="L45" i="103"/>
  <c r="L44" i="103"/>
  <c r="L28" i="103"/>
  <c r="L29" i="103" s="1"/>
  <c r="L42" i="103"/>
  <c r="L41" i="103"/>
  <c r="L40" i="103"/>
  <c r="L35" i="103"/>
  <c r="J27" i="103"/>
  <c r="J54" i="103" s="1"/>
  <c r="J26" i="103"/>
  <c r="J53" i="103" s="1"/>
  <c r="N26" i="103"/>
  <c r="N53" i="103" s="1"/>
  <c r="K46" i="103"/>
  <c r="K45" i="103"/>
  <c r="K41" i="103"/>
  <c r="K39" i="103"/>
  <c r="K34" i="103"/>
  <c r="O52" i="103"/>
  <c r="O45" i="103"/>
  <c r="O43" i="103"/>
  <c r="P52" i="103"/>
  <c r="P50" i="103"/>
  <c r="P48" i="103"/>
  <c r="P44" i="103"/>
  <c r="P27" i="103"/>
  <c r="P54" i="103" s="1"/>
  <c r="P42" i="103"/>
  <c r="P41" i="103"/>
  <c r="P37" i="103"/>
  <c r="O37" i="103"/>
  <c r="O35" i="103"/>
  <c r="T54" i="103"/>
  <c r="S54" i="103"/>
  <c r="R54" i="103"/>
  <c r="H54" i="103"/>
  <c r="F67" i="103" s="1"/>
  <c r="F59" i="103" s="1"/>
  <c r="G54" i="103"/>
  <c r="F54" i="103"/>
  <c r="B54" i="103"/>
  <c r="T53" i="103"/>
  <c r="W53" i="103" s="1"/>
  <c r="S53" i="103"/>
  <c r="R53" i="103"/>
  <c r="H53" i="103"/>
  <c r="G53" i="103"/>
  <c r="F53" i="103"/>
  <c r="B53" i="103"/>
  <c r="T52" i="103"/>
  <c r="S52" i="103"/>
  <c r="R52" i="103"/>
  <c r="N52" i="103"/>
  <c r="K52" i="103"/>
  <c r="J52" i="103"/>
  <c r="H52" i="103"/>
  <c r="G52" i="103"/>
  <c r="F52" i="103"/>
  <c r="T51" i="103"/>
  <c r="S51" i="103"/>
  <c r="R51" i="103"/>
  <c r="P51" i="103"/>
  <c r="O51" i="103"/>
  <c r="N51" i="103"/>
  <c r="L51" i="103"/>
  <c r="K51" i="103"/>
  <c r="J51" i="103"/>
  <c r="H51" i="103"/>
  <c r="G51" i="103"/>
  <c r="F51" i="103"/>
  <c r="T50" i="103"/>
  <c r="S50" i="103"/>
  <c r="R50" i="103"/>
  <c r="O50" i="103"/>
  <c r="N50" i="103"/>
  <c r="L50" i="103"/>
  <c r="K50" i="103"/>
  <c r="J50" i="103"/>
  <c r="H50" i="103"/>
  <c r="G50" i="103"/>
  <c r="F50" i="103"/>
  <c r="T49" i="103"/>
  <c r="S49" i="103"/>
  <c r="R49" i="103"/>
  <c r="P49" i="103"/>
  <c r="O49" i="103"/>
  <c r="N49" i="103"/>
  <c r="L49" i="103"/>
  <c r="K49" i="103"/>
  <c r="J49" i="103"/>
  <c r="H49" i="103"/>
  <c r="G49" i="103"/>
  <c r="F49" i="103"/>
  <c r="T48" i="103"/>
  <c r="S48" i="103"/>
  <c r="R48" i="103"/>
  <c r="O48" i="103"/>
  <c r="N48" i="103"/>
  <c r="L48" i="103"/>
  <c r="K48" i="103"/>
  <c r="J48" i="103"/>
  <c r="H48" i="103"/>
  <c r="G48" i="103"/>
  <c r="F48" i="103"/>
  <c r="T47" i="103"/>
  <c r="S47" i="103"/>
  <c r="R47" i="103"/>
  <c r="P47" i="103"/>
  <c r="O47" i="103"/>
  <c r="N47" i="103"/>
  <c r="L47" i="103"/>
  <c r="K47" i="103"/>
  <c r="J47" i="103"/>
  <c r="H47" i="103"/>
  <c r="G47" i="103"/>
  <c r="F47" i="103"/>
  <c r="T46" i="103"/>
  <c r="S46" i="103"/>
  <c r="R46" i="103"/>
  <c r="P46" i="103"/>
  <c r="O46" i="103"/>
  <c r="N46" i="103"/>
  <c r="L46" i="103"/>
  <c r="J46" i="103"/>
  <c r="H46" i="103"/>
  <c r="G46" i="103"/>
  <c r="F46" i="103"/>
  <c r="T45" i="103"/>
  <c r="S45" i="103"/>
  <c r="R45" i="103"/>
  <c r="P45" i="103"/>
  <c r="N45" i="103"/>
  <c r="J45" i="103"/>
  <c r="H45" i="103"/>
  <c r="G45" i="103"/>
  <c r="F45" i="103"/>
  <c r="T44" i="103"/>
  <c r="S44" i="103"/>
  <c r="R44" i="103"/>
  <c r="O44" i="103"/>
  <c r="N44" i="103"/>
  <c r="K44" i="103"/>
  <c r="J44" i="103"/>
  <c r="H44" i="103"/>
  <c r="G44" i="103"/>
  <c r="F44" i="103"/>
  <c r="T43" i="103"/>
  <c r="S43" i="103"/>
  <c r="R43" i="103"/>
  <c r="P43" i="103"/>
  <c r="N43" i="103"/>
  <c r="L43" i="103"/>
  <c r="K43" i="103"/>
  <c r="J43" i="103"/>
  <c r="H43" i="103"/>
  <c r="G43" i="103"/>
  <c r="F43" i="103"/>
  <c r="T42" i="103"/>
  <c r="S42" i="103"/>
  <c r="R42" i="103"/>
  <c r="O42" i="103"/>
  <c r="N42" i="103"/>
  <c r="K42" i="103"/>
  <c r="J42" i="103"/>
  <c r="H42" i="103"/>
  <c r="G42" i="103"/>
  <c r="F42" i="103"/>
  <c r="T41" i="103"/>
  <c r="S41" i="103"/>
  <c r="R41" i="103"/>
  <c r="O41" i="103"/>
  <c r="N41" i="103"/>
  <c r="J41" i="103"/>
  <c r="H41" i="103"/>
  <c r="G41" i="103"/>
  <c r="F41" i="103"/>
  <c r="T40" i="103"/>
  <c r="S40" i="103"/>
  <c r="R40" i="103"/>
  <c r="P40" i="103"/>
  <c r="O40" i="103"/>
  <c r="N40" i="103"/>
  <c r="K40" i="103"/>
  <c r="J40" i="103"/>
  <c r="H40" i="103"/>
  <c r="G40" i="103"/>
  <c r="F40" i="103"/>
  <c r="T39" i="103"/>
  <c r="S39" i="103"/>
  <c r="R39" i="103"/>
  <c r="P39" i="103"/>
  <c r="O39" i="103"/>
  <c r="N39" i="103"/>
  <c r="L39" i="103"/>
  <c r="J39" i="103"/>
  <c r="H39" i="103"/>
  <c r="G39" i="103"/>
  <c r="F39" i="103"/>
  <c r="T38" i="103"/>
  <c r="S38" i="103"/>
  <c r="R38" i="103"/>
  <c r="P38" i="103"/>
  <c r="O38" i="103"/>
  <c r="N38" i="103"/>
  <c r="L38" i="103"/>
  <c r="K38" i="103"/>
  <c r="J38" i="103"/>
  <c r="H38" i="103"/>
  <c r="G38" i="103"/>
  <c r="F38" i="103"/>
  <c r="T37" i="103"/>
  <c r="S37" i="103"/>
  <c r="R37" i="103"/>
  <c r="N37" i="103"/>
  <c r="L37" i="103"/>
  <c r="K37" i="103"/>
  <c r="J37" i="103"/>
  <c r="H37" i="103"/>
  <c r="G37" i="103"/>
  <c r="F37" i="103"/>
  <c r="T36" i="103"/>
  <c r="S36" i="103"/>
  <c r="R36" i="103"/>
  <c r="P36" i="103"/>
  <c r="O36" i="103"/>
  <c r="N36" i="103"/>
  <c r="L36" i="103"/>
  <c r="K36" i="103"/>
  <c r="J36" i="103"/>
  <c r="H36" i="103"/>
  <c r="G36" i="103"/>
  <c r="F36" i="103"/>
  <c r="T35" i="103"/>
  <c r="S35" i="103"/>
  <c r="R35" i="103"/>
  <c r="P35" i="103"/>
  <c r="N35" i="103"/>
  <c r="K35" i="103"/>
  <c r="J35" i="103"/>
  <c r="H35" i="103"/>
  <c r="G35" i="103"/>
  <c r="F35" i="103"/>
  <c r="T34" i="103"/>
  <c r="S34" i="103"/>
  <c r="R34" i="103"/>
  <c r="P34" i="103"/>
  <c r="O34" i="103"/>
  <c r="N34" i="103"/>
  <c r="L34" i="103"/>
  <c r="J34" i="103"/>
  <c r="H34" i="103"/>
  <c r="G34" i="103"/>
  <c r="F34" i="103"/>
  <c r="R32" i="103"/>
  <c r="N32" i="103"/>
  <c r="J32" i="103"/>
  <c r="F32" i="103"/>
  <c r="F31" i="103"/>
  <c r="T28" i="103"/>
  <c r="T55" i="103" s="1"/>
  <c r="R28" i="103"/>
  <c r="R55" i="103" s="1"/>
  <c r="N28" i="103"/>
  <c r="N55" i="103" s="1"/>
  <c r="J28" i="103"/>
  <c r="J55" i="103" s="1"/>
  <c r="H28" i="103"/>
  <c r="H29" i="103" s="1"/>
  <c r="F28" i="103"/>
  <c r="F55" i="103" s="1"/>
  <c r="N27" i="103"/>
  <c r="N54" i="103" s="1"/>
  <c r="AB25" i="103"/>
  <c r="AA25" i="103"/>
  <c r="Z25" i="103"/>
  <c r="C25" i="103"/>
  <c r="C52" i="103" s="1"/>
  <c r="B25" i="103"/>
  <c r="B52" i="103" s="1"/>
  <c r="A25" i="103"/>
  <c r="A52" i="103" s="1"/>
  <c r="AB24" i="103"/>
  <c r="AA24" i="103"/>
  <c r="Z24" i="103"/>
  <c r="C24" i="103"/>
  <c r="C51" i="103" s="1"/>
  <c r="B24" i="103"/>
  <c r="B51" i="103" s="1"/>
  <c r="A24" i="103"/>
  <c r="A51" i="103" s="1"/>
  <c r="AB23" i="103"/>
  <c r="AA23" i="103"/>
  <c r="Z23" i="103"/>
  <c r="C23" i="103"/>
  <c r="C50" i="103" s="1"/>
  <c r="B23" i="103"/>
  <c r="B50" i="103" s="1"/>
  <c r="A23" i="103"/>
  <c r="A50" i="103" s="1"/>
  <c r="AB22" i="103"/>
  <c r="AA22" i="103"/>
  <c r="Z22" i="103"/>
  <c r="C22" i="103"/>
  <c r="B22" i="103"/>
  <c r="B49" i="103" s="1"/>
  <c r="A22" i="103"/>
  <c r="A49" i="103" s="1"/>
  <c r="AB21" i="103"/>
  <c r="AA21" i="103"/>
  <c r="Z21" i="103"/>
  <c r="C21" i="103"/>
  <c r="C48" i="103" s="1"/>
  <c r="B21" i="103"/>
  <c r="B48" i="103" s="1"/>
  <c r="A21" i="103"/>
  <c r="A48" i="103" s="1"/>
  <c r="AB20" i="103"/>
  <c r="AA20" i="103"/>
  <c r="Z20" i="103"/>
  <c r="C20" i="103"/>
  <c r="C47" i="103" s="1"/>
  <c r="B20" i="103"/>
  <c r="B47" i="103" s="1"/>
  <c r="A20" i="103"/>
  <c r="A47" i="103" s="1"/>
  <c r="AB19" i="103"/>
  <c r="AA19" i="103"/>
  <c r="Z19" i="103"/>
  <c r="C19" i="103"/>
  <c r="C46" i="103" s="1"/>
  <c r="B19" i="103"/>
  <c r="B46" i="103" s="1"/>
  <c r="A19" i="103"/>
  <c r="A46" i="103" s="1"/>
  <c r="AB18" i="103"/>
  <c r="AA18" i="103"/>
  <c r="Z18" i="103"/>
  <c r="C18" i="103"/>
  <c r="C45" i="103" s="1"/>
  <c r="B18" i="103"/>
  <c r="B45" i="103" s="1"/>
  <c r="A18" i="103"/>
  <c r="A45" i="103" s="1"/>
  <c r="AB17" i="103"/>
  <c r="AA17" i="103"/>
  <c r="Z17" i="103"/>
  <c r="C17" i="103"/>
  <c r="C44" i="103" s="1"/>
  <c r="B17" i="103"/>
  <c r="B44" i="103" s="1"/>
  <c r="A17" i="103"/>
  <c r="A44" i="103" s="1"/>
  <c r="AB16" i="103"/>
  <c r="AA16" i="103"/>
  <c r="Z16" i="103"/>
  <c r="C16" i="103"/>
  <c r="C43" i="103" s="1"/>
  <c r="B16" i="103"/>
  <c r="B43" i="103" s="1"/>
  <c r="A16" i="103"/>
  <c r="A43" i="103" s="1"/>
  <c r="AB15" i="103"/>
  <c r="AA15" i="103"/>
  <c r="Z15" i="103"/>
  <c r="C15" i="103"/>
  <c r="C42" i="103" s="1"/>
  <c r="B15" i="103"/>
  <c r="B42" i="103" s="1"/>
  <c r="A15" i="103"/>
  <c r="A42" i="103" s="1"/>
  <c r="AB14" i="103"/>
  <c r="AA14" i="103"/>
  <c r="Z14" i="103"/>
  <c r="C14" i="103"/>
  <c r="C41" i="103" s="1"/>
  <c r="B14" i="103"/>
  <c r="B41" i="103" s="1"/>
  <c r="A14" i="103"/>
  <c r="A41" i="103" s="1"/>
  <c r="AB13" i="103"/>
  <c r="AA13" i="103"/>
  <c r="Z13" i="103"/>
  <c r="C13" i="103"/>
  <c r="C40" i="103" s="1"/>
  <c r="B13" i="103"/>
  <c r="B40" i="103" s="1"/>
  <c r="A13" i="103"/>
  <c r="A40" i="103" s="1"/>
  <c r="AB12" i="103"/>
  <c r="AA12" i="103"/>
  <c r="Z12" i="103"/>
  <c r="C12" i="103"/>
  <c r="C39" i="103" s="1"/>
  <c r="B12" i="103"/>
  <c r="B39" i="103" s="1"/>
  <c r="A12" i="103"/>
  <c r="A39" i="103" s="1"/>
  <c r="AB11" i="103"/>
  <c r="AA11" i="103"/>
  <c r="Z11" i="103"/>
  <c r="C11" i="103"/>
  <c r="C38" i="103" s="1"/>
  <c r="B11" i="103"/>
  <c r="B38" i="103" s="1"/>
  <c r="A11" i="103"/>
  <c r="A38" i="103" s="1"/>
  <c r="AB10" i="103"/>
  <c r="AA10" i="103"/>
  <c r="Z10" i="103"/>
  <c r="C10" i="103"/>
  <c r="C37" i="103" s="1"/>
  <c r="B10" i="103"/>
  <c r="B37" i="103" s="1"/>
  <c r="A10" i="103"/>
  <c r="A37" i="103" s="1"/>
  <c r="AB9" i="103"/>
  <c r="AA9" i="103"/>
  <c r="Z9" i="103"/>
  <c r="C9" i="103"/>
  <c r="C36" i="103" s="1"/>
  <c r="B9" i="103"/>
  <c r="B36" i="103" s="1"/>
  <c r="A9" i="103"/>
  <c r="A36" i="103" s="1"/>
  <c r="AB8" i="103"/>
  <c r="AA8" i="103"/>
  <c r="Z8" i="103"/>
  <c r="C8" i="103"/>
  <c r="C35" i="103" s="1"/>
  <c r="B8" i="103"/>
  <c r="B35" i="103" s="1"/>
  <c r="A8" i="103"/>
  <c r="A35" i="103" s="1"/>
  <c r="AB7" i="103"/>
  <c r="AA7" i="103"/>
  <c r="Z7" i="103"/>
  <c r="C7" i="103"/>
  <c r="C26" i="103" s="1"/>
  <c r="C53" i="103" s="1"/>
  <c r="B7" i="103"/>
  <c r="B34" i="103" s="1"/>
  <c r="A7" i="103"/>
  <c r="A34" i="103" s="1"/>
  <c r="B3" i="103"/>
  <c r="H38" i="23"/>
  <c r="H26" i="23"/>
  <c r="R67" i="103" l="1"/>
  <c r="R59" i="103" s="1"/>
  <c r="W54" i="103"/>
  <c r="W55" i="103" s="1"/>
  <c r="K54" i="103"/>
  <c r="K53" i="103"/>
  <c r="J63" i="103"/>
  <c r="J57" i="103" s="1"/>
  <c r="J69" i="103"/>
  <c r="J60" i="103" s="1"/>
  <c r="P26" i="103"/>
  <c r="P53" i="103" s="1"/>
  <c r="N63" i="103" s="1"/>
  <c r="N57" i="103" s="1"/>
  <c r="P28" i="103"/>
  <c r="P29" i="103" s="1"/>
  <c r="N65" i="103"/>
  <c r="N58" i="103" s="1"/>
  <c r="N67" i="103"/>
  <c r="N59" i="103" s="1"/>
  <c r="N69" i="103"/>
  <c r="N60" i="103" s="1"/>
  <c r="R61" i="103"/>
  <c r="R56" i="103" s="1"/>
  <c r="C27" i="103"/>
  <c r="R65" i="103"/>
  <c r="R58" i="103" s="1"/>
  <c r="O53" i="103"/>
  <c r="H30" i="103"/>
  <c r="H55" i="103"/>
  <c r="J67" i="103"/>
  <c r="J59" i="103" s="1"/>
  <c r="C28" i="103"/>
  <c r="L30" i="103"/>
  <c r="F65" i="103"/>
  <c r="F58" i="103" s="1"/>
  <c r="R69" i="103"/>
  <c r="R60" i="103" s="1"/>
  <c r="C34" i="103"/>
  <c r="C49" i="103"/>
  <c r="R63" i="103"/>
  <c r="R57" i="103" s="1"/>
  <c r="L55" i="103"/>
  <c r="J65" i="103"/>
  <c r="J58" i="103" s="1"/>
  <c r="F69" i="103"/>
  <c r="F60" i="103" s="1"/>
  <c r="F63" i="103"/>
  <c r="F57" i="103" s="1"/>
  <c r="P55" i="103" l="1"/>
  <c r="N61" i="103" s="1"/>
  <c r="N56" i="103" s="1"/>
  <c r="P30" i="103"/>
  <c r="C54" i="103"/>
  <c r="O54" i="103"/>
  <c r="J61" i="103"/>
  <c r="J56" i="103" s="1"/>
  <c r="S55" i="103"/>
  <c r="C55" i="103"/>
  <c r="G55" i="103"/>
  <c r="O55" i="103"/>
  <c r="F61" i="103"/>
  <c r="F56" i="103" s="1"/>
  <c r="K55" i="103"/>
  <c r="R32" i="102" l="1"/>
  <c r="R56" i="102"/>
  <c r="R60" i="102"/>
  <c r="N60" i="102"/>
  <c r="J60" i="102"/>
  <c r="F60" i="102"/>
  <c r="R59" i="102"/>
  <c r="N59" i="102"/>
  <c r="J59" i="102"/>
  <c r="F59" i="102"/>
  <c r="R58" i="102"/>
  <c r="N58" i="102"/>
  <c r="J58" i="102"/>
  <c r="F58" i="102"/>
  <c r="R57" i="102"/>
  <c r="N57" i="102"/>
  <c r="J57" i="102"/>
  <c r="F57" i="102"/>
  <c r="R61" i="102"/>
  <c r="R69" i="102"/>
  <c r="N69" i="102"/>
  <c r="J69" i="102"/>
  <c r="F69" i="102"/>
  <c r="R67" i="102"/>
  <c r="N67" i="102"/>
  <c r="J67" i="102"/>
  <c r="F67" i="102"/>
  <c r="R65" i="102"/>
  <c r="N65" i="102"/>
  <c r="J65" i="102"/>
  <c r="F65" i="102"/>
  <c r="R63" i="102"/>
  <c r="N63" i="102"/>
  <c r="J63" i="102"/>
  <c r="F63" i="102"/>
  <c r="R60" i="91"/>
  <c r="R59" i="91"/>
  <c r="R58" i="91"/>
  <c r="R57" i="91"/>
  <c r="N60" i="91"/>
  <c r="N59" i="91"/>
  <c r="N58" i="91"/>
  <c r="N57" i="91"/>
  <c r="J60" i="91"/>
  <c r="J59" i="91"/>
  <c r="J58" i="91"/>
  <c r="J57" i="91"/>
  <c r="F60" i="91"/>
  <c r="F59" i="91"/>
  <c r="F58" i="91"/>
  <c r="F57" i="91"/>
  <c r="R69" i="91"/>
  <c r="N69" i="91"/>
  <c r="J69" i="91"/>
  <c r="F69" i="91"/>
  <c r="R67" i="91"/>
  <c r="N67" i="91"/>
  <c r="J67" i="91"/>
  <c r="F67" i="91"/>
  <c r="R65" i="91"/>
  <c r="R63" i="91"/>
  <c r="N65" i="91"/>
  <c r="J65" i="91"/>
  <c r="F65" i="91"/>
  <c r="R56" i="91"/>
  <c r="R61" i="91"/>
  <c r="N63" i="91"/>
  <c r="J63" i="91"/>
  <c r="F63" i="91"/>
  <c r="L28" i="91" l="1"/>
  <c r="J28" i="91"/>
  <c r="R32" i="91"/>
  <c r="L28" i="102"/>
  <c r="L55" i="102" s="1"/>
  <c r="J28" i="102"/>
  <c r="J55" i="102" s="1"/>
  <c r="T54" i="102"/>
  <c r="S54" i="102"/>
  <c r="R54" i="102"/>
  <c r="B54" i="102"/>
  <c r="T53" i="102"/>
  <c r="S53" i="102"/>
  <c r="R53" i="102"/>
  <c r="B53" i="102"/>
  <c r="T52" i="102"/>
  <c r="S52" i="102"/>
  <c r="R52" i="102"/>
  <c r="P52" i="102"/>
  <c r="O52" i="102"/>
  <c r="N52" i="102"/>
  <c r="L52" i="102"/>
  <c r="K52" i="102"/>
  <c r="J52" i="102"/>
  <c r="H52" i="102"/>
  <c r="G52" i="102"/>
  <c r="F52" i="102"/>
  <c r="T51" i="102"/>
  <c r="S51" i="102"/>
  <c r="R51" i="102"/>
  <c r="P51" i="102"/>
  <c r="O51" i="102"/>
  <c r="N51" i="102"/>
  <c r="L51" i="102"/>
  <c r="K51" i="102"/>
  <c r="J51" i="102"/>
  <c r="H51" i="102"/>
  <c r="G51" i="102"/>
  <c r="F51" i="102"/>
  <c r="T50" i="102"/>
  <c r="S50" i="102"/>
  <c r="R50" i="102"/>
  <c r="P50" i="102"/>
  <c r="O50" i="102"/>
  <c r="N50" i="102"/>
  <c r="L50" i="102"/>
  <c r="K50" i="102"/>
  <c r="J50" i="102"/>
  <c r="H50" i="102"/>
  <c r="G50" i="102"/>
  <c r="F50" i="102"/>
  <c r="T49" i="102"/>
  <c r="S49" i="102"/>
  <c r="R49" i="102"/>
  <c r="P49" i="102"/>
  <c r="O49" i="102"/>
  <c r="N49" i="102"/>
  <c r="L49" i="102"/>
  <c r="K49" i="102"/>
  <c r="J49" i="102"/>
  <c r="H49" i="102"/>
  <c r="G49" i="102"/>
  <c r="F49" i="102"/>
  <c r="T48" i="102"/>
  <c r="S48" i="102"/>
  <c r="R48" i="102"/>
  <c r="P48" i="102"/>
  <c r="O48" i="102"/>
  <c r="N48" i="102"/>
  <c r="L48" i="102"/>
  <c r="K48" i="102"/>
  <c r="J48" i="102"/>
  <c r="H48" i="102"/>
  <c r="G48" i="102"/>
  <c r="F48" i="102"/>
  <c r="T47" i="102"/>
  <c r="S47" i="102"/>
  <c r="R47" i="102"/>
  <c r="P47" i="102"/>
  <c r="O47" i="102"/>
  <c r="N47" i="102"/>
  <c r="L47" i="102"/>
  <c r="K47" i="102"/>
  <c r="J47" i="102"/>
  <c r="H47" i="102"/>
  <c r="G47" i="102"/>
  <c r="F47" i="102"/>
  <c r="T46" i="102"/>
  <c r="S46" i="102"/>
  <c r="R46" i="102"/>
  <c r="P46" i="102"/>
  <c r="O46" i="102"/>
  <c r="N46" i="102"/>
  <c r="L46" i="102"/>
  <c r="K46" i="102"/>
  <c r="J46" i="102"/>
  <c r="H46" i="102"/>
  <c r="G46" i="102"/>
  <c r="F46" i="102"/>
  <c r="T45" i="102"/>
  <c r="S45" i="102"/>
  <c r="R45" i="102"/>
  <c r="P45" i="102"/>
  <c r="O45" i="102"/>
  <c r="N45" i="102"/>
  <c r="L45" i="102"/>
  <c r="K45" i="102"/>
  <c r="J45" i="102"/>
  <c r="H45" i="102"/>
  <c r="G45" i="102"/>
  <c r="F45" i="102"/>
  <c r="T44" i="102"/>
  <c r="S44" i="102"/>
  <c r="R44" i="102"/>
  <c r="P44" i="102"/>
  <c r="O44" i="102"/>
  <c r="N44" i="102"/>
  <c r="L44" i="102"/>
  <c r="K44" i="102"/>
  <c r="J44" i="102"/>
  <c r="H44" i="102"/>
  <c r="G44" i="102"/>
  <c r="F44" i="102"/>
  <c r="T43" i="102"/>
  <c r="S43" i="102"/>
  <c r="R43" i="102"/>
  <c r="P43" i="102"/>
  <c r="O43" i="102"/>
  <c r="N43" i="102"/>
  <c r="L43" i="102"/>
  <c r="K43" i="102"/>
  <c r="J43" i="102"/>
  <c r="H43" i="102"/>
  <c r="G43" i="102"/>
  <c r="F43" i="102"/>
  <c r="T42" i="102"/>
  <c r="S42" i="102"/>
  <c r="R42" i="102"/>
  <c r="P42" i="102"/>
  <c r="O42" i="102"/>
  <c r="N42" i="102"/>
  <c r="L42" i="102"/>
  <c r="K42" i="102"/>
  <c r="J42" i="102"/>
  <c r="H42" i="102"/>
  <c r="G42" i="102"/>
  <c r="F42" i="102"/>
  <c r="T41" i="102"/>
  <c r="S41" i="102"/>
  <c r="R41" i="102"/>
  <c r="P41" i="102"/>
  <c r="O41" i="102"/>
  <c r="N41" i="102"/>
  <c r="L41" i="102"/>
  <c r="K41" i="102"/>
  <c r="J41" i="102"/>
  <c r="H41" i="102"/>
  <c r="G41" i="102"/>
  <c r="F41" i="102"/>
  <c r="T40" i="102"/>
  <c r="S40" i="102"/>
  <c r="R40" i="102"/>
  <c r="P40" i="102"/>
  <c r="O40" i="102"/>
  <c r="N40" i="102"/>
  <c r="L40" i="102"/>
  <c r="K40" i="102"/>
  <c r="J40" i="102"/>
  <c r="H40" i="102"/>
  <c r="G40" i="102"/>
  <c r="F40" i="102"/>
  <c r="T39" i="102"/>
  <c r="S39" i="102"/>
  <c r="R39" i="102"/>
  <c r="P39" i="102"/>
  <c r="O39" i="102"/>
  <c r="N39" i="102"/>
  <c r="L39" i="102"/>
  <c r="K39" i="102"/>
  <c r="J39" i="102"/>
  <c r="H39" i="102"/>
  <c r="G39" i="102"/>
  <c r="F39" i="102"/>
  <c r="T38" i="102"/>
  <c r="S38" i="102"/>
  <c r="R38" i="102"/>
  <c r="P38" i="102"/>
  <c r="O38" i="102"/>
  <c r="N38" i="102"/>
  <c r="L38" i="102"/>
  <c r="K38" i="102"/>
  <c r="J38" i="102"/>
  <c r="H38" i="102"/>
  <c r="G38" i="102"/>
  <c r="F38" i="102"/>
  <c r="T37" i="102"/>
  <c r="S37" i="102"/>
  <c r="R37" i="102"/>
  <c r="P37" i="102"/>
  <c r="O37" i="102"/>
  <c r="N37" i="102"/>
  <c r="L37" i="102"/>
  <c r="K37" i="102"/>
  <c r="J37" i="102"/>
  <c r="H37" i="102"/>
  <c r="G37" i="102"/>
  <c r="F37" i="102"/>
  <c r="T36" i="102"/>
  <c r="S36" i="102"/>
  <c r="R36" i="102"/>
  <c r="P36" i="102"/>
  <c r="O36" i="102"/>
  <c r="N36" i="102"/>
  <c r="L36" i="102"/>
  <c r="K36" i="102"/>
  <c r="J36" i="102"/>
  <c r="H36" i="102"/>
  <c r="G36" i="102"/>
  <c r="F36" i="102"/>
  <c r="T35" i="102"/>
  <c r="S35" i="102"/>
  <c r="R35" i="102"/>
  <c r="P35" i="102"/>
  <c r="O35" i="102"/>
  <c r="N35" i="102"/>
  <c r="L35" i="102"/>
  <c r="K35" i="102"/>
  <c r="J35" i="102"/>
  <c r="H35" i="102"/>
  <c r="G35" i="102"/>
  <c r="F35" i="102"/>
  <c r="T34" i="102"/>
  <c r="S34" i="102"/>
  <c r="R34" i="102"/>
  <c r="P34" i="102"/>
  <c r="O34" i="102"/>
  <c r="N34" i="102"/>
  <c r="L34" i="102"/>
  <c r="K34" i="102"/>
  <c r="J34" i="102"/>
  <c r="H34" i="102"/>
  <c r="G34" i="102"/>
  <c r="F34" i="102"/>
  <c r="N32" i="102"/>
  <c r="J32" i="102"/>
  <c r="F32" i="102"/>
  <c r="F31" i="102"/>
  <c r="L30" i="102"/>
  <c r="L29" i="102"/>
  <c r="T28" i="102"/>
  <c r="T55" i="102" s="1"/>
  <c r="R28" i="102"/>
  <c r="P28" i="102"/>
  <c r="P55" i="102" s="1"/>
  <c r="N28" i="102"/>
  <c r="N55" i="102" s="1"/>
  <c r="H28" i="102"/>
  <c r="H30" i="102" s="1"/>
  <c r="F28" i="102"/>
  <c r="F55" i="102" s="1"/>
  <c r="P54" i="102"/>
  <c r="L54" i="102"/>
  <c r="J54" i="102"/>
  <c r="H27" i="102"/>
  <c r="H54" i="102" s="1"/>
  <c r="F27" i="102"/>
  <c r="F54" i="102" s="1"/>
  <c r="P53" i="102"/>
  <c r="L53" i="102"/>
  <c r="J53" i="102"/>
  <c r="H26" i="102"/>
  <c r="H53" i="102" s="1"/>
  <c r="F26" i="102"/>
  <c r="AB25" i="102"/>
  <c r="AA25" i="102"/>
  <c r="Z25" i="102"/>
  <c r="C25" i="102"/>
  <c r="C52" i="102" s="1"/>
  <c r="B25" i="102"/>
  <c r="B52" i="102" s="1"/>
  <c r="A25" i="102"/>
  <c r="A52" i="102" s="1"/>
  <c r="AB24" i="102"/>
  <c r="AA24" i="102"/>
  <c r="Z24" i="102"/>
  <c r="C24" i="102"/>
  <c r="C51" i="102" s="1"/>
  <c r="B24" i="102"/>
  <c r="B51" i="102" s="1"/>
  <c r="A24" i="102"/>
  <c r="A51" i="102" s="1"/>
  <c r="AB23" i="102"/>
  <c r="AA23" i="102"/>
  <c r="Z23" i="102"/>
  <c r="C23" i="102"/>
  <c r="C50" i="102" s="1"/>
  <c r="B23" i="102"/>
  <c r="B50" i="102" s="1"/>
  <c r="A23" i="102"/>
  <c r="A50" i="102" s="1"/>
  <c r="AB22" i="102"/>
  <c r="AA22" i="102"/>
  <c r="Z22" i="102"/>
  <c r="C22" i="102"/>
  <c r="C49" i="102" s="1"/>
  <c r="B22" i="102"/>
  <c r="B49" i="102" s="1"/>
  <c r="A22" i="102"/>
  <c r="A49" i="102" s="1"/>
  <c r="AB21" i="102"/>
  <c r="AA21" i="102"/>
  <c r="Z21" i="102"/>
  <c r="C21" i="102"/>
  <c r="C48" i="102" s="1"/>
  <c r="B21" i="102"/>
  <c r="B48" i="102" s="1"/>
  <c r="A21" i="102"/>
  <c r="A48" i="102" s="1"/>
  <c r="AB20" i="102"/>
  <c r="AA20" i="102"/>
  <c r="Z20" i="102"/>
  <c r="C20" i="102"/>
  <c r="C47" i="102" s="1"/>
  <c r="B20" i="102"/>
  <c r="B47" i="102" s="1"/>
  <c r="A20" i="102"/>
  <c r="A47" i="102" s="1"/>
  <c r="AB19" i="102"/>
  <c r="AA19" i="102"/>
  <c r="Z19" i="102"/>
  <c r="C19" i="102"/>
  <c r="C46" i="102" s="1"/>
  <c r="B19" i="102"/>
  <c r="B46" i="102" s="1"/>
  <c r="A19" i="102"/>
  <c r="A46" i="102" s="1"/>
  <c r="AB18" i="102"/>
  <c r="AA18" i="102"/>
  <c r="Z18" i="102"/>
  <c r="C18" i="102"/>
  <c r="C45" i="102" s="1"/>
  <c r="B18" i="102"/>
  <c r="B45" i="102" s="1"/>
  <c r="A18" i="102"/>
  <c r="A45" i="102" s="1"/>
  <c r="AB17" i="102"/>
  <c r="AA17" i="102"/>
  <c r="Z17" i="102"/>
  <c r="C17" i="102"/>
  <c r="C44" i="102" s="1"/>
  <c r="B17" i="102"/>
  <c r="B44" i="102" s="1"/>
  <c r="A17" i="102"/>
  <c r="A44" i="102" s="1"/>
  <c r="AB16" i="102"/>
  <c r="AA16" i="102"/>
  <c r="Z16" i="102"/>
  <c r="C16" i="102"/>
  <c r="C43" i="102" s="1"/>
  <c r="B16" i="102"/>
  <c r="B43" i="102" s="1"/>
  <c r="A16" i="102"/>
  <c r="A43" i="102" s="1"/>
  <c r="AB15" i="102"/>
  <c r="AA15" i="102"/>
  <c r="Z15" i="102"/>
  <c r="C15" i="102"/>
  <c r="C42" i="102" s="1"/>
  <c r="B15" i="102"/>
  <c r="B42" i="102" s="1"/>
  <c r="A15" i="102"/>
  <c r="A42" i="102" s="1"/>
  <c r="AB14" i="102"/>
  <c r="AA14" i="102"/>
  <c r="Z14" i="102"/>
  <c r="C14" i="102"/>
  <c r="C41" i="102" s="1"/>
  <c r="B14" i="102"/>
  <c r="B41" i="102" s="1"/>
  <c r="A14" i="102"/>
  <c r="A41" i="102" s="1"/>
  <c r="AB13" i="102"/>
  <c r="AA13" i="102"/>
  <c r="Z13" i="102"/>
  <c r="C13" i="102"/>
  <c r="C40" i="102" s="1"/>
  <c r="B13" i="102"/>
  <c r="B40" i="102" s="1"/>
  <c r="A13" i="102"/>
  <c r="A40" i="102" s="1"/>
  <c r="AB12" i="102"/>
  <c r="AA12" i="102"/>
  <c r="Z12" i="102"/>
  <c r="C12" i="102"/>
  <c r="C39" i="102" s="1"/>
  <c r="B12" i="102"/>
  <c r="B39" i="102" s="1"/>
  <c r="A12" i="102"/>
  <c r="A39" i="102" s="1"/>
  <c r="AB11" i="102"/>
  <c r="AA11" i="102"/>
  <c r="Z11" i="102"/>
  <c r="C11" i="102"/>
  <c r="C38" i="102" s="1"/>
  <c r="B11" i="102"/>
  <c r="B38" i="102" s="1"/>
  <c r="A11" i="102"/>
  <c r="A38" i="102" s="1"/>
  <c r="AB10" i="102"/>
  <c r="AA10" i="102"/>
  <c r="Z10" i="102"/>
  <c r="C10" i="102"/>
  <c r="C37" i="102" s="1"/>
  <c r="B10" i="102"/>
  <c r="B37" i="102" s="1"/>
  <c r="A10" i="102"/>
  <c r="A37" i="102" s="1"/>
  <c r="AB9" i="102"/>
  <c r="AA9" i="102"/>
  <c r="Z9" i="102"/>
  <c r="C9" i="102"/>
  <c r="C36" i="102" s="1"/>
  <c r="B9" i="102"/>
  <c r="B36" i="102" s="1"/>
  <c r="A9" i="102"/>
  <c r="A36" i="102" s="1"/>
  <c r="AB8" i="102"/>
  <c r="AA8" i="102"/>
  <c r="Z8" i="102"/>
  <c r="C8" i="102"/>
  <c r="C35" i="102" s="1"/>
  <c r="B8" i="102"/>
  <c r="B35" i="102" s="1"/>
  <c r="A8" i="102"/>
  <c r="A35" i="102" s="1"/>
  <c r="AB7" i="102"/>
  <c r="AA7" i="102"/>
  <c r="Z7" i="102"/>
  <c r="C7" i="102"/>
  <c r="C34" i="102" s="1"/>
  <c r="B7" i="102"/>
  <c r="B34" i="102" s="1"/>
  <c r="A7" i="102"/>
  <c r="A34" i="102" s="1"/>
  <c r="T28" i="91"/>
  <c r="T55" i="91" s="1"/>
  <c r="R28" i="91"/>
  <c r="T54" i="91"/>
  <c r="S54" i="91"/>
  <c r="R54" i="91"/>
  <c r="T53" i="91"/>
  <c r="S53" i="91"/>
  <c r="R53" i="91"/>
  <c r="T52" i="91"/>
  <c r="S52" i="91"/>
  <c r="R52" i="91"/>
  <c r="T51" i="91"/>
  <c r="S51" i="91"/>
  <c r="R51" i="91"/>
  <c r="T50" i="91"/>
  <c r="S50" i="91"/>
  <c r="R50" i="91"/>
  <c r="T49" i="91"/>
  <c r="S49" i="91"/>
  <c r="R49" i="91"/>
  <c r="T48" i="91"/>
  <c r="S48" i="91"/>
  <c r="R48" i="91"/>
  <c r="T47" i="91"/>
  <c r="S47" i="91"/>
  <c r="R47" i="91"/>
  <c r="T46" i="91"/>
  <c r="S46" i="91"/>
  <c r="R46" i="91"/>
  <c r="T45" i="91"/>
  <c r="S45" i="91"/>
  <c r="R45" i="91"/>
  <c r="T44" i="91"/>
  <c r="S44" i="91"/>
  <c r="R44" i="91"/>
  <c r="T43" i="91"/>
  <c r="S43" i="91"/>
  <c r="R43" i="91"/>
  <c r="T42" i="91"/>
  <c r="S42" i="91"/>
  <c r="R42" i="91"/>
  <c r="T41" i="91"/>
  <c r="S41" i="91"/>
  <c r="R41" i="91"/>
  <c r="T40" i="91"/>
  <c r="S40" i="91"/>
  <c r="R40" i="91"/>
  <c r="T39" i="91"/>
  <c r="S39" i="91"/>
  <c r="R39" i="91"/>
  <c r="T38" i="91"/>
  <c r="S38" i="91"/>
  <c r="R38" i="91"/>
  <c r="T37" i="91"/>
  <c r="S37" i="91"/>
  <c r="R37" i="91"/>
  <c r="T36" i="91"/>
  <c r="S36" i="91"/>
  <c r="R36" i="91"/>
  <c r="T35" i="91"/>
  <c r="S35" i="91"/>
  <c r="R35" i="91"/>
  <c r="T34" i="91"/>
  <c r="S34" i="91"/>
  <c r="R34" i="91"/>
  <c r="C12" i="23"/>
  <c r="I12" i="23" s="1"/>
  <c r="P30" i="102" l="1"/>
  <c r="N61" i="102"/>
  <c r="N56" i="102" s="1"/>
  <c r="F53" i="102"/>
  <c r="N54" i="102"/>
  <c r="R55" i="102"/>
  <c r="H29" i="102"/>
  <c r="H55" i="102"/>
  <c r="J61" i="102"/>
  <c r="J56" i="102" s="1"/>
  <c r="N53" i="102"/>
  <c r="C26" i="102"/>
  <c r="C27" i="102"/>
  <c r="G27" i="102" s="1"/>
  <c r="G54" i="102" s="1"/>
  <c r="C28" i="102"/>
  <c r="S28" i="102" s="1"/>
  <c r="S55" i="102" s="1"/>
  <c r="B3" i="102"/>
  <c r="P29" i="102"/>
  <c r="R55" i="91"/>
  <c r="K28" i="102" l="1"/>
  <c r="K55" i="102" s="1"/>
  <c r="F61" i="102"/>
  <c r="F56" i="102" s="1"/>
  <c r="C54" i="102"/>
  <c r="K54" i="102"/>
  <c r="C55" i="102"/>
  <c r="O28" i="102"/>
  <c r="O55" i="102" s="1"/>
  <c r="C53" i="102"/>
  <c r="K53" i="102"/>
  <c r="O53" i="102"/>
  <c r="G28" i="102"/>
  <c r="G55" i="102" s="1"/>
  <c r="G26" i="102"/>
  <c r="G53" i="102" s="1"/>
  <c r="O54" i="102"/>
  <c r="B13" i="23" l="1"/>
  <c r="AB24" i="91"/>
  <c r="AB23" i="91"/>
  <c r="AB17" i="91"/>
  <c r="AB18" i="91"/>
  <c r="AB19" i="91"/>
  <c r="AB20" i="91"/>
  <c r="AB21" i="91"/>
  <c r="AB22" i="91"/>
  <c r="AB25" i="91"/>
  <c r="AB16" i="91"/>
  <c r="AB8" i="91"/>
  <c r="AB9" i="91"/>
  <c r="AB10" i="91"/>
  <c r="AB11" i="91"/>
  <c r="AB12" i="91"/>
  <c r="AB13" i="91"/>
  <c r="AB14" i="91"/>
  <c r="AB15" i="91"/>
  <c r="AB7" i="91"/>
  <c r="AA8" i="91"/>
  <c r="AA9" i="91"/>
  <c r="AA10" i="91"/>
  <c r="AA11" i="91"/>
  <c r="AA12" i="91"/>
  <c r="AA13" i="91"/>
  <c r="AA14" i="91"/>
  <c r="AA15" i="91"/>
  <c r="AA7" i="91"/>
  <c r="AA24" i="91"/>
  <c r="AA23" i="91"/>
  <c r="AA17" i="91"/>
  <c r="AA18" i="91"/>
  <c r="AA19" i="91"/>
  <c r="AA20" i="91"/>
  <c r="AA21" i="91"/>
  <c r="AA22" i="91"/>
  <c r="AA25" i="91"/>
  <c r="AA16" i="91"/>
  <c r="Z7" i="91"/>
  <c r="Z25" i="91"/>
  <c r="Z24" i="91"/>
  <c r="Z23" i="91"/>
  <c r="Z22" i="91"/>
  <c r="Z21" i="91"/>
  <c r="Z20" i="91"/>
  <c r="Z19" i="91"/>
  <c r="Z18" i="91"/>
  <c r="Z17" i="91"/>
  <c r="Z16" i="91"/>
  <c r="Z15" i="91"/>
  <c r="Z14" i="91"/>
  <c r="Z13" i="91"/>
  <c r="Z12" i="91"/>
  <c r="Z11" i="91"/>
  <c r="Z10" i="91"/>
  <c r="Z9" i="91"/>
  <c r="Z8" i="91"/>
  <c r="D13" i="23" l="1"/>
  <c r="C13" i="23"/>
  <c r="I13" i="23" s="1"/>
  <c r="B12" i="23"/>
  <c r="B14" i="23" s="1"/>
  <c r="H13" i="23" l="1"/>
  <c r="D12" i="23"/>
  <c r="H12" i="23" s="1"/>
  <c r="F14" i="90" l="1"/>
  <c r="E14" i="90"/>
  <c r="H14" i="101"/>
  <c r="G14" i="101"/>
  <c r="D14" i="80"/>
  <c r="D15" i="80"/>
  <c r="D16" i="80"/>
  <c r="D17" i="80"/>
  <c r="D18" i="80"/>
  <c r="D19" i="80"/>
  <c r="D20" i="80"/>
  <c r="D21" i="80"/>
  <c r="D22" i="80"/>
  <c r="D13" i="80"/>
  <c r="Q18" i="80" a="1"/>
  <c r="Q15" i="80" a="1"/>
  <c r="R15" i="80" a="1"/>
  <c r="Q21" i="80" a="1"/>
  <c r="R21" i="80" a="1"/>
  <c r="R13" i="80" a="1"/>
  <c r="Q19" i="80" a="1"/>
  <c r="Q13" i="80" a="1"/>
  <c r="R17" i="80" a="1"/>
  <c r="Q16" i="80" a="1"/>
  <c r="R20" i="80" a="1"/>
  <c r="R18" i="80" a="1"/>
  <c r="Q22" i="80" a="1"/>
  <c r="Q20" i="80" a="1"/>
  <c r="R16" i="80" a="1"/>
  <c r="R14" i="80" a="1"/>
  <c r="R22" i="80" a="1"/>
  <c r="Q17" i="80" a="1"/>
  <c r="R19" i="80" a="1"/>
  <c r="Q14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Q6" i="80" a="1"/>
  <c r="R11" i="80" a="1"/>
  <c r="R9" i="80" a="1"/>
  <c r="R4" i="80" a="1"/>
  <c r="R8" i="80" a="1"/>
  <c r="R12" i="80" a="1"/>
  <c r="Q8" i="80" a="1"/>
  <c r="Q10" i="80" a="1"/>
  <c r="Q7" i="80" a="1"/>
  <c r="Q11" i="80" a="1"/>
  <c r="Q9" i="80" a="1"/>
  <c r="R7" i="80" a="1"/>
  <c r="R6" i="80" a="1"/>
  <c r="Q12" i="80" a="1"/>
  <c r="Q4" i="80" a="1"/>
  <c r="R10" i="80" a="1"/>
  <c r="D23" i="80" l="1"/>
  <c r="Q4" i="80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B54" i="91" l="1"/>
  <c r="B53" i="91"/>
  <c r="P27" i="91"/>
  <c r="P54" i="91" s="1"/>
  <c r="N27" i="91"/>
  <c r="N54" i="91" s="1"/>
  <c r="P26" i="91"/>
  <c r="P53" i="91" s="1"/>
  <c r="N26" i="91"/>
  <c r="N53" i="91" s="1"/>
  <c r="H54" i="91"/>
  <c r="F54" i="91"/>
  <c r="F53" i="91"/>
  <c r="J54" i="91" l="1"/>
  <c r="J53" i="91"/>
  <c r="L54" i="91"/>
  <c r="L53" i="91"/>
  <c r="H53" i="91"/>
  <c r="G9" i="90"/>
  <c r="D9" i="90"/>
  <c r="C21" i="80"/>
  <c r="C22" i="80"/>
  <c r="N51" i="91"/>
  <c r="O51" i="91"/>
  <c r="P51" i="91"/>
  <c r="N52" i="91"/>
  <c r="O52" i="91"/>
  <c r="P52" i="91"/>
  <c r="J51" i="91"/>
  <c r="K51" i="91"/>
  <c r="L51" i="91"/>
  <c r="J52" i="91"/>
  <c r="K52" i="91"/>
  <c r="L52" i="91"/>
  <c r="F51" i="91"/>
  <c r="G51" i="91"/>
  <c r="H51" i="91"/>
  <c r="F52" i="91"/>
  <c r="G52" i="91"/>
  <c r="H52" i="91"/>
  <c r="P28" i="91"/>
  <c r="P30" i="91" s="1"/>
  <c r="N28" i="91"/>
  <c r="L30" i="91"/>
  <c r="H28" i="91"/>
  <c r="H30" i="91" s="1"/>
  <c r="F28" i="91"/>
  <c r="C24" i="91"/>
  <c r="C51" i="91" s="1"/>
  <c r="C25" i="91"/>
  <c r="C52" i="91" s="1"/>
  <c r="B24" i="91"/>
  <c r="B51" i="91" s="1"/>
  <c r="B25" i="91"/>
  <c r="B52" i="91" s="1"/>
  <c r="A24" i="91"/>
  <c r="A51" i="91" s="1"/>
  <c r="A25" i="91"/>
  <c r="A52" i="91" s="1"/>
  <c r="H67" i="23"/>
  <c r="H68" i="23"/>
  <c r="D67" i="23"/>
  <c r="D68" i="23"/>
  <c r="C60" i="23"/>
  <c r="C61" i="23"/>
  <c r="C62" i="23"/>
  <c r="C63" i="23"/>
  <c r="C64" i="23"/>
  <c r="C65" i="23"/>
  <c r="C66" i="23"/>
  <c r="C67" i="23"/>
  <c r="C68" i="23"/>
  <c r="C59" i="23"/>
  <c r="B60" i="23"/>
  <c r="B61" i="23"/>
  <c r="B62" i="23"/>
  <c r="B63" i="23"/>
  <c r="B64" i="23"/>
  <c r="B65" i="23"/>
  <c r="B66" i="23"/>
  <c r="B67" i="23"/>
  <c r="B68" i="23"/>
  <c r="B69" i="23"/>
  <c r="B59" i="23"/>
  <c r="A58" i="23"/>
  <c r="C9" i="10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G12" i="101"/>
  <c r="F12" i="101"/>
  <c r="E12" i="101"/>
  <c r="D12" i="101"/>
  <c r="C12" i="101"/>
  <c r="B12" i="101"/>
  <c r="N12" i="101" s="1"/>
  <c r="C6" i="101"/>
  <c r="B6" i="101"/>
  <c r="K37" i="23"/>
  <c r="M37" i="23" s="1"/>
  <c r="K38" i="23"/>
  <c r="M38" i="23" s="1"/>
  <c r="B9" i="90"/>
  <c r="C9" i="90"/>
  <c r="I40" i="23"/>
  <c r="I39" i="23"/>
  <c r="E40" i="23"/>
  <c r="I14" i="23" s="1"/>
  <c r="J14" i="23" s="1"/>
  <c r="E39" i="23"/>
  <c r="D69" i="23" s="1"/>
  <c r="V25" i="102" l="1"/>
  <c r="W25" i="102" s="1"/>
  <c r="V25" i="103"/>
  <c r="V24" i="102"/>
  <c r="Y24" i="102" s="1"/>
  <c r="V24" i="103"/>
  <c r="H12" i="101"/>
  <c r="L12" i="101"/>
  <c r="M12" i="101" s="1"/>
  <c r="P12" i="101" s="1"/>
  <c r="Q12" i="101" s="1"/>
  <c r="H69" i="23"/>
  <c r="K69" i="23" s="1"/>
  <c r="M69" i="23" s="1"/>
  <c r="I41" i="23"/>
  <c r="K67" i="23"/>
  <c r="M67" i="23" s="1"/>
  <c r="K68" i="23"/>
  <c r="M68" i="23" s="1"/>
  <c r="V25" i="91"/>
  <c r="V24" i="91"/>
  <c r="O12" i="101"/>
  <c r="Y25" i="102" l="1"/>
  <c r="W24" i="102"/>
  <c r="Y24" i="103"/>
  <c r="W24" i="103"/>
  <c r="Y25" i="103"/>
  <c r="W25" i="103"/>
  <c r="R12" i="101"/>
  <c r="B40" i="101" s="1"/>
  <c r="W24" i="91"/>
  <c r="Y24" i="91"/>
  <c r="W25" i="91"/>
  <c r="Y25" i="91"/>
  <c r="B26" i="101"/>
  <c r="B30" i="101" l="1"/>
  <c r="B35" i="101"/>
  <c r="B38" i="101"/>
  <c r="E38" i="101" s="1"/>
  <c r="B34" i="101"/>
  <c r="E34" i="101" s="1"/>
  <c r="B33" i="101"/>
  <c r="B39" i="101"/>
  <c r="B42" i="101"/>
  <c r="E9" i="101"/>
  <c r="F9" i="101" s="1"/>
  <c r="J38" i="23" s="1"/>
  <c r="I68" i="23" s="1"/>
  <c r="J68" i="23" s="1"/>
  <c r="X25" i="102" s="1"/>
  <c r="B24" i="101"/>
  <c r="B22" i="101"/>
  <c r="E22" i="101" s="1"/>
  <c r="B28" i="101"/>
  <c r="D28" i="101" s="1"/>
  <c r="B37" i="101"/>
  <c r="C37" i="101" s="1"/>
  <c r="B29" i="101"/>
  <c r="B32" i="101"/>
  <c r="B41" i="101"/>
  <c r="E41" i="101" s="1"/>
  <c r="B23" i="101"/>
  <c r="D24" i="101" s="1"/>
  <c r="B27" i="101"/>
  <c r="C27" i="101" s="1"/>
  <c r="B36" i="101"/>
  <c r="B25" i="101"/>
  <c r="D25" i="101" s="1"/>
  <c r="H9" i="101"/>
  <c r="I9" i="101" s="1"/>
  <c r="J9" i="101" s="1"/>
  <c r="B31" i="101"/>
  <c r="D31" i="101"/>
  <c r="C31" i="101"/>
  <c r="E31" i="101"/>
  <c r="E33" i="101"/>
  <c r="D33" i="101"/>
  <c r="C33" i="101"/>
  <c r="C24" i="101"/>
  <c r="E24" i="101"/>
  <c r="E30" i="101"/>
  <c r="D30" i="101"/>
  <c r="C30" i="101"/>
  <c r="C35" i="101"/>
  <c r="E35" i="101"/>
  <c r="C28" i="101"/>
  <c r="E26" i="101"/>
  <c r="C26" i="101"/>
  <c r="E37" i="101"/>
  <c r="D27" i="101"/>
  <c r="E29" i="101"/>
  <c r="C29" i="101"/>
  <c r="C40" i="101"/>
  <c r="D40" i="101"/>
  <c r="E40" i="101"/>
  <c r="C38" i="101"/>
  <c r="D23" i="101"/>
  <c r="C39" i="101"/>
  <c r="E39" i="101"/>
  <c r="C32" i="101"/>
  <c r="D32" i="101"/>
  <c r="E32" i="101"/>
  <c r="D41" i="101"/>
  <c r="J22" i="80"/>
  <c r="D42" i="101" l="1"/>
  <c r="E42" i="101"/>
  <c r="C41" i="101"/>
  <c r="E25" i="101"/>
  <c r="F38" i="23"/>
  <c r="D39" i="101"/>
  <c r="D34" i="101"/>
  <c r="C42" i="101"/>
  <c r="D37" i="101"/>
  <c r="C34" i="101"/>
  <c r="D38" i="101"/>
  <c r="C25" i="101"/>
  <c r="C23" i="101"/>
  <c r="D29" i="101"/>
  <c r="E28" i="101"/>
  <c r="D35" i="101"/>
  <c r="X25" i="91"/>
  <c r="D26" i="101"/>
  <c r="E36" i="101"/>
  <c r="X25" i="103"/>
  <c r="D36" i="101"/>
  <c r="C22" i="101"/>
  <c r="E27" i="101"/>
  <c r="C36" i="101"/>
  <c r="E23" i="101"/>
  <c r="L38" i="23"/>
  <c r="N38" i="23" s="1"/>
  <c r="F68" i="23"/>
  <c r="G68" i="23" s="1"/>
  <c r="D25" i="103" s="1"/>
  <c r="D52" i="103" s="1"/>
  <c r="E22" i="80"/>
  <c r="I22" i="80" s="1"/>
  <c r="D12" i="100"/>
  <c r="C12" i="100"/>
  <c r="B12" i="100"/>
  <c r="F22" i="80" l="1"/>
  <c r="D25" i="102"/>
  <c r="D52" i="102" s="1"/>
  <c r="H22" i="80"/>
  <c r="G22" i="80"/>
  <c r="D25" i="91"/>
  <c r="D52" i="91" s="1"/>
  <c r="L68" i="23"/>
  <c r="N68" i="23" s="1"/>
  <c r="D12" i="90"/>
  <c r="C12" i="90"/>
  <c r="B12" i="90"/>
  <c r="D12" i="99" l="1"/>
  <c r="C12" i="99"/>
  <c r="B12" i="99"/>
  <c r="D12" i="98" l="1"/>
  <c r="C12" i="98"/>
  <c r="B12" i="98"/>
  <c r="D12" i="97" l="1"/>
  <c r="C12" i="97"/>
  <c r="B12" i="97"/>
  <c r="F12" i="96" l="1"/>
  <c r="E12" i="96"/>
  <c r="D12" i="96"/>
  <c r="C12" i="96"/>
  <c r="B12" i="96"/>
  <c r="D12" i="95" l="1"/>
  <c r="C12" i="95"/>
  <c r="B12" i="95"/>
  <c r="F12" i="94" l="1"/>
  <c r="E12" i="94"/>
  <c r="D12" i="94"/>
  <c r="C12" i="94"/>
  <c r="B12" i="94"/>
  <c r="F12" i="93" l="1"/>
  <c r="E12" i="93"/>
  <c r="D12" i="93"/>
  <c r="C12" i="93"/>
  <c r="B12" i="93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I28" i="23" l="1"/>
  <c r="G14" i="23"/>
  <c r="G13" i="23"/>
  <c r="E28" i="23"/>
  <c r="D58" i="23" s="1"/>
  <c r="G12" i="23" l="1"/>
  <c r="H58" i="23"/>
  <c r="K58" i="23" s="1"/>
  <c r="M58" i="23" s="1"/>
  <c r="G14" i="92" l="1"/>
  <c r="G13" i="92"/>
  <c r="C12" i="80" l="1"/>
  <c r="C13" i="80"/>
  <c r="C14" i="80"/>
  <c r="C15" i="80"/>
  <c r="C16" i="80"/>
  <c r="C17" i="80"/>
  <c r="C18" i="80"/>
  <c r="C19" i="80"/>
  <c r="C20" i="80"/>
  <c r="J43" i="91"/>
  <c r="K43" i="91"/>
  <c r="L43" i="91"/>
  <c r="J44" i="91"/>
  <c r="K44" i="91"/>
  <c r="L44" i="91"/>
  <c r="J45" i="91"/>
  <c r="K45" i="91"/>
  <c r="L45" i="91"/>
  <c r="J46" i="91"/>
  <c r="K46" i="91"/>
  <c r="L46" i="91"/>
  <c r="J47" i="91"/>
  <c r="K47" i="91"/>
  <c r="L47" i="91"/>
  <c r="J48" i="91"/>
  <c r="K48" i="91"/>
  <c r="L48" i="91"/>
  <c r="J49" i="91"/>
  <c r="K49" i="91"/>
  <c r="L49" i="91"/>
  <c r="J50" i="91"/>
  <c r="K50" i="91"/>
  <c r="L50" i="91"/>
  <c r="N43" i="91"/>
  <c r="O43" i="91"/>
  <c r="P43" i="91"/>
  <c r="N44" i="91"/>
  <c r="O44" i="91"/>
  <c r="P44" i="91"/>
  <c r="N45" i="91"/>
  <c r="O45" i="91"/>
  <c r="P45" i="91"/>
  <c r="N46" i="91"/>
  <c r="O46" i="91"/>
  <c r="P46" i="91"/>
  <c r="N47" i="91"/>
  <c r="O47" i="91"/>
  <c r="P47" i="91"/>
  <c r="N48" i="91"/>
  <c r="O48" i="91"/>
  <c r="P48" i="91"/>
  <c r="N49" i="91"/>
  <c r="O49" i="91"/>
  <c r="P49" i="91"/>
  <c r="N50" i="91"/>
  <c r="O50" i="91"/>
  <c r="P50" i="91"/>
  <c r="F43" i="91"/>
  <c r="G43" i="91"/>
  <c r="H43" i="91"/>
  <c r="F44" i="91"/>
  <c r="G44" i="91"/>
  <c r="H44" i="91"/>
  <c r="F45" i="91"/>
  <c r="G45" i="91"/>
  <c r="H45" i="91"/>
  <c r="F46" i="91"/>
  <c r="G46" i="91"/>
  <c r="H46" i="91"/>
  <c r="F47" i="91"/>
  <c r="G47" i="91"/>
  <c r="H47" i="91"/>
  <c r="F48" i="91"/>
  <c r="G48" i="91"/>
  <c r="H48" i="91"/>
  <c r="F49" i="91"/>
  <c r="G49" i="91"/>
  <c r="H49" i="91"/>
  <c r="F50" i="91"/>
  <c r="G50" i="91"/>
  <c r="H50" i="9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C16" i="91"/>
  <c r="B16" i="91"/>
  <c r="B43" i="91" s="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A16" i="91"/>
  <c r="A43" i="91" s="1"/>
  <c r="A17" i="91"/>
  <c r="A44" i="91" s="1"/>
  <c r="A18" i="91"/>
  <c r="A45" i="91" s="1"/>
  <c r="A19" i="91"/>
  <c r="A46" i="91" s="1"/>
  <c r="A20" i="91"/>
  <c r="A47" i="91" s="1"/>
  <c r="A21" i="91"/>
  <c r="A48" i="91" s="1"/>
  <c r="A22" i="91"/>
  <c r="A49" i="91" s="1"/>
  <c r="A23" i="91"/>
  <c r="A50" i="91" s="1"/>
  <c r="A11" i="91"/>
  <c r="A38" i="91" s="1"/>
  <c r="H59" i="23"/>
  <c r="H60" i="23"/>
  <c r="H61" i="23"/>
  <c r="H62" i="23"/>
  <c r="H63" i="23"/>
  <c r="H64" i="23"/>
  <c r="H65" i="23"/>
  <c r="H66" i="23"/>
  <c r="D59" i="23"/>
  <c r="D60" i="23"/>
  <c r="D61" i="23"/>
  <c r="D62" i="23"/>
  <c r="D63" i="23"/>
  <c r="D64" i="23"/>
  <c r="D65" i="23"/>
  <c r="D66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Q30" i="23"/>
  <c r="Q31" i="23"/>
  <c r="C9" i="96"/>
  <c r="C9" i="97"/>
  <c r="Q34" i="23"/>
  <c r="C9" i="99"/>
  <c r="Q36" i="23"/>
  <c r="P30" i="23"/>
  <c r="B9" i="95"/>
  <c r="P32" i="23"/>
  <c r="P33" i="23"/>
  <c r="P34" i="23"/>
  <c r="B9" i="99"/>
  <c r="P36" i="23"/>
  <c r="K27" i="23"/>
  <c r="M27" i="23" s="1"/>
  <c r="K29" i="23"/>
  <c r="K30" i="23"/>
  <c r="M30" i="23" s="1"/>
  <c r="K31" i="23"/>
  <c r="M31" i="23" s="1"/>
  <c r="K32" i="23"/>
  <c r="M32" i="23" s="1"/>
  <c r="K33" i="23"/>
  <c r="M33" i="23" s="1"/>
  <c r="K34" i="23"/>
  <c r="M34" i="23" s="1"/>
  <c r="K35" i="23"/>
  <c r="M35" i="23" s="1"/>
  <c r="K36" i="23"/>
  <c r="M36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V20" i="102" l="1"/>
  <c r="W20" i="102" s="1"/>
  <c r="V20" i="103"/>
  <c r="V21" i="102"/>
  <c r="W21" i="102" s="1"/>
  <c r="V21" i="103"/>
  <c r="V19" i="102"/>
  <c r="W19" i="102" s="1"/>
  <c r="V19" i="103"/>
  <c r="V18" i="102"/>
  <c r="W18" i="102" s="1"/>
  <c r="V18" i="103"/>
  <c r="V17" i="102"/>
  <c r="Y17" i="102" s="1"/>
  <c r="V17" i="103"/>
  <c r="V16" i="102"/>
  <c r="Y16" i="102" s="1"/>
  <c r="V16" i="103"/>
  <c r="V23" i="102"/>
  <c r="Y23" i="102" s="1"/>
  <c r="V23" i="103"/>
  <c r="V22" i="102"/>
  <c r="W22" i="102" s="1"/>
  <c r="V22" i="103"/>
  <c r="Y20" i="102"/>
  <c r="F50" i="80"/>
  <c r="C43" i="91"/>
  <c r="C27" i="91"/>
  <c r="G39" i="23"/>
  <c r="H39" i="23"/>
  <c r="K39" i="23"/>
  <c r="M39" i="23" s="1"/>
  <c r="P29" i="23"/>
  <c r="C9" i="93"/>
  <c r="M29" i="23"/>
  <c r="K66" i="23"/>
  <c r="M66" i="23" s="1"/>
  <c r="K62" i="23"/>
  <c r="M62" i="23" s="1"/>
  <c r="K65" i="23"/>
  <c r="M65" i="23" s="1"/>
  <c r="K61" i="23"/>
  <c r="M61" i="23" s="1"/>
  <c r="K64" i="23"/>
  <c r="M64" i="23" s="1"/>
  <c r="K60" i="23"/>
  <c r="M60" i="23" s="1"/>
  <c r="K63" i="23"/>
  <c r="M63" i="23" s="1"/>
  <c r="K59" i="23"/>
  <c r="M59" i="23" s="1"/>
  <c r="L12" i="96"/>
  <c r="M12" i="96" s="1"/>
  <c r="B9" i="93"/>
  <c r="L29" i="91"/>
  <c r="H29" i="91"/>
  <c r="P29" i="91"/>
  <c r="L12" i="93"/>
  <c r="M12" i="93" s="1"/>
  <c r="P12" i="93" s="1"/>
  <c r="L12" i="94"/>
  <c r="M12" i="94" s="1"/>
  <c r="P12" i="94" s="1"/>
  <c r="O12" i="93"/>
  <c r="O12" i="94"/>
  <c r="C9" i="94"/>
  <c r="V23" i="91"/>
  <c r="V19" i="91"/>
  <c r="Y19" i="91" s="1"/>
  <c r="V22" i="91"/>
  <c r="V18" i="91"/>
  <c r="V21" i="91"/>
  <c r="V17" i="91"/>
  <c r="V20" i="91"/>
  <c r="V16" i="91"/>
  <c r="Y16" i="91" s="1"/>
  <c r="E9" i="95"/>
  <c r="F9" i="95" s="1"/>
  <c r="J31" i="23" s="1"/>
  <c r="I61" i="23" s="1"/>
  <c r="E9" i="99"/>
  <c r="F9" i="99" s="1"/>
  <c r="J35" i="23" s="1"/>
  <c r="I65" i="23" s="1"/>
  <c r="B21" i="100"/>
  <c r="C21" i="100" s="1"/>
  <c r="B9" i="94"/>
  <c r="C9" i="95"/>
  <c r="H9" i="95"/>
  <c r="I9" i="95" s="1"/>
  <c r="F31" i="23" s="1"/>
  <c r="H9" i="97"/>
  <c r="I9" i="97" s="1"/>
  <c r="F33" i="23" s="1"/>
  <c r="B9" i="98"/>
  <c r="B21" i="99"/>
  <c r="C21" i="99" s="1"/>
  <c r="H9" i="100"/>
  <c r="I9" i="100" s="1"/>
  <c r="F36" i="23" s="1"/>
  <c r="O36" i="23" s="1"/>
  <c r="Q35" i="23"/>
  <c r="Q33" i="23"/>
  <c r="Q29" i="23"/>
  <c r="B21" i="95"/>
  <c r="B9" i="97"/>
  <c r="E9" i="98"/>
  <c r="F9" i="98" s="1"/>
  <c r="J34" i="23" s="1"/>
  <c r="I64" i="23" s="1"/>
  <c r="C9" i="98"/>
  <c r="B9" i="100"/>
  <c r="P35" i="23"/>
  <c r="P31" i="23"/>
  <c r="B22" i="100"/>
  <c r="C22" i="100" s="1"/>
  <c r="H12" i="94"/>
  <c r="B9" i="96"/>
  <c r="H9" i="98"/>
  <c r="I9" i="98" s="1"/>
  <c r="F34" i="23" s="1"/>
  <c r="B21" i="98"/>
  <c r="E9" i="100"/>
  <c r="F9" i="100" s="1"/>
  <c r="J36" i="23" s="1"/>
  <c r="I66" i="23" s="1"/>
  <c r="C9" i="100"/>
  <c r="Q32" i="23"/>
  <c r="B21" i="97"/>
  <c r="C21" i="97" s="1"/>
  <c r="E9" i="97"/>
  <c r="F9" i="97" s="1"/>
  <c r="J33" i="23" s="1"/>
  <c r="I63" i="23" s="1"/>
  <c r="A23" i="100"/>
  <c r="G12" i="100"/>
  <c r="H9" i="99"/>
  <c r="I9" i="99" s="1"/>
  <c r="F35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O12" i="96"/>
  <c r="B23" i="95"/>
  <c r="A24" i="95"/>
  <c r="B22" i="95"/>
  <c r="H12" i="93"/>
  <c r="J19" i="80"/>
  <c r="W17" i="102" l="1"/>
  <c r="W23" i="102"/>
  <c r="Y19" i="102"/>
  <c r="Y21" i="102"/>
  <c r="W16" i="102"/>
  <c r="Y18" i="102"/>
  <c r="V27" i="102"/>
  <c r="W27" i="102" s="1"/>
  <c r="Y22" i="102"/>
  <c r="Y22" i="103"/>
  <c r="W22" i="103"/>
  <c r="W18" i="103"/>
  <c r="Y18" i="103"/>
  <c r="W23" i="103"/>
  <c r="Y23" i="103"/>
  <c r="W19" i="103"/>
  <c r="Y19" i="103"/>
  <c r="Y16" i="103"/>
  <c r="W16" i="103"/>
  <c r="V27" i="103"/>
  <c r="Y21" i="103"/>
  <c r="W21" i="103"/>
  <c r="Y17" i="103"/>
  <c r="W17" i="103"/>
  <c r="Y20" i="103"/>
  <c r="W20" i="103"/>
  <c r="W23" i="91"/>
  <c r="Y23" i="91"/>
  <c r="W18" i="91"/>
  <c r="Y18" i="91"/>
  <c r="W21" i="91"/>
  <c r="Y21" i="91"/>
  <c r="W20" i="91"/>
  <c r="Y20" i="91"/>
  <c r="W22" i="91"/>
  <c r="Y22" i="91"/>
  <c r="W17" i="91"/>
  <c r="Y17" i="91"/>
  <c r="W16" i="91"/>
  <c r="V27" i="91"/>
  <c r="C54" i="91"/>
  <c r="K54" i="91"/>
  <c r="R12" i="96"/>
  <c r="P12" i="96"/>
  <c r="Q12" i="96" s="1"/>
  <c r="O27" i="91"/>
  <c r="O54" i="91" s="1"/>
  <c r="G54" i="91"/>
  <c r="Q12" i="94"/>
  <c r="R12" i="94"/>
  <c r="H9" i="94" s="1"/>
  <c r="I9" i="94" s="1"/>
  <c r="R12" i="93"/>
  <c r="Q12" i="93"/>
  <c r="F64" i="23"/>
  <c r="E18" i="80"/>
  <c r="I18" i="80" s="1"/>
  <c r="F53" i="80" s="1"/>
  <c r="O33" i="23"/>
  <c r="F63" i="23"/>
  <c r="E17" i="80"/>
  <c r="I17" i="80" s="1"/>
  <c r="F49" i="80" s="1"/>
  <c r="E19" i="80"/>
  <c r="I19" i="80" s="1"/>
  <c r="F56" i="80" s="1"/>
  <c r="F65" i="23"/>
  <c r="E20" i="80"/>
  <c r="I20" i="80" s="1"/>
  <c r="F48" i="80" s="1"/>
  <c r="F66" i="23"/>
  <c r="E15" i="80"/>
  <c r="I15" i="80" s="1"/>
  <c r="F51" i="80" s="1"/>
  <c r="F61" i="23"/>
  <c r="W19" i="91"/>
  <c r="L31" i="23"/>
  <c r="N31" i="23" s="1"/>
  <c r="L36" i="23"/>
  <c r="N36" i="23" s="1"/>
  <c r="L33" i="23"/>
  <c r="N33" i="23" s="1"/>
  <c r="O31" i="23"/>
  <c r="L35" i="23"/>
  <c r="N35" i="23" s="1"/>
  <c r="O35" i="23"/>
  <c r="O34" i="23"/>
  <c r="L34" i="23"/>
  <c r="N34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B31" i="94" l="1"/>
  <c r="B41" i="94"/>
  <c r="B28" i="94"/>
  <c r="B34" i="94"/>
  <c r="B25" i="94"/>
  <c r="W27" i="103"/>
  <c r="Y27" i="103"/>
  <c r="B41" i="96"/>
  <c r="W27" i="91"/>
  <c r="Y27" i="91"/>
  <c r="B45" i="94"/>
  <c r="B43" i="94"/>
  <c r="B29" i="94"/>
  <c r="B44" i="94"/>
  <c r="B36" i="94"/>
  <c r="C36" i="94" s="1"/>
  <c r="B38" i="94"/>
  <c r="B22" i="94"/>
  <c r="C22" i="94" s="1"/>
  <c r="B35" i="94"/>
  <c r="B47" i="94"/>
  <c r="B32" i="94"/>
  <c r="D32" i="94" s="1"/>
  <c r="B33" i="94"/>
  <c r="C33" i="94" s="1"/>
  <c r="B46" i="94"/>
  <c r="B26" i="94"/>
  <c r="C26" i="94" s="1"/>
  <c r="B42" i="94"/>
  <c r="C42" i="94" s="1"/>
  <c r="B23" i="94"/>
  <c r="D23" i="94" s="1"/>
  <c r="B39" i="94"/>
  <c r="C39" i="94" s="1"/>
  <c r="B40" i="94"/>
  <c r="D41" i="94" s="1"/>
  <c r="B37" i="94"/>
  <c r="B24" i="94"/>
  <c r="D24" i="94" s="1"/>
  <c r="B30" i="94"/>
  <c r="C30" i="94" s="1"/>
  <c r="E9" i="94"/>
  <c r="F9" i="94" s="1"/>
  <c r="J30" i="23" s="1"/>
  <c r="I60" i="23" s="1"/>
  <c r="B27" i="94"/>
  <c r="D28" i="94" s="1"/>
  <c r="B37" i="93"/>
  <c r="C37" i="93" s="1"/>
  <c r="B23" i="96"/>
  <c r="B39" i="96"/>
  <c r="C39" i="96" s="1"/>
  <c r="H9" i="96"/>
  <c r="I9" i="96" s="1"/>
  <c r="J9" i="96" s="1"/>
  <c r="B31" i="96"/>
  <c r="E9" i="96"/>
  <c r="F9" i="96" s="1"/>
  <c r="J32" i="23" s="1"/>
  <c r="I62" i="23" s="1"/>
  <c r="B36" i="96"/>
  <c r="C36" i="96" s="1"/>
  <c r="B42" i="96"/>
  <c r="D42" i="96" s="1"/>
  <c r="B37" i="96"/>
  <c r="C37" i="96" s="1"/>
  <c r="B28" i="96"/>
  <c r="C28" i="96" s="1"/>
  <c r="B30" i="96"/>
  <c r="B29" i="96"/>
  <c r="C29" i="96" s="1"/>
  <c r="B38" i="96"/>
  <c r="B27" i="96"/>
  <c r="B26" i="96"/>
  <c r="C26" i="96" s="1"/>
  <c r="B32" i="96"/>
  <c r="C32" i="96" s="1"/>
  <c r="B34" i="96"/>
  <c r="C34" i="96" s="1"/>
  <c r="B33" i="96"/>
  <c r="B22" i="96"/>
  <c r="C22" i="96" s="1"/>
  <c r="B35" i="96"/>
  <c r="B24" i="96"/>
  <c r="C24" i="96" s="1"/>
  <c r="B40" i="96"/>
  <c r="B25" i="96"/>
  <c r="B23" i="93"/>
  <c r="C23" i="93" s="1"/>
  <c r="B24" i="93"/>
  <c r="C24" i="93" s="1"/>
  <c r="B26" i="93"/>
  <c r="C26" i="93" s="1"/>
  <c r="B41" i="93"/>
  <c r="B42" i="93"/>
  <c r="C42" i="93" s="1"/>
  <c r="B31" i="93"/>
  <c r="B28" i="93"/>
  <c r="C28" i="93" s="1"/>
  <c r="B34" i="93"/>
  <c r="C34" i="93" s="1"/>
  <c r="B30" i="93"/>
  <c r="H9" i="93"/>
  <c r="I9" i="93" s="1"/>
  <c r="F29" i="23" s="1"/>
  <c r="B35" i="93"/>
  <c r="C35" i="93" s="1"/>
  <c r="B32" i="93"/>
  <c r="C32" i="93" s="1"/>
  <c r="B25" i="93"/>
  <c r="C25" i="93" s="1"/>
  <c r="B22" i="93"/>
  <c r="C22" i="93" s="1"/>
  <c r="B39" i="93"/>
  <c r="C39" i="93" s="1"/>
  <c r="B40" i="93"/>
  <c r="B33" i="93"/>
  <c r="C33" i="93" s="1"/>
  <c r="B29" i="93"/>
  <c r="C29" i="93" s="1"/>
  <c r="B27" i="93"/>
  <c r="D27" i="93" s="1"/>
  <c r="E9" i="93"/>
  <c r="F9" i="93" s="1"/>
  <c r="J29" i="23" s="1"/>
  <c r="B36" i="93"/>
  <c r="C36" i="93" s="1"/>
  <c r="B38" i="93"/>
  <c r="C38" i="93" s="1"/>
  <c r="H20" i="80"/>
  <c r="H15" i="80"/>
  <c r="H19" i="80"/>
  <c r="H18" i="80"/>
  <c r="H17" i="80"/>
  <c r="J9" i="94"/>
  <c r="F30" i="23"/>
  <c r="A25" i="100"/>
  <c r="B24" i="100"/>
  <c r="C24" i="100" s="1"/>
  <c r="B25" i="99"/>
  <c r="C25" i="99" s="1"/>
  <c r="A26" i="99"/>
  <c r="B25" i="98"/>
  <c r="A26" i="98"/>
  <c r="A26" i="97"/>
  <c r="B25" i="97"/>
  <c r="C25" i="97" s="1"/>
  <c r="C35" i="96"/>
  <c r="C41" i="96"/>
  <c r="B25" i="95"/>
  <c r="A26" i="95"/>
  <c r="C24" i="94"/>
  <c r="C25" i="94"/>
  <c r="C41" i="94"/>
  <c r="C28" i="94"/>
  <c r="C34" i="94"/>
  <c r="D34" i="94"/>
  <c r="C31" i="94"/>
  <c r="D31" i="94"/>
  <c r="C23" i="94"/>
  <c r="J9" i="93"/>
  <c r="D38" i="93"/>
  <c r="C31" i="93"/>
  <c r="D31" i="93" l="1"/>
  <c r="D29" i="94"/>
  <c r="D25" i="94"/>
  <c r="D25" i="93"/>
  <c r="C42" i="96"/>
  <c r="F32" i="23"/>
  <c r="E16" i="80" s="1"/>
  <c r="I16" i="80" s="1"/>
  <c r="F52" i="80" s="1"/>
  <c r="C29" i="94"/>
  <c r="C27" i="94"/>
  <c r="D35" i="94"/>
  <c r="D38" i="96"/>
  <c r="D39" i="93"/>
  <c r="D42" i="94"/>
  <c r="D24" i="96"/>
  <c r="C35" i="94"/>
  <c r="C23" i="96"/>
  <c r="D30" i="94"/>
  <c r="D40" i="93"/>
  <c r="D35" i="96"/>
  <c r="C40" i="94"/>
  <c r="D26" i="94"/>
  <c r="D30" i="93"/>
  <c r="D40" i="94"/>
  <c r="D36" i="94"/>
  <c r="D23" i="93"/>
  <c r="D37" i="94"/>
  <c r="D39" i="94"/>
  <c r="C30" i="93"/>
  <c r="D27" i="94"/>
  <c r="D38" i="94"/>
  <c r="C37" i="94"/>
  <c r="C32" i="94"/>
  <c r="D24" i="93"/>
  <c r="C38" i="94"/>
  <c r="D33" i="94"/>
  <c r="D42" i="93"/>
  <c r="D33" i="96"/>
  <c r="I59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60" i="23"/>
  <c r="E14" i="80"/>
  <c r="I14" i="80" s="1"/>
  <c r="F54" i="80" s="1"/>
  <c r="F59" i="23"/>
  <c r="E13" i="80"/>
  <c r="I13" i="80" s="1"/>
  <c r="F47" i="80" s="1"/>
  <c r="F62" i="23"/>
  <c r="L32" i="23"/>
  <c r="N32" i="23" s="1"/>
  <c r="O32" i="23"/>
  <c r="L29" i="23"/>
  <c r="O29" i="23"/>
  <c r="L30" i="23"/>
  <c r="N30" i="23" s="1"/>
  <c r="O30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N29" i="23" l="1"/>
  <c r="H13" i="80"/>
  <c r="H14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B27" i="100" l="1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J17" i="80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A41" i="100" l="1"/>
  <c r="B40" i="100"/>
  <c r="C40" i="100" s="1"/>
  <c r="J20" i="80"/>
  <c r="B41" i="100" l="1"/>
  <c r="C41" i="100" s="1"/>
  <c r="A42" i="100"/>
  <c r="B42" i="100" s="1"/>
  <c r="D15" i="92" l="1"/>
  <c r="D14" i="92"/>
  <c r="L42" i="91"/>
  <c r="K42" i="91"/>
  <c r="J42" i="91"/>
  <c r="L41" i="91"/>
  <c r="K41" i="91"/>
  <c r="J41" i="91"/>
  <c r="L40" i="91"/>
  <c r="K40" i="91"/>
  <c r="J40" i="91"/>
  <c r="L39" i="91"/>
  <c r="K39" i="91"/>
  <c r="J39" i="91"/>
  <c r="L38" i="91"/>
  <c r="K38" i="91"/>
  <c r="J38" i="91"/>
  <c r="L37" i="91"/>
  <c r="K37" i="91"/>
  <c r="J37" i="91"/>
  <c r="L36" i="91"/>
  <c r="K36" i="91"/>
  <c r="J36" i="91"/>
  <c r="L35" i="91"/>
  <c r="K35" i="91"/>
  <c r="J35" i="91"/>
  <c r="L34" i="91"/>
  <c r="K34" i="91"/>
  <c r="J34" i="91"/>
  <c r="J32" i="91"/>
  <c r="G7" i="92"/>
  <c r="J55" i="91"/>
  <c r="L55" i="91" l="1"/>
  <c r="J61" i="91" s="1"/>
  <c r="J56" i="91" s="1"/>
  <c r="P42" i="91"/>
  <c r="O42" i="91"/>
  <c r="N42" i="91"/>
  <c r="H42" i="91"/>
  <c r="G42" i="91"/>
  <c r="F42" i="91"/>
  <c r="P41" i="91"/>
  <c r="O41" i="91"/>
  <c r="N41" i="91"/>
  <c r="H41" i="91"/>
  <c r="G41" i="91"/>
  <c r="F41" i="91"/>
  <c r="P40" i="91"/>
  <c r="O40" i="91"/>
  <c r="N40" i="91"/>
  <c r="H40" i="91"/>
  <c r="G40" i="91"/>
  <c r="F40" i="91"/>
  <c r="P39" i="91"/>
  <c r="O39" i="91"/>
  <c r="N39" i="91"/>
  <c r="H39" i="91"/>
  <c r="G39" i="91"/>
  <c r="F39" i="91"/>
  <c r="P38" i="91"/>
  <c r="O38" i="91"/>
  <c r="N38" i="91"/>
  <c r="H38" i="91"/>
  <c r="G38" i="91"/>
  <c r="F38" i="91"/>
  <c r="P37" i="91"/>
  <c r="O37" i="91"/>
  <c r="N37" i="91"/>
  <c r="H37" i="91"/>
  <c r="G37" i="91"/>
  <c r="F37" i="91"/>
  <c r="P36" i="91"/>
  <c r="O36" i="91"/>
  <c r="N36" i="91"/>
  <c r="H36" i="91"/>
  <c r="G36" i="91"/>
  <c r="F36" i="91"/>
  <c r="P35" i="91"/>
  <c r="O35" i="91"/>
  <c r="N35" i="91"/>
  <c r="H35" i="91"/>
  <c r="G35" i="91"/>
  <c r="F35" i="91"/>
  <c r="P34" i="91"/>
  <c r="O34" i="91"/>
  <c r="N34" i="91"/>
  <c r="H34" i="91"/>
  <c r="G34" i="91"/>
  <c r="F34" i="91"/>
  <c r="N32" i="91"/>
  <c r="F32" i="91"/>
  <c r="F31" i="91"/>
  <c r="N55" i="91"/>
  <c r="F55" i="91"/>
  <c r="C15" i="91"/>
  <c r="C42" i="91" s="1"/>
  <c r="B15" i="91"/>
  <c r="B42" i="91" s="1"/>
  <c r="C14" i="91"/>
  <c r="C41" i="91" s="1"/>
  <c r="B14" i="91"/>
  <c r="B41" i="91" s="1"/>
  <c r="C13" i="91"/>
  <c r="B13" i="91"/>
  <c r="B40" i="91" s="1"/>
  <c r="C12" i="91"/>
  <c r="C39" i="91" s="1"/>
  <c r="B12" i="91"/>
  <c r="B39" i="91" s="1"/>
  <c r="C11" i="91"/>
  <c r="B11" i="91"/>
  <c r="B38" i="91" s="1"/>
  <c r="C10" i="91"/>
  <c r="C37" i="91" s="1"/>
  <c r="B10" i="91"/>
  <c r="B37" i="91" s="1"/>
  <c r="C9" i="91"/>
  <c r="B9" i="91"/>
  <c r="B36" i="91" s="1"/>
  <c r="C8" i="91"/>
  <c r="C35" i="91" s="1"/>
  <c r="B8" i="91"/>
  <c r="B35" i="91" s="1"/>
  <c r="C7" i="91"/>
  <c r="B7" i="91"/>
  <c r="B34" i="91" s="1"/>
  <c r="C26" i="91" l="1"/>
  <c r="C28" i="91"/>
  <c r="H55" i="91"/>
  <c r="F61" i="91" s="1"/>
  <c r="F56" i="91" s="1"/>
  <c r="G8" i="92"/>
  <c r="P55" i="91"/>
  <c r="N61" i="91" s="1"/>
  <c r="N56" i="91" s="1"/>
  <c r="G6" i="92"/>
  <c r="F13" i="92" s="1"/>
  <c r="B3" i="91"/>
  <c r="C34" i="91"/>
  <c r="C38" i="91"/>
  <c r="C36" i="91"/>
  <c r="C40" i="91"/>
  <c r="H40" i="23"/>
  <c r="A21" i="90"/>
  <c r="F12" i="90"/>
  <c r="G12" i="90"/>
  <c r="S28" i="91" l="1"/>
  <c r="S55" i="91" s="1"/>
  <c r="K28" i="91"/>
  <c r="C53" i="91"/>
  <c r="K53" i="91"/>
  <c r="C8" i="92"/>
  <c r="K8" i="92" s="1"/>
  <c r="G53" i="91"/>
  <c r="O26" i="91"/>
  <c r="O53" i="91" s="1"/>
  <c r="O28" i="91"/>
  <c r="O55" i="91" s="1"/>
  <c r="H28" i="23"/>
  <c r="F14" i="92"/>
  <c r="K55" i="91"/>
  <c r="C55" i="91"/>
  <c r="G28" i="91"/>
  <c r="G55" i="91" s="1"/>
  <c r="B21" i="90"/>
  <c r="C21" i="90" s="1"/>
  <c r="H9" i="90"/>
  <c r="I9" i="90" s="1"/>
  <c r="F37" i="23" s="1"/>
  <c r="E9" i="90"/>
  <c r="F9" i="90" s="1"/>
  <c r="J37" i="23" s="1"/>
  <c r="I67" i="23" s="1"/>
  <c r="J67" i="23" s="1"/>
  <c r="A22" i="90"/>
  <c r="X24" i="102" l="1"/>
  <c r="X24" i="103"/>
  <c r="E8" i="92"/>
  <c r="E7" i="92"/>
  <c r="C7" i="92" s="1"/>
  <c r="C14" i="92" s="1"/>
  <c r="C15" i="92"/>
  <c r="E6" i="92"/>
  <c r="C6" i="92" s="1"/>
  <c r="C13" i="92" s="1"/>
  <c r="L8" i="92"/>
  <c r="F39" i="23"/>
  <c r="F69" i="23" s="1"/>
  <c r="G69" i="23" s="1"/>
  <c r="F67" i="23"/>
  <c r="E21" i="80"/>
  <c r="I21" i="80" s="1"/>
  <c r="F55" i="80" s="1"/>
  <c r="X24" i="91"/>
  <c r="L37" i="23"/>
  <c r="J39" i="23"/>
  <c r="B22" i="90"/>
  <c r="C22" i="90" s="1"/>
  <c r="A23" i="90"/>
  <c r="K7" i="92" l="1"/>
  <c r="I69" i="23"/>
  <c r="J69" i="23" s="1"/>
  <c r="L69" i="23" s="1"/>
  <c r="N69" i="23" s="1"/>
  <c r="K6" i="92"/>
  <c r="E14" i="92"/>
  <c r="L7" i="92"/>
  <c r="L6" i="92"/>
  <c r="H21" i="80"/>
  <c r="G67" i="23"/>
  <c r="D24" i="103" s="1"/>
  <c r="D51" i="103" s="1"/>
  <c r="L39" i="23"/>
  <c r="N39" i="23" s="1"/>
  <c r="N37" i="23"/>
  <c r="E13" i="92"/>
  <c r="I13" i="92" s="1"/>
  <c r="A24" i="90"/>
  <c r="B23" i="90"/>
  <c r="C23" i="90" s="1"/>
  <c r="F21" i="80" l="1"/>
  <c r="D24" i="102"/>
  <c r="D51" i="102" s="1"/>
  <c r="D24" i="91"/>
  <c r="G21" i="80"/>
  <c r="L67" i="23"/>
  <c r="N67" i="23" s="1"/>
  <c r="H13" i="92"/>
  <c r="I14" i="92"/>
  <c r="H14" i="92"/>
  <c r="B24" i="90"/>
  <c r="C24" i="90" s="1"/>
  <c r="A25" i="90"/>
  <c r="D51" i="91" l="1"/>
  <c r="B25" i="90"/>
  <c r="C25" i="90" s="1"/>
  <c r="A26" i="90"/>
  <c r="A27" i="90" l="1"/>
  <c r="B26" i="90"/>
  <c r="C26" i="90" s="1"/>
  <c r="A28" i="90" l="1"/>
  <c r="B27" i="90"/>
  <c r="C27" i="90" s="1"/>
  <c r="J21" i="80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50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40" i="23"/>
  <c r="B9" i="88"/>
  <c r="G28" i="23" l="1"/>
  <c r="P28" i="23" s="1"/>
  <c r="E9" i="88"/>
  <c r="F9" i="88" s="1"/>
  <c r="J24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4" i="23"/>
  <c r="O24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7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I46" i="23" l="1"/>
  <c r="G14" i="88" l="1"/>
  <c r="G14" i="93"/>
  <c r="E14" i="98"/>
  <c r="G14" i="94"/>
  <c r="G14" i="96"/>
  <c r="E14" i="95"/>
  <c r="F46" i="23"/>
  <c r="G46" i="23"/>
  <c r="J63" i="23" l="1"/>
  <c r="J64" i="23"/>
  <c r="J66" i="23"/>
  <c r="J65" i="23"/>
  <c r="J61" i="23"/>
  <c r="J62" i="23"/>
  <c r="J60" i="23"/>
  <c r="G66" i="23"/>
  <c r="D23" i="103" s="1"/>
  <c r="D50" i="103" s="1"/>
  <c r="G61" i="23"/>
  <c r="D18" i="103" s="1"/>
  <c r="D45" i="103" s="1"/>
  <c r="G64" i="23"/>
  <c r="D21" i="103" s="1"/>
  <c r="D48" i="103" s="1"/>
  <c r="G65" i="23"/>
  <c r="D22" i="103" s="1"/>
  <c r="D49" i="103" s="1"/>
  <c r="G63" i="23"/>
  <c r="D20" i="103" s="1"/>
  <c r="D47" i="103" s="1"/>
  <c r="J59" i="23"/>
  <c r="G62" i="23"/>
  <c r="D19" i="103" s="1"/>
  <c r="D46" i="103" s="1"/>
  <c r="G59" i="23"/>
  <c r="D16" i="103" s="1"/>
  <c r="G60" i="23"/>
  <c r="D17" i="103" s="1"/>
  <c r="D44" i="103" s="1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D43" i="103" l="1"/>
  <c r="D27" i="103"/>
  <c r="X17" i="102"/>
  <c r="X17" i="103"/>
  <c r="X19" i="102"/>
  <c r="X19" i="103"/>
  <c r="X16" i="102"/>
  <c r="X16" i="103"/>
  <c r="X18" i="102"/>
  <c r="X18" i="103"/>
  <c r="X22" i="102"/>
  <c r="X22" i="103"/>
  <c r="X23" i="102"/>
  <c r="X23" i="103"/>
  <c r="X21" i="102"/>
  <c r="X21" i="103"/>
  <c r="X20" i="102"/>
  <c r="X20" i="103"/>
  <c r="F14" i="80"/>
  <c r="G14" i="80" s="1"/>
  <c r="D17" i="102"/>
  <c r="D44" i="102" s="1"/>
  <c r="F17" i="80"/>
  <c r="G17" i="80" s="1"/>
  <c r="D20" i="102"/>
  <c r="D47" i="102" s="1"/>
  <c r="F20" i="80"/>
  <c r="G20" i="80" s="1"/>
  <c r="D23" i="102"/>
  <c r="D50" i="102" s="1"/>
  <c r="F13" i="80"/>
  <c r="G13" i="80" s="1"/>
  <c r="D16" i="102"/>
  <c r="F19" i="80"/>
  <c r="G19" i="80" s="1"/>
  <c r="D22" i="102"/>
  <c r="D49" i="102" s="1"/>
  <c r="F16" i="80"/>
  <c r="G16" i="80" s="1"/>
  <c r="D19" i="102"/>
  <c r="D46" i="102" s="1"/>
  <c r="F18" i="80"/>
  <c r="D21" i="102"/>
  <c r="D48" i="102" s="1"/>
  <c r="F15" i="80"/>
  <c r="D18" i="102"/>
  <c r="D45" i="102" s="1"/>
  <c r="D17" i="91"/>
  <c r="D44" i="91" s="1"/>
  <c r="D20" i="91"/>
  <c r="D47" i="91" s="1"/>
  <c r="D23" i="91"/>
  <c r="D50" i="91" s="1"/>
  <c r="X22" i="91"/>
  <c r="L65" i="23"/>
  <c r="N65" i="23" s="1"/>
  <c r="D16" i="91"/>
  <c r="D22" i="91"/>
  <c r="D49" i="91" s="1"/>
  <c r="X17" i="91"/>
  <c r="L60" i="23"/>
  <c r="N60" i="23" s="1"/>
  <c r="X23" i="91"/>
  <c r="L66" i="23"/>
  <c r="N66" i="23" s="1"/>
  <c r="D19" i="91"/>
  <c r="D46" i="91" s="1"/>
  <c r="G18" i="80"/>
  <c r="D21" i="91"/>
  <c r="D48" i="91" s="1"/>
  <c r="X19" i="91"/>
  <c r="L62" i="23"/>
  <c r="N62" i="23" s="1"/>
  <c r="X21" i="91"/>
  <c r="L64" i="23"/>
  <c r="N64" i="23" s="1"/>
  <c r="X16" i="91"/>
  <c r="L59" i="23"/>
  <c r="N59" i="23" s="1"/>
  <c r="G15" i="80"/>
  <c r="D18" i="91"/>
  <c r="D45" i="91" s="1"/>
  <c r="X18" i="91"/>
  <c r="L61" i="23"/>
  <c r="N61" i="23" s="1"/>
  <c r="X20" i="91"/>
  <c r="L63" i="23"/>
  <c r="N63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21" i="23"/>
  <c r="J18" i="80"/>
  <c r="J16" i="80"/>
  <c r="J14" i="80"/>
  <c r="J13" i="80"/>
  <c r="J15" i="80"/>
  <c r="D54" i="103" l="1"/>
  <c r="U27" i="103"/>
  <c r="X27" i="103"/>
  <c r="X27" i="102"/>
  <c r="D27" i="102"/>
  <c r="D43" i="102"/>
  <c r="X27" i="91"/>
  <c r="D43" i="91"/>
  <c r="D27" i="91"/>
  <c r="F12" i="84"/>
  <c r="D9" i="84"/>
  <c r="G9" i="84"/>
  <c r="K23" i="23"/>
  <c r="M23" i="23" s="1"/>
  <c r="T65" i="103" l="1"/>
  <c r="L65" i="103"/>
  <c r="C67" i="103"/>
  <c r="C59" i="103" s="1"/>
  <c r="C69" i="103"/>
  <c r="C60" i="103" s="1"/>
  <c r="C65" i="103"/>
  <c r="C58" i="103" s="1"/>
  <c r="U54" i="103"/>
  <c r="U55" i="103" s="1"/>
  <c r="H65" i="103"/>
  <c r="P65" i="103"/>
  <c r="Y27" i="102"/>
  <c r="D54" i="102"/>
  <c r="T65" i="102" s="1"/>
  <c r="U27" i="102"/>
  <c r="D54" i="91"/>
  <c r="U27" i="91"/>
  <c r="B9" i="84"/>
  <c r="P23" i="23"/>
  <c r="C9" i="84"/>
  <c r="Q23" i="23"/>
  <c r="A22" i="84"/>
  <c r="A23" i="84" s="1"/>
  <c r="A21" i="84"/>
  <c r="F14" i="84"/>
  <c r="E14" i="84"/>
  <c r="H9" i="84"/>
  <c r="P66" i="103" l="1"/>
  <c r="P67" i="103"/>
  <c r="P68" i="103" s="1"/>
  <c r="P69" i="103"/>
  <c r="P70" i="103" s="1"/>
  <c r="L66" i="103"/>
  <c r="L67" i="103"/>
  <c r="L68" i="103" s="1"/>
  <c r="L69" i="103"/>
  <c r="L70" i="103" s="1"/>
  <c r="H66" i="103"/>
  <c r="H69" i="103"/>
  <c r="H70" i="103" s="1"/>
  <c r="H67" i="103"/>
  <c r="H68" i="103" s="1"/>
  <c r="T67" i="103"/>
  <c r="T68" i="103" s="1"/>
  <c r="T69" i="103"/>
  <c r="T70" i="103" s="1"/>
  <c r="T66" i="103"/>
  <c r="W54" i="91"/>
  <c r="W55" i="91" s="1"/>
  <c r="L65" i="91"/>
  <c r="H65" i="91"/>
  <c r="P65" i="91"/>
  <c r="T65" i="91"/>
  <c r="C65" i="91"/>
  <c r="C58" i="91" s="1"/>
  <c r="C69" i="91"/>
  <c r="C60" i="91" s="1"/>
  <c r="C67" i="91"/>
  <c r="C59" i="91" s="1"/>
  <c r="C69" i="102"/>
  <c r="C60" i="102" s="1"/>
  <c r="L65" i="102"/>
  <c r="C67" i="102"/>
  <c r="C59" i="102" s="1"/>
  <c r="P65" i="102"/>
  <c r="H65" i="102"/>
  <c r="C65" i="102"/>
  <c r="C58" i="102" s="1"/>
  <c r="W54" i="102"/>
  <c r="W55" i="102" s="1"/>
  <c r="U54" i="102"/>
  <c r="U55" i="102" s="1"/>
  <c r="V54" i="102"/>
  <c r="V55" i="102" s="1"/>
  <c r="V54" i="91"/>
  <c r="V55" i="91" s="1"/>
  <c r="U54" i="91"/>
  <c r="U55" i="91" s="1"/>
  <c r="I9" i="84"/>
  <c r="F23" i="23" s="1"/>
  <c r="B21" i="84"/>
  <c r="C21" i="84" s="1"/>
  <c r="E9" i="84"/>
  <c r="F9" i="84" s="1"/>
  <c r="J23" i="23" s="1"/>
  <c r="B23" i="84"/>
  <c r="C23" i="84" s="1"/>
  <c r="A24" i="84"/>
  <c r="B22" i="84"/>
  <c r="C22" i="84" s="1"/>
  <c r="P69" i="102" l="1"/>
  <c r="P70" i="102" s="1"/>
  <c r="P66" i="102"/>
  <c r="P67" i="102"/>
  <c r="P68" i="102" s="1"/>
  <c r="P66" i="91"/>
  <c r="P67" i="91"/>
  <c r="P68" i="91" s="1"/>
  <c r="P69" i="91"/>
  <c r="P70" i="91" s="1"/>
  <c r="H69" i="91"/>
  <c r="H70" i="91" s="1"/>
  <c r="H67" i="91"/>
  <c r="H68" i="91" s="1"/>
  <c r="H66" i="91"/>
  <c r="T69" i="102"/>
  <c r="T70" i="102" s="1"/>
  <c r="T66" i="102"/>
  <c r="T67" i="102"/>
  <c r="T68" i="102" s="1"/>
  <c r="L69" i="102"/>
  <c r="L70" i="102" s="1"/>
  <c r="L66" i="102"/>
  <c r="L67" i="102"/>
  <c r="L68" i="102" s="1"/>
  <c r="L66" i="91"/>
  <c r="L67" i="91"/>
  <c r="L68" i="91" s="1"/>
  <c r="L69" i="91"/>
  <c r="L70" i="91" s="1"/>
  <c r="H66" i="102"/>
  <c r="H67" i="102"/>
  <c r="H68" i="102" s="1"/>
  <c r="H69" i="102"/>
  <c r="H70" i="102" s="1"/>
  <c r="T66" i="91"/>
  <c r="T67" i="91"/>
  <c r="T68" i="91" s="1"/>
  <c r="T69" i="91"/>
  <c r="T70" i="91" s="1"/>
  <c r="E8" i="80"/>
  <c r="I8" i="80" s="1"/>
  <c r="O23" i="23"/>
  <c r="L23" i="23"/>
  <c r="N23" i="23" s="1"/>
  <c r="B24" i="84"/>
  <c r="C24" i="84" s="1"/>
  <c r="A25" i="84"/>
  <c r="I53" i="23"/>
  <c r="J53" i="23" s="1"/>
  <c r="H53" i="23"/>
  <c r="F53" i="23"/>
  <c r="G53" i="23" s="1"/>
  <c r="D53" i="23"/>
  <c r="C53" i="23"/>
  <c r="B53" i="23"/>
  <c r="B54" i="23"/>
  <c r="B55" i="23"/>
  <c r="B56" i="23"/>
  <c r="B57" i="23"/>
  <c r="D11" i="102" l="1"/>
  <c r="D38" i="102" s="1"/>
  <c r="D11" i="103"/>
  <c r="D38" i="103" s="1"/>
  <c r="X11" i="102"/>
  <c r="X11" i="103"/>
  <c r="V11" i="102"/>
  <c r="W11" i="102" s="1"/>
  <c r="V11" i="103"/>
  <c r="D11" i="91"/>
  <c r="D38" i="91" s="1"/>
  <c r="F8" i="80"/>
  <c r="H8" i="80"/>
  <c r="Z11" i="89"/>
  <c r="AA11" i="89" s="1"/>
  <c r="V11" i="91"/>
  <c r="AB11" i="89"/>
  <c r="X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3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3" i="23"/>
  <c r="M53" i="23" s="1"/>
  <c r="L53" i="23"/>
  <c r="N53" i="23" s="1"/>
  <c r="Y11" i="102" l="1"/>
  <c r="W11" i="103"/>
  <c r="Y11" i="103"/>
  <c r="W11" i="91"/>
  <c r="Y11" i="91"/>
  <c r="W26" i="79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21" i="23" s="1"/>
  <c r="O21" i="23" s="1"/>
  <c r="E9" i="82"/>
  <c r="F9" i="82" s="1"/>
  <c r="J21" i="23" s="1"/>
  <c r="G12" i="82"/>
  <c r="B21" i="82"/>
  <c r="C21" i="82" s="1"/>
  <c r="A24" i="82"/>
  <c r="B23" i="82"/>
  <c r="C23" i="82" s="1"/>
  <c r="B22" i="82"/>
  <c r="C22" i="82" s="1"/>
  <c r="F51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5" i="23" s="1"/>
  <c r="B21" i="77"/>
  <c r="C21" i="77" s="1"/>
  <c r="E9" i="77"/>
  <c r="F9" i="77" s="1"/>
  <c r="J25" i="23" s="1"/>
  <c r="B23" i="77"/>
  <c r="C23" i="77" s="1"/>
  <c r="A24" i="77"/>
  <c r="B22" i="77"/>
  <c r="C22" i="77" s="1"/>
  <c r="E10" i="80" l="1"/>
  <c r="I10" i="80" s="1"/>
  <c r="O25" i="23"/>
  <c r="I18" i="78"/>
  <c r="I15" i="78"/>
  <c r="B24" i="77"/>
  <c r="C24" i="77" s="1"/>
  <c r="A25" i="77"/>
  <c r="J10" i="80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7" i="23" s="1"/>
  <c r="E12" i="80" s="1"/>
  <c r="I12" i="80" s="1"/>
  <c r="A21" i="75"/>
  <c r="B21" i="75" s="1"/>
  <c r="C21" i="75" s="1"/>
  <c r="H9" i="75"/>
  <c r="I9" i="75" s="1"/>
  <c r="F26" i="23" s="1"/>
  <c r="E9" i="75"/>
  <c r="F9" i="75" s="1"/>
  <c r="J26" i="23" s="1"/>
  <c r="A21" i="74"/>
  <c r="A22" i="74" s="1"/>
  <c r="B22" i="74" s="1"/>
  <c r="C22" i="74" s="1"/>
  <c r="E9" i="74"/>
  <c r="F9" i="74" s="1"/>
  <c r="J27" i="23" s="1"/>
  <c r="L27" i="23" l="1"/>
  <c r="N27" i="23" s="1"/>
  <c r="H12" i="80"/>
  <c r="E11" i="80"/>
  <c r="I11" i="80" s="1"/>
  <c r="O26" i="23"/>
  <c r="O27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1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J12" i="80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20" i="23" l="1"/>
  <c r="C9" i="77" l="1"/>
  <c r="Q25" i="23"/>
  <c r="C6" i="48"/>
  <c r="B6" i="48"/>
  <c r="C6" i="59"/>
  <c r="B6" i="59"/>
  <c r="C6" i="50"/>
  <c r="B6" i="50"/>
  <c r="C6" i="51"/>
  <c r="B6" i="51"/>
  <c r="D57" i="23" l="1"/>
  <c r="H57" i="23"/>
  <c r="C51" i="23"/>
  <c r="D51" i="23"/>
  <c r="H51" i="23"/>
  <c r="C52" i="23"/>
  <c r="D52" i="23"/>
  <c r="H52" i="23"/>
  <c r="C54" i="23"/>
  <c r="D54" i="23"/>
  <c r="H54" i="23"/>
  <c r="C55" i="23"/>
  <c r="D55" i="23"/>
  <c r="H55" i="23"/>
  <c r="C56" i="23"/>
  <c r="D56" i="23"/>
  <c r="H56" i="23"/>
  <c r="V9" i="102" l="1"/>
  <c r="V9" i="103"/>
  <c r="V12" i="102"/>
  <c r="Y12" i="102" s="1"/>
  <c r="V12" i="103"/>
  <c r="V10" i="102"/>
  <c r="W10" i="102" s="1"/>
  <c r="V10" i="103"/>
  <c r="V15" i="102"/>
  <c r="W15" i="102" s="1"/>
  <c r="V15" i="103"/>
  <c r="V13" i="102"/>
  <c r="W13" i="102" s="1"/>
  <c r="V13" i="103"/>
  <c r="V14" i="102"/>
  <c r="W14" i="102" s="1"/>
  <c r="V14" i="103"/>
  <c r="W9" i="102"/>
  <c r="Y9" i="102"/>
  <c r="Z10" i="89"/>
  <c r="AA10" i="89" s="1"/>
  <c r="V10" i="91"/>
  <c r="Z12" i="89"/>
  <c r="AA12" i="89" s="1"/>
  <c r="V12" i="91"/>
  <c r="Z13" i="89"/>
  <c r="AA13" i="89" s="1"/>
  <c r="V13" i="91"/>
  <c r="Z15" i="89"/>
  <c r="AA15" i="89" s="1"/>
  <c r="V15" i="91"/>
  <c r="Z14" i="89"/>
  <c r="AA14" i="89" s="1"/>
  <c r="V14" i="91"/>
  <c r="Z9" i="89"/>
  <c r="AA9" i="89" s="1"/>
  <c r="V9" i="9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4" i="23"/>
  <c r="M54" i="23" s="1"/>
  <c r="K57" i="23"/>
  <c r="M57" i="23" s="1"/>
  <c r="K56" i="23"/>
  <c r="M56" i="23" s="1"/>
  <c r="K52" i="23"/>
  <c r="M52" i="23" s="1"/>
  <c r="K55" i="23"/>
  <c r="M55" i="23" s="1"/>
  <c r="K51" i="23"/>
  <c r="M51" i="23" s="1"/>
  <c r="Y13" i="102" l="1"/>
  <c r="Y10" i="102"/>
  <c r="Y14" i="102"/>
  <c r="W12" i="102"/>
  <c r="Y10" i="103"/>
  <c r="W10" i="103"/>
  <c r="Y15" i="102"/>
  <c r="W14" i="103"/>
  <c r="Y14" i="103"/>
  <c r="W12" i="103"/>
  <c r="Y12" i="103"/>
  <c r="Y15" i="103"/>
  <c r="W15" i="103"/>
  <c r="Y13" i="103"/>
  <c r="W13" i="103"/>
  <c r="Y9" i="103"/>
  <c r="W9" i="103"/>
  <c r="W9" i="91"/>
  <c r="Y9" i="91"/>
  <c r="W15" i="91"/>
  <c r="Y15" i="91"/>
  <c r="W14" i="91"/>
  <c r="Y14" i="91"/>
  <c r="W13" i="91"/>
  <c r="Y13" i="91"/>
  <c r="W10" i="91"/>
  <c r="Y10" i="91"/>
  <c r="W12" i="91"/>
  <c r="Y12" i="91"/>
  <c r="F24" i="79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21" i="23" l="1"/>
  <c r="M21" i="23" s="1"/>
  <c r="K22" i="23"/>
  <c r="M22" i="23" s="1"/>
  <c r="K24" i="23"/>
  <c r="M24" i="23" s="1"/>
  <c r="K25" i="23"/>
  <c r="M25" i="23" s="1"/>
  <c r="K26" i="23"/>
  <c r="M26" i="23" s="1"/>
  <c r="C9" i="82"/>
  <c r="C9" i="88"/>
  <c r="P27" i="23"/>
  <c r="Q27" i="23"/>
  <c r="P20" i="23"/>
  <c r="Q19" i="23"/>
  <c r="P19" i="23"/>
  <c r="G12" i="59"/>
  <c r="H12" i="59" s="1"/>
  <c r="N12" i="59"/>
  <c r="B9" i="82" l="1"/>
  <c r="P21" i="23"/>
  <c r="Q22" i="23"/>
  <c r="C9" i="59"/>
  <c r="P22" i="23"/>
  <c r="B9" i="59"/>
  <c r="P24" i="23"/>
  <c r="Q24" i="23"/>
  <c r="B9" i="77"/>
  <c r="P25" i="23"/>
  <c r="C9" i="75"/>
  <c r="Q26" i="23"/>
  <c r="B9" i="75"/>
  <c r="P26" i="23"/>
  <c r="B9" i="74"/>
  <c r="C9" i="74"/>
  <c r="L12" i="59"/>
  <c r="M12" i="59" s="1"/>
  <c r="O12" i="59"/>
  <c r="R12" i="59" l="1"/>
  <c r="P12" i="59"/>
  <c r="Q12" i="59" s="1"/>
  <c r="I56" i="23"/>
  <c r="I55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4" i="23" l="1"/>
  <c r="J22" i="23"/>
  <c r="I52" i="23" s="1"/>
  <c r="J52" i="23" s="1"/>
  <c r="J9" i="59"/>
  <c r="F22" i="23"/>
  <c r="D42" i="59"/>
  <c r="L25" i="23"/>
  <c r="N25" i="23" s="1"/>
  <c r="F55" i="23"/>
  <c r="L26" i="23"/>
  <c r="N26" i="23" s="1"/>
  <c r="F56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X10" i="102" l="1"/>
  <c r="X10" i="103"/>
  <c r="AB10" i="89"/>
  <c r="X10" i="91"/>
  <c r="E7" i="80"/>
  <c r="O22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2" i="23"/>
  <c r="N22" i="23" s="1"/>
  <c r="F52" i="23"/>
  <c r="F54" i="23"/>
  <c r="L24" i="23"/>
  <c r="N24" i="23" s="1"/>
  <c r="A57" i="23"/>
  <c r="A15" i="91" s="1"/>
  <c r="A42" i="91" s="1"/>
  <c r="A55" i="23"/>
  <c r="A13" i="91" s="1"/>
  <c r="A40" i="91" s="1"/>
  <c r="A56" i="23"/>
  <c r="A14" i="91" s="1"/>
  <c r="A41" i="91" s="1"/>
  <c r="A51" i="23"/>
  <c r="A9" i="91" s="1"/>
  <c r="A36" i="91" s="1"/>
  <c r="B51" i="23"/>
  <c r="A52" i="23"/>
  <c r="A10" i="91" s="1"/>
  <c r="A37" i="91" s="1"/>
  <c r="B52" i="23"/>
  <c r="A54" i="23"/>
  <c r="A12" i="91" s="1"/>
  <c r="A39" i="91" s="1"/>
  <c r="F32" i="80" l="1"/>
  <c r="I7" i="80"/>
  <c r="H7" i="80"/>
  <c r="F35" i="80"/>
  <c r="H50" i="23"/>
  <c r="H49" i="23"/>
  <c r="D50" i="23"/>
  <c r="B50" i="23"/>
  <c r="B49" i="23"/>
  <c r="A50" i="23"/>
  <c r="A8" i="91" s="1"/>
  <c r="A35" i="91" s="1"/>
  <c r="A49" i="23"/>
  <c r="A7" i="91" s="1"/>
  <c r="A34" i="91" s="1"/>
  <c r="V8" i="102" l="1"/>
  <c r="W8" i="102" s="1"/>
  <c r="V8" i="103"/>
  <c r="V7" i="102"/>
  <c r="W7" i="102" s="1"/>
  <c r="V7" i="103"/>
  <c r="H70" i="23"/>
  <c r="Z7" i="89"/>
  <c r="AA7" i="89" s="1"/>
  <c r="V7" i="91"/>
  <c r="Y7" i="91" s="1"/>
  <c r="Z8" i="89"/>
  <c r="AA8" i="89" s="1"/>
  <c r="V8" i="9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50" i="23"/>
  <c r="M50" i="23" s="1"/>
  <c r="Y7" i="102" l="1"/>
  <c r="Y8" i="102"/>
  <c r="V26" i="102"/>
  <c r="W26" i="102" s="1"/>
  <c r="V28" i="102"/>
  <c r="W28" i="102" s="1"/>
  <c r="V26" i="103"/>
  <c r="Y7" i="103"/>
  <c r="W7" i="103"/>
  <c r="V28" i="103"/>
  <c r="W28" i="103" s="1"/>
  <c r="Y8" i="103"/>
  <c r="W8" i="103"/>
  <c r="W8" i="91"/>
  <c r="Y8" i="91"/>
  <c r="V26" i="91"/>
  <c r="V28" i="91"/>
  <c r="W28" i="91" s="1"/>
  <c r="W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5" i="23"/>
  <c r="J56" i="23"/>
  <c r="J54" i="23"/>
  <c r="G54" i="23"/>
  <c r="D12" i="103" s="1"/>
  <c r="D39" i="103" s="1"/>
  <c r="G55" i="23"/>
  <c r="G52" i="23"/>
  <c r="D10" i="103" s="1"/>
  <c r="D37" i="103" s="1"/>
  <c r="G56" i="23"/>
  <c r="H14" i="59"/>
  <c r="D14" i="102" l="1"/>
  <c r="D41" i="102" s="1"/>
  <c r="D14" i="103"/>
  <c r="D41" i="103" s="1"/>
  <c r="D13" i="102"/>
  <c r="D40" i="102" s="1"/>
  <c r="D13" i="103"/>
  <c r="D40" i="103" s="1"/>
  <c r="X13" i="102"/>
  <c r="X13" i="103"/>
  <c r="X14" i="102"/>
  <c r="X14" i="103"/>
  <c r="X12" i="102"/>
  <c r="X12" i="103"/>
  <c r="Y26" i="103"/>
  <c r="W26" i="103"/>
  <c r="F9" i="80"/>
  <c r="G9" i="80" s="1"/>
  <c r="D12" i="102"/>
  <c r="D39" i="102" s="1"/>
  <c r="F7" i="80"/>
  <c r="G7" i="80" s="1"/>
  <c r="D10" i="102"/>
  <c r="D37" i="102" s="1"/>
  <c r="W26" i="91"/>
  <c r="Y26" i="91"/>
  <c r="D14" i="91"/>
  <c r="D41" i="91" s="1"/>
  <c r="F11" i="80"/>
  <c r="G11" i="80" s="1"/>
  <c r="D13" i="91"/>
  <c r="D40" i="91" s="1"/>
  <c r="F10" i="80"/>
  <c r="G10" i="80" s="1"/>
  <c r="P52" i="23"/>
  <c r="D10" i="91"/>
  <c r="D37" i="91" s="1"/>
  <c r="D12" i="91"/>
  <c r="D39" i="91" s="1"/>
  <c r="AB12" i="89"/>
  <c r="X12" i="91"/>
  <c r="AB13" i="89"/>
  <c r="X13" i="91"/>
  <c r="AB14" i="89"/>
  <c r="X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4" i="23"/>
  <c r="P56" i="23"/>
  <c r="P55" i="23"/>
  <c r="L28" i="79"/>
  <c r="H28" i="79"/>
  <c r="L27" i="79"/>
  <c r="X27" i="79"/>
  <c r="T27" i="79"/>
  <c r="V31" i="79"/>
  <c r="W16" i="79"/>
  <c r="W31" i="79" s="1"/>
  <c r="R31" i="79"/>
  <c r="S16" i="79"/>
  <c r="S31" i="79" s="1"/>
  <c r="D14" i="79"/>
  <c r="D29" i="79" s="1"/>
  <c r="A29" i="79" s="1"/>
  <c r="D13" i="79"/>
  <c r="D28" i="79" s="1"/>
  <c r="A28" i="79" s="1"/>
  <c r="D10" i="79"/>
  <c r="D25" i="79" s="1"/>
  <c r="A25" i="79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2" i="23"/>
  <c r="N52" i="23" s="1"/>
  <c r="L56" i="23"/>
  <c r="N56" i="23" s="1"/>
  <c r="L54" i="23"/>
  <c r="N54" i="23" s="1"/>
  <c r="L55" i="23"/>
  <c r="N55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7" i="23"/>
  <c r="F57" i="23"/>
  <c r="G57" i="23" s="1"/>
  <c r="D15" i="103" s="1"/>
  <c r="D42" i="103" s="1"/>
  <c r="J7" i="80"/>
  <c r="F12" i="80" l="1"/>
  <c r="G12" i="80" s="1"/>
  <c r="D15" i="102"/>
  <c r="D42" i="102" s="1"/>
  <c r="D15" i="91"/>
  <c r="D42" i="91" s="1"/>
  <c r="J57" i="23"/>
  <c r="X15" i="103" s="1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AB15" i="89" l="1"/>
  <c r="X15" i="102"/>
  <c r="I13" i="86"/>
  <c r="R13" i="86" s="1"/>
  <c r="E27" i="86"/>
  <c r="N27" i="86" s="1"/>
  <c r="I27" i="86"/>
  <c r="R27" i="86" s="1"/>
  <c r="E13" i="86"/>
  <c r="N13" i="86" s="1"/>
  <c r="L57" i="23"/>
  <c r="N57" i="23" s="1"/>
  <c r="G27" i="86"/>
  <c r="P27" i="86" s="1"/>
  <c r="P57" i="23"/>
  <c r="AB15" i="79"/>
  <c r="G13" i="86"/>
  <c r="P13" i="86" s="1"/>
  <c r="X15" i="91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9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51" i="23"/>
  <c r="D9" i="103" s="1"/>
  <c r="I49" i="23"/>
  <c r="J9" i="48"/>
  <c r="J9" i="51"/>
  <c r="F19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D36" i="103" l="1"/>
  <c r="C3" i="103"/>
  <c r="F6" i="80"/>
  <c r="G6" i="80" s="1"/>
  <c r="D9" i="102"/>
  <c r="A27" i="50"/>
  <c r="D9" i="91"/>
  <c r="E4" i="80"/>
  <c r="O19" i="23"/>
  <c r="F31" i="80"/>
  <c r="D9" i="79"/>
  <c r="L21" i="23"/>
  <c r="N21" i="23" s="1"/>
  <c r="I51" i="23"/>
  <c r="J51" i="23" s="1"/>
  <c r="F49" i="23"/>
  <c r="J49" i="23"/>
  <c r="X9" i="102" l="1"/>
  <c r="X9" i="103"/>
  <c r="X7" i="102"/>
  <c r="X7" i="103"/>
  <c r="D36" i="102"/>
  <c r="C3" i="102"/>
  <c r="I4" i="80"/>
  <c r="F28" i="80" s="1"/>
  <c r="A28" i="50"/>
  <c r="H4" i="80"/>
  <c r="G49" i="23"/>
  <c r="D7" i="103" s="1"/>
  <c r="C3" i="91"/>
  <c r="D36" i="91"/>
  <c r="AB9" i="89"/>
  <c r="X9" i="91"/>
  <c r="AB7" i="89"/>
  <c r="X7" i="91"/>
  <c r="N7" i="87"/>
  <c r="R21" i="87"/>
  <c r="R7" i="87"/>
  <c r="P21" i="87"/>
  <c r="P7" i="87"/>
  <c r="N21" i="87"/>
  <c r="N5" i="87"/>
  <c r="P5" i="87"/>
  <c r="R19" i="87"/>
  <c r="P19" i="87"/>
  <c r="N19" i="87"/>
  <c r="R5" i="87"/>
  <c r="P51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F27" i="80"/>
  <c r="F29" i="80"/>
  <c r="D24" i="79"/>
  <c r="A24" i="79" s="1"/>
  <c r="C3" i="79"/>
  <c r="L51" i="23"/>
  <c r="N51" i="23" s="1"/>
  <c r="D34" i="103" l="1"/>
  <c r="D7" i="79"/>
  <c r="D22" i="79" s="1"/>
  <c r="A22" i="79" s="1"/>
  <c r="D7" i="102"/>
  <c r="D7" i="91"/>
  <c r="D34" i="91" s="1"/>
  <c r="F4" i="80"/>
  <c r="A29" i="50"/>
  <c r="P49" i="23"/>
  <c r="X22" i="79"/>
  <c r="H22" i="79"/>
  <c r="C9" i="51"/>
  <c r="B9" i="51"/>
  <c r="D34" i="102" l="1"/>
  <c r="A30" i="50"/>
  <c r="G4" i="80"/>
  <c r="B9" i="50"/>
  <c r="B9" i="48"/>
  <c r="C9" i="50"/>
  <c r="C9" i="48"/>
  <c r="A31" i="50" l="1"/>
  <c r="G14" i="51"/>
  <c r="D49" i="23"/>
  <c r="D70" i="23" s="1"/>
  <c r="C47" i="23"/>
  <c r="C48" i="23"/>
  <c r="C49" i="23"/>
  <c r="A32" i="50" l="1"/>
  <c r="G14" i="50"/>
  <c r="K49" i="23"/>
  <c r="M49" i="23" s="1"/>
  <c r="A33" i="50" l="1"/>
  <c r="K70" i="23"/>
  <c r="M70" i="23" s="1"/>
  <c r="A34" i="50" l="1"/>
  <c r="K20" i="23"/>
  <c r="K19" i="23"/>
  <c r="A35" i="50" l="1"/>
  <c r="K40" i="23"/>
  <c r="M40" i="23" s="1"/>
  <c r="K28" i="23"/>
  <c r="M28" i="23" s="1"/>
  <c r="M20" i="23"/>
  <c r="M19" i="23"/>
  <c r="A36" i="50" l="1"/>
  <c r="L49" i="23"/>
  <c r="N49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9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7" i="5"/>
  <c r="B40" i="5"/>
  <c r="B38" i="5"/>
  <c r="B41" i="5"/>
  <c r="B44" i="5"/>
  <c r="B39" i="5"/>
  <c r="E9" i="5"/>
  <c r="B29" i="5"/>
  <c r="B27" i="5"/>
  <c r="B47" i="5"/>
  <c r="B43" i="5"/>
  <c r="B45" i="5"/>
  <c r="B46" i="5"/>
  <c r="B28" i="5"/>
  <c r="B34" i="5"/>
  <c r="B33" i="5"/>
  <c r="B36" i="5"/>
  <c r="B35" i="5"/>
  <c r="B32" i="5"/>
  <c r="B31" i="5"/>
  <c r="B30" i="5"/>
  <c r="B42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9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20" i="23" s="1"/>
  <c r="J40" i="23" s="1"/>
  <c r="B9" i="23" s="1"/>
  <c r="B39" i="50"/>
  <c r="B23" i="50"/>
  <c r="B30" i="50"/>
  <c r="B29" i="50"/>
  <c r="B32" i="50"/>
  <c r="B38" i="50"/>
  <c r="B35" i="50"/>
  <c r="B22" i="50"/>
  <c r="J28" i="23" l="1"/>
  <c r="E42" i="50"/>
  <c r="D42" i="50"/>
  <c r="C42" i="50"/>
  <c r="E22" i="50"/>
  <c r="C22" i="50"/>
  <c r="D29" i="50"/>
  <c r="E29" i="50"/>
  <c r="C29" i="50"/>
  <c r="I50" i="23"/>
  <c r="I70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20" i="23"/>
  <c r="F40" i="23" s="1"/>
  <c r="J9" i="50"/>
  <c r="J5" i="80"/>
  <c r="I58" i="23" l="1"/>
  <c r="J58" i="23" s="1"/>
  <c r="F28" i="23"/>
  <c r="F58" i="23" s="1"/>
  <c r="G58" i="23" s="1"/>
  <c r="O20" i="23"/>
  <c r="L20" i="23"/>
  <c r="L40" i="23" s="1"/>
  <c r="E5" i="80"/>
  <c r="E23" i="80" s="1"/>
  <c r="I23" i="80" s="1"/>
  <c r="F50" i="23"/>
  <c r="F70" i="23" s="1"/>
  <c r="J50" i="23"/>
  <c r="X8" i="102" l="1"/>
  <c r="X26" i="102" s="1"/>
  <c r="X8" i="103"/>
  <c r="L58" i="23"/>
  <c r="N58" i="23" s="1"/>
  <c r="J70" i="23"/>
  <c r="M15" i="23" s="1"/>
  <c r="I5" i="80"/>
  <c r="N40" i="23"/>
  <c r="L28" i="23"/>
  <c r="N28" i="23" s="1"/>
  <c r="N20" i="23"/>
  <c r="AB8" i="89"/>
  <c r="AB16" i="89" s="1"/>
  <c r="X8" i="91"/>
  <c r="R6" i="87"/>
  <c r="P6" i="87"/>
  <c r="N6" i="87"/>
  <c r="R20" i="87"/>
  <c r="P20" i="87"/>
  <c r="N20" i="87"/>
  <c r="L23" i="79"/>
  <c r="H23" i="79"/>
  <c r="T23" i="79"/>
  <c r="P23" i="79"/>
  <c r="H5" i="80"/>
  <c r="H23" i="80" s="1"/>
  <c r="F33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50" i="23"/>
  <c r="F34" i="80"/>
  <c r="D8" i="102" l="1"/>
  <c r="D35" i="102" s="1"/>
  <c r="D8" i="103"/>
  <c r="X28" i="102"/>
  <c r="X29" i="102" s="1"/>
  <c r="X26" i="103"/>
  <c r="X28" i="103"/>
  <c r="X29" i="103" s="1"/>
  <c r="D28" i="102"/>
  <c r="D29" i="102" s="1"/>
  <c r="D26" i="102"/>
  <c r="X28" i="91"/>
  <c r="X29" i="91" s="1"/>
  <c r="X26" i="91"/>
  <c r="F5" i="80"/>
  <c r="F23" i="80" s="1"/>
  <c r="G70" i="23"/>
  <c r="D8" i="91"/>
  <c r="P50" i="23"/>
  <c r="X23" i="79"/>
  <c r="X16" i="79"/>
  <c r="L50" i="23"/>
  <c r="N50" i="23" s="1"/>
  <c r="D8" i="79"/>
  <c r="H16" i="79"/>
  <c r="L16" i="79"/>
  <c r="P16" i="79"/>
  <c r="T16" i="79"/>
  <c r="D35" i="103" l="1"/>
  <c r="D26" i="103"/>
  <c r="D28" i="103"/>
  <c r="D53" i="102"/>
  <c r="U26" i="102"/>
  <c r="D55" i="102"/>
  <c r="T61" i="102" s="1"/>
  <c r="T62" i="102" s="1"/>
  <c r="D30" i="102"/>
  <c r="Y26" i="102"/>
  <c r="D28" i="91"/>
  <c r="D30" i="91" s="1"/>
  <c r="D26" i="91"/>
  <c r="G5" i="80"/>
  <c r="D35" i="91"/>
  <c r="D23" i="79"/>
  <c r="A23" i="79" s="1"/>
  <c r="D16" i="79"/>
  <c r="L70" i="23"/>
  <c r="N70" i="23" s="1"/>
  <c r="L15" i="23"/>
  <c r="L31" i="79"/>
  <c r="G9" i="78"/>
  <c r="K9" i="78" s="1"/>
  <c r="T31" i="79"/>
  <c r="G7" i="78"/>
  <c r="G6" i="78"/>
  <c r="X31" i="79"/>
  <c r="P31" i="79"/>
  <c r="G10" i="78"/>
  <c r="H31" i="79"/>
  <c r="G8" i="78"/>
  <c r="D30" i="103" l="1"/>
  <c r="D55" i="103"/>
  <c r="D29" i="103"/>
  <c r="D53" i="103"/>
  <c r="U26" i="103"/>
  <c r="P63" i="102"/>
  <c r="P64" i="102" s="1"/>
  <c r="H63" i="102"/>
  <c r="H64" i="102" s="1"/>
  <c r="T63" i="102"/>
  <c r="T64" i="102" s="1"/>
  <c r="L63" i="102"/>
  <c r="L64" i="102" s="1"/>
  <c r="C63" i="102"/>
  <c r="C57" i="102" s="1"/>
  <c r="L61" i="102"/>
  <c r="L62" i="102" s="1"/>
  <c r="H61" i="102"/>
  <c r="H62" i="102" s="1"/>
  <c r="C61" i="102"/>
  <c r="C56" i="102" s="1"/>
  <c r="P61" i="102"/>
  <c r="P62" i="102" s="1"/>
  <c r="W53" i="102"/>
  <c r="U53" i="102"/>
  <c r="V53" i="102"/>
  <c r="D29" i="91"/>
  <c r="D53" i="91"/>
  <c r="U26" i="91"/>
  <c r="F8" i="92"/>
  <c r="D55" i="91"/>
  <c r="T61" i="91" s="1"/>
  <c r="T62" i="91" s="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H63" i="103" l="1"/>
  <c r="H64" i="103" s="1"/>
  <c r="L63" i="103"/>
  <c r="L64" i="103" s="1"/>
  <c r="T63" i="103"/>
  <c r="T64" i="103" s="1"/>
  <c r="P63" i="103"/>
  <c r="P64" i="103" s="1"/>
  <c r="C63" i="103"/>
  <c r="C57" i="103" s="1"/>
  <c r="U53" i="103"/>
  <c r="L61" i="103"/>
  <c r="L62" i="103" s="1"/>
  <c r="H61" i="103"/>
  <c r="H62" i="103" s="1"/>
  <c r="C61" i="103"/>
  <c r="C56" i="103" s="1"/>
  <c r="T61" i="103"/>
  <c r="T62" i="103" s="1"/>
  <c r="P61" i="103"/>
  <c r="P62" i="103" s="1"/>
  <c r="W53" i="91"/>
  <c r="L63" i="91"/>
  <c r="L64" i="91" s="1"/>
  <c r="T63" i="91"/>
  <c r="T64" i="91" s="1"/>
  <c r="H63" i="91"/>
  <c r="H64" i="91" s="1"/>
  <c r="P63" i="91"/>
  <c r="P64" i="91" s="1"/>
  <c r="C63" i="91"/>
  <c r="C57" i="91" s="1"/>
  <c r="V53" i="91"/>
  <c r="U53" i="91"/>
  <c r="C61" i="91"/>
  <c r="C56" i="91" s="1"/>
  <c r="L61" i="91"/>
  <c r="L62" i="91" s="1"/>
  <c r="P61" i="91"/>
  <c r="P62" i="91" s="1"/>
  <c r="H61" i="91"/>
  <c r="H62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  <c r="D14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<sst xmlns="http://schemas.openxmlformats.org/spreadsheetml/2006/main" count="2171" uniqueCount="396">
  <si>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</si>
  <si>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</si>
  <si>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</si>
  <si>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</si>
  <si>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</si>
  <si>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</si>
  <si>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</si>
  <si>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</si>
  <si>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</si>
  <si>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</si>
  <si>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</si>
  <si>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</si>
  <si>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</si>
  <si>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</si>
  <si>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</si>
  <si>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</si>
  <si>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</si>
  <si>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</si>
  <si>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</si>
  <si>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</si>
  <si>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</si>
  <si>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</si>
  <si>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</si>
  <si>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</si>
  <si>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</si>
  <si>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</si>
  <si>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</si>
  <si>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</si>
  <si>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</si>
  <si>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</si>
  <si>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</si>
  <si>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</si>
  <si>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</si>
  <si>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</si>
  <si>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</si>
  <si>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</si>
  <si>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</si>
  <si>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</si>
  <si>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</si>
  <si>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</si>
  <si>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</si>
  <si>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</si>
  <si>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</si>
  <si>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</si>
  <si>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</si>
  <si>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</si>
  <si>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</si>
  <si>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</si>
  <si>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</si>
  <si>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</si>
  <si>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</si>
  <si>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</si>
  <si>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</si>
  <si>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</si>
  <si>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</si>
  <si>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</si>
  <si>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</si>
  <si>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</si>
  <si>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</si>
  <si>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</si>
  <si>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</si>
  <si>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</si>
  <si>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</si>
  <si>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</si>
  <si>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</si>
  <si>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</si>
  <si>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</si>
  <si>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</si>
  <si>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</si>
  <si>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</si>
  <si>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</si>
  <si>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</si>
  <si>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</si>
  <si>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</si>
  <si>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</si>
  <si>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</si>
  <si>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</si>
  <si>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</si>
  <si>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</si>
  <si>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</si>
  <si>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</si>
  <si>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</si>
  <si>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</si>
  <si>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</si>
  <si>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</si>
  <si>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</si>
  <si>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</si>
  <si>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</si>
  <si>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</si>
  <si>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</si>
  <si>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</si>
  <si>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</si>
  <si>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</si>
  <si>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</si>
  <si>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</si>
  <si>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</si>
  <si>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</si>
  <si>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</si>
  <si>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</si>
  <si>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</si>
  <si>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</si>
  <si>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</si>
  <si>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</si>
  <si>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</si>
  <si>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</si>
  <si>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</si>
  <si>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</si>
  <si>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</si>
  <si>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</si>
  <si>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</si>
  <si>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</si>
  <si>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</si>
  <si>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</si>
  <si>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</si>
  <si>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</si>
  <si>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</si>
  <si>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</si>
  <si>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</si>
  <si>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</si>
  <si>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</si>
  <si>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</si>
  <si>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</si>
  <si>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</si>
  <si>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</si>
  <si>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</si>
  <si>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</si>
  <si>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</si>
  <si>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</si>
  <si>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</si>
  <si>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</si>
  <si>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</si>
  <si>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</si>
  <si>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</si>
  <si>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</si>
  <si>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</si>
  <si>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</si>
  <si>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</si>
  <si>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</si>
  <si>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</si>
  <si>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</si>
  <si>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</si>
  <si>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</si>
  <si>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</si>
  <si>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</si>
  <si>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</si>
  <si>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</si>
  <si>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</si>
  <si>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</si>
  <si>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</si>
  <si>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</si>
  <si>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</si>
  <si>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</si>
  <si>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</si>
  <si>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</si>
  <si>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</si>
  <si>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</si>
  <si>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</si>
  <si>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</si>
  <si>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</si>
  <si>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</si>
  <si>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</si>
  <si>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</si>
  <si>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</si>
  <si>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</si>
  <si>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</si>
  <si>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</si>
  <si>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</si>
  <si>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</si>
  <si>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</si>
  <si>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</si>
  <si>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</si>
  <si>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</si>
  <si>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</si>
  <si>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</si>
  <si>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</si>
  <si>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</si>
  <si>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</si>
  <si>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</si>
  <si>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</si>
  <si>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</si>
  <si>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</si>
  <si>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</si>
  <si>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</si>
  <si>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</si>
  <si>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</si>
  <si>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</si>
  <si>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</si>
  <si>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</si>
  <si>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</si>
  <si>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</si>
  <si>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</si>
  <si>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</si>
  <si>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</si>
  <si>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</si>
  <si>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</si>
  <si>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</si>
  <si>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</si>
  <si>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</si>
  <si>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</si>
  <si>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</si>
  <si>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</si>
  <si>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</si>
  <si>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</si>
  <si>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</si>
  <si>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</si>
  <si>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</si>
  <si>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</si>
  <si>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</si>
  <si>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</si>
  <si>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</si>
  <si>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</si>
  <si>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</si>
  <si>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</si>
  <si>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</si>
  <si>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</si>
  <si>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</si>
  <si>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</si>
  <si>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</si>
  <si>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</si>
  <si>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</si>
  <si>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</si>
  <si>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</si>
  <si>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</si>
  <si>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</si>
  <si>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</si>
  <si>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</si>
  <si>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</si>
  <si>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</si>
  <si>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</si>
  <si>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</si>
  <si>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</si>
  <si>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</si>
  <si>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</si>
  <si>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</si>
  <si>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</si>
  <si>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</si>
  <si>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</si>
  <si>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</si>
  <si>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</si>
  <si>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</si>
  <si>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</si>
  <si>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</si>
  <si>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</si>
  <si>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</si>
  <si>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</si>
  <si>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</si>
  <si>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</si>
  <si>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</si>
  <si>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</si>
  <si>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</si>
  <si>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</si>
  <si>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</si>
  <si>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</si>
  <si>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</si>
  <si>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</si>
  <si>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</si>
  <si>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</si>
  <si>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</si>
  <si>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</si>
  <si>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</si>
  <si>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</si>
  <si>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</si>
  <si>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</si>
  <si>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</si>
  <si>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</si>
  <si>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</si>
  <si>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</si>
  <si>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</si>
  <si>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</si>
  <si>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</si>
  <si>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</si>
  <si>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</si>
  <si>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</si>
  <si>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</si>
  <si>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</si>
  <si>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</si>
  <si>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</si>
  <si>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</si>
  <si>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</si>
  <si>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</si>
  <si>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</si>
  <si>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</si>
  <si>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</si>
  <si>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</si>
  <si>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</si>
  <si>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</si>
  <si>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</si>
  <si>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</si>
  <si>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</si>
  <si>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</si>
  <si>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</si>
  <si>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</si>
  <si>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</si>
  <si>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</si>
  <si>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</si>
  <si>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</si>
  <si>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</si>
  <si>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</si>
  <si>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</si>
  <si>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2022 adt Projected Promotion Efficiency</t>
  </si>
  <si>
    <t>Gardasil Adolescent</t>
  </si>
  <si>
    <t>Gardasil Adult</t>
  </si>
  <si>
    <t>optimal Spends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</si>
  <si>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</si>
  <si>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</si>
  <si>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</si>
  <si>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</si>
  <si>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Δ Pre-tax Revenue w.r.t 2023 Current baseline</t>
  </si>
  <si>
    <t>Current 2023 Baseline</t>
  </si>
  <si>
    <t>2023 adol Projected Promotion Efficiency</t>
  </si>
  <si>
    <t>Current Optimal ($92MM)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</si>
  <si>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</si>
  <si>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</si>
  <si>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</si>
  <si>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</si>
  <si>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</si>
  <si>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</si>
  <si>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</si>
  <si>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</si>
  <si>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</si>
  <si>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</si>
  <si>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</si>
  <si>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</si>
  <si>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</si>
  <si>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</si>
  <si>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</si>
  <si>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</si>
  <si>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</si>
  <si>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</si>
  <si>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</si>
  <si>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</si>
  <si>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</si>
  <si>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</si>
  <si>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</si>
  <si>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</si>
  <si>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</si>
  <si>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</si>
  <si>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-50% / +200%</t>
  </si>
  <si>
    <t>Indication</t>
  </si>
  <si>
    <t>In-Scope Promotion</t>
  </si>
  <si>
    <t>Gardasil : HCC In Office, HCP MCM, HCC Digital, TV &amp; HCC Print.</t>
  </si>
  <si>
    <t>2024 Current Baseline ($MM)</t>
  </si>
  <si>
    <t>BASE Case: Vary promotion type spend using custom constraints and global spend by + or - 20%.</t>
  </si>
  <si>
    <t>Current optimal Overall vs Individual</t>
  </si>
  <si>
    <t>10M increase Overall vs Individual</t>
  </si>
  <si>
    <t>20M increase Overall vs Individual</t>
  </si>
  <si>
    <t xml:space="preserve">10M increase in total budget </t>
  </si>
  <si>
    <t>+$7(1%)</t>
  </si>
  <si>
    <t>Adol Constraints</t>
  </si>
  <si>
    <t>Adult Constraints</t>
  </si>
  <si>
    <t>Optimal channel spend allowed to vary based on custom constraints of the 2024 channel spend</t>
  </si>
  <si>
    <t>20M increase in total budget ( Global Max 130%)</t>
  </si>
  <si>
    <t>20M increase in total budget ( Global Max 140%)</t>
  </si>
  <si>
    <t>10M increase in total budget ( Global Max 120%)</t>
  </si>
  <si>
    <t>10M increase in total budget ( Global Max 130%)</t>
  </si>
  <si>
    <t>20M increase in total budget (10M increase in adult and adolescent in each)</t>
  </si>
  <si>
    <t>Δ Pre-tax Revenue w.r.t 2024 Current baseline</t>
  </si>
  <si>
    <t>Δ Adolescents Pre-tax Revenue w.r.t 2024 Current baseline</t>
  </si>
  <si>
    <t>Δ Pre-tax Adult Revenue w.r.t 2024 Current baseline</t>
  </si>
  <si>
    <t>Δ  Pre-tax Adult Projected Revenue w.r.t 2024 Current baseline</t>
  </si>
  <si>
    <t>Δ  Pre-tax Adult Revenue w.r.t 2024 Current baseline (Total doses)</t>
  </si>
  <si>
    <t>+$71(14%)</t>
  </si>
  <si>
    <t>+$76(15%)</t>
  </si>
  <si>
    <t>+$84(16%)</t>
  </si>
  <si>
    <t>+$7(1.4%)</t>
  </si>
  <si>
    <t>+$1(0.5%)</t>
  </si>
  <si>
    <t>+$6(2.6%)</t>
  </si>
  <si>
    <t>+$7(2.6%)</t>
  </si>
  <si>
    <t>+$5(2.6%)</t>
  </si>
  <si>
    <t>+$47(16%)</t>
  </si>
  <si>
    <t>+$24(11%)</t>
  </si>
  <si>
    <t>+$30(11%)</t>
  </si>
  <si>
    <t>+$19(11%)</t>
  </si>
  <si>
    <t>+$54(19%)</t>
  </si>
  <si>
    <t>+$21(10%)</t>
  </si>
  <si>
    <t>+$27(10%)</t>
  </si>
  <si>
    <t>+$17(10%)</t>
  </si>
  <si>
    <t>+$68(23%)</t>
  </si>
  <si>
    <t>+$16(7%)</t>
  </si>
  <si>
    <t>+$20(7%)</t>
  </si>
  <si>
    <t>+$13(7%)</t>
  </si>
  <si>
    <t>+$44(9%)</t>
  </si>
  <si>
    <t>+$26(9%)</t>
  </si>
  <si>
    <t>+$17(8%)</t>
  </si>
  <si>
    <t>+$21(8%)</t>
  </si>
  <si>
    <t>+$14(8%)</t>
  </si>
  <si>
    <t>+$51(10%)</t>
  </si>
  <si>
    <t>+$39(13%)</t>
  </si>
  <si>
    <t>+$12(5%)</t>
  </si>
  <si>
    <t>+$15(5%)</t>
  </si>
  <si>
    <t>+$9(5%)</t>
  </si>
  <si>
    <t>+$54(11%)</t>
  </si>
  <si>
    <t>+$0(0%)</t>
  </si>
  <si>
    <t>Note: 1.Removed media cost from Adult and Adol budget 2. Adol TV spend corrected</t>
  </si>
  <si>
    <t>Removed Agency Fees; 
Corrected Adol TV Spend; increased max spend constraint by % for Adult HCP MCM and Adult HCC Radio</t>
  </si>
  <si>
    <t>Removed Agency Fees; 
Corrected Adol TV Spend; lowered Adult spend to $74MM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</si>
</sst>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00B050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9"/>
      <color theme="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658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166" fontId="12" fillId="8" borderId="32" xfId="2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4" fontId="1" fillId="2" borderId="2" xfId="4" applyNumberFormat="1" applyFont="1" applyFill="1" applyBorder="1"/>
    <xf numFmtId="6" fontId="1" fillId="0" borderId="2" xfId="0" applyNumberFormat="1" applyFont="1" applyFill="1" applyBorder="1"/>
    <xf numFmtId="9" fontId="1" fillId="2" borderId="2" xfId="3" applyFont="1" applyFill="1" applyBorder="1"/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6" fontId="1" fillId="0" borderId="8" xfId="0" applyNumberFormat="1" applyFont="1" applyFill="1" applyBorder="1"/>
    <xf numFmtId="6" fontId="1" fillId="0" borderId="11" xfId="0" applyNumberFormat="1" applyFont="1" applyFill="1" applyBorder="1"/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42" fillId="0" borderId="0" xfId="0" applyFont="1"/>
    <xf numFmtId="0" fontId="45" fillId="0" borderId="0" xfId="0" applyFont="1"/>
    <xf numFmtId="9" fontId="45" fillId="0" borderId="84" xfId="3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164" fontId="1" fillId="0" borderId="0" xfId="4" applyNumberFormat="1" applyFont="1" applyBorder="1"/>
    <xf numFmtId="5" fontId="1" fillId="2" borderId="2" xfId="4" applyNumberFormat="1" applyFont="1" applyFill="1" applyBorder="1" applyAlignment="1">
      <alignment horizontal="center"/>
    </xf>
    <xf numFmtId="166" fontId="0" fillId="43" borderId="0" xfId="4" applyNumberFormat="1" applyFont="1" applyFill="1" applyAlignment="1">
      <alignment horizontal="center"/>
    </xf>
    <xf numFmtId="3" fontId="1" fillId="0" borderId="0" xfId="0" applyNumberFormat="1" applyFont="1"/>
    <xf numFmtId="166" fontId="0" fillId="0" borderId="47" xfId="0" applyNumberFormat="1" applyBorder="1"/>
    <xf numFmtId="166" fontId="0" fillId="0" borderId="40" xfId="0" applyNumberFormat="1" applyBorder="1"/>
    <xf numFmtId="166" fontId="0" fillId="0" borderId="25" xfId="0" applyNumberFormat="1" applyBorder="1"/>
    <xf numFmtId="166" fontId="0" fillId="0" borderId="12" xfId="0" applyNumberFormat="1" applyBorder="1"/>
    <xf numFmtId="166" fontId="0" fillId="0" borderId="37" xfId="0" applyNumberFormat="1" applyBorder="1"/>
    <xf numFmtId="166" fontId="0" fillId="0" borderId="32" xfId="0" applyNumberFormat="1" applyBorder="1"/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26" fillId="0" borderId="0" xfId="0" applyFont="1" applyFill="1" applyAlignment="1">
      <alignment horizontal="center" vertical="center"/>
    </xf>
    <xf numFmtId="3" fontId="0" fillId="0" borderId="0" xfId="0" applyNumberFormat="1"/>
    <xf numFmtId="168" fontId="0" fillId="0" borderId="0" xfId="0" applyNumberFormat="1"/>
    <xf numFmtId="6" fontId="1" fillId="0" borderId="0" xfId="0" applyNumberFormat="1" applyFont="1"/>
    <xf numFmtId="164" fontId="1" fillId="0" borderId="10" xfId="0" applyNumberFormat="1" applyFont="1" applyFill="1" applyBorder="1"/>
    <xf numFmtId="0" fontId="25" fillId="47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166" fontId="28" fillId="48" borderId="0" xfId="4" applyNumberFormat="1" applyFont="1" applyFill="1" applyBorder="1" applyAlignment="1">
      <alignment horizontal="center" vertical="center" wrapText="1"/>
    </xf>
    <xf numFmtId="0" fontId="44" fillId="48" borderId="88" xfId="0" applyFont="1" applyFill="1" applyBorder="1" applyAlignment="1">
      <alignment horizontal="left" vertical="center" wrapText="1" indent="1"/>
    </xf>
    <xf numFmtId="170" fontId="44" fillId="48" borderId="89" xfId="0" applyNumberFormat="1" applyFont="1" applyFill="1" applyBorder="1" applyAlignment="1">
      <alignment horizontal="center" vertical="center"/>
    </xf>
    <xf numFmtId="166" fontId="44" fillId="48" borderId="90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170" fontId="44" fillId="48" borderId="91" xfId="4" applyNumberFormat="1" applyFont="1" applyFill="1" applyBorder="1" applyAlignment="1">
      <alignment horizontal="center" vertical="center" wrapText="1"/>
    </xf>
    <xf numFmtId="166" fontId="44" fillId="48" borderId="93" xfId="4" applyNumberFormat="1" applyFont="1" applyFill="1" applyBorder="1" applyAlignment="1">
      <alignment horizontal="center" vertical="center" wrapText="1"/>
    </xf>
    <xf numFmtId="166" fontId="44" fillId="48" borderId="0" xfId="4" applyNumberFormat="1" applyFont="1" applyFill="1" applyBorder="1" applyAlignment="1">
      <alignment horizontal="center" vertical="center" wrapText="1"/>
    </xf>
    <xf numFmtId="166" fontId="44" fillId="48" borderId="89" xfId="0" applyNumberFormat="1" applyFont="1" applyFill="1" applyBorder="1" applyAlignment="1">
      <alignment horizontal="center" vertical="center"/>
    </xf>
    <xf numFmtId="166" fontId="44" fillId="48" borderId="91" xfId="4" applyNumberFormat="1" applyFont="1" applyFill="1" applyBorder="1" applyAlignment="1">
      <alignment horizontal="center" vertical="center" wrapText="1"/>
    </xf>
    <xf numFmtId="9" fontId="44" fillId="48" borderId="92" xfId="3" applyFont="1" applyFill="1" applyBorder="1" applyAlignment="1">
      <alignment horizontal="center" vertical="center"/>
    </xf>
    <xf numFmtId="170" fontId="44" fillId="48" borderId="90" xfId="0" applyNumberFormat="1" applyFont="1" applyFill="1" applyBorder="1" applyAlignment="1">
      <alignment horizontal="center" vertical="center"/>
    </xf>
    <xf numFmtId="166" fontId="47" fillId="48" borderId="93" xfId="4" quotePrefix="1" applyNumberFormat="1" applyFont="1" applyFill="1" applyBorder="1" applyAlignment="1">
      <alignment horizontal="center" vertical="center" wrapText="1"/>
    </xf>
    <xf numFmtId="166" fontId="47" fillId="48" borderId="0" xfId="4" quotePrefix="1" applyNumberFormat="1" applyFont="1" applyFill="1" applyBorder="1" applyAlignment="1">
      <alignment horizontal="center" vertical="center" wrapText="1"/>
    </xf>
    <xf numFmtId="0" fontId="48" fillId="0" borderId="71" xfId="0" applyFont="1" applyBorder="1" applyAlignment="1">
      <alignment horizontal="left" vertical="center" indent="1"/>
    </xf>
    <xf numFmtId="170" fontId="48" fillId="0" borderId="80" xfId="4" applyNumberFormat="1" applyFont="1" applyBorder="1" applyAlignment="1">
      <alignment horizontal="center" vertical="center"/>
    </xf>
    <xf numFmtId="166" fontId="48" fillId="0" borderId="81" xfId="4" applyNumberFormat="1" applyFont="1" applyBorder="1" applyAlignment="1">
      <alignment horizontal="center" vertical="center"/>
    </xf>
    <xf numFmtId="166" fontId="48" fillId="0" borderId="0" xfId="4" applyNumberFormat="1" applyFont="1" applyAlignment="1">
      <alignment horizontal="center" vertical="center"/>
    </xf>
    <xf numFmtId="170" fontId="48" fillId="0" borderId="82" xfId="4" applyNumberFormat="1" applyFont="1" applyBorder="1" applyAlignment="1">
      <alignment horizontal="center" vertical="center"/>
    </xf>
    <xf numFmtId="9" fontId="48" fillId="0" borderId="80" xfId="3" applyFont="1" applyBorder="1" applyAlignment="1">
      <alignment horizontal="center" vertical="center"/>
    </xf>
    <xf numFmtId="166" fontId="48" fillId="0" borderId="83" xfId="4" applyNumberFormat="1" applyFont="1" applyBorder="1" applyAlignment="1">
      <alignment horizontal="center" vertical="center"/>
    </xf>
    <xf numFmtId="0" fontId="48" fillId="0" borderId="0" xfId="0" applyFont="1"/>
    <xf numFmtId="170" fontId="48" fillId="0" borderId="83" xfId="4" applyNumberFormat="1" applyFont="1" applyBorder="1" applyAlignment="1">
      <alignment horizontal="center" vertical="center"/>
    </xf>
    <xf numFmtId="170" fontId="48" fillId="0" borderId="0" xfId="4" applyNumberFormat="1" applyFont="1" applyBorder="1" applyAlignment="1">
      <alignment horizontal="center" vertical="center"/>
    </xf>
    <xf numFmtId="170" fontId="48" fillId="0" borderId="84" xfId="4" applyNumberFormat="1" applyFont="1" applyBorder="1" applyAlignment="1">
      <alignment horizontal="center" vertical="center"/>
    </xf>
    <xf numFmtId="166" fontId="48" fillId="0" borderId="85" xfId="4" applyNumberFormat="1" applyFont="1" applyBorder="1" applyAlignment="1">
      <alignment horizontal="center" vertical="center"/>
    </xf>
    <xf numFmtId="170" fontId="48" fillId="0" borderId="86" xfId="4" applyNumberFormat="1" applyFont="1" applyBorder="1" applyAlignment="1">
      <alignment horizontal="center" vertical="center"/>
    </xf>
    <xf numFmtId="9" fontId="48" fillId="0" borderId="84" xfId="3" applyFont="1" applyBorder="1" applyAlignment="1">
      <alignment horizontal="center" vertical="center"/>
    </xf>
    <xf numFmtId="166" fontId="48" fillId="0" borderId="87" xfId="4" applyNumberFormat="1" applyFont="1" applyBorder="1" applyAlignment="1">
      <alignment horizontal="center" vertical="center"/>
    </xf>
    <xf numFmtId="170" fontId="48" fillId="0" borderId="87" xfId="4" applyNumberFormat="1" applyFont="1" applyBorder="1" applyAlignment="1">
      <alignment horizontal="center" vertical="center"/>
    </xf>
    <xf numFmtId="0" fontId="45" fillId="0" borderId="70" xfId="0" applyFont="1" applyBorder="1" applyAlignment="1">
      <alignment horizontal="left" vertical="center" wrapText="1" indent="1"/>
    </xf>
    <xf numFmtId="0" fontId="45" fillId="0" borderId="70" xfId="0" applyFont="1" applyBorder="1" applyAlignment="1">
      <alignment horizontal="center" vertical="center"/>
    </xf>
    <xf numFmtId="0" fontId="45" fillId="0" borderId="7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78" xfId="0" applyFont="1" applyBorder="1" applyAlignment="1">
      <alignment horizontal="center" vertical="center" wrapText="1"/>
    </xf>
    <xf numFmtId="0" fontId="45" fillId="0" borderId="79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4" fillId="0" borderId="0" xfId="0" applyFont="1"/>
    <xf numFmtId="0" fontId="49" fillId="0" borderId="0" xfId="0" applyFont="1" applyFill="1" applyAlignment="1">
      <alignment horizontal="center"/>
    </xf>
    <xf numFmtId="0" fontId="49" fillId="47" borderId="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170" fontId="44" fillId="48" borderId="93" xfId="4" applyNumberFormat="1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6" fillId="0" borderId="105" xfId="0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49" fillId="47" borderId="0" xfId="0" applyFont="1" applyFill="1" applyBorder="1" applyAlignment="1">
      <alignment horizontal="center" vertical="center" wrapText="1"/>
    </xf>
    <xf numFmtId="0" fontId="44" fillId="0" borderId="73" xfId="0" applyFont="1" applyBorder="1" applyAlignment="1">
      <alignment horizontal="center" vertical="center" wrapText="1"/>
    </xf>
    <xf numFmtId="0" fontId="44" fillId="0" borderId="74" xfId="0" applyFont="1" applyBorder="1" applyAlignment="1">
      <alignment horizontal="center" vertical="center" wrapText="1"/>
    </xf>
    <xf numFmtId="0" fontId="49" fillId="47" borderId="67" xfId="0" applyFont="1" applyFill="1" applyBorder="1" applyAlignment="1">
      <alignment horizontal="center" vertical="center"/>
    </xf>
    <xf numFmtId="0" fontId="49" fillId="47" borderId="68" xfId="0" applyFont="1" applyFill="1" applyBorder="1" applyAlignment="1">
      <alignment horizontal="center" vertical="center"/>
    </xf>
    <xf numFmtId="0" fontId="49" fillId="47" borderId="69" xfId="0" applyFont="1" applyFill="1" applyBorder="1" applyAlignment="1">
      <alignment horizontal="center" vertical="center"/>
    </xf>
    <xf numFmtId="0" fontId="49" fillId="47" borderId="67" xfId="0" applyFont="1" applyFill="1" applyBorder="1" applyAlignment="1">
      <alignment horizontal="center" vertical="center" wrapText="1"/>
    </xf>
    <xf numFmtId="0" fontId="49" fillId="47" borderId="68" xfId="0" applyFont="1" applyFill="1" applyBorder="1" applyAlignment="1">
      <alignment horizontal="center" vertical="center" wrapText="1"/>
    </xf>
    <xf numFmtId="0" fontId="49" fillId="47" borderId="69" xfId="0" applyFont="1" applyFill="1" applyBorder="1" applyAlignment="1">
      <alignment horizontal="center" vertical="center" wrapText="1"/>
    </xf>
    <xf numFmtId="0" fontId="25" fillId="47" borderId="67" xfId="0" applyFont="1" applyFill="1" applyBorder="1" applyAlignment="1">
      <alignment horizontal="center" vertical="center" wrapText="1"/>
    </xf>
    <xf numFmtId="0" fontId="25" fillId="47" borderId="68" xfId="0" applyFont="1" applyFill="1" applyBorder="1" applyAlignment="1">
      <alignment horizontal="center" vertical="center" wrapText="1"/>
    </xf>
    <xf numFmtId="0" fontId="25" fillId="47" borderId="69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170" fontId="50" fillId="48" borderId="91" xfId="4" applyNumberFormat="1" applyFont="1" applyFill="1" applyBorder="1" applyAlignment="1">
      <alignment horizontal="center" vertical="center" wrapText="1"/>
    </xf>
    <xf numFmtId="166" fontId="50" fillId="48" borderId="93" xfId="4" applyNumberFormat="1" applyFont="1" applyFill="1" applyBorder="1" applyAlignment="1">
      <alignment horizontal="center" vertical="center" wrapText="1"/>
    </xf>
    <xf numFmtId="9" fontId="50" fillId="48" borderId="92" xfId="3" applyFont="1" applyFill="1" applyBorder="1" applyAlignment="1">
      <alignment horizontal="center" vertic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8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externalLink" Target="externalLinks/externalLink4.xml"/><Relationship Id="rId47" Type="http://schemas.openxmlformats.org/officeDocument/2006/relationships/externalLink" Target="externalLinks/externalLink9.xml"/><Relationship Id="rId63" Type="http://schemas.openxmlformats.org/officeDocument/2006/relationships/theme" Target="theme/theme1.xml"/><Relationship Id="rId6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externalLink" Target="externalLinks/externalLink7.xml"/><Relationship Id="rId53" Type="http://schemas.openxmlformats.org/officeDocument/2006/relationships/externalLink" Target="externalLinks/externalLink15.xml"/><Relationship Id="rId58" Type="http://schemas.openxmlformats.org/officeDocument/2006/relationships/externalLink" Target="externalLinks/externalLink20.xml"/><Relationship Id="rId66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openxmlformats.org/officeDocument/2006/relationships/externalLink" Target="externalLinks/externalLink10.xml"/><Relationship Id="rId56" Type="http://schemas.openxmlformats.org/officeDocument/2006/relationships/externalLink" Target="externalLinks/externalLink18.xml"/><Relationship Id="rId64" Type="http://schemas.openxmlformats.org/officeDocument/2006/relationships/styles" Target="styles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8.xml"/><Relationship Id="rId59" Type="http://schemas.openxmlformats.org/officeDocument/2006/relationships/externalLink" Target="externalLinks/externalLink21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externalLink" Target="externalLinks/externalLink16.xml"/><Relationship Id="rId62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1.xml"/><Relationship Id="rId57" Type="http://schemas.openxmlformats.org/officeDocument/2006/relationships/externalLink" Target="externalLinks/externalLink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6.xml"/><Relationship Id="rId52" Type="http://schemas.openxmlformats.org/officeDocument/2006/relationships/externalLink" Target="externalLinks/externalLink14.xml"/><Relationship Id="rId60" Type="http://schemas.openxmlformats.org/officeDocument/2006/relationships/externalLink" Target="externalLinks/externalLink22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12.xml"/><Relationship Id="rId55" Type="http://schemas.openxmlformats.org/officeDocument/2006/relationships/externalLink" Target="externalLinks/externalLink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46216291.200000003</c:v>
                </c:pt>
                <c:pt idx="1">
                  <c:v>42364933.600000001</c:v>
                </c:pt>
                <c:pt idx="2">
                  <c:v>38513576</c:v>
                </c:pt>
                <c:pt idx="3">
                  <c:v>34662218.399999999</c:v>
                </c:pt>
                <c:pt idx="4">
                  <c:v>30810860.800000001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46216291.200000003</c:v>
                </c:pt>
                <c:pt idx="1">
                  <c:v>42364933.600000001</c:v>
                </c:pt>
                <c:pt idx="2">
                  <c:v>38513576</c:v>
                </c:pt>
                <c:pt idx="3">
                  <c:v>34662218.399999999</c:v>
                </c:pt>
                <c:pt idx="4">
                  <c:v>30810860.800000001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38513576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284160884.55212712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3731.9067859649658</c:v>
                </c:pt>
                <c:pt idx="2">
                  <c:v>7173.3086972367018</c:v>
                </c:pt>
                <c:pt idx="3">
                  <c:v>10346.61325889267</c:v>
                </c:pt>
                <c:pt idx="4">
                  <c:v>13272.530711770058</c:v>
                </c:pt>
                <c:pt idx="5">
                  <c:v>15970.197880234569</c:v>
                </c:pt>
                <c:pt idx="6">
                  <c:v>18457.293716503307</c:v>
                </c:pt>
                <c:pt idx="7">
                  <c:v>20750.14696871303</c:v>
                </c:pt>
                <c:pt idx="8">
                  <c:v>22863.836414532736</c:v>
                </c:pt>
                <c:pt idx="9">
                  <c:v>24812.284093238413</c:v>
                </c:pt>
                <c:pt idx="10">
                  <c:v>26608.341957086697</c:v>
                </c:pt>
                <c:pt idx="11">
                  <c:v>28263.872348684818</c:v>
                </c:pt>
                <c:pt idx="12">
                  <c:v>29789.822695303708</c:v>
                </c:pt>
                <c:pt idx="13">
                  <c:v>31196.294794134796</c:v>
                </c:pt>
                <c:pt idx="14">
                  <c:v>32492.609044991434</c:v>
                </c:pt>
                <c:pt idx="15">
                  <c:v>33687.363969050348</c:v>
                </c:pt>
                <c:pt idx="16">
                  <c:v>34788.491334240884</c:v>
                </c:pt>
                <c:pt idx="17">
                  <c:v>35803.30719011277</c:v>
                </c:pt>
                <c:pt idx="18">
                  <c:v>36738.559097478166</c:v>
                </c:pt>
                <c:pt idx="19">
                  <c:v>37600.469821108505</c:v>
                </c:pt>
                <c:pt idx="20">
                  <c:v>38394.777737218887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-9.3132257461547852E-10</c:v>
                </c:pt>
                <c:pt idx="1">
                  <c:v>40739.230897238478</c:v>
                </c:pt>
                <c:pt idx="2">
                  <c:v>78428.809096541256</c:v>
                </c:pt>
                <c:pt idx="3">
                  <c:v>113271.26307916827</c:v>
                </c:pt>
                <c:pt idx="4">
                  <c:v>145459.66681052744</c:v>
                </c:pt>
                <c:pt idx="5">
                  <c:v>175177.42119361833</c:v>
                </c:pt>
                <c:pt idx="6">
                  <c:v>202598.17686557397</c:v>
                </c:pt>
                <c:pt idx="7">
                  <c:v>227885.87447749265</c:v>
                </c:pt>
                <c:pt idx="8">
                  <c:v>251194.88106508367</c:v>
                </c:pt>
                <c:pt idx="9">
                  <c:v>272670.20355859026</c:v>
                </c:pt>
                <c:pt idx="10">
                  <c:v>292447.76282965764</c:v>
                </c:pt>
                <c:pt idx="11">
                  <c:v>310654.7138853576</c:v>
                </c:pt>
                <c:pt idx="12">
                  <c:v>327409.79986672848</c:v>
                </c:pt>
                <c:pt idx="13">
                  <c:v>342823.72937526181</c:v>
                </c:pt>
                <c:pt idx="14">
                  <c:v>356999.56833022274</c:v>
                </c:pt>
                <c:pt idx="15">
                  <c:v>370033.139053775</c:v>
                </c:pt>
                <c:pt idx="16">
                  <c:v>382013.42059681378</c:v>
                </c:pt>
                <c:pt idx="17">
                  <c:v>393022.94546622783</c:v>
                </c:pt>
                <c:pt idx="18">
                  <c:v>403138.18890681118</c:v>
                </c:pt>
                <c:pt idx="19">
                  <c:v>412429.94774184003</c:v>
                </c:pt>
                <c:pt idx="20">
                  <c:v>420963.7064994704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VAC_Optim_Scenario!$D$49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VAC_Optim_Scenario!$F$49</c:f>
              <c:numCache>
                <c:formatCode>#,##0</c:formatCode>
                <c:ptCount val="1"/>
                <c:pt idx="0">
                  <c:v>15970.197880234569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VAC_Optim_Scenario!$H$49</c:f>
              <c:numCache>
                <c:formatCode>_("$"* #,##0_);_("$"* \(#,##0\);_("$"* "-"??_);_(@_)</c:formatCode>
                <c:ptCount val="1"/>
                <c:pt idx="0">
                  <c:v>1280553.8166407023</c:v>
                </c:pt>
              </c:numCache>
            </c:numRef>
          </c:xVal>
          <c:yVal>
            <c:numRef>
              <c:f>VAC_Optim_Scenario!$I$49</c:f>
              <c:numCache>
                <c:formatCode>#,##0</c:formatCode>
                <c:ptCount val="1"/>
                <c:pt idx="0">
                  <c:v>19403.271232455969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VAC_Optim_Scenario!$D$50</c:f>
              <c:numCache>
                <c:formatCode>_("$"* #,##0_);_("$"* \(#,##0\);_("$"* "-"??_);_(@_)</c:formatCode>
                <c:ptCount val="1"/>
                <c:pt idx="0">
                  <c:v>7775778</c:v>
                </c:pt>
              </c:numCache>
            </c:numRef>
          </c:xVal>
          <c:yVal>
            <c:numRef>
              <c:f>VAC_Optim_Scenario!$F$50</c:f>
              <c:numCache>
                <c:formatCode>#,##0</c:formatCode>
                <c:ptCount val="1"/>
                <c:pt idx="0">
                  <c:v>342226.11897340976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VAC_Optim_Scenario!$H$50</c:f>
              <c:numCache>
                <c:formatCode>_("$"* #,##0_);_("$"* \(#,##0\);_("$"* "-"??_);_(@_)</c:formatCode>
                <c:ptCount val="1"/>
                <c:pt idx="0">
                  <c:v>11092068.118553624</c:v>
                </c:pt>
              </c:numCache>
            </c:numRef>
          </c:xVal>
          <c:yVal>
            <c:numRef>
              <c:f>VAC_Optim_Scenario!$I$50</c:f>
              <c:numCache>
                <c:formatCode>#,##0</c:formatCode>
                <c:ptCount val="1"/>
                <c:pt idx="0">
                  <c:v>407759.92261045426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VAC_Optim_Scenario!$D$57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VAC_Optim_Scenario!$F$57</c:f>
              <c:numCache>
                <c:formatCode>#,##0</c:formatCode>
                <c:ptCount val="1"/>
                <c:pt idx="0">
                  <c:v>281912.11859902256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VAC_Optim_Scenario!$H$57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VAC_Optim_Scenario!$I$57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VAC_Optim_Scenario!$D$55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VAC_Optim_Scenario!$F$55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VAC_Optim_Scenario!$H$55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VAC_Optim_Scenario!$I$55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VAC_Optim_Scenario!$D$56</c:f>
              <c:numCache>
                <c:formatCode>_("$"* #,##0_);_("$"* \(#,##0\);_("$"* "-"??_);_(@_)</c:formatCode>
                <c:ptCount val="1"/>
                <c:pt idx="0">
                  <c:v>2220000</c:v>
                </c:pt>
              </c:numCache>
            </c:numRef>
          </c:xVal>
          <c:yVal>
            <c:numRef>
              <c:f>VAC_Optim_Scenario!$F$56</c:f>
              <c:numCache>
                <c:formatCode>#,##0</c:formatCode>
                <c:ptCount val="1"/>
                <c:pt idx="0">
                  <c:v>91610.125423352103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VAC_Optim_Scenario!$H$56</c:f>
              <c:numCache>
                <c:formatCode>_("$"* #,##0_);_("$"* \(#,##0\);_("$"* "-"??_);_(@_)</c:formatCode>
                <c:ptCount val="1"/>
                <c:pt idx="0">
                  <c:v>4800000</c:v>
                </c:pt>
              </c:numCache>
            </c:numRef>
          </c:xVal>
          <c:yVal>
            <c:numRef>
              <c:f>VAC_Optim_Scenario!$I$56</c:f>
              <c:numCache>
                <c:formatCode>#,##0</c:formatCode>
                <c:ptCount val="1"/>
                <c:pt idx="0">
                  <c:v>145504.50354692468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1220000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15022.779470646754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14861.613123927265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3540000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173899.1701768022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5202542.954141208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209103.94622687995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1840000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70487.367019183061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4455047.5305201802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119820.74059201809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VAC_Optim_Scenario!$E$23</c:f>
              <c:numCache>
                <c:formatCode>"$"#,##0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VAC_Optim_Scenario!$F$23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VAC_Optim_Scenario!$I$23</c:f>
              <c:numCache>
                <c:formatCode>"$"#,##0</c:formatCode>
                <c:ptCount val="1"/>
                <c:pt idx="0">
                  <c:v>6494076.6811486697</c:v>
                </c:pt>
              </c:numCache>
            </c:numRef>
          </c:xVal>
          <c:yVal>
            <c:numRef>
              <c:f>VAC_Optim_Scenario!$J$23</c:f>
              <c:numCache>
                <c:formatCode>#,##0</c:formatCode>
                <c:ptCount val="1"/>
                <c:pt idx="0">
                  <c:v>149762.88214142565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1.2805538166407022</c:v>
                </c:pt>
                <c:pt idx="1">
                  <c:v>1.2805538166407022</c:v>
                </c:pt>
                <c:pt idx="2">
                  <c:v>1.2805538166407022</c:v>
                </c:pt>
                <c:pt idx="3">
                  <c:v>1.2805538166407022</c:v>
                </c:pt>
                <c:pt idx="4">
                  <c:v>1.2805538166407022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11.092068118553623</c:v>
                </c:pt>
                <c:pt idx="1">
                  <c:v>11.092068118553623</c:v>
                </c:pt>
                <c:pt idx="2">
                  <c:v>11.092068118553623</c:v>
                </c:pt>
                <c:pt idx="3">
                  <c:v>11.092068118553623</c:v>
                </c:pt>
                <c:pt idx="4">
                  <c:v>11.092068118553623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4.4550475305201802</c:v>
                </c:pt>
                <c:pt idx="1">
                  <c:v>4.4550475305201802</c:v>
                </c:pt>
                <c:pt idx="2">
                  <c:v>4.4550475305201802</c:v>
                </c:pt>
                <c:pt idx="3">
                  <c:v>4.4550475305201802</c:v>
                </c:pt>
                <c:pt idx="4">
                  <c:v>4.4550475305201802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6.4940766811486696</c:v>
                </c:pt>
                <c:pt idx="1">
                  <c:v>6.4940766811486696</c:v>
                </c:pt>
                <c:pt idx="2">
                  <c:v>6.4940766811486696</c:v>
                </c:pt>
                <c:pt idx="3">
                  <c:v>6.4940766811486696</c:v>
                </c:pt>
                <c:pt idx="4">
                  <c:v>6.4940766811486696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5.202542954141208</c:v>
                </c:pt>
                <c:pt idx="1">
                  <c:v>5.202542954141208</c:v>
                </c:pt>
                <c:pt idx="2">
                  <c:v>5.202542954141208</c:v>
                </c:pt>
                <c:pt idx="3">
                  <c:v>5.202542954141208</c:v>
                </c:pt>
                <c:pt idx="4">
                  <c:v>5.202542954141208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4.8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55.691114230995083</c:v>
                </c:pt>
                <c:pt idx="1">
                  <c:v>62.616631772461922</c:v>
                </c:pt>
                <c:pt idx="2">
                  <c:v>39.647204915358948</c:v>
                </c:pt>
                <c:pt idx="3">
                  <c:v>26.103968382011573</c:v>
                </c:pt>
                <c:pt idx="4">
                  <c:v>81.210005271246729</c:v>
                </c:pt>
                <c:pt idx="5">
                  <c:v>24.233129140920326</c:v>
                </c:pt>
                <c:pt idx="6">
                  <c:v>22.721170503658026</c:v>
                </c:pt>
                <c:pt idx="7">
                  <c:v>20.356623878083514</c:v>
                </c:pt>
                <c:pt idx="8">
                  <c:v>2.7578911836232054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2022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148.31584469639799</c:v>
                </c:pt>
                <c:pt idx="1">
                  <c:v>157.11001622596055</c:v>
                </c:pt>
                <c:pt idx="2">
                  <c:v>122.84276777540508</c:v>
                </c:pt>
                <c:pt idx="3">
                  <c:v>142.77868187352351</c:v>
                </c:pt>
                <c:pt idx="4">
                  <c:v>80.536294708145277</c:v>
                </c:pt>
                <c:pt idx="5">
                  <c:v>57.011933200722879</c:v>
                </c:pt>
                <c:pt idx="6">
                  <c:v>42.993860984546004</c:v>
                </c:pt>
                <c:pt idx="7">
                  <c:v>41.438268268892379</c:v>
                </c:pt>
                <c:pt idx="8">
                  <c:v>46.487735431938745</c:v>
                </c:pt>
                <c:pt idx="9">
                  <c:v>2.5147277110902859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+200%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214838478</c:v>
                </c:pt>
                <c:pt idx="1">
                  <c:v>161128858.5</c:v>
                </c:pt>
                <c:pt idx="2">
                  <c:v>107419239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584315376.29753828</c:v>
                </c:pt>
                <c:pt idx="1">
                  <c:v>579638942.31260693</c:v>
                </c:pt>
                <c:pt idx="2">
                  <c:v>515884477.51702702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214838478</c:v>
                </c:pt>
                <c:pt idx="1">
                  <c:v>161128858.5</c:v>
                </c:pt>
                <c:pt idx="2">
                  <c:v>107419239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107419239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500834506.70040905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75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Optimize/Custom_2/GARD_ADOL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_2/GARDADULT_2024_Spend_Alloc_custom2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_update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_dz_v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_updated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Optimize/GARD_ADULT_2024_dz_50_200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OY Curve comparison"/>
      <sheetName val="Scenario summary"/>
      <sheetName val="Chart - Combined"/>
      <sheetName val="Scenario deep dive_2023"/>
      <sheetName val="Senstivity"/>
      <sheetName val="Sensitivity - Template"/>
      <sheetName val="Contribution, promo eff, ROI"/>
      <sheetName val="Scenario deep dive"/>
      <sheetName val="Current Constraints"/>
      <sheetName val="VAC_Optim_Scenario"/>
      <sheetName val="GINOFF"/>
      <sheetName val="GMCM"/>
      <sheetName val="GSOC"/>
      <sheetName val="GOLV"/>
      <sheetName val="GSTRV"/>
      <sheetName val="GDISP"/>
      <sheetName val="GSEARCH"/>
      <sheetName val="GRADIO"/>
      <sheetName val="GTV"/>
      <sheetName val="GPRNT"/>
      <sheetName val="Fn.Templates ==&gt;"/>
      <sheetName val="FT_SCurveEst"/>
      <sheetName val="FT_Equation"/>
      <sheetName val="FT_SCurve3Est"/>
      <sheetName val="FT_Interpo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">
          <cell r="F7">
            <v>1000000</v>
          </cell>
          <cell r="J7">
            <v>1172914.3259099026</v>
          </cell>
          <cell r="N7">
            <v>1654588.7123287965</v>
          </cell>
        </row>
        <row r="8">
          <cell r="F8">
            <v>8003662.6738821417</v>
          </cell>
          <cell r="J8">
            <v>10781079.800402544</v>
          </cell>
          <cell r="N8">
            <v>12000000</v>
          </cell>
        </row>
        <row r="9">
          <cell r="F9">
            <v>1599500</v>
          </cell>
          <cell r="J9">
            <v>3987918.0972265243</v>
          </cell>
          <cell r="N9">
            <v>6500000</v>
          </cell>
        </row>
        <row r="10">
          <cell r="F10">
            <v>1000000</v>
          </cell>
          <cell r="J10">
            <v>1000000</v>
          </cell>
          <cell r="N10">
            <v>999999.99999999988</v>
          </cell>
        </row>
        <row r="11">
          <cell r="F11">
            <v>4817798</v>
          </cell>
          <cell r="J11">
            <v>5609041.4509816822</v>
          </cell>
          <cell r="N11">
            <v>10772356.891532868</v>
          </cell>
        </row>
        <row r="12">
          <cell r="F12">
            <v>3811839.4251255072</v>
          </cell>
          <cell r="J12">
            <v>5062622.3862681137</v>
          </cell>
          <cell r="N12">
            <v>5686630.4364398532</v>
          </cell>
        </row>
        <row r="13">
          <cell r="F13">
            <v>400000</v>
          </cell>
          <cell r="J13">
            <v>400000</v>
          </cell>
          <cell r="N13">
            <v>400000</v>
          </cell>
        </row>
        <row r="14">
          <cell r="F14">
            <v>2180775.9009923507</v>
          </cell>
          <cell r="J14">
            <v>4800000</v>
          </cell>
          <cell r="N14">
            <v>4800000</v>
          </cell>
        </row>
        <row r="15">
          <cell r="F15">
            <v>16888801</v>
          </cell>
          <cell r="J15">
            <v>16888801</v>
          </cell>
          <cell r="N15">
            <v>16888801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Scenario summary_incr_doses"/>
      <sheetName val="Chart - Combined"/>
      <sheetName val="Sensitivity"/>
      <sheetName val="Contribution, promo eff, ROI"/>
      <sheetName val="Scenario deep dive"/>
      <sheetName val="doses_contrib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F7">
            <v>900000</v>
          </cell>
          <cell r="J7">
            <v>900000</v>
          </cell>
          <cell r="N7">
            <v>1026598.0761272227</v>
          </cell>
        </row>
        <row r="8">
          <cell r="F8">
            <v>20332726.78651882</v>
          </cell>
          <cell r="J8">
            <v>21000000</v>
          </cell>
          <cell r="N8">
            <v>21000000</v>
          </cell>
        </row>
        <row r="9">
          <cell r="F9">
            <v>1800000</v>
          </cell>
          <cell r="J9">
            <v>4586515.2321627252</v>
          </cell>
          <cell r="N9">
            <v>6733228.4705905961</v>
          </cell>
        </row>
        <row r="10">
          <cell r="F10">
            <v>1103611.8378162181</v>
          </cell>
          <cell r="J10">
            <v>2538608.3579298854</v>
          </cell>
          <cell r="N10">
            <v>2784148.583448194</v>
          </cell>
        </row>
        <row r="11">
          <cell r="F11">
            <v>8306901</v>
          </cell>
          <cell r="J11">
            <v>11191328.353730984</v>
          </cell>
          <cell r="N11">
            <v>18672476.905886736</v>
          </cell>
        </row>
        <row r="12">
          <cell r="F12">
            <v>4273086.2126840986</v>
          </cell>
          <cell r="J12">
            <v>5000000</v>
          </cell>
          <cell r="N12">
            <v>5000000</v>
          </cell>
        </row>
        <row r="13">
          <cell r="F13">
            <v>200000</v>
          </cell>
          <cell r="J13">
            <v>200000</v>
          </cell>
          <cell r="N13">
            <v>200000</v>
          </cell>
        </row>
        <row r="14">
          <cell r="F14">
            <v>700126.17650413048</v>
          </cell>
          <cell r="J14">
            <v>2200000</v>
          </cell>
          <cell r="N14">
            <v>2200000</v>
          </cell>
        </row>
        <row r="15">
          <cell r="F15">
            <v>28089211</v>
          </cell>
          <cell r="J15">
            <v>28089211</v>
          </cell>
          <cell r="N15">
            <v>28089211</v>
          </cell>
        </row>
        <row r="16">
          <cell r="F16">
            <v>3200000</v>
          </cell>
          <cell r="J16">
            <v>3200000</v>
          </cell>
          <cell r="N16">
            <v>3200000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1700000</v>
          </cell>
          <cell r="C12">
            <v>23857.888119863572</v>
          </cell>
          <cell r="D12">
            <v>0</v>
          </cell>
          <cell r="E12">
            <v>47715.776239727144</v>
          </cell>
          <cell r="F12">
            <v>8649234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5365372.8900000006</v>
          </cell>
          <cell r="C12">
            <v>271478.24772726599</v>
          </cell>
          <cell r="D12">
            <v>0</v>
          </cell>
          <cell r="E12">
            <v>515808.67068180529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51" t="s">
        <v>201</v>
      </c>
      <c r="H4" s="551"/>
      <c r="I4" s="552" t="s">
        <v>202</v>
      </c>
      <c r="J4" s="552"/>
      <c r="K4" s="553" t="s">
        <v>203</v>
      </c>
      <c r="L4" s="553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253</v>
      </c>
      <c r="G5" s="275" t="s">
        <v>248</v>
      </c>
      <c r="H5" s="275"/>
      <c r="I5" s="275" t="s">
        <v>248</v>
      </c>
      <c r="J5" s="275"/>
      <c r="K5" s="275" t="s">
        <v>248</v>
      </c>
      <c r="L5" s="275"/>
      <c r="M5" s="276"/>
    </row>
    <row r="6" spans="2:13" x14ac:dyDescent="0.25">
      <c r="C6" s="169">
        <f>$C$8+E6</f>
        <v>46216291.200000003</v>
      </c>
      <c r="D6" s="170">
        <v>0.2</v>
      </c>
      <c r="E6" s="171">
        <f>D6*$C$8</f>
        <v>7702715.2000000002</v>
      </c>
      <c r="F6" s="169"/>
      <c r="G6" s="169">
        <f>'Scenario deep dive'!X16</f>
        <v>213450965.49504656</v>
      </c>
      <c r="H6" s="169"/>
      <c r="I6" s="169">
        <f t="shared" ref="I6:J10" si="0">G6-$F$8</f>
        <v>-70709919.057080567</v>
      </c>
      <c r="J6" s="169">
        <f t="shared" si="0"/>
        <v>-284160884.55212712</v>
      </c>
      <c r="K6" s="172">
        <f t="shared" ref="K6:L10" si="1">G6/$C6</f>
        <v>4.6185221694086636</v>
      </c>
      <c r="L6" s="172">
        <f t="shared" si="1"/>
        <v>0</v>
      </c>
    </row>
    <row r="7" spans="2:13" x14ac:dyDescent="0.25">
      <c r="C7" s="169">
        <f>$C$8+E7</f>
        <v>42364933.600000001</v>
      </c>
      <c r="D7" s="170">
        <v>0.1</v>
      </c>
      <c r="E7" s="171">
        <f>D7*$C$8</f>
        <v>3851357.6</v>
      </c>
      <c r="F7" s="169"/>
      <c r="G7" s="169">
        <f>'Scenario deep dive'!T16</f>
        <v>204849185.54615188</v>
      </c>
      <c r="H7" s="173"/>
      <c r="I7" s="169">
        <f t="shared" si="0"/>
        <v>-79311699.005975246</v>
      </c>
      <c r="J7" s="169">
        <f t="shared" si="0"/>
        <v>-284160884.55212712</v>
      </c>
      <c r="K7" s="172">
        <f t="shared" si="1"/>
        <v>4.8353477307504118</v>
      </c>
      <c r="L7" s="172">
        <f t="shared" si="1"/>
        <v>0</v>
      </c>
    </row>
    <row r="8" spans="2:13" x14ac:dyDescent="0.25">
      <c r="B8" s="174">
        <f>F8/C8</f>
        <v>7.3782004701959414</v>
      </c>
      <c r="C8" s="169">
        <f>'Scenario deep dive'!C16</f>
        <v>38513576</v>
      </c>
      <c r="D8" s="170">
        <v>0</v>
      </c>
      <c r="E8" s="171">
        <f>D8*$C$8</f>
        <v>0</v>
      </c>
      <c r="F8" s="169">
        <f>'Scenario deep dive'!D16</f>
        <v>284160884.55212712</v>
      </c>
      <c r="G8" s="169">
        <f>'Scenario deep dive'!H16</f>
        <v>195641074.52413151</v>
      </c>
      <c r="H8" s="169"/>
      <c r="I8" s="169">
        <f t="shared" si="0"/>
        <v>-88519810.027995616</v>
      </c>
      <c r="J8" s="169">
        <f t="shared" si="0"/>
        <v>-284160884.55212712</v>
      </c>
      <c r="K8" s="172">
        <f t="shared" si="1"/>
        <v>5.0797950967765626</v>
      </c>
      <c r="L8" s="172">
        <f t="shared" si="1"/>
        <v>0</v>
      </c>
    </row>
    <row r="9" spans="2:13" x14ac:dyDescent="0.25">
      <c r="C9" s="169">
        <f>$C$8+E9</f>
        <v>34662218.399999999</v>
      </c>
      <c r="D9" s="170">
        <v>-0.1</v>
      </c>
      <c r="E9" s="171">
        <f>D9*$C$8</f>
        <v>-3851357.6</v>
      </c>
      <c r="F9" s="169"/>
      <c r="G9" s="169">
        <f>'Scenario deep dive'!L16</f>
        <v>185600061.71028784</v>
      </c>
      <c r="H9" s="169"/>
      <c r="I9" s="169">
        <f t="shared" si="0"/>
        <v>-98560822.841839284</v>
      </c>
      <c r="J9" s="169">
        <f t="shared" si="0"/>
        <v>-284160884.55212712</v>
      </c>
      <c r="K9" s="172">
        <f t="shared" si="1"/>
        <v>5.3545350031689791</v>
      </c>
      <c r="L9" s="172">
        <f t="shared" si="1"/>
        <v>0</v>
      </c>
    </row>
    <row r="10" spans="2:13" x14ac:dyDescent="0.25">
      <c r="C10" s="169">
        <f>$C$8+E10</f>
        <v>30810860.800000001</v>
      </c>
      <c r="D10" s="170">
        <v>-0.2</v>
      </c>
      <c r="E10" s="171">
        <f>D10*$C$8</f>
        <v>-7702715.2000000002</v>
      </c>
      <c r="F10" s="169"/>
      <c r="G10" s="169">
        <f>'Scenario deep dive'!P16</f>
        <v>171847214.96344179</v>
      </c>
      <c r="H10" s="169"/>
      <c r="I10" s="169">
        <f t="shared" si="0"/>
        <v>-112313669.58868533</v>
      </c>
      <c r="J10" s="169">
        <f t="shared" si="0"/>
        <v>-284160884.55212712</v>
      </c>
      <c r="K10" s="172">
        <f t="shared" si="1"/>
        <v>5.5774882785307245</v>
      </c>
      <c r="L10" s="172">
        <f t="shared" si="1"/>
        <v>0</v>
      </c>
    </row>
    <row r="11" spans="2:13" x14ac:dyDescent="0.25">
      <c r="D11" s="175"/>
      <c r="E11" s="175"/>
      <c r="F11" s="169"/>
    </row>
    <row r="12" spans="2:13" x14ac:dyDescent="0.25">
      <c r="D12" s="175"/>
      <c r="E12" s="175"/>
    </row>
    <row r="13" spans="2:13" x14ac:dyDescent="0.25">
      <c r="F13" s="554" t="s">
        <v>207</v>
      </c>
      <c r="G13" s="554"/>
      <c r="H13" s="554" t="s">
        <v>208</v>
      </c>
      <c r="I13" s="554"/>
    </row>
    <row r="14" spans="2:13" x14ac:dyDescent="0.25">
      <c r="C14" s="166" t="s">
        <v>204</v>
      </c>
      <c r="D14" s="166" t="s">
        <v>205</v>
      </c>
      <c r="E14" s="97" t="s">
        <v>209</v>
      </c>
      <c r="F14" s="275" t="s">
        <v>248</v>
      </c>
      <c r="G14" s="168"/>
      <c r="H14" s="275" t="s">
        <v>248</v>
      </c>
      <c r="I14" s="168"/>
    </row>
    <row r="15" spans="2:13" x14ac:dyDescent="0.25">
      <c r="C15" s="176">
        <f t="shared" ref="C15:D19" si="2">C6</f>
        <v>46216291.200000003</v>
      </c>
      <c r="D15" s="177">
        <f t="shared" si="2"/>
        <v>0.2</v>
      </c>
      <c r="E15" s="176">
        <f>C15-C16</f>
        <v>3851357.6000000015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2.2334409946494391</v>
      </c>
      <c r="I15" s="172">
        <f t="shared" si="4"/>
        <v>0</v>
      </c>
    </row>
    <row r="16" spans="2:13" x14ac:dyDescent="0.25">
      <c r="C16" s="176">
        <f t="shared" si="2"/>
        <v>42364933.600000001</v>
      </c>
      <c r="D16" s="177">
        <f t="shared" si="2"/>
        <v>0.1</v>
      </c>
      <c r="E16" s="176">
        <f>C16-C17</f>
        <v>3851357.6000000015</v>
      </c>
      <c r="F16" s="178">
        <f>G7-G8</f>
        <v>9208111.0220203698</v>
      </c>
      <c r="G16" s="178">
        <f t="shared" si="3"/>
        <v>0</v>
      </c>
      <c r="H16" s="172">
        <f>F16/$E16</f>
        <v>2.3908740704889015</v>
      </c>
      <c r="I16" s="172">
        <f t="shared" si="4"/>
        <v>0</v>
      </c>
    </row>
    <row r="17" spans="3:9" x14ac:dyDescent="0.25">
      <c r="C17" s="176">
        <f t="shared" si="2"/>
        <v>38513576</v>
      </c>
      <c r="D17" s="177">
        <f t="shared" si="2"/>
        <v>0</v>
      </c>
      <c r="E17" s="176">
        <f>C17-C18</f>
        <v>3851357.6000000015</v>
      </c>
      <c r="F17" s="178">
        <f>G8-G9</f>
        <v>10041012.813843668</v>
      </c>
      <c r="G17" s="178">
        <f t="shared" si="3"/>
        <v>0</v>
      </c>
      <c r="H17" s="172">
        <f>F17/$E17</f>
        <v>2.607135939244817</v>
      </c>
      <c r="I17" s="172">
        <f t="shared" si="4"/>
        <v>0</v>
      </c>
    </row>
    <row r="18" spans="3:9" x14ac:dyDescent="0.25">
      <c r="C18" s="176">
        <f t="shared" si="2"/>
        <v>34662218.399999999</v>
      </c>
      <c r="D18" s="177">
        <f t="shared" si="2"/>
        <v>-0.1</v>
      </c>
      <c r="E18" s="176">
        <f>C18-C19</f>
        <v>3851357.5999999978</v>
      </c>
      <c r="F18" s="178">
        <f t="shared" si="3"/>
        <v>13752846.74684605</v>
      </c>
      <c r="G18" s="178">
        <f t="shared" si="3"/>
        <v>0</v>
      </c>
      <c r="H18" s="172">
        <f t="shared" si="4"/>
        <v>3.570908800275014</v>
      </c>
      <c r="I18" s="172">
        <f t="shared" si="4"/>
        <v>0</v>
      </c>
    </row>
    <row r="19" spans="3:9" x14ac:dyDescent="0.25">
      <c r="C19" s="176">
        <f t="shared" si="2"/>
        <v>30810860.800000001</v>
      </c>
      <c r="D19" s="177">
        <f t="shared" si="2"/>
        <v>-0.2</v>
      </c>
      <c r="E19" s="176"/>
      <c r="F19" s="178"/>
      <c r="G19" s="178"/>
      <c r="H19" s="172"/>
    </row>
    <row r="20" spans="3:9" x14ac:dyDescent="0.25">
      <c r="H20" s="172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  <row r="61" spans="21:22" x14ac:dyDescent="0.25">
      <c r="U61" s="179"/>
      <c r="V61" s="179"/>
    </row>
    <row r="62" spans="21:22" x14ac:dyDescent="0.25">
      <c r="U62" s="179"/>
      <c r="V62" s="179"/>
    </row>
    <row r="63" spans="21:22" x14ac:dyDescent="0.25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59" t="s">
        <v>250</v>
      </c>
      <c r="G4" s="559"/>
      <c r="H4" s="559"/>
      <c r="I4" s="559"/>
      <c r="J4" s="559"/>
      <c r="K4" s="559"/>
      <c r="L4" s="559"/>
      <c r="M4" s="559"/>
      <c r="N4" s="559"/>
      <c r="O4" s="559"/>
      <c r="P4" s="559"/>
    </row>
    <row r="5" spans="1:28" x14ac:dyDescent="0.25">
      <c r="F5" s="555" t="s">
        <v>255</v>
      </c>
      <c r="G5" s="556"/>
      <c r="H5" s="557"/>
      <c r="I5" s="181"/>
      <c r="J5" s="555" t="s">
        <v>256</v>
      </c>
      <c r="K5" s="556"/>
      <c r="L5" s="557"/>
      <c r="M5" s="181"/>
      <c r="N5" s="555" t="s">
        <v>257</v>
      </c>
      <c r="O5" s="556"/>
      <c r="P5" s="557"/>
      <c r="R5" s="555" t="s">
        <v>258</v>
      </c>
      <c r="S5" s="556"/>
      <c r="T5" s="557"/>
      <c r="V5" s="555" t="s">
        <v>259</v>
      </c>
      <c r="W5" s="556"/>
      <c r="X5" s="557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VAC_Optim_Scenario!B19</f>
        <v>HCC In Office</v>
      </c>
      <c r="C7" s="185">
        <f>VAC_Optim_Scenario!E19</f>
        <v>1000000</v>
      </c>
      <c r="D7" s="185">
        <f>VAC_Optim_Scenario!G49</f>
        <v>3608306.5090601984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VAC_Optim_Scenario!$H49</f>
        <v>1280553.8166407023</v>
      </c>
      <c r="AA7" s="177">
        <f>(Z7-$C7)/$C7</f>
        <v>0.28055381664070234</v>
      </c>
      <c r="AB7" s="185">
        <f>VAC_Optim_Scenario!$J49</f>
        <v>4383975.1022611018</v>
      </c>
    </row>
    <row r="8" spans="1:28" x14ac:dyDescent="0.25">
      <c r="A8" s="180"/>
      <c r="B8" s="184" t="str">
        <f>VAC_Optim_Scenario!B20</f>
        <v>HCP MCM</v>
      </c>
      <c r="C8" s="185">
        <f>VAC_Optim_Scenario!E20</f>
        <v>7775778</v>
      </c>
      <c r="D8" s="185">
        <f>VAC_Optim_Scenario!G50</f>
        <v>77322569.320852205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VAC_Optim_Scenario!$H50</f>
        <v>11092068.118553624</v>
      </c>
      <c r="AA8" s="177">
        <f t="shared" ref="AA8:AA15" si="0">(Z8-$C8)/$C8</f>
        <v>0.42648981472382874</v>
      </c>
      <c r="AB8" s="185">
        <f>VAC_Optim_Scenario!$J50</f>
        <v>92129276.914606035</v>
      </c>
    </row>
    <row r="9" spans="1:28" x14ac:dyDescent="0.25">
      <c r="A9" s="180"/>
      <c r="B9" s="184" t="str">
        <f>VAC_Optim_Scenario!B21</f>
        <v>HCC Social</v>
      </c>
      <c r="C9" s="185">
        <f>VAC_Optim_Scenario!E21</f>
        <v>1840000</v>
      </c>
      <c r="D9" s="185">
        <f>VAC_Optim_Scenario!G51</f>
        <v>15925915.704314221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VAC_Optim_Scenario!$H51</f>
        <v>4455047.5305201802</v>
      </c>
      <c r="AA9" s="177">
        <f t="shared" si="0"/>
        <v>1.4212214839783588</v>
      </c>
      <c r="AB9" s="185">
        <f>VAC_Optim_Scenario!$J51</f>
        <v>27072298.129360568</v>
      </c>
    </row>
    <row r="10" spans="1:28" x14ac:dyDescent="0.25">
      <c r="A10" s="180"/>
      <c r="B10" s="184" t="str">
        <f>VAC_Optim_Scenario!B22</f>
        <v>HCC Online Video</v>
      </c>
      <c r="C10" s="185">
        <f>VAC_Optim_Scenario!E22</f>
        <v>1220000</v>
      </c>
      <c r="D10" s="185">
        <f>VAC_Optim_Scenario!G52</f>
        <v>3394246.7935979273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VAC_Optim_Scenario!$H52</f>
        <v>1000000</v>
      </c>
      <c r="AA10" s="177">
        <f t="shared" si="0"/>
        <v>-0.18032786885245902</v>
      </c>
      <c r="AB10" s="185">
        <f>VAC_Optim_Scenario!$J52</f>
        <v>3357832.8692201264</v>
      </c>
    </row>
    <row r="11" spans="1:28" x14ac:dyDescent="0.25">
      <c r="A11" s="180"/>
      <c r="B11" s="184" t="str">
        <f>VAC_Optim_Scenario!B23</f>
        <v>HCC Streaming Video</v>
      </c>
      <c r="C11" s="185">
        <f>VAC_Optim_Scenario!E23</f>
        <v>4817798</v>
      </c>
      <c r="D11" s="185">
        <f>VAC_Optim_Scenario!G53</f>
        <v>27455486.015820313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VAC_Optim_Scenario!$H53</f>
        <v>6494076.6811486697</v>
      </c>
      <c r="AA11" s="177">
        <f t="shared" si="0"/>
        <v>0.3479346126900027</v>
      </c>
      <c r="AB11" s="185">
        <f>VAC_Optim_Scenario!$J53</f>
        <v>33837425.591033712</v>
      </c>
    </row>
    <row r="12" spans="1:28" x14ac:dyDescent="0.25">
      <c r="A12" s="180"/>
      <c r="B12" s="184" t="str">
        <f>VAC_Optim_Scenario!B24</f>
        <v>HCC Display</v>
      </c>
      <c r="C12" s="185">
        <f>VAC_Optim_Scenario!E24</f>
        <v>3540000</v>
      </c>
      <c r="D12" s="185">
        <f>VAC_Optim_Scenario!G54</f>
        <v>39290778.509746693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VAC_Optim_Scenario!$H54</f>
        <v>5202542.954141208</v>
      </c>
      <c r="AA12" s="177">
        <f t="shared" si="0"/>
        <v>0.46964490229977629</v>
      </c>
      <c r="AB12" s="185">
        <f>VAC_Optim_Scenario!$J54</f>
        <v>47244945.61050126</v>
      </c>
    </row>
    <row r="13" spans="1:28" x14ac:dyDescent="0.25">
      <c r="A13" s="180"/>
      <c r="B13" s="184" t="str">
        <f>VAC_Optim_Scenario!B25</f>
        <v>HCC Paid Search</v>
      </c>
      <c r="C13" s="185">
        <f>VAC_Optim_Scenario!E25</f>
        <v>400000</v>
      </c>
      <c r="D13" s="185">
        <f>VAC_Optim_Scenario!G55</f>
        <v>32769965.884320233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VAC_Optim_Scenario!$H55</f>
        <v>400000</v>
      </c>
      <c r="AA13" s="177">
        <f t="shared" si="0"/>
        <v>0</v>
      </c>
      <c r="AB13" s="185">
        <f>VAC_Optim_Scenario!$J55</f>
        <v>32769965.884320233</v>
      </c>
    </row>
    <row r="14" spans="1:28" x14ac:dyDescent="0.25">
      <c r="A14" s="180"/>
      <c r="B14" s="184" t="str">
        <f>VAC_Optim_Scenario!B26</f>
        <v>HCC Audio</v>
      </c>
      <c r="C14" s="185">
        <f>VAC_Optim_Scenario!E26</f>
        <v>2220000</v>
      </c>
      <c r="D14" s="185">
        <f>VAC_Optim_Scenario!G56</f>
        <v>20698391.738152172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VAC_Optim_Scenario!$H56</f>
        <v>4800000</v>
      </c>
      <c r="AA14" s="177">
        <f t="shared" si="0"/>
        <v>1.1621621621621621</v>
      </c>
      <c r="AB14" s="185">
        <f>VAC_Optim_Scenario!$J56</f>
        <v>32875287.531392161</v>
      </c>
    </row>
    <row r="15" spans="1:28" x14ac:dyDescent="0.25">
      <c r="A15" s="180"/>
      <c r="B15" s="184" t="str">
        <f>VAC_Optim_Scenario!B27</f>
        <v>HCC TV</v>
      </c>
      <c r="C15" s="185">
        <f>VAC_Optim_Scenario!E27</f>
        <v>15700000</v>
      </c>
      <c r="D15" s="185">
        <f>VAC_Optim_Scenario!G57</f>
        <v>63695224.07626316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VAC_Optim_Scenario!$H57</f>
        <v>16888801</v>
      </c>
      <c r="AA15" s="177">
        <f t="shared" si="0"/>
        <v>7.5719808917197456E-2</v>
      </c>
      <c r="AB15" s="185">
        <f>VAC_Optim_Scenario!$J57</f>
        <v>67034177.652868718</v>
      </c>
    </row>
    <row r="16" spans="1:28" ht="34.35" customHeight="1" x14ac:dyDescent="0.25">
      <c r="B16" s="187" t="s">
        <v>218</v>
      </c>
      <c r="C16" s="188">
        <f>SUM(C7:C15)</f>
        <v>38513576</v>
      </c>
      <c r="D16" s="188">
        <f>SUM(D7:D15)</f>
        <v>284160884.55212712</v>
      </c>
      <c r="E16" s="179"/>
      <c r="F16" s="188">
        <f>SUM(F7:F15)</f>
        <v>38354764.850000001</v>
      </c>
      <c r="G16" s="189">
        <f>(F16-$C$16)/$C$16</f>
        <v>-4.1235108887317682E-3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-0.10371115994108127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-0.2032988088016531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9.5464137307982422E-2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0.1950517879048467</v>
      </c>
      <c r="X16" s="188">
        <f>SUM(X7:X15)</f>
        <v>213450965.49504656</v>
      </c>
      <c r="Z16" s="188">
        <f>SUM(Z7:Z15)</f>
        <v>51613090.101004384</v>
      </c>
      <c r="AA16" s="189">
        <f>(Z16-$C$16)/$C$16</f>
        <v>0.34012718271095843</v>
      </c>
      <c r="AB16" s="188">
        <f>SUM(AB7:AB15)</f>
        <v>340705185.28556395</v>
      </c>
    </row>
    <row r="17" spans="1:24" x14ac:dyDescent="0.25">
      <c r="D17" s="97">
        <f>D16/C16</f>
        <v>7.3782004701959414</v>
      </c>
    </row>
    <row r="19" spans="1:24" ht="26.85" customHeight="1" x14ac:dyDescent="0.25">
      <c r="F19" s="559" t="str">
        <f>F4</f>
        <v>Optimal channel spend allowed to vary between +/- 30% of the 2021 channel spend</v>
      </c>
      <c r="G19" s="559"/>
      <c r="H19" s="559"/>
      <c r="I19" s="559"/>
      <c r="J19" s="559"/>
      <c r="K19" s="559"/>
      <c r="L19" s="559"/>
      <c r="M19" s="559"/>
      <c r="N19" s="559"/>
      <c r="O19" s="559"/>
      <c r="P19" s="559"/>
    </row>
    <row r="20" spans="1:24" ht="30.4" customHeight="1" x14ac:dyDescent="0.25">
      <c r="C20" s="564" t="s">
        <v>251</v>
      </c>
      <c r="D20" s="565"/>
      <c r="E20" s="190"/>
      <c r="F20" s="555" t="str">
        <f>F5</f>
        <v>Current Optimal ($38MM)</v>
      </c>
      <c r="G20" s="556"/>
      <c r="H20" s="557"/>
      <c r="I20" s="191"/>
      <c r="J20" s="555" t="str">
        <f>J5</f>
        <v>10% reduction optimal ($35M)</v>
      </c>
      <c r="K20" s="556"/>
      <c r="L20" s="557"/>
      <c r="M20" s="191"/>
      <c r="N20" s="555" t="str">
        <f>N5</f>
        <v>20% reduction optimal ($31M)</v>
      </c>
      <c r="O20" s="556"/>
      <c r="P20" s="557"/>
      <c r="R20" s="555" t="str">
        <f>R5</f>
        <v>10% increase optimal ($42M)</v>
      </c>
      <c r="S20" s="556"/>
      <c r="T20" s="557"/>
      <c r="V20" s="555" t="str">
        <f>V5</f>
        <v>20% increase optimal ($46M)</v>
      </c>
      <c r="W20" s="556"/>
      <c r="X20" s="557"/>
    </row>
    <row r="21" spans="1:24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4" x14ac:dyDescent="0.25">
      <c r="A22" s="172">
        <f>D22/C22</f>
        <v>3.6083065090601982</v>
      </c>
      <c r="B22" s="184" t="str">
        <f>B7</f>
        <v>HCC In Office</v>
      </c>
      <c r="C22" s="196">
        <f>C7/1000000</f>
        <v>1</v>
      </c>
      <c r="D22" s="282">
        <f>D7/1000000</f>
        <v>3.6083065090601982</v>
      </c>
      <c r="E22" s="198"/>
      <c r="F22" s="199">
        <f>F7/1000000</f>
        <v>3.081</v>
      </c>
      <c r="G22" s="200">
        <f>G7</f>
        <v>0.3</v>
      </c>
      <c r="H22" s="277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7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7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7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25">
      <c r="A23" s="172">
        <f t="shared" ref="A23:A30" si="1">D23/C23</f>
        <v>9.9440299505531424</v>
      </c>
      <c r="B23" s="184" t="str">
        <f t="shared" ref="B23:B30" si="2">B8</f>
        <v>HCP MCM</v>
      </c>
      <c r="C23" s="202">
        <f t="shared" ref="C23:D23" si="3">C8/1000000</f>
        <v>7.7757779999999999</v>
      </c>
      <c r="D23" s="283">
        <f t="shared" si="3"/>
        <v>77.32256932085221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8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8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8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8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25">
      <c r="A24" s="172">
        <f t="shared" si="1"/>
        <v>8.6553889697359896</v>
      </c>
      <c r="B24" s="184" t="str">
        <f t="shared" si="2"/>
        <v>HCC Social</v>
      </c>
      <c r="C24" s="202">
        <f t="shared" ref="C24:D24" si="19">C9/1000000</f>
        <v>1.84</v>
      </c>
      <c r="D24" s="283">
        <f t="shared" si="19"/>
        <v>15.925915704314221</v>
      </c>
      <c r="E24" s="198"/>
      <c r="F24" s="204">
        <f t="shared" si="4"/>
        <v>2.9380000000000002</v>
      </c>
      <c r="G24" s="205">
        <f t="shared" si="5"/>
        <v>0.3</v>
      </c>
      <c r="H24" s="278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8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8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8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25">
      <c r="A25" s="172">
        <f t="shared" si="1"/>
        <v>2.7821695029491207</v>
      </c>
      <c r="B25" s="184" t="str">
        <f t="shared" si="2"/>
        <v>HCC Online Video</v>
      </c>
      <c r="C25" s="202">
        <f t="shared" ref="C25:D25" si="20">C10/1000000</f>
        <v>1.22</v>
      </c>
      <c r="D25" s="283">
        <f t="shared" si="20"/>
        <v>3.3942467935979272</v>
      </c>
      <c r="E25" s="198"/>
      <c r="F25" s="204">
        <f t="shared" si="4"/>
        <v>0.69299999999999995</v>
      </c>
      <c r="G25" s="205">
        <f t="shared" si="5"/>
        <v>-0.3</v>
      </c>
      <c r="H25" s="278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8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8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8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25">
      <c r="A26" s="172">
        <f t="shared" si="1"/>
        <v>5.6987623839397816</v>
      </c>
      <c r="B26" s="184" t="str">
        <f t="shared" si="2"/>
        <v>HCC Streaming Video</v>
      </c>
      <c r="C26" s="202">
        <f t="shared" ref="C26:D26" si="21">C11/1000000</f>
        <v>4.8177979999999998</v>
      </c>
      <c r="D26" s="283">
        <f t="shared" si="21"/>
        <v>27.455486015820313</v>
      </c>
      <c r="E26" s="198"/>
      <c r="F26" s="204">
        <f t="shared" si="4"/>
        <v>3.9416439999999997</v>
      </c>
      <c r="G26" s="205">
        <f t="shared" si="5"/>
        <v>-0.3000000000000001</v>
      </c>
      <c r="H26" s="278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8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8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8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25">
      <c r="A27" s="172">
        <f t="shared" si="1"/>
        <v>11.099089974504716</v>
      </c>
      <c r="B27" s="184" t="str">
        <f t="shared" si="2"/>
        <v>HCC Display</v>
      </c>
      <c r="C27" s="202">
        <f t="shared" ref="C27:D27" si="22">C12/1000000</f>
        <v>3.54</v>
      </c>
      <c r="D27" s="283">
        <f t="shared" si="22"/>
        <v>39.290778509746694</v>
      </c>
      <c r="E27" s="198"/>
      <c r="F27" s="204">
        <f t="shared" si="4"/>
        <v>1.9214</v>
      </c>
      <c r="G27" s="205">
        <f t="shared" si="5"/>
        <v>0.3</v>
      </c>
      <c r="H27" s="278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8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8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8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25">
      <c r="A28" s="172">
        <f t="shared" si="1"/>
        <v>81.924914710800579</v>
      </c>
      <c r="B28" s="184" t="str">
        <f t="shared" si="2"/>
        <v>HCC Paid Search</v>
      </c>
      <c r="C28" s="202">
        <f t="shared" ref="C28:D28" si="23">C13/1000000</f>
        <v>0.4</v>
      </c>
      <c r="D28" s="283">
        <f t="shared" si="23"/>
        <v>32.769965884320236</v>
      </c>
      <c r="E28" s="198"/>
      <c r="F28" s="204">
        <f t="shared" si="4"/>
        <v>1.232</v>
      </c>
      <c r="G28" s="205">
        <f t="shared" si="5"/>
        <v>-0.3</v>
      </c>
      <c r="H28" s="278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8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8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8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25">
      <c r="A29" s="172">
        <f t="shared" si="1"/>
        <v>9.3235998820505266</v>
      </c>
      <c r="B29" s="184" t="str">
        <f t="shared" si="2"/>
        <v>HCC Audio</v>
      </c>
      <c r="C29" s="202">
        <f t="shared" ref="C29:D29" si="24">C14/1000000</f>
        <v>2.2200000000000002</v>
      </c>
      <c r="D29" s="283">
        <f t="shared" si="24"/>
        <v>20.698391738152171</v>
      </c>
      <c r="E29" s="198"/>
      <c r="F29" s="204">
        <f t="shared" si="4"/>
        <v>1.5996708943365674</v>
      </c>
      <c r="G29" s="205">
        <f t="shared" si="5"/>
        <v>0.22552253957265472</v>
      </c>
      <c r="H29" s="278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8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8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8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25">
      <c r="A30" s="172">
        <f t="shared" si="1"/>
        <v>4.0570206418002011</v>
      </c>
      <c r="B30" s="184" t="str">
        <f t="shared" si="2"/>
        <v>HCC TV</v>
      </c>
      <c r="C30" s="202">
        <f t="shared" ref="C30:D30" si="25">C15/1000000</f>
        <v>15.7</v>
      </c>
      <c r="D30" s="283">
        <f t="shared" si="25"/>
        <v>63.695224076263159</v>
      </c>
      <c r="E30" s="198"/>
      <c r="F30" s="204">
        <f t="shared" si="4"/>
        <v>15.034299955663437</v>
      </c>
      <c r="G30" s="205">
        <f t="shared" si="5"/>
        <v>-8.7339507991325518E-2</v>
      </c>
      <c r="H30" s="278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8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8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8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65" customHeight="1" x14ac:dyDescent="0.25">
      <c r="B31" s="207" t="s">
        <v>218</v>
      </c>
      <c r="C31" s="208">
        <f>C16/1000000</f>
        <v>38.513576</v>
      </c>
      <c r="D31" s="284">
        <f>D16/1000000</f>
        <v>284.16088455212713</v>
      </c>
      <c r="E31" s="210"/>
      <c r="F31" s="211">
        <f>F16/1000000</f>
        <v>38.354764850000002</v>
      </c>
      <c r="G31" s="212">
        <f>G16</f>
        <v>-4.1235108887317682E-3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-0.10371115994108127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-0.2032988088016531</v>
      </c>
      <c r="P31" s="216">
        <f>P16/1000000</f>
        <v>171.84721496344179</v>
      </c>
      <c r="R31" s="211">
        <f>R16/1000000</f>
        <v>42.190241307485415</v>
      </c>
      <c r="S31" s="212">
        <f>S16</f>
        <v>9.5464137307982422E-2</v>
      </c>
      <c r="T31" s="216">
        <f>T16/1000000</f>
        <v>204.84918554615189</v>
      </c>
      <c r="V31" s="211">
        <f>V16/1000000</f>
        <v>46.025717857409191</v>
      </c>
      <c r="W31" s="212">
        <f>W16</f>
        <v>0.1950517879048467</v>
      </c>
      <c r="X31" s="213">
        <f>X16/1000000</f>
        <v>213.45096549504655</v>
      </c>
    </row>
    <row r="32" spans="1:24" ht="45" x14ac:dyDescent="0.25">
      <c r="B32" s="279" t="s">
        <v>252</v>
      </c>
      <c r="C32" s="208"/>
      <c r="D32" s="209"/>
      <c r="E32" s="210"/>
      <c r="F32" s="211"/>
      <c r="G32" s="212"/>
      <c r="H32" s="281" t="s">
        <v>260</v>
      </c>
      <c r="I32" s="210"/>
      <c r="J32" s="211"/>
      <c r="K32" s="212"/>
      <c r="L32" s="281" t="s">
        <v>261</v>
      </c>
      <c r="M32" s="210"/>
      <c r="N32" s="211"/>
      <c r="O32" s="212"/>
      <c r="P32" s="215" t="s">
        <v>262</v>
      </c>
      <c r="R32" s="211"/>
      <c r="S32" s="212"/>
      <c r="T32" s="281" t="s">
        <v>263</v>
      </c>
      <c r="V32" s="211"/>
      <c r="W32" s="212"/>
      <c r="X32" s="281" t="s">
        <v>264</v>
      </c>
    </row>
    <row r="33" spans="2:24" x14ac:dyDescent="0.25">
      <c r="H33" s="216">
        <f>(H31-$D$31)</f>
        <v>-88.519810027995618</v>
      </c>
      <c r="L33" s="216">
        <f>(L31-$D$31)</f>
        <v>-98.560822841839297</v>
      </c>
      <c r="P33" s="216">
        <f>(P31-$D$31)</f>
        <v>-112.31366958868534</v>
      </c>
      <c r="T33" s="216">
        <f>(T31-$D$31)</f>
        <v>-79.311699005975242</v>
      </c>
      <c r="X33" s="216">
        <f>(X31-$D$31)</f>
        <v>-70.709919057080583</v>
      </c>
    </row>
    <row r="34" spans="2:24" x14ac:dyDescent="0.25">
      <c r="H34" s="280">
        <f>H33/$D$31</f>
        <v>-0.31151300140240568</v>
      </c>
      <c r="L34" s="280">
        <f>L33/$D$31</f>
        <v>-0.34684866285232535</v>
      </c>
      <c r="P34" s="280">
        <f>P33/$D$31</f>
        <v>-0.39524676228998107</v>
      </c>
      <c r="T34" s="280">
        <f>T33/$D$31</f>
        <v>-0.27910843229172916</v>
      </c>
      <c r="X34" s="280">
        <f>X33/$D$31</f>
        <v>-0.24883762298434636</v>
      </c>
    </row>
    <row r="36" spans="2:24" x14ac:dyDescent="0.25">
      <c r="B36" s="560" t="s">
        <v>254</v>
      </c>
      <c r="C36" s="560"/>
      <c r="D36" s="560"/>
      <c r="E36" s="560"/>
      <c r="F36" s="560"/>
      <c r="G36" s="560"/>
      <c r="H36" s="560"/>
      <c r="I36" s="560"/>
      <c r="J36" s="560"/>
      <c r="K36" s="560"/>
      <c r="L36" s="560"/>
      <c r="M36" s="560"/>
      <c r="N36" s="560"/>
      <c r="O36" s="560"/>
      <c r="P36" s="560"/>
      <c r="Q36" s="560"/>
      <c r="R36" s="560"/>
      <c r="S36" s="560"/>
      <c r="T36" s="560"/>
    </row>
    <row r="37" spans="2:24" x14ac:dyDescent="0.25">
      <c r="B37" s="560"/>
      <c r="C37" s="560"/>
      <c r="D37" s="560"/>
      <c r="E37" s="560"/>
      <c r="F37" s="560"/>
      <c r="G37" s="560"/>
      <c r="H37" s="560"/>
      <c r="I37" s="560"/>
      <c r="J37" s="560"/>
      <c r="K37" s="560"/>
      <c r="L37" s="560"/>
      <c r="M37" s="560"/>
      <c r="N37" s="560"/>
      <c r="O37" s="560"/>
      <c r="P37" s="560"/>
      <c r="Q37" s="560"/>
      <c r="R37" s="560"/>
      <c r="S37" s="560"/>
      <c r="T37" s="560"/>
    </row>
    <row r="39" spans="2:24" x14ac:dyDescent="0.25">
      <c r="F39" s="555" t="s">
        <v>243</v>
      </c>
      <c r="G39" s="556"/>
      <c r="H39" s="557"/>
      <c r="I39" s="181"/>
      <c r="J39" s="555" t="s">
        <v>210</v>
      </c>
      <c r="K39" s="556"/>
      <c r="L39" s="557"/>
      <c r="M39" s="181"/>
      <c r="N39" s="555" t="s">
        <v>211</v>
      </c>
      <c r="O39" s="556"/>
      <c r="P39" s="557"/>
      <c r="R39" s="561"/>
      <c r="S39" s="562"/>
      <c r="T39" s="563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58" t="str">
        <f>B36</f>
        <v>Optimal Channel Spend  allowed to vary between  of the 2021 spend</v>
      </c>
      <c r="G53" s="558"/>
      <c r="H53" s="558"/>
      <c r="I53" s="558"/>
      <c r="J53" s="558"/>
      <c r="K53" s="558"/>
      <c r="L53" s="558"/>
      <c r="M53" s="558"/>
      <c r="N53" s="558"/>
      <c r="O53" s="558"/>
      <c r="P53" s="558"/>
    </row>
    <row r="54" spans="2:20" x14ac:dyDescent="0.25">
      <c r="C54" s="564" t="s">
        <v>244</v>
      </c>
      <c r="D54" s="565"/>
      <c r="E54" s="190"/>
      <c r="F54" s="555" t="str">
        <f>F39</f>
        <v>Current Optimal ($MM)</v>
      </c>
      <c r="G54" s="556"/>
      <c r="H54" s="557"/>
      <c r="I54" s="191"/>
      <c r="J54" s="555" t="str">
        <f>J39</f>
        <v>10% reduction optimal ($)</v>
      </c>
      <c r="K54" s="556"/>
      <c r="L54" s="557"/>
      <c r="M54" s="191"/>
      <c r="N54" s="555" t="str">
        <f>N39</f>
        <v>20% reduction optimal ()</v>
      </c>
      <c r="O54" s="556"/>
      <c r="P54" s="557"/>
      <c r="R54" s="566"/>
      <c r="S54" s="567"/>
      <c r="T54" s="568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25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25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25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25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25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25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25">
      <c r="B63" s="186" t="s">
        <v>217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25">
      <c r="B64" s="207" t="s">
        <v>218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C54:D54"/>
    <mergeCell ref="F54:H54"/>
    <mergeCell ref="J54:L54"/>
    <mergeCell ref="N54:P54"/>
    <mergeCell ref="R54:T54"/>
    <mergeCell ref="F4:P4"/>
    <mergeCell ref="B36:T37"/>
    <mergeCell ref="F39:H39"/>
    <mergeCell ref="J39:L39"/>
    <mergeCell ref="N39:P39"/>
    <mergeCell ref="R39:T39"/>
    <mergeCell ref="C20:D20"/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</mergeCells>
  <conditionalFormatting sqref="G22:G30">
    <cfRule type="cellIs" dxfId="87" priority="17" operator="lessThan">
      <formula>0</formula>
    </cfRule>
    <cfRule type="cellIs" dxfId="86" priority="18" operator="greaterThan">
      <formula>0</formula>
    </cfRule>
  </conditionalFormatting>
  <conditionalFormatting sqref="K22:K30">
    <cfRule type="cellIs" dxfId="85" priority="15" operator="lessThan">
      <formula>0</formula>
    </cfRule>
    <cfRule type="cellIs" dxfId="84" priority="16" operator="greaterThan">
      <formula>0</formula>
    </cfRule>
  </conditionalFormatting>
  <conditionalFormatting sqref="O22:O30">
    <cfRule type="cellIs" dxfId="83" priority="13" operator="lessThan">
      <formula>0</formula>
    </cfRule>
    <cfRule type="cellIs" dxfId="82" priority="14" operator="greaterThan">
      <formula>0</formula>
    </cfRule>
  </conditionalFormatting>
  <conditionalFormatting sqref="S22:S30">
    <cfRule type="cellIs" dxfId="81" priority="11" operator="lessThan">
      <formula>0</formula>
    </cfRule>
    <cfRule type="cellIs" dxfId="80" priority="12" operator="greaterThan">
      <formula>0</formula>
    </cfRule>
  </conditionalFormatting>
  <conditionalFormatting sqref="G56:G63">
    <cfRule type="cellIs" dxfId="79" priority="9" operator="lessThan">
      <formula>0</formula>
    </cfRule>
    <cfRule type="cellIs" dxfId="78" priority="10" operator="greaterThan">
      <formula>0</formula>
    </cfRule>
  </conditionalFormatting>
  <conditionalFormatting sqref="K56:K63">
    <cfRule type="cellIs" dxfId="77" priority="7" operator="lessThan">
      <formula>0</formula>
    </cfRule>
    <cfRule type="cellIs" dxfId="76" priority="8" operator="greaterThan">
      <formula>0</formula>
    </cfRule>
  </conditionalFormatting>
  <conditionalFormatting sqref="O56:O63">
    <cfRule type="cellIs" dxfId="75" priority="5" operator="lessThan">
      <formula>0</formula>
    </cfRule>
    <cfRule type="cellIs" dxfId="74" priority="6" operator="greaterThan">
      <formula>0</formula>
    </cfRule>
  </conditionalFormatting>
  <conditionalFormatting sqref="S56:S63">
    <cfRule type="cellIs" dxfId="73" priority="3" operator="lessThan">
      <formula>0</formula>
    </cfRule>
    <cfRule type="cellIs" dxfId="72" priority="4" operator="greaterThan">
      <formula>0</formula>
    </cfRule>
  </conditionalFormatting>
  <conditionalFormatting sqref="W22:W30">
    <cfRule type="cellIs" dxfId="71" priority="1" operator="lessThan">
      <formula>0</formula>
    </cfRule>
    <cfRule type="cellIs" dxfId="7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10204392</v>
      </c>
      <c r="C3" s="180">
        <f>SUM(D9:D13)</f>
        <v>50133606.969785728</v>
      </c>
    </row>
    <row r="4" spans="1:28" x14ac:dyDescent="0.25">
      <c r="F4" s="559" t="s">
        <v>250</v>
      </c>
      <c r="G4" s="559"/>
      <c r="H4" s="559"/>
      <c r="I4" s="559"/>
      <c r="J4" s="559"/>
      <c r="K4" s="559"/>
      <c r="L4" s="559"/>
      <c r="M4" s="559"/>
      <c r="N4" s="559"/>
      <c r="O4" s="559"/>
      <c r="P4" s="559"/>
    </row>
    <row r="5" spans="1:28" x14ac:dyDescent="0.25">
      <c r="F5" s="555" t="s">
        <v>272</v>
      </c>
      <c r="G5" s="556"/>
      <c r="H5" s="557"/>
      <c r="I5" s="181"/>
      <c r="J5" s="555" t="s">
        <v>278</v>
      </c>
      <c r="K5" s="556"/>
      <c r="L5" s="557"/>
      <c r="M5" s="181"/>
      <c r="N5" s="555" t="s">
        <v>279</v>
      </c>
      <c r="O5" s="556"/>
      <c r="P5" s="557"/>
      <c r="R5" s="555" t="s">
        <v>280</v>
      </c>
      <c r="S5" s="556"/>
      <c r="T5" s="557"/>
      <c r="V5" s="555" t="s">
        <v>281</v>
      </c>
      <c r="W5" s="556"/>
      <c r="X5" s="557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VAC_Optim_Scenario!B19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VAC_Optim_Scenario!$H49</f>
        <v>1280553.8166407023</v>
      </c>
      <c r="AA7" s="177">
        <f>(Z7-$C7)/$C7</f>
        <v>-0.246733049034881</v>
      </c>
      <c r="AB7" s="185">
        <f>VAC_Optim_Scenario!$J49</f>
        <v>4383975.1022611018</v>
      </c>
    </row>
    <row r="8" spans="1:28" x14ac:dyDescent="0.25">
      <c r="A8" s="180"/>
      <c r="B8" s="184" t="str">
        <f>VAC_Optim_Scenario!B20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VAC_Optim_Scenario!$H50</f>
        <v>11092068.118553624</v>
      </c>
      <c r="AA8" s="177">
        <f t="shared" ref="AA8:AA15" si="0">(Z8-$C8)/$C8</f>
        <v>0.9311106984396651</v>
      </c>
      <c r="AB8" s="185">
        <f>VAC_Optim_Scenario!$J50</f>
        <v>92129276.914606035</v>
      </c>
    </row>
    <row r="9" spans="1:28" x14ac:dyDescent="0.25">
      <c r="A9" s="180"/>
      <c r="B9" s="184" t="str">
        <f>VAC_Optim_Scenario!B21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VAC_Optim_Scenario!$H51</f>
        <v>4455047.5305201802</v>
      </c>
      <c r="AA9" s="177">
        <f t="shared" si="0"/>
        <v>1.6206161944236355</v>
      </c>
      <c r="AB9" s="185">
        <f>VAC_Optim_Scenario!$J51</f>
        <v>27072298.129360568</v>
      </c>
    </row>
    <row r="10" spans="1:28" x14ac:dyDescent="0.25">
      <c r="A10" s="180"/>
      <c r="B10" s="184" t="str">
        <f>VAC_Optim_Scenario!B22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VAC_Optim_Scenario!$H52</f>
        <v>1000000</v>
      </c>
      <c r="AA10" s="177">
        <f t="shared" si="0"/>
        <v>1</v>
      </c>
      <c r="AB10" s="185">
        <f>VAC_Optim_Scenario!$J52</f>
        <v>3357832.8692201264</v>
      </c>
    </row>
    <row r="11" spans="1:28" x14ac:dyDescent="0.25">
      <c r="A11" s="180"/>
      <c r="B11" s="184" t="str">
        <f>VAC_Optim_Scenario!B23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VAC_Optim_Scenario!$H53</f>
        <v>6494076.6811486697</v>
      </c>
      <c r="AA11" s="177">
        <f t="shared" si="0"/>
        <v>6.6369061335147542E-2</v>
      </c>
      <c r="AB11" s="185">
        <f>VAC_Optim_Scenario!$J53</f>
        <v>33837425.591033712</v>
      </c>
    </row>
    <row r="12" spans="1:28" x14ac:dyDescent="0.25">
      <c r="A12" s="180"/>
      <c r="B12" s="184" t="str">
        <f>VAC_Optim_Scenario!B24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VAC_Optim_Scenario!$H54</f>
        <v>5202542.954141208</v>
      </c>
      <c r="AA12" s="177">
        <f t="shared" si="0"/>
        <v>2.9578233438072141</v>
      </c>
      <c r="AB12" s="185">
        <f>VAC_Optim_Scenario!$J54</f>
        <v>47244945.61050126</v>
      </c>
    </row>
    <row r="13" spans="1:28" x14ac:dyDescent="0.25">
      <c r="A13" s="180"/>
      <c r="B13" s="184" t="str">
        <f>VAC_Optim_Scenario!B25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VAC_Optim_Scenario!$H55</f>
        <v>400000</v>
      </c>
      <c r="AA13" s="177">
        <f t="shared" si="0"/>
        <v>-0.33333333333333331</v>
      </c>
      <c r="AB13" s="185">
        <f>VAC_Optim_Scenario!$J55</f>
        <v>32769965.884320233</v>
      </c>
    </row>
    <row r="14" spans="1:28" x14ac:dyDescent="0.25">
      <c r="A14" s="180"/>
      <c r="B14" s="184" t="str">
        <f>VAC_Optim_Scenario!B26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VAC_Optim_Scenario!$H56</f>
        <v>4800000</v>
      </c>
      <c r="AA14" s="177">
        <f t="shared" si="0"/>
        <v>2.2000000000000002</v>
      </c>
      <c r="AB14" s="185">
        <f>VAC_Optim_Scenario!$J56</f>
        <v>32875287.531392161</v>
      </c>
    </row>
    <row r="15" spans="1:28" x14ac:dyDescent="0.25">
      <c r="A15" s="180"/>
      <c r="B15" s="184" t="str">
        <f>VAC_Optim_Scenario!B27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VAC_Optim_Scenario!$H57</f>
        <v>16888801</v>
      </c>
      <c r="AA15" s="177">
        <f t="shared" si="0"/>
        <v>0.10850851647677615</v>
      </c>
      <c r="AB15" s="185">
        <f>VAC_Optim_Scenario!$J57</f>
        <v>67034177.652868718</v>
      </c>
    </row>
    <row r="16" spans="1:28" ht="34.35" customHeight="1" x14ac:dyDescent="0.25">
      <c r="B16" s="187" t="s">
        <v>218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51613090.101004384</v>
      </c>
      <c r="AA16" s="189">
        <f>(Z16-$C$16)/$C$16</f>
        <v>0.50108394983990112</v>
      </c>
      <c r="AB16" s="188">
        <f>SUM(AB7:AB15)</f>
        <v>340705185.28556395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559" t="str">
        <f>F4</f>
        <v>Optimal channel spend allowed to vary between +/- 30% of the 2021 channel spend</v>
      </c>
      <c r="G19" s="559"/>
      <c r="H19" s="559"/>
      <c r="I19" s="559"/>
      <c r="J19" s="559"/>
      <c r="K19" s="559"/>
      <c r="L19" s="559"/>
      <c r="M19" s="559"/>
      <c r="N19" s="559"/>
      <c r="O19" s="559"/>
      <c r="P19" s="559"/>
    </row>
    <row r="20" spans="1:28" ht="30.4" customHeight="1" x14ac:dyDescent="0.25">
      <c r="C20" s="564" t="s">
        <v>269</v>
      </c>
      <c r="D20" s="565"/>
      <c r="E20" s="190"/>
      <c r="F20" s="555" t="str">
        <f>F5</f>
        <v>Current Optimal ($34MM)</v>
      </c>
      <c r="G20" s="556"/>
      <c r="H20" s="557"/>
      <c r="I20" s="191"/>
      <c r="J20" s="555" t="str">
        <f>J5</f>
        <v>3% reduction optimal ($33M)</v>
      </c>
      <c r="K20" s="556"/>
      <c r="L20" s="557"/>
      <c r="M20" s="191"/>
      <c r="N20" s="555" t="str">
        <f>N5</f>
        <v>7% reduction optimal ($32M)</v>
      </c>
      <c r="O20" s="556"/>
      <c r="P20" s="557"/>
      <c r="R20" s="555" t="str">
        <f>R5</f>
        <v>5% increase optimal ($36M)</v>
      </c>
      <c r="S20" s="556"/>
      <c r="T20" s="557"/>
      <c r="V20" s="555" t="str">
        <f>V5</f>
        <v>10% increase optimal ($38M)</v>
      </c>
      <c r="W20" s="556"/>
      <c r="X20" s="557"/>
    </row>
    <row r="21" spans="1:28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8" x14ac:dyDescent="0.25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2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7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7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7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7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25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3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8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8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8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8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3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8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8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8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8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25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3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8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8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8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8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25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3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8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8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8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8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25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3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8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8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8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8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25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3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8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8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8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8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25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3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8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8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8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8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25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3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8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8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8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8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65" customHeight="1" x14ac:dyDescent="0.25">
      <c r="B31" s="207" t="s">
        <v>218</v>
      </c>
      <c r="C31" s="208">
        <f>C16/1000000</f>
        <v>34.383879799999995</v>
      </c>
      <c r="D31" s="284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5" x14ac:dyDescent="0.25">
      <c r="B32" s="279" t="s">
        <v>268</v>
      </c>
      <c r="C32" s="208"/>
      <c r="D32" s="209"/>
      <c r="E32" s="210"/>
      <c r="F32" s="211"/>
      <c r="G32" s="212"/>
      <c r="H32" s="281" t="s">
        <v>273</v>
      </c>
      <c r="I32" s="210"/>
      <c r="J32" s="211"/>
      <c r="K32" s="212"/>
      <c r="L32" s="215" t="s">
        <v>274</v>
      </c>
      <c r="M32" s="210"/>
      <c r="N32" s="211"/>
      <c r="O32" s="212"/>
      <c r="P32" s="215" t="s">
        <v>275</v>
      </c>
      <c r="R32" s="211"/>
      <c r="S32" s="212"/>
      <c r="T32" s="281" t="s">
        <v>276</v>
      </c>
      <c r="V32" s="211"/>
      <c r="W32" s="212"/>
      <c r="X32" s="281" t="s">
        <v>277</v>
      </c>
    </row>
    <row r="33" spans="2:24" x14ac:dyDescent="0.25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25">
      <c r="H34" s="280">
        <f>H33/$D$31</f>
        <v>1.010961034945008E-2</v>
      </c>
      <c r="L34" s="280">
        <f>L33/$D$31</f>
        <v>-2.5436436099334714E-2</v>
      </c>
      <c r="P34" s="280">
        <f>P33/$D$31</f>
        <v>-7.9803790183362186E-2</v>
      </c>
      <c r="T34" s="280">
        <f>T33/$D$31</f>
        <v>6.3913368952552674E-2</v>
      </c>
      <c r="X34" s="280">
        <f>X33/$D$31</f>
        <v>0.10291417534329195</v>
      </c>
    </row>
    <row r="36" spans="2:24" x14ac:dyDescent="0.25">
      <c r="B36" s="560" t="s">
        <v>254</v>
      </c>
      <c r="C36" s="560"/>
      <c r="D36" s="560"/>
      <c r="E36" s="560"/>
      <c r="F36" s="560"/>
      <c r="G36" s="560"/>
      <c r="H36" s="560"/>
      <c r="I36" s="560"/>
      <c r="J36" s="560"/>
      <c r="K36" s="560"/>
      <c r="L36" s="560"/>
      <c r="M36" s="560"/>
      <c r="N36" s="560"/>
      <c r="O36" s="560"/>
      <c r="P36" s="560"/>
      <c r="Q36" s="560"/>
      <c r="R36" s="560"/>
      <c r="S36" s="560"/>
      <c r="T36" s="560"/>
    </row>
    <row r="37" spans="2:24" x14ac:dyDescent="0.25">
      <c r="B37" s="560"/>
      <c r="C37" s="560"/>
      <c r="D37" s="560"/>
      <c r="E37" s="560"/>
      <c r="F37" s="560"/>
      <c r="G37" s="560"/>
      <c r="H37" s="560"/>
      <c r="I37" s="560"/>
      <c r="J37" s="560"/>
      <c r="K37" s="560"/>
      <c r="L37" s="560"/>
      <c r="M37" s="560"/>
      <c r="N37" s="560"/>
      <c r="O37" s="560"/>
      <c r="P37" s="560"/>
      <c r="Q37" s="560"/>
      <c r="R37" s="560"/>
      <c r="S37" s="560"/>
      <c r="T37" s="560"/>
    </row>
    <row r="39" spans="2:24" x14ac:dyDescent="0.25">
      <c r="F39" s="555" t="s">
        <v>243</v>
      </c>
      <c r="G39" s="556"/>
      <c r="H39" s="557"/>
      <c r="I39" s="181"/>
      <c r="J39" s="555" t="s">
        <v>210</v>
      </c>
      <c r="K39" s="556"/>
      <c r="L39" s="557"/>
      <c r="M39" s="181"/>
      <c r="N39" s="555" t="s">
        <v>211</v>
      </c>
      <c r="O39" s="556"/>
      <c r="P39" s="557"/>
      <c r="R39" s="561"/>
      <c r="S39" s="562"/>
      <c r="T39" s="563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58" t="str">
        <f>B36</f>
        <v>Optimal Channel Spend  allowed to vary between  of the 2021 spend</v>
      </c>
      <c r="G53" s="558"/>
      <c r="H53" s="558"/>
      <c r="I53" s="558"/>
      <c r="J53" s="558"/>
      <c r="K53" s="558"/>
      <c r="L53" s="558"/>
      <c r="M53" s="558"/>
      <c r="N53" s="558"/>
      <c r="O53" s="558"/>
      <c r="P53" s="558"/>
    </row>
    <row r="54" spans="2:20" x14ac:dyDescent="0.25">
      <c r="C54" s="564" t="s">
        <v>244</v>
      </c>
      <c r="D54" s="565"/>
      <c r="E54" s="190"/>
      <c r="F54" s="555" t="str">
        <f>F39</f>
        <v>Current Optimal ($MM)</v>
      </c>
      <c r="G54" s="556"/>
      <c r="H54" s="557"/>
      <c r="I54" s="191"/>
      <c r="J54" s="555" t="str">
        <f>J39</f>
        <v>10% reduction optimal ($)</v>
      </c>
      <c r="K54" s="556"/>
      <c r="L54" s="557"/>
      <c r="M54" s="191"/>
      <c r="N54" s="555" t="str">
        <f>N39</f>
        <v>20% reduction optimal ()</v>
      </c>
      <c r="O54" s="556"/>
      <c r="P54" s="557"/>
      <c r="R54" s="566"/>
      <c r="S54" s="567"/>
      <c r="T54" s="568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25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25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25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25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25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25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25">
      <c r="B63" s="186" t="s">
        <v>217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25">
      <c r="B64" s="207" t="s">
        <v>218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324"/>
      <c r="J67" s="324"/>
      <c r="K67" s="324"/>
      <c r="L67" s="177" t="e">
        <f>L66/$D$64</f>
        <v>#DIV/0!</v>
      </c>
      <c r="M67" s="324"/>
      <c r="N67" s="324"/>
      <c r="O67" s="324"/>
      <c r="P67" s="177" t="e">
        <f>P66/$D$64</f>
        <v>#DIV/0!</v>
      </c>
      <c r="Q67" s="324"/>
      <c r="R67" s="324"/>
      <c r="S67" s="324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69" priority="17" operator="lessThan">
      <formula>0</formula>
    </cfRule>
    <cfRule type="cellIs" dxfId="68" priority="18" operator="greaterThan">
      <formula>0</formula>
    </cfRule>
  </conditionalFormatting>
  <conditionalFormatting sqref="K22:K30">
    <cfRule type="cellIs" dxfId="67" priority="15" operator="lessThan">
      <formula>0</formula>
    </cfRule>
    <cfRule type="cellIs" dxfId="66" priority="16" operator="greaterThan">
      <formula>0</formula>
    </cfRule>
  </conditionalFormatting>
  <conditionalFormatting sqref="O22:O30">
    <cfRule type="cellIs" dxfId="65" priority="13" operator="lessThan">
      <formula>0</formula>
    </cfRule>
    <cfRule type="cellIs" dxfId="64" priority="14" operator="greaterThan">
      <formula>0</formula>
    </cfRule>
  </conditionalFormatting>
  <conditionalFormatting sqref="S22:S30">
    <cfRule type="cellIs" dxfId="63" priority="11" operator="lessThan">
      <formula>0</formula>
    </cfRule>
    <cfRule type="cellIs" dxfId="62" priority="12" operator="greaterThan">
      <formula>0</formula>
    </cfRule>
  </conditionalFormatting>
  <conditionalFormatting sqref="G56:G63">
    <cfRule type="cellIs" dxfId="61" priority="9" operator="lessThan">
      <formula>0</formula>
    </cfRule>
    <cfRule type="cellIs" dxfId="60" priority="10" operator="greaterThan">
      <formula>0</formula>
    </cfRule>
  </conditionalFormatting>
  <conditionalFormatting sqref="K56:K63">
    <cfRule type="cellIs" dxfId="59" priority="7" operator="lessThan">
      <formula>0</formula>
    </cfRule>
    <cfRule type="cellIs" dxfId="58" priority="8" operator="greaterThan">
      <formula>0</formula>
    </cfRule>
  </conditionalFormatting>
  <conditionalFormatting sqref="O56:O63">
    <cfRule type="cellIs" dxfId="57" priority="5" operator="lessThan">
      <formula>0</formula>
    </cfRule>
    <cfRule type="cellIs" dxfId="56" priority="6" operator="greaterThan">
      <formula>0</formula>
    </cfRule>
  </conditionalFormatting>
  <conditionalFormatting sqref="S56:S63">
    <cfRule type="cellIs" dxfId="55" priority="3" operator="lessThan">
      <formula>0</formula>
    </cfRule>
    <cfRule type="cellIs" dxfId="54" priority="4" operator="greaterThan">
      <formula>0</formula>
    </cfRule>
  </conditionalFormatting>
  <conditionalFormatting sqref="W22:W30">
    <cfRule type="cellIs" dxfId="53" priority="1" operator="lessThan">
      <formula>0</formula>
    </cfRule>
    <cfRule type="cellIs" dxfId="5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569" t="s">
        <v>2</v>
      </c>
      <c r="C3" s="571" t="s">
        <v>3</v>
      </c>
      <c r="D3" s="572" t="s">
        <v>233</v>
      </c>
      <c r="E3" s="573"/>
      <c r="F3" s="572" t="s">
        <v>234</v>
      </c>
      <c r="G3" s="573"/>
      <c r="H3" s="572" t="s">
        <v>235</v>
      </c>
      <c r="I3" s="573"/>
      <c r="K3" s="569" t="s">
        <v>2</v>
      </c>
      <c r="L3" s="571" t="s">
        <v>3</v>
      </c>
      <c r="M3" s="572" t="s">
        <v>233</v>
      </c>
      <c r="N3" s="573"/>
      <c r="O3" s="572" t="s">
        <v>234</v>
      </c>
      <c r="P3" s="573"/>
      <c r="Q3" s="572" t="s">
        <v>235</v>
      </c>
      <c r="R3" s="573"/>
    </row>
    <row r="4" spans="2:20" ht="25.5" x14ac:dyDescent="0.25">
      <c r="B4" s="570"/>
      <c r="C4" s="570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570"/>
      <c r="L4" s="570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VAC_Optim_Scenario!B19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25">
      <c r="B6" s="54" t="s">
        <v>154</v>
      </c>
      <c r="C6" s="237" t="str">
        <f>VAC_Optim_Scenario!B20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VAC_Optim_Scenario!B21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VAC_Optim_Scenario!B26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VAC_Optim_Scenario!B27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25">
      <c r="T14" s="291"/>
    </row>
    <row r="15" spans="2:20" x14ac:dyDescent="0.25">
      <c r="C15" s="228" t="s">
        <v>239</v>
      </c>
    </row>
    <row r="16" spans="2:20" x14ac:dyDescent="0.25">
      <c r="F16" s="332"/>
      <c r="G16" s="332"/>
    </row>
    <row r="17" spans="2:19" ht="37.9" customHeight="1" x14ac:dyDescent="0.25">
      <c r="C17" s="571" t="s">
        <v>3</v>
      </c>
      <c r="D17" s="572" t="s">
        <v>233</v>
      </c>
      <c r="E17" s="573"/>
      <c r="F17" s="572" t="s">
        <v>240</v>
      </c>
      <c r="G17" s="573"/>
      <c r="H17" s="572" t="s">
        <v>241</v>
      </c>
      <c r="I17" s="573"/>
      <c r="L17" s="571" t="s">
        <v>3</v>
      </c>
      <c r="M17" s="572" t="s">
        <v>233</v>
      </c>
      <c r="N17" s="573"/>
      <c r="O17" s="572" t="s">
        <v>240</v>
      </c>
      <c r="P17" s="573"/>
      <c r="Q17" s="572" t="s">
        <v>241</v>
      </c>
      <c r="R17" s="573"/>
    </row>
    <row r="18" spans="2:19" ht="25.5" x14ac:dyDescent="0.25">
      <c r="C18" s="570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570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VAC_Optim_Scenario!B27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25">
      <c r="C30" s="310" t="s">
        <v>3</v>
      </c>
      <c r="D30" s="311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VAC_Optim_Scenario!B19</f>
        <v>HCC In Office</v>
      </c>
      <c r="D31" s="312">
        <f>M19</f>
        <v>3.081</v>
      </c>
      <c r="E31" s="312">
        <f>O5</f>
        <v>1.659</v>
      </c>
      <c r="F31" s="312">
        <f>Q5</f>
        <v>3.081</v>
      </c>
      <c r="G31" s="312">
        <f>O19</f>
        <v>1.9760291300433497</v>
      </c>
      <c r="H31" s="312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25">
      <c r="B32" s="54" t="s">
        <v>154</v>
      </c>
      <c r="C32" s="293" t="str">
        <f>VAC_Optim_Scenario!B20</f>
        <v>HCP MCM</v>
      </c>
      <c r="D32" s="313">
        <f t="shared" ref="D32:D39" si="4">M20</f>
        <v>7.9137499886468206</v>
      </c>
      <c r="E32" s="313">
        <f t="shared" ref="E32:E39" si="5">O6</f>
        <v>7.9137499886468206</v>
      </c>
      <c r="F32" s="313">
        <f t="shared" ref="F32:F39" si="6">Q6</f>
        <v>7.9137499886468206</v>
      </c>
      <c r="G32" s="313">
        <f t="shared" ref="G32:G39" si="7">O20</f>
        <v>7.9137499886468206</v>
      </c>
      <c r="H32" s="313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25">
      <c r="B33" s="54" t="s">
        <v>154</v>
      </c>
      <c r="C33" s="293" t="str">
        <f>VAC_Optim_Scenario!B21</f>
        <v>HCC Social</v>
      </c>
      <c r="D33" s="313">
        <f t="shared" si="4"/>
        <v>2.9380000000000002</v>
      </c>
      <c r="E33" s="313">
        <f t="shared" si="5"/>
        <v>1.5820000000000001</v>
      </c>
      <c r="F33" s="313">
        <f t="shared" si="6"/>
        <v>2.9380000000000002</v>
      </c>
      <c r="G33" s="313">
        <f t="shared" si="7"/>
        <v>1.5820000000000001</v>
      </c>
      <c r="H33" s="313">
        <f t="shared" si="8"/>
        <v>2.9380000000000002</v>
      </c>
      <c r="J33" s="244" t="s">
        <v>242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25">
      <c r="B34" s="54" t="s">
        <v>154</v>
      </c>
      <c r="C34" s="293" t="str">
        <f>VAC_Optim_Scenario!B22</f>
        <v>HCC Online Video</v>
      </c>
      <c r="D34" s="313">
        <f t="shared" si="4"/>
        <v>0.69299999999999995</v>
      </c>
      <c r="E34" s="313">
        <f t="shared" si="5"/>
        <v>0.69299999999999995</v>
      </c>
      <c r="F34" s="313">
        <f t="shared" si="6"/>
        <v>1.2869999999999999</v>
      </c>
      <c r="G34" s="313">
        <f t="shared" si="7"/>
        <v>0.69299999999999995</v>
      </c>
      <c r="H34" s="313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25">
      <c r="B35" s="54" t="s">
        <v>154</v>
      </c>
      <c r="C35" s="293" t="str">
        <f>VAC_Optim_Scenario!B23</f>
        <v>HCC Streaming Video</v>
      </c>
      <c r="D35" s="313">
        <f t="shared" si="4"/>
        <v>3.9416439999999997</v>
      </c>
      <c r="E35" s="313">
        <f t="shared" si="5"/>
        <v>3.9416439999999997</v>
      </c>
      <c r="F35" s="313">
        <f t="shared" si="6"/>
        <v>7.3201960000000001</v>
      </c>
      <c r="G35" s="313">
        <f t="shared" si="7"/>
        <v>3.9416439999999997</v>
      </c>
      <c r="H35" s="313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25">
      <c r="B36" s="54" t="s">
        <v>154</v>
      </c>
      <c r="C36" s="293" t="str">
        <f>VAC_Optim_Scenario!B24</f>
        <v>HCC Display</v>
      </c>
      <c r="D36" s="313">
        <f t="shared" si="4"/>
        <v>1.9214</v>
      </c>
      <c r="E36" s="313">
        <f t="shared" si="5"/>
        <v>1.9214</v>
      </c>
      <c r="F36" s="313">
        <f t="shared" si="6"/>
        <v>1.9214</v>
      </c>
      <c r="G36" s="313">
        <f t="shared" si="7"/>
        <v>1.9214</v>
      </c>
      <c r="H36" s="313">
        <f t="shared" si="8"/>
        <v>1.9214</v>
      </c>
    </row>
    <row r="37" spans="2:22" x14ac:dyDescent="0.25">
      <c r="B37" s="54" t="s">
        <v>154</v>
      </c>
      <c r="C37" s="293" t="str">
        <f>VAC_Optim_Scenario!B25</f>
        <v>HCC Paid Search</v>
      </c>
      <c r="D37" s="313">
        <f t="shared" si="4"/>
        <v>1.232</v>
      </c>
      <c r="E37" s="313">
        <f t="shared" si="5"/>
        <v>1.232</v>
      </c>
      <c r="F37" s="313">
        <f t="shared" si="6"/>
        <v>1.232</v>
      </c>
      <c r="G37" s="313">
        <f t="shared" si="7"/>
        <v>1.232</v>
      </c>
      <c r="H37" s="313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VAC_Optim_Scenario!B26</f>
        <v>HCC Audio</v>
      </c>
      <c r="D38" s="313">
        <f t="shared" si="4"/>
        <v>1.5996707428443773</v>
      </c>
      <c r="E38" s="313">
        <f t="shared" si="5"/>
        <v>0.91370790000000002</v>
      </c>
      <c r="F38" s="313">
        <f t="shared" si="6"/>
        <v>1.6968861000000002</v>
      </c>
      <c r="G38" s="313">
        <f t="shared" si="7"/>
        <v>0.91370789999999991</v>
      </c>
      <c r="H38" s="313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VAC_Optim_Scenario!B27</f>
        <v>HCC TV</v>
      </c>
      <c r="D39" s="313">
        <f t="shared" si="4"/>
        <v>15.034300118508808</v>
      </c>
      <c r="E39" s="313">
        <f t="shared" si="5"/>
        <v>11.531133494999999</v>
      </c>
      <c r="F39" s="313">
        <f t="shared" si="6"/>
        <v>18.498262961353184</v>
      </c>
      <c r="G39" s="313">
        <f t="shared" si="7"/>
        <v>11.531133494999999</v>
      </c>
      <c r="H39" s="313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569" t="s">
        <v>2</v>
      </c>
      <c r="C3" s="571" t="s">
        <v>3</v>
      </c>
      <c r="D3" s="572" t="s">
        <v>233</v>
      </c>
      <c r="E3" s="573"/>
      <c r="F3" s="572" t="s">
        <v>234</v>
      </c>
      <c r="G3" s="573"/>
      <c r="H3" s="572" t="s">
        <v>235</v>
      </c>
      <c r="I3" s="573"/>
      <c r="K3" s="569" t="s">
        <v>2</v>
      </c>
      <c r="L3" s="571" t="s">
        <v>3</v>
      </c>
      <c r="M3" s="572" t="s">
        <v>233</v>
      </c>
      <c r="N3" s="573"/>
      <c r="O3" s="572" t="s">
        <v>234</v>
      </c>
      <c r="P3" s="573"/>
      <c r="Q3" s="572" t="s">
        <v>235</v>
      </c>
      <c r="R3" s="573"/>
    </row>
    <row r="4" spans="2:20" ht="25.5" x14ac:dyDescent="0.25">
      <c r="B4" s="570"/>
      <c r="C4" s="570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570"/>
      <c r="L4" s="570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f>VAC_Optim_Scenario!$H49</f>
        <v>1280553.8166407023</v>
      </c>
      <c r="E5" s="233">
        <f>VAC_Optim_Scenario!$J49</f>
        <v>4383975.1022611018</v>
      </c>
      <c r="F5" s="232">
        <f>VAC_Optim_Scenario!$H49</f>
        <v>1280553.8166407023</v>
      </c>
      <c r="G5" s="233">
        <f>VAC_Optim_Scenario!$J49</f>
        <v>4383975.1022611018</v>
      </c>
      <c r="H5" s="232">
        <f>VAC_Optim_Scenario!$H49</f>
        <v>1280553.8166407023</v>
      </c>
      <c r="I5" s="233">
        <f>VAC_Optim_Scenario!$J49</f>
        <v>4383975.1022611018</v>
      </c>
      <c r="J5" s="234"/>
      <c r="K5" s="53" t="s">
        <v>154</v>
      </c>
      <c r="L5" s="53" t="str">
        <f>VAC_Optim_Scenario!B19</f>
        <v>HCC In Office</v>
      </c>
      <c r="M5" s="235">
        <f>D5/1000000</f>
        <v>1.2805538166407022</v>
      </c>
      <c r="N5" s="236">
        <f t="shared" ref="N5:R13" si="0">E5/1000000</f>
        <v>4.3839751022611022</v>
      </c>
      <c r="O5" s="235">
        <f t="shared" si="0"/>
        <v>1.2805538166407022</v>
      </c>
      <c r="P5" s="236">
        <f t="shared" si="0"/>
        <v>4.3839751022611022</v>
      </c>
      <c r="Q5" s="235">
        <f t="shared" si="0"/>
        <v>1.2805538166407022</v>
      </c>
      <c r="R5" s="236">
        <f t="shared" si="0"/>
        <v>4.3839751022611022</v>
      </c>
    </row>
    <row r="6" spans="2:20" x14ac:dyDescent="0.25">
      <c r="B6" s="54" t="s">
        <v>154</v>
      </c>
      <c r="C6" s="237" t="str">
        <f>VAC_Optim_Scenario!B20</f>
        <v>HCP MCM</v>
      </c>
      <c r="D6" s="238">
        <f>VAC_Optim_Scenario!$H50</f>
        <v>11092068.118553624</v>
      </c>
      <c r="E6" s="239">
        <f>VAC_Optim_Scenario!$J50</f>
        <v>92129276.914606035</v>
      </c>
      <c r="F6" s="238">
        <f>VAC_Optim_Scenario!$H50</f>
        <v>11092068.118553624</v>
      </c>
      <c r="G6" s="239">
        <f>VAC_Optim_Scenario!$J50</f>
        <v>92129276.914606035</v>
      </c>
      <c r="H6" s="238">
        <f>VAC_Optim_Scenario!$H50</f>
        <v>11092068.118553624</v>
      </c>
      <c r="I6" s="239">
        <f>VAC_Optim_Scenario!$J50</f>
        <v>92129276.914606035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11.092068118553623</v>
      </c>
      <c r="N6" s="241">
        <f t="shared" si="0"/>
        <v>92.129276914606038</v>
      </c>
      <c r="O6" s="240">
        <f t="shared" si="0"/>
        <v>11.092068118553623</v>
      </c>
      <c r="P6" s="241">
        <f t="shared" si="0"/>
        <v>92.129276914606038</v>
      </c>
      <c r="Q6" s="240">
        <f t="shared" si="0"/>
        <v>11.092068118553623</v>
      </c>
      <c r="R6" s="241">
        <f t="shared" si="0"/>
        <v>92.129276914606038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f>VAC_Optim_Scenario!$H51</f>
        <v>4455047.5305201802</v>
      </c>
      <c r="E7" s="239">
        <f>VAC_Optim_Scenario!$J51</f>
        <v>27072298.129360568</v>
      </c>
      <c r="F7" s="238">
        <f>VAC_Optim_Scenario!$H51</f>
        <v>4455047.5305201802</v>
      </c>
      <c r="G7" s="239">
        <f>VAC_Optim_Scenario!$J51</f>
        <v>27072298.129360568</v>
      </c>
      <c r="H7" s="238">
        <f>VAC_Optim_Scenario!$H51</f>
        <v>4455047.5305201802</v>
      </c>
      <c r="I7" s="239">
        <f>VAC_Optim_Scenario!$J51</f>
        <v>27072298.129360568</v>
      </c>
      <c r="J7" s="242"/>
      <c r="K7" s="54" t="s">
        <v>154</v>
      </c>
      <c r="L7" s="54" t="str">
        <f>VAC_Optim_Scenario!B21</f>
        <v>HCC Social</v>
      </c>
      <c r="M7" s="240">
        <f t="shared" si="1"/>
        <v>4.4550475305201802</v>
      </c>
      <c r="N7" s="241">
        <f t="shared" si="0"/>
        <v>27.072298129360568</v>
      </c>
      <c r="O7" s="240">
        <f t="shared" si="0"/>
        <v>4.4550475305201802</v>
      </c>
      <c r="P7" s="241">
        <f t="shared" si="0"/>
        <v>27.072298129360568</v>
      </c>
      <c r="Q7" s="240">
        <f t="shared" si="0"/>
        <v>4.4550475305201802</v>
      </c>
      <c r="R7" s="241">
        <f t="shared" si="0"/>
        <v>27.072298129360568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f>VAC_Optim_Scenario!$H52</f>
        <v>1000000</v>
      </c>
      <c r="E8" s="239">
        <f>VAC_Optim_Scenario!$J52</f>
        <v>3357832.8692201264</v>
      </c>
      <c r="F8" s="238">
        <f>VAC_Optim_Scenario!$H52</f>
        <v>1000000</v>
      </c>
      <c r="G8" s="239">
        <f>VAC_Optim_Scenario!$J52</f>
        <v>3357832.8692201264</v>
      </c>
      <c r="H8" s="238">
        <f>VAC_Optim_Scenario!$H52</f>
        <v>1000000</v>
      </c>
      <c r="I8" s="239">
        <f>VAC_Optim_Scenario!$J52</f>
        <v>3357832.8692201264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1</v>
      </c>
      <c r="N8" s="241">
        <f t="shared" si="0"/>
        <v>3.3578328692201262</v>
      </c>
      <c r="O8" s="240">
        <f t="shared" si="0"/>
        <v>1</v>
      </c>
      <c r="P8" s="241">
        <f t="shared" si="0"/>
        <v>3.3578328692201262</v>
      </c>
      <c r="Q8" s="240">
        <f t="shared" si="0"/>
        <v>1</v>
      </c>
      <c r="R8" s="241">
        <f t="shared" si="0"/>
        <v>3.3578328692201262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f>VAC_Optim_Scenario!$H53</f>
        <v>6494076.6811486697</v>
      </c>
      <c r="E9" s="239">
        <f>VAC_Optim_Scenario!$J53</f>
        <v>33837425.591033712</v>
      </c>
      <c r="F9" s="238">
        <f>VAC_Optim_Scenario!$H53</f>
        <v>6494076.6811486697</v>
      </c>
      <c r="G9" s="239">
        <f>VAC_Optim_Scenario!$J53</f>
        <v>33837425.591033712</v>
      </c>
      <c r="H9" s="238">
        <f>VAC_Optim_Scenario!$H53</f>
        <v>6494076.6811486697</v>
      </c>
      <c r="I9" s="239">
        <f>VAC_Optim_Scenario!$J53</f>
        <v>33837425.591033712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6.4940766811486696</v>
      </c>
      <c r="N9" s="241">
        <f t="shared" si="0"/>
        <v>33.837425591033714</v>
      </c>
      <c r="O9" s="240">
        <f t="shared" si="0"/>
        <v>6.4940766811486696</v>
      </c>
      <c r="P9" s="241">
        <f t="shared" si="0"/>
        <v>33.837425591033714</v>
      </c>
      <c r="Q9" s="240">
        <f t="shared" si="0"/>
        <v>6.4940766811486696</v>
      </c>
      <c r="R9" s="241">
        <f t="shared" si="0"/>
        <v>33.837425591033714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f>VAC_Optim_Scenario!$H54</f>
        <v>5202542.954141208</v>
      </c>
      <c r="E10" s="239">
        <f>VAC_Optim_Scenario!$J54</f>
        <v>47244945.61050126</v>
      </c>
      <c r="F10" s="238">
        <f>VAC_Optim_Scenario!$H54</f>
        <v>5202542.954141208</v>
      </c>
      <c r="G10" s="239">
        <f>VAC_Optim_Scenario!$J54</f>
        <v>47244945.61050126</v>
      </c>
      <c r="H10" s="238">
        <f>VAC_Optim_Scenario!$H54</f>
        <v>5202542.954141208</v>
      </c>
      <c r="I10" s="239">
        <f>VAC_Optim_Scenario!$J54</f>
        <v>47244945.61050126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5.202542954141208</v>
      </c>
      <c r="N10" s="241">
        <f t="shared" si="0"/>
        <v>47.244945610501262</v>
      </c>
      <c r="O10" s="240">
        <f t="shared" si="0"/>
        <v>5.202542954141208</v>
      </c>
      <c r="P10" s="241">
        <f t="shared" si="0"/>
        <v>47.244945610501262</v>
      </c>
      <c r="Q10" s="240">
        <f t="shared" si="0"/>
        <v>5.202542954141208</v>
      </c>
      <c r="R10" s="241">
        <f t="shared" si="0"/>
        <v>47.244945610501262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f>VAC_Optim_Scenario!$H55</f>
        <v>400000</v>
      </c>
      <c r="E11" s="239">
        <f>VAC_Optim_Scenario!$J55</f>
        <v>32769965.884320233</v>
      </c>
      <c r="F11" s="238">
        <f>VAC_Optim_Scenario!$H55</f>
        <v>400000</v>
      </c>
      <c r="G11" s="239">
        <f>VAC_Optim_Scenario!$J55</f>
        <v>32769965.884320233</v>
      </c>
      <c r="H11" s="238">
        <f>VAC_Optim_Scenario!$H55</f>
        <v>400000</v>
      </c>
      <c r="I11" s="239">
        <f>VAC_Optim_Scenario!$J55</f>
        <v>32769965.884320233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0.4</v>
      </c>
      <c r="N11" s="241">
        <f t="shared" si="0"/>
        <v>32.769965884320236</v>
      </c>
      <c r="O11" s="240">
        <f t="shared" si="0"/>
        <v>0.4</v>
      </c>
      <c r="P11" s="241">
        <f t="shared" si="0"/>
        <v>32.769965884320236</v>
      </c>
      <c r="Q11" s="240">
        <f t="shared" si="0"/>
        <v>0.4</v>
      </c>
      <c r="R11" s="241">
        <f t="shared" si="0"/>
        <v>32.769965884320236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f>VAC_Optim_Scenario!$H56</f>
        <v>4800000</v>
      </c>
      <c r="E12" s="239">
        <f>VAC_Optim_Scenario!$J56</f>
        <v>32875287.531392161</v>
      </c>
      <c r="F12" s="238">
        <f>VAC_Optim_Scenario!$H56</f>
        <v>4800000</v>
      </c>
      <c r="G12" s="239">
        <f>VAC_Optim_Scenario!$J56</f>
        <v>32875287.531392161</v>
      </c>
      <c r="H12" s="238">
        <f>VAC_Optim_Scenario!$H56</f>
        <v>4800000</v>
      </c>
      <c r="I12" s="239">
        <f>VAC_Optim_Scenario!$J56</f>
        <v>32875287.531392161</v>
      </c>
      <c r="J12" s="234"/>
      <c r="K12" s="54" t="s">
        <v>154</v>
      </c>
      <c r="L12" s="54" t="str">
        <f>VAC_Optim_Scenario!B26</f>
        <v>HCC Audio</v>
      </c>
      <c r="M12" s="240">
        <f t="shared" si="1"/>
        <v>4.8</v>
      </c>
      <c r="N12" s="241">
        <f t="shared" si="0"/>
        <v>32.875287531392161</v>
      </c>
      <c r="O12" s="240">
        <f t="shared" si="0"/>
        <v>4.8</v>
      </c>
      <c r="P12" s="241">
        <f t="shared" si="0"/>
        <v>32.875287531392161</v>
      </c>
      <c r="Q12" s="240">
        <f t="shared" si="0"/>
        <v>4.8</v>
      </c>
      <c r="R12" s="241">
        <f t="shared" si="0"/>
        <v>32.875287531392161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f>VAC_Optim_Scenario!$H57</f>
        <v>16888801</v>
      </c>
      <c r="E13" s="252">
        <f>VAC_Optim_Scenario!$J57</f>
        <v>67034177.652868718</v>
      </c>
      <c r="F13" s="252">
        <f>VAC_Optim_Scenario!$H57</f>
        <v>16888801</v>
      </c>
      <c r="G13" s="252">
        <f>VAC_Optim_Scenario!$J57</f>
        <v>67034177.652868718</v>
      </c>
      <c r="H13" s="252">
        <f>VAC_Optim_Scenario!$H57</f>
        <v>16888801</v>
      </c>
      <c r="I13" s="252">
        <f>VAC_Optim_Scenario!$J57</f>
        <v>67034177.652868718</v>
      </c>
      <c r="J13" s="234"/>
      <c r="K13" s="251" t="s">
        <v>154</v>
      </c>
      <c r="L13" s="251" t="str">
        <f>VAC_Optim_Scenario!B27</f>
        <v>HCC TV</v>
      </c>
      <c r="M13" s="245">
        <f t="shared" si="1"/>
        <v>16.888801000000001</v>
      </c>
      <c r="N13" s="245">
        <f t="shared" si="0"/>
        <v>67.034177652868721</v>
      </c>
      <c r="O13" s="245">
        <f t="shared" si="0"/>
        <v>16.888801000000001</v>
      </c>
      <c r="P13" s="245">
        <f t="shared" si="0"/>
        <v>67.034177652868721</v>
      </c>
      <c r="Q13" s="245">
        <f t="shared" si="0"/>
        <v>16.888801000000001</v>
      </c>
      <c r="R13" s="245">
        <f t="shared" si="0"/>
        <v>67.034177652868721</v>
      </c>
    </row>
    <row r="14" spans="2:20" x14ac:dyDescent="0.25">
      <c r="T14" s="291"/>
    </row>
    <row r="15" spans="2:20" x14ac:dyDescent="0.25">
      <c r="C15" s="228" t="s">
        <v>239</v>
      </c>
    </row>
    <row r="17" spans="2:19" ht="37.9" customHeight="1" x14ac:dyDescent="0.25">
      <c r="C17" s="571" t="s">
        <v>3</v>
      </c>
      <c r="D17" s="572" t="s">
        <v>233</v>
      </c>
      <c r="E17" s="573"/>
      <c r="F17" s="572" t="s">
        <v>240</v>
      </c>
      <c r="G17" s="573"/>
      <c r="H17" s="572" t="s">
        <v>241</v>
      </c>
      <c r="I17" s="573"/>
      <c r="L17" s="571" t="s">
        <v>3</v>
      </c>
      <c r="M17" s="572" t="s">
        <v>233</v>
      </c>
      <c r="N17" s="573"/>
      <c r="O17" s="572" t="s">
        <v>240</v>
      </c>
      <c r="P17" s="573"/>
      <c r="Q17" s="572" t="s">
        <v>241</v>
      </c>
      <c r="R17" s="573"/>
    </row>
    <row r="18" spans="2:19" ht="25.5" x14ac:dyDescent="0.25">
      <c r="C18" s="570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570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f>VAC_Optim_Scenario!$H49</f>
        <v>1280553.8166407023</v>
      </c>
      <c r="E19" s="233">
        <f>VAC_Optim_Scenario!$J49</f>
        <v>4383975.1022611018</v>
      </c>
      <c r="F19" s="232">
        <f>VAC_Optim_Scenario!$H49</f>
        <v>1280553.8166407023</v>
      </c>
      <c r="G19" s="233">
        <f>VAC_Optim_Scenario!$J49</f>
        <v>4383975.1022611018</v>
      </c>
      <c r="H19" s="232">
        <f>VAC_Optim_Scenario!$H49</f>
        <v>1280553.8166407023</v>
      </c>
      <c r="I19" s="233">
        <f>VAC_Optim_Scenario!$J49</f>
        <v>4383975.1022611018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1.2805538166407022</v>
      </c>
      <c r="N19" s="236">
        <f t="shared" ref="N19:R27" si="2">E19/1000000</f>
        <v>4.3839751022611022</v>
      </c>
      <c r="O19" s="235">
        <f t="shared" si="2"/>
        <v>1.2805538166407022</v>
      </c>
      <c r="P19" s="236">
        <f t="shared" si="2"/>
        <v>4.3839751022611022</v>
      </c>
      <c r="Q19" s="235">
        <f t="shared" si="2"/>
        <v>1.2805538166407022</v>
      </c>
      <c r="R19" s="236">
        <f t="shared" si="2"/>
        <v>4.3839751022611022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f>VAC_Optim_Scenario!$H50</f>
        <v>11092068.118553624</v>
      </c>
      <c r="E20" s="239">
        <f>VAC_Optim_Scenario!$J50</f>
        <v>92129276.914606035</v>
      </c>
      <c r="F20" s="238">
        <f>VAC_Optim_Scenario!$H50</f>
        <v>11092068.118553624</v>
      </c>
      <c r="G20" s="239">
        <f>VAC_Optim_Scenario!$J50</f>
        <v>92129276.914606035</v>
      </c>
      <c r="H20" s="238">
        <f>VAC_Optim_Scenario!$H50</f>
        <v>11092068.118553624</v>
      </c>
      <c r="I20" s="239">
        <f>VAC_Optim_Scenario!$J50</f>
        <v>92129276.914606035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11.092068118553623</v>
      </c>
      <c r="N20" s="241">
        <f t="shared" si="2"/>
        <v>92.129276914606038</v>
      </c>
      <c r="O20" s="240">
        <f t="shared" si="2"/>
        <v>11.092068118553623</v>
      </c>
      <c r="P20" s="241">
        <f t="shared" si="2"/>
        <v>92.129276914606038</v>
      </c>
      <c r="Q20" s="240">
        <f t="shared" si="2"/>
        <v>11.092068118553623</v>
      </c>
      <c r="R20" s="241">
        <f t="shared" si="2"/>
        <v>92.129276914606038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f>VAC_Optim_Scenario!$H51</f>
        <v>4455047.5305201802</v>
      </c>
      <c r="E21" s="239">
        <f>VAC_Optim_Scenario!$J51</f>
        <v>27072298.129360568</v>
      </c>
      <c r="F21" s="238">
        <f>VAC_Optim_Scenario!$H51</f>
        <v>4455047.5305201802</v>
      </c>
      <c r="G21" s="239">
        <f>VAC_Optim_Scenario!$J51</f>
        <v>27072298.129360568</v>
      </c>
      <c r="H21" s="238">
        <f>VAC_Optim_Scenario!$H51</f>
        <v>4455047.5305201802</v>
      </c>
      <c r="I21" s="239">
        <f>VAC_Optim_Scenario!$J51</f>
        <v>27072298.129360568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4.4550475305201802</v>
      </c>
      <c r="N21" s="241">
        <f t="shared" si="2"/>
        <v>27.072298129360568</v>
      </c>
      <c r="O21" s="240">
        <f t="shared" si="2"/>
        <v>4.4550475305201802</v>
      </c>
      <c r="P21" s="241">
        <f t="shared" si="2"/>
        <v>27.072298129360568</v>
      </c>
      <c r="Q21" s="240">
        <f t="shared" si="2"/>
        <v>4.4550475305201802</v>
      </c>
      <c r="R21" s="241">
        <f t="shared" si="2"/>
        <v>27.072298129360568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f>VAC_Optim_Scenario!$H52</f>
        <v>1000000</v>
      </c>
      <c r="E22" s="239">
        <f>VAC_Optim_Scenario!$J52</f>
        <v>3357832.8692201264</v>
      </c>
      <c r="F22" s="238">
        <f>VAC_Optim_Scenario!$H52</f>
        <v>1000000</v>
      </c>
      <c r="G22" s="239">
        <f>VAC_Optim_Scenario!$J52</f>
        <v>3357832.8692201264</v>
      </c>
      <c r="H22" s="238">
        <f>VAC_Optim_Scenario!$H52</f>
        <v>1000000</v>
      </c>
      <c r="I22" s="239">
        <f>VAC_Optim_Scenario!$J52</f>
        <v>3357832.8692201264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1</v>
      </c>
      <c r="N22" s="241">
        <f t="shared" si="2"/>
        <v>3.3578328692201262</v>
      </c>
      <c r="O22" s="240">
        <f t="shared" si="2"/>
        <v>1</v>
      </c>
      <c r="P22" s="241">
        <f t="shared" si="2"/>
        <v>3.3578328692201262</v>
      </c>
      <c r="Q22" s="240">
        <f t="shared" si="2"/>
        <v>1</v>
      </c>
      <c r="R22" s="241">
        <f t="shared" si="2"/>
        <v>3.3578328692201262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f>VAC_Optim_Scenario!$H53</f>
        <v>6494076.6811486697</v>
      </c>
      <c r="E23" s="239">
        <f>VAC_Optim_Scenario!$J53</f>
        <v>33837425.591033712</v>
      </c>
      <c r="F23" s="238">
        <f>VAC_Optim_Scenario!$H53</f>
        <v>6494076.6811486697</v>
      </c>
      <c r="G23" s="239">
        <f>VAC_Optim_Scenario!$J53</f>
        <v>33837425.591033712</v>
      </c>
      <c r="H23" s="238">
        <f>VAC_Optim_Scenario!$H53</f>
        <v>6494076.6811486697</v>
      </c>
      <c r="I23" s="239">
        <f>VAC_Optim_Scenario!$J53</f>
        <v>33837425.591033712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6.4940766811486696</v>
      </c>
      <c r="N23" s="241">
        <f t="shared" si="2"/>
        <v>33.837425591033714</v>
      </c>
      <c r="O23" s="240">
        <f t="shared" si="2"/>
        <v>6.4940766811486696</v>
      </c>
      <c r="P23" s="241">
        <f t="shared" si="2"/>
        <v>33.837425591033714</v>
      </c>
      <c r="Q23" s="240">
        <f t="shared" si="2"/>
        <v>6.4940766811486696</v>
      </c>
      <c r="R23" s="241">
        <f t="shared" si="2"/>
        <v>33.837425591033714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f>VAC_Optim_Scenario!$H54</f>
        <v>5202542.954141208</v>
      </c>
      <c r="E24" s="239">
        <f>VAC_Optim_Scenario!$J54</f>
        <v>47244945.61050126</v>
      </c>
      <c r="F24" s="238">
        <f>VAC_Optim_Scenario!$H54</f>
        <v>5202542.954141208</v>
      </c>
      <c r="G24" s="239">
        <f>VAC_Optim_Scenario!$J54</f>
        <v>47244945.61050126</v>
      </c>
      <c r="H24" s="238">
        <f>VAC_Optim_Scenario!$H54</f>
        <v>5202542.954141208</v>
      </c>
      <c r="I24" s="239">
        <f>VAC_Optim_Scenario!$J54</f>
        <v>47244945.61050126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5.202542954141208</v>
      </c>
      <c r="N24" s="241">
        <f t="shared" si="2"/>
        <v>47.244945610501262</v>
      </c>
      <c r="O24" s="240">
        <f t="shared" si="2"/>
        <v>5.202542954141208</v>
      </c>
      <c r="P24" s="241">
        <f t="shared" si="2"/>
        <v>47.244945610501262</v>
      </c>
      <c r="Q24" s="240">
        <f t="shared" si="2"/>
        <v>5.202542954141208</v>
      </c>
      <c r="R24" s="241">
        <f t="shared" si="2"/>
        <v>47.244945610501262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f>VAC_Optim_Scenario!$H55</f>
        <v>400000</v>
      </c>
      <c r="E25" s="239">
        <f>VAC_Optim_Scenario!$J55</f>
        <v>32769965.884320233</v>
      </c>
      <c r="F25" s="238">
        <f>VAC_Optim_Scenario!$H55</f>
        <v>400000</v>
      </c>
      <c r="G25" s="239">
        <f>VAC_Optim_Scenario!$J55</f>
        <v>32769965.884320233</v>
      </c>
      <c r="H25" s="238">
        <f>VAC_Optim_Scenario!$H55</f>
        <v>400000</v>
      </c>
      <c r="I25" s="239">
        <f>VAC_Optim_Scenario!$J55</f>
        <v>32769965.884320233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0.4</v>
      </c>
      <c r="N25" s="241">
        <f t="shared" si="2"/>
        <v>32.769965884320236</v>
      </c>
      <c r="O25" s="240">
        <f t="shared" si="2"/>
        <v>0.4</v>
      </c>
      <c r="P25" s="241">
        <f t="shared" si="2"/>
        <v>32.769965884320236</v>
      </c>
      <c r="Q25" s="240">
        <f t="shared" si="2"/>
        <v>0.4</v>
      </c>
      <c r="R25" s="241">
        <f t="shared" si="2"/>
        <v>32.769965884320236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f>VAC_Optim_Scenario!$H56</f>
        <v>4800000</v>
      </c>
      <c r="E26" s="239">
        <f>VAC_Optim_Scenario!$J56</f>
        <v>32875287.531392161</v>
      </c>
      <c r="F26" s="238">
        <f>VAC_Optim_Scenario!$H56</f>
        <v>4800000</v>
      </c>
      <c r="G26" s="239">
        <f>VAC_Optim_Scenario!$J56</f>
        <v>32875287.531392161</v>
      </c>
      <c r="H26" s="238">
        <f>VAC_Optim_Scenario!$H56</f>
        <v>4800000</v>
      </c>
      <c r="I26" s="239">
        <f>VAC_Optim_Scenario!$J56</f>
        <v>32875287.531392161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4.8</v>
      </c>
      <c r="N26" s="241">
        <f t="shared" si="2"/>
        <v>32.875287531392161</v>
      </c>
      <c r="O26" s="240">
        <f t="shared" si="2"/>
        <v>4.8</v>
      </c>
      <c r="P26" s="241">
        <f t="shared" si="2"/>
        <v>32.875287531392161</v>
      </c>
      <c r="Q26" s="240">
        <f t="shared" si="2"/>
        <v>4.8</v>
      </c>
      <c r="R26" s="241">
        <f t="shared" si="2"/>
        <v>32.875287531392161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f>VAC_Optim_Scenario!$H57</f>
        <v>16888801</v>
      </c>
      <c r="E27" s="252">
        <f>VAC_Optim_Scenario!$J57</f>
        <v>67034177.652868718</v>
      </c>
      <c r="F27" s="252">
        <f>VAC_Optim_Scenario!$H57</f>
        <v>16888801</v>
      </c>
      <c r="G27" s="252">
        <f>VAC_Optim_Scenario!$J57</f>
        <v>67034177.652868718</v>
      </c>
      <c r="H27" s="252">
        <f>VAC_Optim_Scenario!$H57</f>
        <v>16888801</v>
      </c>
      <c r="I27" s="252">
        <f>VAC_Optim_Scenario!$J57</f>
        <v>67034177.652868718</v>
      </c>
      <c r="J27" s="242"/>
      <c r="K27" s="251" t="s">
        <v>154</v>
      </c>
      <c r="L27" s="223" t="str">
        <f>VAC_Optim_Scenario!B27</f>
        <v>HCC TV</v>
      </c>
      <c r="M27" s="245">
        <f t="shared" si="3"/>
        <v>16.888801000000001</v>
      </c>
      <c r="N27" s="245">
        <f t="shared" si="2"/>
        <v>67.034177652868721</v>
      </c>
      <c r="O27" s="245">
        <f t="shared" si="2"/>
        <v>16.888801000000001</v>
      </c>
      <c r="P27" s="245">
        <f t="shared" si="2"/>
        <v>67.034177652868721</v>
      </c>
      <c r="Q27" s="245">
        <f t="shared" si="2"/>
        <v>16.888801000000001</v>
      </c>
      <c r="R27" s="245">
        <f t="shared" si="2"/>
        <v>67.034177652868721</v>
      </c>
    </row>
    <row r="30" spans="2:19" ht="34.35" customHeight="1" x14ac:dyDescent="0.25">
      <c r="C30" s="272" t="s">
        <v>3</v>
      </c>
      <c r="D30" s="273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VAC_Optim_Scenario!B19</f>
        <v>HCC In Office</v>
      </c>
      <c r="D31" s="235">
        <f>M19</f>
        <v>1.2805538166407022</v>
      </c>
      <c r="E31" s="235">
        <f>O5</f>
        <v>1.2805538166407022</v>
      </c>
      <c r="F31" s="235">
        <f>Q5</f>
        <v>1.2805538166407022</v>
      </c>
      <c r="G31" s="235">
        <f>O19</f>
        <v>1.2805538166407022</v>
      </c>
      <c r="H31" s="235">
        <f>Q19</f>
        <v>1.2805538166407022</v>
      </c>
      <c r="J31" s="244">
        <v>-0.5</v>
      </c>
      <c r="K31" s="245">
        <f>E$31</f>
        <v>1.2805538166407022</v>
      </c>
      <c r="L31" s="245">
        <f>E$32</f>
        <v>11.092068118553623</v>
      </c>
      <c r="M31" s="245">
        <f>E$33</f>
        <v>4.4550475305201802</v>
      </c>
      <c r="N31" s="245">
        <f>E$34</f>
        <v>1</v>
      </c>
      <c r="O31" s="245">
        <f>E$35</f>
        <v>6.4940766811486696</v>
      </c>
      <c r="P31" s="245">
        <f>E$36</f>
        <v>5.202542954141208</v>
      </c>
      <c r="Q31" s="245">
        <f>E$37</f>
        <v>0.4</v>
      </c>
      <c r="R31" s="245">
        <f>E$38</f>
        <v>4.8</v>
      </c>
      <c r="S31" s="245">
        <f>E$39</f>
        <v>16.888801000000001</v>
      </c>
    </row>
    <row r="32" spans="2:19" x14ac:dyDescent="0.25">
      <c r="B32" s="54" t="s">
        <v>154</v>
      </c>
      <c r="C32" s="293" t="str">
        <f>VAC_Optim_Scenario!B20</f>
        <v>HCP MCM</v>
      </c>
      <c r="D32" s="240">
        <f t="shared" ref="D32:D39" si="4">M20</f>
        <v>11.092068118553623</v>
      </c>
      <c r="E32" s="240">
        <f t="shared" ref="E32:E39" si="5">O6</f>
        <v>11.092068118553623</v>
      </c>
      <c r="F32" s="240">
        <f t="shared" ref="F32:F39" si="6">Q6</f>
        <v>11.092068118553623</v>
      </c>
      <c r="G32" s="240">
        <f t="shared" ref="G32:G39" si="7">O20</f>
        <v>11.092068118553623</v>
      </c>
      <c r="H32" s="240">
        <f t="shared" ref="H32:H39" si="8">Q20</f>
        <v>11.092068118553623</v>
      </c>
      <c r="J32" s="244">
        <v>-0.4</v>
      </c>
      <c r="K32" s="245">
        <f>G$31</f>
        <v>1.2805538166407022</v>
      </c>
      <c r="L32" s="245">
        <f>G$32</f>
        <v>11.092068118553623</v>
      </c>
      <c r="M32" s="245">
        <f>G$33</f>
        <v>4.4550475305201802</v>
      </c>
      <c r="N32" s="245">
        <f>G$34</f>
        <v>1</v>
      </c>
      <c r="O32" s="245">
        <f>G$35</f>
        <v>6.4940766811486696</v>
      </c>
      <c r="P32" s="245">
        <f>G$36</f>
        <v>5.202542954141208</v>
      </c>
      <c r="Q32" s="245">
        <f>G$37</f>
        <v>0.4</v>
      </c>
      <c r="R32" s="245">
        <f>G$38</f>
        <v>4.8</v>
      </c>
      <c r="S32" s="245">
        <f>G$39</f>
        <v>16.888801000000001</v>
      </c>
    </row>
    <row r="33" spans="2:22" x14ac:dyDescent="0.25">
      <c r="B33" s="54" t="s">
        <v>154</v>
      </c>
      <c r="C33" s="293" t="str">
        <f>VAC_Optim_Scenario!B21</f>
        <v>HCC Social</v>
      </c>
      <c r="D33" s="240">
        <f t="shared" si="4"/>
        <v>4.4550475305201802</v>
      </c>
      <c r="E33" s="240">
        <f t="shared" si="5"/>
        <v>4.4550475305201802</v>
      </c>
      <c r="F33" s="240">
        <f t="shared" si="6"/>
        <v>4.4550475305201802</v>
      </c>
      <c r="G33" s="240">
        <f t="shared" si="7"/>
        <v>4.4550475305201802</v>
      </c>
      <c r="H33" s="240">
        <f t="shared" si="8"/>
        <v>4.4550475305201802</v>
      </c>
      <c r="J33" s="244" t="s">
        <v>242</v>
      </c>
      <c r="K33" s="245">
        <f>D$31</f>
        <v>1.2805538166407022</v>
      </c>
      <c r="L33" s="245">
        <f>D$32</f>
        <v>11.092068118553623</v>
      </c>
      <c r="M33" s="245">
        <f>D$33</f>
        <v>4.4550475305201802</v>
      </c>
      <c r="N33" s="245">
        <f>D$34</f>
        <v>1</v>
      </c>
      <c r="O33" s="245">
        <f>D$35</f>
        <v>6.4940766811486696</v>
      </c>
      <c r="P33" s="245">
        <f>D$36</f>
        <v>5.202542954141208</v>
      </c>
      <c r="Q33" s="245">
        <f>D$37</f>
        <v>0.4</v>
      </c>
      <c r="R33" s="245">
        <f>D$38</f>
        <v>4.8</v>
      </c>
      <c r="S33" s="245">
        <f>D$39</f>
        <v>16.888801000000001</v>
      </c>
    </row>
    <row r="34" spans="2:22" x14ac:dyDescent="0.25">
      <c r="B34" s="54" t="s">
        <v>154</v>
      </c>
      <c r="C34" s="293" t="str">
        <f>VAC_Optim_Scenario!B22</f>
        <v>HCC Online Video</v>
      </c>
      <c r="D34" s="240">
        <f t="shared" si="4"/>
        <v>1</v>
      </c>
      <c r="E34" s="240">
        <f t="shared" si="5"/>
        <v>1</v>
      </c>
      <c r="F34" s="240">
        <f t="shared" si="6"/>
        <v>1</v>
      </c>
      <c r="G34" s="240">
        <f t="shared" si="7"/>
        <v>1</v>
      </c>
      <c r="H34" s="240">
        <f t="shared" si="8"/>
        <v>1</v>
      </c>
      <c r="J34" s="244">
        <v>0.4</v>
      </c>
      <c r="K34" s="245">
        <f>H$31</f>
        <v>1.2805538166407022</v>
      </c>
      <c r="L34" s="245">
        <f>H$32</f>
        <v>11.092068118553623</v>
      </c>
      <c r="M34" s="245">
        <f>H$33</f>
        <v>4.4550475305201802</v>
      </c>
      <c r="N34" s="245">
        <f>H$34</f>
        <v>1</v>
      </c>
      <c r="O34" s="245">
        <f>H$35</f>
        <v>6.4940766811486696</v>
      </c>
      <c r="P34" s="245">
        <f>H$36</f>
        <v>5.202542954141208</v>
      </c>
      <c r="Q34" s="245">
        <f>H$37</f>
        <v>0.4</v>
      </c>
      <c r="R34" s="245">
        <f>H$38</f>
        <v>4.8</v>
      </c>
      <c r="S34" s="245">
        <f>H$39</f>
        <v>16.888801000000001</v>
      </c>
    </row>
    <row r="35" spans="2:22" x14ac:dyDescent="0.25">
      <c r="B35" s="54" t="s">
        <v>154</v>
      </c>
      <c r="C35" s="293" t="str">
        <f>VAC_Optim_Scenario!B23</f>
        <v>HCC Streaming Video</v>
      </c>
      <c r="D35" s="240">
        <f t="shared" si="4"/>
        <v>6.4940766811486696</v>
      </c>
      <c r="E35" s="240">
        <f t="shared" si="5"/>
        <v>6.4940766811486696</v>
      </c>
      <c r="F35" s="240">
        <f t="shared" si="6"/>
        <v>6.4940766811486696</v>
      </c>
      <c r="G35" s="240">
        <f t="shared" si="7"/>
        <v>6.4940766811486696</v>
      </c>
      <c r="H35" s="240">
        <f t="shared" si="8"/>
        <v>6.4940766811486696</v>
      </c>
      <c r="J35" s="243">
        <v>2</v>
      </c>
      <c r="K35" s="245">
        <f>F$31</f>
        <v>1.2805538166407022</v>
      </c>
      <c r="L35" s="245">
        <f>F$32</f>
        <v>11.092068118553623</v>
      </c>
      <c r="M35" s="245">
        <f>F$33</f>
        <v>4.4550475305201802</v>
      </c>
      <c r="N35" s="245">
        <f>F$34</f>
        <v>1</v>
      </c>
      <c r="O35" s="245">
        <f>F$35</f>
        <v>6.4940766811486696</v>
      </c>
      <c r="P35" s="245">
        <f>F$36</f>
        <v>5.202542954141208</v>
      </c>
      <c r="Q35" s="245">
        <f>F$37</f>
        <v>0.4</v>
      </c>
      <c r="R35" s="245">
        <f>F$38</f>
        <v>4.8</v>
      </c>
      <c r="S35" s="245">
        <f>F$39</f>
        <v>16.888801000000001</v>
      </c>
    </row>
    <row r="36" spans="2:22" x14ac:dyDescent="0.25">
      <c r="B36" s="54" t="s">
        <v>154</v>
      </c>
      <c r="C36" s="293" t="str">
        <f>VAC_Optim_Scenario!B24</f>
        <v>HCC Display</v>
      </c>
      <c r="D36" s="240">
        <f t="shared" si="4"/>
        <v>5.202542954141208</v>
      </c>
      <c r="E36" s="240">
        <f t="shared" si="5"/>
        <v>5.202542954141208</v>
      </c>
      <c r="F36" s="240">
        <f t="shared" si="6"/>
        <v>5.202542954141208</v>
      </c>
      <c r="G36" s="240">
        <f t="shared" si="7"/>
        <v>5.202542954141208</v>
      </c>
      <c r="H36" s="240">
        <f t="shared" si="8"/>
        <v>5.202542954141208</v>
      </c>
    </row>
    <row r="37" spans="2:22" x14ac:dyDescent="0.25">
      <c r="B37" s="54" t="s">
        <v>154</v>
      </c>
      <c r="C37" s="293" t="str">
        <f>VAC_Optim_Scenario!B25</f>
        <v>HCC Paid Search</v>
      </c>
      <c r="D37" s="240">
        <f t="shared" si="4"/>
        <v>0.4</v>
      </c>
      <c r="E37" s="240">
        <f t="shared" si="5"/>
        <v>0.4</v>
      </c>
      <c r="F37" s="240">
        <f t="shared" si="6"/>
        <v>0.4</v>
      </c>
      <c r="G37" s="240">
        <f t="shared" si="7"/>
        <v>0.4</v>
      </c>
      <c r="H37" s="240">
        <f t="shared" si="8"/>
        <v>0.4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VAC_Optim_Scenario!B26</f>
        <v>HCC Audio</v>
      </c>
      <c r="D38" s="240">
        <f t="shared" si="4"/>
        <v>4.8</v>
      </c>
      <c r="E38" s="240">
        <f t="shared" si="5"/>
        <v>4.8</v>
      </c>
      <c r="F38" s="240">
        <f t="shared" si="6"/>
        <v>4.8</v>
      </c>
      <c r="G38" s="240">
        <f t="shared" si="7"/>
        <v>4.8</v>
      </c>
      <c r="H38" s="240">
        <f t="shared" si="8"/>
        <v>4.8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VAC_Optim_Scenario!B27</f>
        <v>HCC TV</v>
      </c>
      <c r="D39" s="240">
        <f t="shared" si="4"/>
        <v>16.888801000000001</v>
      </c>
      <c r="E39" s="240">
        <f t="shared" si="5"/>
        <v>16.888801000000001</v>
      </c>
      <c r="F39" s="240">
        <f t="shared" si="6"/>
        <v>16.888801000000001</v>
      </c>
      <c r="G39" s="240">
        <f t="shared" si="7"/>
        <v>16.888801000000001</v>
      </c>
      <c r="H39" s="240">
        <f t="shared" si="8"/>
        <v>16.888801000000001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zoomScale="75" zoomScaleNormal="75" workbookViewId="0">
      <selection activeCell="E16" sqref="E16"/>
    </sheetView>
  </sheetViews>
  <sheetFormatPr defaultColWidth="8.7109375" defaultRowHeight="15" x14ac:dyDescent="0.25"/>
  <cols>
    <col min="1" max="1" width="14.85546875" style="97" bestFit="1" customWidth="1"/>
    <col min="2" max="2" width="21.140625" style="97" bestFit="1" customWidth="1"/>
    <col min="3" max="3" width="21.85546875" style="97" bestFit="1" customWidth="1"/>
    <col min="4" max="4" width="12.28515625" style="97" customWidth="1"/>
    <col min="5" max="5" width="22.28515625" style="97" bestFit="1" customWidth="1"/>
    <col min="6" max="6" width="25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3" width="20.140625" style="97" customWidth="1"/>
    <col min="14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574">
        <v>2023</v>
      </c>
      <c r="E2" s="574"/>
      <c r="F2" s="574"/>
      <c r="G2" s="574"/>
      <c r="H2" s="574"/>
      <c r="I2" s="574"/>
      <c r="L2" s="97" t="s">
        <v>315</v>
      </c>
    </row>
    <row r="3" spans="1:18" ht="51" x14ac:dyDescent="0.25">
      <c r="B3" s="219" t="s">
        <v>2</v>
      </c>
      <c r="C3" s="220" t="s">
        <v>3</v>
      </c>
      <c r="D3" s="220" t="s">
        <v>311</v>
      </c>
      <c r="E3" s="220" t="s">
        <v>312</v>
      </c>
      <c r="F3" s="220" t="s">
        <v>313</v>
      </c>
      <c r="G3" s="220" t="s">
        <v>314</v>
      </c>
      <c r="H3" s="220" t="s">
        <v>223</v>
      </c>
      <c r="I3" s="220" t="s">
        <v>224</v>
      </c>
      <c r="J3" s="288" t="s">
        <v>208</v>
      </c>
      <c r="K3"/>
      <c r="L3" s="460">
        <v>8649234</v>
      </c>
      <c r="M3" s="221" t="s">
        <v>316</v>
      </c>
    </row>
    <row r="4" spans="1:18" ht="14.25" customHeight="1" x14ac:dyDescent="0.25">
      <c r="A4" s="97" t="s">
        <v>318</v>
      </c>
      <c r="B4" s="448" t="s">
        <v>175</v>
      </c>
      <c r="C4" s="449" t="str">
        <f>VAC_Optim_Scenario!B19</f>
        <v>HCC In Office</v>
      </c>
      <c r="D4" s="450">
        <f>VAC_Optim_Scenario!E19</f>
        <v>1000000</v>
      </c>
      <c r="E4" s="453">
        <f>VAC_Optim_Scenario!F19</f>
        <v>15970.197880234569</v>
      </c>
      <c r="F4" s="450">
        <f>VAC_Optim_Scenario!G49</f>
        <v>3608306.5090601984</v>
      </c>
      <c r="G4" s="455">
        <f>F4/D4</f>
        <v>3.6083065090601982</v>
      </c>
      <c r="H4" s="456">
        <f>E4/$L$3</f>
        <v>1.846429161268451E-3</v>
      </c>
      <c r="I4" s="458">
        <f>D4/E4</f>
        <v>62.616631772461922</v>
      </c>
      <c r="J4" s="461">
        <f ca="1">(VLOOKUP($Q4,INDIRECT("'"&amp;A4&amp;"'!"&amp;"A20:E42"),5,0)-VLOOKUP($R4,INDIRECT("'"&amp;A4&amp;"'!"&amp;"A20:E42"),5,0))/(Q4-R4)</f>
        <v>3.0475546002143576</v>
      </c>
      <c r="K4"/>
      <c r="L4" s="460">
        <v>4647854</v>
      </c>
      <c r="M4" s="221" t="s">
        <v>317</v>
      </c>
      <c r="Q4" s="463" cm="1">
        <f t="array" aca="1" ref="Q4" ca="1">MAX(_xlfn._xlws.FILTER(INDIRECT("'"&amp;A4&amp;"'!"&amp;"A20:A42"),INDIRECT("'"&amp;A4&amp;"'!"&amp;"A20:A42")&lt;$D4))</f>
        <v>800000</v>
      </c>
      <c r="R4" s="463" cm="1">
        <f t="array" aca="1" ref="R4" ca="1">MIN(_xlfn._xlws.FILTER(INDIRECT("'"&amp;A4&amp;"'!"&amp;"A20:A42"),INDIRECT("'"&amp;A4&amp;"'!"&amp;"A20:A42")&gt;=$D4))</f>
        <v>1000000</v>
      </c>
    </row>
    <row r="5" spans="1:18" x14ac:dyDescent="0.25">
      <c r="A5" s="97" t="s">
        <v>319</v>
      </c>
      <c r="B5" s="451" t="s">
        <v>175</v>
      </c>
      <c r="C5" s="471" t="str">
        <f>VAC_Optim_Scenario!B20</f>
        <v>HCP MCM</v>
      </c>
      <c r="D5" s="475">
        <f>VAC_Optim_Scenario!E20</f>
        <v>7775778</v>
      </c>
      <c r="E5" s="472">
        <f>VAC_Optim_Scenario!F20</f>
        <v>342226.11897340976</v>
      </c>
      <c r="F5" s="475">
        <f>VAC_Optim_Scenario!G50</f>
        <v>77322569.320852205</v>
      </c>
      <c r="G5" s="476">
        <f>F5/D5</f>
        <v>9.9440299505531407</v>
      </c>
      <c r="H5" s="457">
        <f t="shared" ref="H5:H12" si="0">E5/$L$3</f>
        <v>3.9567217047591703E-2</v>
      </c>
      <c r="I5" s="474">
        <f t="shared" ref="I5:I12" si="1">D5/E5</f>
        <v>22.721170503658026</v>
      </c>
      <c r="J5" s="462">
        <f t="shared" ref="J5:J9" ca="1" si="2">(VLOOKUP($Q5,INDIRECT("'"&amp;A5&amp;"'!"&amp;"A20:E42"),5,0)-VLOOKUP($R5,INDIRECT("'"&amp;A5&amp;"'!"&amp;"A20:E42"),5,0))/(Q5-R5)</f>
        <v>5.8043720552633458</v>
      </c>
      <c r="K5"/>
      <c r="Q5" s="463" cm="1">
        <f t="array" aca="1" ref="Q5" ca="1">MAX(_xlfn._xlws.FILTER(INDIRECT("'"&amp;A5&amp;"'!"&amp;"A20:A42"),INDIRECT("'"&amp;A5&amp;"'!"&amp;"A20:A42")&lt;$D5))</f>
        <v>7200000</v>
      </c>
      <c r="R5" s="463" cm="1">
        <f t="array" aca="1" ref="R5" ca="1">MIN(_xlfn._xlws.FILTER(INDIRECT("'"&amp;A5&amp;"'!"&amp;"A20:A42"),INDIRECT("'"&amp;A5&amp;"'!"&amp;"A20:A42")&gt;=$D5))</f>
        <v>7800000</v>
      </c>
    </row>
    <row r="6" spans="1:18" x14ac:dyDescent="0.25">
      <c r="A6" s="97" t="s">
        <v>320</v>
      </c>
      <c r="B6" s="451" t="s">
        <v>175</v>
      </c>
      <c r="C6" s="471" t="str">
        <f>VAC_Optim_Scenario!B21</f>
        <v>HCC Social</v>
      </c>
      <c r="D6" s="475">
        <f>VAC_Optim_Scenario!E21</f>
        <v>1840000</v>
      </c>
      <c r="E6" s="472">
        <f>VAC_Optim_Scenario!F21</f>
        <v>70487.367019183061</v>
      </c>
      <c r="F6" s="475">
        <f>VAC_Optim_Scenario!G51</f>
        <v>15925915.704314221</v>
      </c>
      <c r="G6" s="476">
        <f t="shared" ref="G6:G22" si="3">F6/D6</f>
        <v>8.6553889697359896</v>
      </c>
      <c r="H6" s="457">
        <f t="shared" si="0"/>
        <v>8.1495502398458708E-3</v>
      </c>
      <c r="I6" s="474">
        <f t="shared" si="1"/>
        <v>26.103968382011573</v>
      </c>
      <c r="J6" s="462">
        <f ca="1">(VLOOKUP($Q6,INDIRECT("'"&amp;A6&amp;"'!"&amp;"A20:E42"),3,0)-VLOOKUP($R6,INDIRECT("'"&amp;A6&amp;"'!"&amp;"A20:E42"),3,0))/(Q6-R6)</f>
        <v>5.1563798454813883</v>
      </c>
      <c r="K6"/>
      <c r="Q6" s="463" cm="1">
        <f t="array" aca="1" ref="Q6" ca="1">MAX(_xlfn._xlws.FILTER(INDIRECT("'"&amp;A6&amp;"'!"&amp;"A20:A42"),INDIRECT("'"&amp;A6&amp;"'!"&amp;"A20:A42")&lt;$D6))</f>
        <v>1750000</v>
      </c>
      <c r="R6" s="463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321</v>
      </c>
      <c r="B7" s="451" t="s">
        <v>175</v>
      </c>
      <c r="C7" s="471" t="str">
        <f>VAC_Optim_Scenario!B22</f>
        <v>HCC Online Video</v>
      </c>
      <c r="D7" s="475">
        <f>VAC_Optim_Scenario!E22</f>
        <v>1220000</v>
      </c>
      <c r="E7" s="472">
        <f>VAC_Optim_Scenario!F22</f>
        <v>15022.779470646754</v>
      </c>
      <c r="F7" s="475">
        <f>VAC_Optim_Scenario!G52</f>
        <v>3394246.7935979273</v>
      </c>
      <c r="G7" s="476">
        <f t="shared" si="3"/>
        <v>2.7821695029491207</v>
      </c>
      <c r="H7" s="457">
        <f t="shared" si="0"/>
        <v>1.73689132131779E-3</v>
      </c>
      <c r="I7" s="474">
        <f t="shared" si="1"/>
        <v>81.210005271246729</v>
      </c>
      <c r="J7" s="462">
        <f t="shared" ca="1" si="2"/>
        <v>0.11513353838437583</v>
      </c>
      <c r="K7"/>
      <c r="Q7" s="463" cm="1">
        <f t="array" aca="1" ref="Q7" ca="1">MAX(_xlfn._xlws.FILTER(INDIRECT("'"&amp;A7&amp;"'!"&amp;"A20:A42"),INDIRECT("'"&amp;A7&amp;"'!"&amp;"A20:A42")&lt;$D7))</f>
        <v>1142364.980307648</v>
      </c>
      <c r="R7" s="463" cm="1">
        <f t="array" aca="1" ref="R7" ca="1">MIN(_xlfn._xlws.FILTER(INDIRECT("'"&amp;A7&amp;"'!"&amp;"A20:A42"),INDIRECT("'"&amp;A7&amp;"'!"&amp;"A20:A42")&gt;=$D7))</f>
        <v>1246216.3421537976</v>
      </c>
    </row>
    <row r="8" spans="1:18" x14ac:dyDescent="0.25">
      <c r="A8" s="97" t="s">
        <v>322</v>
      </c>
      <c r="B8" s="451" t="s">
        <v>175</v>
      </c>
      <c r="C8" s="471" t="str">
        <f>VAC_Optim_Scenario!B23</f>
        <v>HCC Streaming Video</v>
      </c>
      <c r="D8" s="475">
        <f>VAC_Optim_Scenario!E23</f>
        <v>4817798</v>
      </c>
      <c r="E8" s="472">
        <f>VAC_Optim_Scenario!F23</f>
        <v>121516.7124715425</v>
      </c>
      <c r="F8" s="475">
        <f>VAC_Optim_Scenario!G53</f>
        <v>27455486.015820313</v>
      </c>
      <c r="G8" s="476">
        <f t="shared" si="3"/>
        <v>5.6987623839397816</v>
      </c>
      <c r="H8" s="457">
        <f t="shared" si="0"/>
        <v>1.4049418997282593E-2</v>
      </c>
      <c r="I8" s="474">
        <f t="shared" si="1"/>
        <v>39.647204915358948</v>
      </c>
      <c r="J8" s="462">
        <f ca="1">(VLOOKUP($Q8,INDIRECT("'"&amp;A8&amp;"'!"&amp;"A20:E42"),3,0)-VLOOKUP($R8,INDIRECT("'"&amp;A8&amp;"'!"&amp;"A20:E42"),3,0))/(Q8-R8)</f>
        <v>4.0068524911094006</v>
      </c>
      <c r="K8"/>
      <c r="Q8" s="463" cm="1">
        <f t="array" aca="1" ref="Q8" ca="1">MAX(_xlfn._xlws.FILTER(INDIRECT("'"&amp;A8&amp;"'!"&amp;"A20:A42"),INDIRECT("'"&amp;A8&amp;"'!"&amp;"A20:A42")&lt;$D8))</f>
        <v>4500000</v>
      </c>
      <c r="R8" s="463" cm="1">
        <f t="array" aca="1" ref="R8" ca="1">MIN(_xlfn._xlws.FILTER(INDIRECT("'"&amp;A8&amp;"'!"&amp;"A20:A42"),INDIRECT("'"&amp;A8&amp;"'!"&amp;"A20:A42")&gt;=$D8))</f>
        <v>5000000</v>
      </c>
    </row>
    <row r="9" spans="1:18" x14ac:dyDescent="0.25">
      <c r="A9" s="97" t="s">
        <v>323</v>
      </c>
      <c r="B9" s="451" t="s">
        <v>175</v>
      </c>
      <c r="C9" s="471" t="str">
        <f>VAC_Optim_Scenario!B24</f>
        <v>HCC Display</v>
      </c>
      <c r="D9" s="475">
        <f>VAC_Optim_Scenario!E24</f>
        <v>3540000</v>
      </c>
      <c r="E9" s="472">
        <f>VAC_Optim_Scenario!F24</f>
        <v>173899.1701768022</v>
      </c>
      <c r="F9" s="475">
        <f>VAC_Optim_Scenario!G54</f>
        <v>39290778.509746693</v>
      </c>
      <c r="G9" s="476">
        <f t="shared" si="3"/>
        <v>11.099089974504716</v>
      </c>
      <c r="H9" s="457">
        <f t="shared" si="0"/>
        <v>2.0105730770702029E-2</v>
      </c>
      <c r="I9" s="474">
        <f t="shared" si="1"/>
        <v>20.356623878083514</v>
      </c>
      <c r="J9" s="462">
        <f t="shared" ca="1" si="2"/>
        <v>6.2094295764497671</v>
      </c>
      <c r="K9"/>
      <c r="Q9" s="463" cm="1">
        <f t="array" aca="1" ref="Q9" ca="1">MAX(_xlfn._xlws.FILTER(INDIRECT("'"&amp;A9&amp;"'!"&amp;"A20:A42"),INDIRECT("'"&amp;A9&amp;"'!"&amp;"A20:A42")&lt;$D9))</f>
        <v>3400000</v>
      </c>
      <c r="R9" s="463" cm="1">
        <f t="array" aca="1" ref="R9" ca="1">MIN(_xlfn._xlws.FILTER(INDIRECT("'"&amp;A9&amp;"'!"&amp;"A20:A42"),INDIRECT("'"&amp;A9&amp;"'!"&amp;"A20:A42")&gt;=$D9))</f>
        <v>3600000</v>
      </c>
    </row>
    <row r="10" spans="1:18" x14ac:dyDescent="0.25">
      <c r="A10" s="97" t="s">
        <v>324</v>
      </c>
      <c r="B10" s="451" t="s">
        <v>175</v>
      </c>
      <c r="C10" s="471" t="str">
        <f>VAC_Optim_Scenario!B25</f>
        <v>HCC Paid Search</v>
      </c>
      <c r="D10" s="475">
        <f>VAC_Optim_Scenario!E25</f>
        <v>400000</v>
      </c>
      <c r="E10" s="472">
        <f>VAC_Optim_Scenario!F25</f>
        <v>145038.35480357721</v>
      </c>
      <c r="F10" s="475">
        <f>VAC_Optim_Scenario!G55</f>
        <v>32769965.884320233</v>
      </c>
      <c r="G10" s="476">
        <f t="shared" si="3"/>
        <v>81.924914710800579</v>
      </c>
      <c r="H10" s="457">
        <f t="shared" si="0"/>
        <v>1.6768924832369803E-2</v>
      </c>
      <c r="I10" s="474">
        <f t="shared" si="1"/>
        <v>2.7578911836232054</v>
      </c>
      <c r="J10" s="462">
        <f ca="1">(VLOOKUP($Q10,INDIRECT("'"&amp;A10&amp;"'!"&amp;"A20:E42"),3,0)-VLOOKUP($R10,INDIRECT("'"&amp;A10&amp;"'!"&amp;"A20:E42"),3,0))/(Q10-R10)</f>
        <v>58.622972004453118</v>
      </c>
      <c r="K10"/>
      <c r="Q10" s="463" cm="1">
        <f t="array" aca="1" ref="Q10" ca="1">MAX(_xlfn._xlws.FILTER(INDIRECT("'"&amp;A10&amp;"'!"&amp;"A20:A42"),INDIRECT("'"&amp;A10&amp;"'!"&amp;"A20:A42")&lt;$D10))</f>
        <v>300000</v>
      </c>
      <c r="R10" s="463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325</v>
      </c>
      <c r="B11" s="451" t="s">
        <v>175</v>
      </c>
      <c r="C11" s="471" t="str">
        <f>VAC_Optim_Scenario!B26</f>
        <v>HCC Audio</v>
      </c>
      <c r="D11" s="475">
        <f>VAC_Optim_Scenario!E26</f>
        <v>2220000</v>
      </c>
      <c r="E11" s="472">
        <f>VAC_Optim_Scenario!F26</f>
        <v>91610.125423352103</v>
      </c>
      <c r="F11" s="475">
        <f>VAC_Optim_Scenario!G56</f>
        <v>20698391.738152172</v>
      </c>
      <c r="G11" s="476">
        <f t="shared" si="3"/>
        <v>9.3235998820505284</v>
      </c>
      <c r="H11" s="457">
        <f t="shared" si="0"/>
        <v>1.0591703892316026E-2</v>
      </c>
      <c r="I11" s="474">
        <f t="shared" si="1"/>
        <v>24.233129140920326</v>
      </c>
      <c r="J11" s="462">
        <f ca="1">(VLOOKUP($Q11,INDIRECT("'"&amp;A11&amp;"'!"&amp;"A20:E42"),3,0)-VLOOKUP($R11,INDIRECT("'"&amp;A11&amp;"'!"&amp;"A20:E42"),3,0))/(Q11-R11)</f>
        <v>5.5164744361232776</v>
      </c>
      <c r="K11"/>
      <c r="Q11" s="463" cm="1">
        <f t="array" aca="1" ref="Q11" ca="1">MAX(_xlfn._xlws.FILTER(INDIRECT("'"&amp;A11&amp;"'!"&amp;"A20:A42"),INDIRECT("'"&amp;A11&amp;"'!"&amp;"A20:A42")&lt;$D11))</f>
        <v>2200000</v>
      </c>
      <c r="R11" s="463" cm="1">
        <f t="array" aca="1" ref="R11" ca="1">MIN(_xlfn._xlws.FILTER(INDIRECT("'"&amp;A11&amp;"'!"&amp;"A20:A42"),INDIRECT("'"&amp;A11&amp;"'!"&amp;"A20:A42")&gt;=$D11))</f>
        <v>2400000</v>
      </c>
    </row>
    <row r="12" spans="1:18" x14ac:dyDescent="0.25">
      <c r="A12" s="97" t="s">
        <v>326</v>
      </c>
      <c r="B12" s="477" t="s">
        <v>175</v>
      </c>
      <c r="C12" s="478" t="str">
        <f>VAC_Optim_Scenario!B27</f>
        <v>HCC TV</v>
      </c>
      <c r="D12" s="479">
        <f>VAC_Optim_Scenario!E27</f>
        <v>15700000</v>
      </c>
      <c r="E12" s="480">
        <f>VAC_Optim_Scenario!F27</f>
        <v>281912.11859902256</v>
      </c>
      <c r="F12" s="479">
        <f>VAC_Optim_Scenario!G57</f>
        <v>63695224.07626316</v>
      </c>
      <c r="G12" s="481">
        <f t="shared" si="3"/>
        <v>4.0570206418002011</v>
      </c>
      <c r="H12" s="482">
        <f t="shared" si="0"/>
        <v>3.2593882718287254E-2</v>
      </c>
      <c r="I12" s="483">
        <f t="shared" si="1"/>
        <v>55.691114230995083</v>
      </c>
      <c r="J12" s="484">
        <f ca="1">(VLOOKUP($Q12,INDIRECT("'"&amp;A12&amp;"'!"&amp;"A20:E42"),3,0)-VLOOKUP($R12,INDIRECT("'"&amp;A12&amp;"'!"&amp;"A20:E42"),3,0))/(Q12-R12)</f>
        <v>2.8442930298198044</v>
      </c>
      <c r="K12"/>
      <c r="Q12" s="463" cm="1">
        <f t="array" aca="1" ref="Q12" ca="1">MAX(_xlfn._xlws.FILTER(INDIRECT("'"&amp;A12&amp;"'!"&amp;"A20:A42"),INDIRECT("'"&amp;A12&amp;"'!"&amp;"A20:A42")&lt;$D12))</f>
        <v>15000000</v>
      </c>
      <c r="R12" s="463" cm="1">
        <f t="array" aca="1" ref="R12" ca="1">MIN(_xlfn._xlws.FILTER(INDIRECT("'"&amp;A12&amp;"'!"&amp;"A20:A42"),INDIRECT("'"&amp;A12&amp;"'!"&amp;"A20:A42")&gt;=$D12))</f>
        <v>16250000</v>
      </c>
    </row>
    <row r="13" spans="1:18" x14ac:dyDescent="0.25">
      <c r="A13" s="97" t="s">
        <v>328</v>
      </c>
      <c r="B13" s="451" t="s">
        <v>285</v>
      </c>
      <c r="C13" s="471" t="str">
        <f>VAC_Optim_Scenario!B29</f>
        <v>HCC InOffice</v>
      </c>
      <c r="D13" s="464">
        <f>VAC_Optim_Scenario!E29</f>
        <v>1000000</v>
      </c>
      <c r="E13" s="472">
        <f>VAC_Optim_Scenario!F29</f>
        <v>6742.3679651152343</v>
      </c>
      <c r="F13" s="464">
        <f>VAC_Optim_Scenario!G59</f>
        <v>1523370.618038136</v>
      </c>
      <c r="G13" s="473">
        <f t="shared" si="3"/>
        <v>1.5233706180381361</v>
      </c>
      <c r="H13" s="457">
        <f>E13/$L$4</f>
        <v>1.4506410840605653E-3</v>
      </c>
      <c r="I13" s="474">
        <f>D13/E13</f>
        <v>148.31584469639799</v>
      </c>
      <c r="J13" s="462">
        <f ca="1">(VLOOKUP($Q13,INDIRECT("'"&amp;A13&amp;"'!"&amp;"A20:E42"),5,0)-VLOOKUP($R13,INDIRECT("'"&amp;A13&amp;"'!"&amp;"A20:E42"),5,0))/(Q13-R13)</f>
        <v>1.1660683828483533</v>
      </c>
      <c r="K13"/>
      <c r="Q13" s="463" cm="1">
        <f t="array" aca="1" ref="Q13" ca="1">MAX(_xlfn._xlws.FILTER(INDIRECT("'"&amp;A13&amp;"'!"&amp;"A20:A42"),INDIRECT("'"&amp;A13&amp;"'!"&amp;"A20:A42")&lt;$D13))</f>
        <v>800000</v>
      </c>
      <c r="R13" s="463" cm="1">
        <f t="array" aca="1" ref="R13" ca="1">MIN(_xlfn._xlws.FILTER(INDIRECT("'"&amp;A13&amp;"'!"&amp;"A20:A42"),INDIRECT("'"&amp;A13&amp;"'!"&amp;"A20:A42")&gt;=$D13))</f>
        <v>1000000</v>
      </c>
    </row>
    <row r="14" spans="1:18" x14ac:dyDescent="0.25">
      <c r="A14" s="97" t="s">
        <v>329</v>
      </c>
      <c r="B14" s="451" t="s">
        <v>285</v>
      </c>
      <c r="C14" s="452" t="str">
        <f>VAC_Optim_Scenario!B30</f>
        <v>HCP MCM</v>
      </c>
      <c r="D14" s="464">
        <f>VAC_Optim_Scenario!E30</f>
        <v>16948000</v>
      </c>
      <c r="E14" s="454">
        <f>VAC_Optim_Scenario!F30</f>
        <v>408993.92537411675</v>
      </c>
      <c r="F14" s="464">
        <f>VAC_Optim_Scenario!G60</f>
        <v>92408087.499027938</v>
      </c>
      <c r="G14" s="469">
        <f t="shared" si="3"/>
        <v>5.4524479289018135</v>
      </c>
      <c r="H14" s="457">
        <f t="shared" ref="H14:H22" si="4">E14/$L$4</f>
        <v>8.7996293638766779E-2</v>
      </c>
      <c r="I14" s="459">
        <f t="shared" ref="I14:I22" si="5">D14/E14</f>
        <v>41.438268268892379</v>
      </c>
      <c r="J14" s="462">
        <f t="shared" ref="J14:J22" ca="1" si="6">(VLOOKUP($Q14,INDIRECT("'"&amp;A14&amp;"'!"&amp;"A20:E42"),5,0)-VLOOKUP($R14,INDIRECT("'"&amp;A14&amp;"'!"&amp;"A20:E42"),5,0))/(Q14-R14)</f>
        <v>5.9586080709351945</v>
      </c>
      <c r="K14"/>
      <c r="Q14" s="463" cm="1">
        <f t="array" aca="1" ref="Q14" ca="1">MAX(_xlfn._xlws.FILTER(INDIRECT("'"&amp;A14&amp;"'!"&amp;"A20:A42"),INDIRECT("'"&amp;A14&amp;"'!"&amp;"A20:A42")&lt;$D14))</f>
        <v>12500000</v>
      </c>
      <c r="R14" s="463" cm="1">
        <f t="array" aca="1" ref="R14" ca="1">MIN(_xlfn._xlws.FILTER(INDIRECT("'"&amp;A14&amp;"'!"&amp;"A20:A42"),INDIRECT("'"&amp;A14&amp;"'!"&amp;"A20:A42")&gt;=$D14))</f>
        <v>0</v>
      </c>
    </row>
    <row r="15" spans="1:18" x14ac:dyDescent="0.25">
      <c r="A15" s="97" t="s">
        <v>330</v>
      </c>
      <c r="B15" s="451" t="s">
        <v>285</v>
      </c>
      <c r="C15" s="452" t="str">
        <f>VAC_Optim_Scenario!B31</f>
        <v>HCC Social</v>
      </c>
      <c r="D15" s="464">
        <f>VAC_Optim_Scenario!E31</f>
        <v>2200000</v>
      </c>
      <c r="E15" s="454">
        <f>VAC_Optim_Scenario!F31</f>
        <v>27316.876297482511</v>
      </c>
      <c r="F15" s="464">
        <f>VAC_Optim_Scenario!G61</f>
        <v>6171975.0306531982</v>
      </c>
      <c r="G15" s="469">
        <f t="shared" si="3"/>
        <v>2.8054431957514536</v>
      </c>
      <c r="H15" s="457">
        <f t="shared" si="4"/>
        <v>5.8773094631377216E-3</v>
      </c>
      <c r="I15" s="459">
        <f t="shared" si="5"/>
        <v>80.536294708145277</v>
      </c>
      <c r="J15" s="462">
        <f ca="1">(VLOOKUP($Q15,INDIRECT("'"&amp;A15&amp;"'!"&amp;"A20:E42"),3,0)-VLOOKUP($R15,INDIRECT("'"&amp;A15&amp;"'!"&amp;"A20:E42"),3,0))/(Q15-R15)</f>
        <v>1.7073346754970775</v>
      </c>
      <c r="K15"/>
      <c r="Q15" s="463" cm="1">
        <f t="array" aca="1" ref="Q15" ca="1">MAX(_xlfn._xlws.FILTER(INDIRECT("'"&amp;A15&amp;"'!"&amp;"A20:A42"),INDIRECT("'"&amp;A15&amp;"'!"&amp;"A20:A42")&lt;$D15))</f>
        <v>2000000</v>
      </c>
      <c r="R15" s="463" cm="1">
        <f t="array" aca="1" ref="R15" ca="1">MIN(_xlfn._xlws.FILTER(INDIRECT("'"&amp;A15&amp;"'!"&amp;"A20:A42"),INDIRECT("'"&amp;A15&amp;"'!"&amp;"A20:A42")&gt;=$D15))</f>
        <v>2250000</v>
      </c>
    </row>
    <row r="16" spans="1:18" x14ac:dyDescent="0.25">
      <c r="A16" s="97" t="s">
        <v>331</v>
      </c>
      <c r="B16" s="451" t="s">
        <v>285</v>
      </c>
      <c r="C16" s="452" t="str">
        <f>VAC_Optim_Scenario!B32</f>
        <v>HCC Online Video</v>
      </c>
      <c r="D16" s="464">
        <f>VAC_Optim_Scenario!E32</f>
        <v>1500000</v>
      </c>
      <c r="E16" s="454">
        <f>VAC_Optim_Scenario!F32</f>
        <v>26310.281300564297</v>
      </c>
      <c r="F16" s="464">
        <f>VAC_Optim_Scenario!G62</f>
        <v>5944544.9570494974</v>
      </c>
      <c r="G16" s="469">
        <f t="shared" si="3"/>
        <v>3.9630299713663315</v>
      </c>
      <c r="H16" s="457">
        <f t="shared" si="4"/>
        <v>5.6607374716512822E-3</v>
      </c>
      <c r="I16" s="459">
        <f t="shared" si="5"/>
        <v>57.011933200722879</v>
      </c>
      <c r="J16" s="462">
        <f t="shared" ca="1" si="6"/>
        <v>2.4010732590155395</v>
      </c>
      <c r="K16"/>
      <c r="Q16" s="463" cm="1">
        <f t="array" aca="1" ref="Q16" ca="1">MAX(_xlfn._xlws.FILTER(INDIRECT("'"&amp;A16&amp;"'!"&amp;"A20:A42"),INDIRECT("'"&amp;A16&amp;"'!"&amp;"A20:A42")&lt;$D16))</f>
        <v>1400000</v>
      </c>
      <c r="R16" s="463" cm="1">
        <f t="array" aca="1" ref="R16" ca="1">MIN(_xlfn._xlws.FILTER(INDIRECT("'"&amp;A16&amp;"'!"&amp;"A20:A42"),INDIRECT("'"&amp;A16&amp;"'!"&amp;"A20:A42")&gt;=$D16))</f>
        <v>1600000</v>
      </c>
    </row>
    <row r="17" spans="1:18" x14ac:dyDescent="0.25">
      <c r="A17" s="97" t="s">
        <v>332</v>
      </c>
      <c r="B17" s="451" t="s">
        <v>285</v>
      </c>
      <c r="C17" s="452" t="str">
        <f>VAC_Optim_Scenario!B33</f>
        <v>HCC Streaming Video</v>
      </c>
      <c r="D17" s="464">
        <f>VAC_Optim_Scenario!E33</f>
        <v>10268452</v>
      </c>
      <c r="E17" s="454">
        <f>VAC_Optim_Scenario!F33</f>
        <v>83590.203851267303</v>
      </c>
      <c r="F17" s="464">
        <f>VAC_Optim_Scenario!G63</f>
        <v>18886370.658155333</v>
      </c>
      <c r="G17" s="469">
        <f t="shared" si="3"/>
        <v>1.8392617171658721</v>
      </c>
      <c r="H17" s="457">
        <f t="shared" si="4"/>
        <v>1.7984687955186911E-2</v>
      </c>
      <c r="I17" s="459">
        <f t="shared" si="5"/>
        <v>122.84276777540508</v>
      </c>
      <c r="J17" s="462">
        <f ca="1">(VLOOKUP($Q17,INDIRECT("'"&amp;A17&amp;"'!"&amp;"A20:E42"),3,0)-VLOOKUP($R17,INDIRECT("'"&amp;A17&amp;"'!"&amp;"A20:E42"),3,0))/(Q17-R17)</f>
        <v>1.293043979820331</v>
      </c>
      <c r="K17"/>
      <c r="Q17" s="463" cm="1">
        <f t="array" aca="1" ref="Q17" ca="1">MAX(_xlfn._xlws.FILTER(INDIRECT("'"&amp;A17&amp;"'!"&amp;"A20:A42"),INDIRECT("'"&amp;A17&amp;"'!"&amp;"A20:A42")&lt;$D17))</f>
        <v>9750000</v>
      </c>
      <c r="R17" s="463" cm="1">
        <f t="array" aca="1" ref="R17" ca="1">MIN(_xlfn._xlws.FILTER(INDIRECT("'"&amp;A17&amp;"'!"&amp;"A20:A42"),INDIRECT("'"&amp;A17&amp;"'!"&amp;"A20:A42")&gt;=$D17))</f>
        <v>10500000</v>
      </c>
    </row>
    <row r="18" spans="1:18" x14ac:dyDescent="0.25">
      <c r="A18" s="97" t="s">
        <v>333</v>
      </c>
      <c r="B18" s="451" t="s">
        <v>285</v>
      </c>
      <c r="C18" s="452" t="str">
        <f>VAC_Optim_Scenario!B34</f>
        <v>HCC Display</v>
      </c>
      <c r="D18" s="464">
        <f>VAC_Optim_Scenario!E34</f>
        <v>4000000</v>
      </c>
      <c r="E18" s="454">
        <f>VAC_Optim_Scenario!F34</f>
        <v>93036.538435982438</v>
      </c>
      <c r="F18" s="464">
        <f>VAC_Optim_Scenario!G64</f>
        <v>21020675.494225871</v>
      </c>
      <c r="G18" s="469">
        <f t="shared" si="3"/>
        <v>5.2551688735564674</v>
      </c>
      <c r="H18" s="457">
        <f t="shared" si="4"/>
        <v>2.0017095725464361E-2</v>
      </c>
      <c r="I18" s="459">
        <f t="shared" si="5"/>
        <v>42.993860984546004</v>
      </c>
      <c r="J18" s="462">
        <f t="shared" ref="J18:J21" ca="1" si="7">(VLOOKUP($Q18,INDIRECT("'"&amp;A18&amp;"'!"&amp;"A20:E42"),3,0)-VLOOKUP($R18,INDIRECT("'"&amp;A18&amp;"'!"&amp;"A20:E42"),3,0))/(Q18-R18)</f>
        <v>3.1937096880425662</v>
      </c>
      <c r="K18"/>
      <c r="Q18" s="463" cm="1">
        <f t="array" aca="1" ref="Q18" ca="1">MAX(_xlfn._xlws.FILTER(INDIRECT("'"&amp;A18&amp;"'!"&amp;"A20:A42"),INDIRECT("'"&amp;A18&amp;"'!"&amp;"A20:A42")&lt;$D18))</f>
        <v>3750000</v>
      </c>
      <c r="R18" s="463" cm="1">
        <f t="array" aca="1" ref="R18" ca="1">MIN(_xlfn._xlws.FILTER(INDIRECT("'"&amp;A18&amp;"'!"&amp;"A20:A42"),INDIRECT("'"&amp;A18&amp;"'!"&amp;"A20:A42")&gt;=$D18))</f>
        <v>4000000</v>
      </c>
    </row>
    <row r="19" spans="1:18" x14ac:dyDescent="0.25">
      <c r="A19" s="97" t="s">
        <v>334</v>
      </c>
      <c r="B19" s="451" t="s">
        <v>285</v>
      </c>
      <c r="C19" s="452" t="str">
        <f>VAC_Optim_Scenario!B35</f>
        <v>HCC Paid Search</v>
      </c>
      <c r="D19" s="464">
        <f>VAC_Optim_Scenario!E35</f>
        <v>200000</v>
      </c>
      <c r="E19" s="454">
        <f>VAC_Optim_Scenario!F35</f>
        <v>79531.473375019181</v>
      </c>
      <c r="F19" s="464">
        <f>VAC_Optim_Scenario!G65</f>
        <v>17969341.094351832</v>
      </c>
      <c r="G19" s="469">
        <f t="shared" si="3"/>
        <v>89.846705471759165</v>
      </c>
      <c r="H19" s="457">
        <f t="shared" si="4"/>
        <v>1.7111439682705003E-2</v>
      </c>
      <c r="I19" s="459">
        <f t="shared" si="5"/>
        <v>2.5147277110902859</v>
      </c>
      <c r="J19" s="462">
        <f t="shared" ca="1" si="7"/>
        <v>84.028991834438983</v>
      </c>
      <c r="K19"/>
      <c r="Q19" s="463" cm="1">
        <f t="array" aca="1" ref="Q19" ca="1">MAX(_xlfn._xlws.FILTER(INDIRECT("'"&amp;A19&amp;"'!"&amp;"A20:A42"),INDIRECT("'"&amp;A19&amp;"'!"&amp;"A20:A42")&lt;$D19))</f>
        <v>0</v>
      </c>
      <c r="R19" s="463" cm="1">
        <f t="array" aca="1" ref="R19" ca="1">MIN(_xlfn._xlws.FILTER(INDIRECT("'"&amp;A19&amp;"'!"&amp;"A20:A42"),INDIRECT("'"&amp;A19&amp;"'!"&amp;"A20:A42")&gt;=$D19))</f>
        <v>250000</v>
      </c>
    </row>
    <row r="20" spans="1:18" x14ac:dyDescent="0.25">
      <c r="A20" s="97" t="s">
        <v>335</v>
      </c>
      <c r="B20" s="451" t="s">
        <v>285</v>
      </c>
      <c r="C20" s="452" t="str">
        <f>VAC_Optim_Scenario!B36</f>
        <v>HCC Linear TV</v>
      </c>
      <c r="D20" s="464">
        <f>VAC_Optim_Scenario!E36</f>
        <v>28089211</v>
      </c>
      <c r="E20" s="454">
        <f>VAC_Optim_Scenario!F36</f>
        <v>178786.88879772768</v>
      </c>
      <c r="F20" s="464">
        <f>VAC_Optim_Scenario!G66</f>
        <v>40395109.654958591</v>
      </c>
      <c r="G20" s="469">
        <f t="shared" si="3"/>
        <v>1.4381005452577003</v>
      </c>
      <c r="H20" s="457">
        <f t="shared" si="4"/>
        <v>3.8466545807533468E-2</v>
      </c>
      <c r="I20" s="459">
        <f t="shared" si="5"/>
        <v>157.11001622596055</v>
      </c>
      <c r="J20" s="462">
        <f t="shared" ca="1" si="7"/>
        <v>1.0103942879146139</v>
      </c>
      <c r="K20"/>
      <c r="Q20" s="463" cm="1">
        <f t="array" aca="1" ref="Q20" ca="1">MAX(_xlfn._xlws.FILTER(INDIRECT("'"&amp;A20&amp;"'!"&amp;"A20:A42"),INDIRECT("'"&amp;A20&amp;"'!"&amp;"A20:A42")&lt;$D20))</f>
        <v>27000000</v>
      </c>
      <c r="R20" s="463" cm="1">
        <f t="array" aca="1" ref="R20" ca="1">MIN(_xlfn._xlws.FILTER(INDIRECT("'"&amp;A20&amp;"'!"&amp;"A20:A42"),INDIRECT("'"&amp;A20&amp;"'!"&amp;"A20:A42")&gt;=$D20))</f>
        <v>28500000</v>
      </c>
    </row>
    <row r="21" spans="1:18" x14ac:dyDescent="0.25">
      <c r="A21" s="97" t="s">
        <v>327</v>
      </c>
      <c r="B21" s="451" t="s">
        <v>285</v>
      </c>
      <c r="C21" s="452" t="str">
        <f>VAC_Optim_Scenario!B37</f>
        <v>HCC Radio</v>
      </c>
      <c r="D21" s="464">
        <f>VAC_Optim_Scenario!E37</f>
        <v>1500000</v>
      </c>
      <c r="E21" s="454">
        <f>VAC_Optim_Scenario!F37</f>
        <v>32266.574959240672</v>
      </c>
      <c r="F21" s="464">
        <f>VAC_Optim_Scenario!G67</f>
        <v>7290309.9462908376</v>
      </c>
      <c r="G21" s="469">
        <f t="shared" si="3"/>
        <v>4.8602066308605583</v>
      </c>
      <c r="H21" s="457">
        <f t="shared" si="4"/>
        <v>6.9422522650755963E-3</v>
      </c>
      <c r="I21" s="459">
        <f t="shared" si="5"/>
        <v>46.487735431938745</v>
      </c>
      <c r="J21" s="462">
        <f t="shared" ca="1" si="7"/>
        <v>2.0509920895460025</v>
      </c>
      <c r="K21"/>
      <c r="Q21" s="463" cm="1">
        <f t="array" aca="1" ref="Q21" ca="1">MAX(_xlfn._xlws.FILTER(INDIRECT("'"&amp;A21&amp;"'!"&amp;"A20:A42"),INDIRECT("'"&amp;A21&amp;"'!"&amp;"A20:A42")&lt;$D21))</f>
        <v>1250000</v>
      </c>
      <c r="R21" s="463" cm="1">
        <f t="array" aca="1" ref="R21" ca="1">MIN(_xlfn._xlws.FILTER(INDIRECT("'"&amp;A21&amp;"'!"&amp;"A20:A42"),INDIRECT("'"&amp;A21&amp;"'!"&amp;"A20:A42")&gt;=$D21))</f>
        <v>1500000</v>
      </c>
    </row>
    <row r="22" spans="1:18" x14ac:dyDescent="0.25">
      <c r="A22" s="97" t="s">
        <v>336</v>
      </c>
      <c r="B22" s="451" t="s">
        <v>285</v>
      </c>
      <c r="C22" s="452" t="str">
        <f>VAC_Optim_Scenario!B38</f>
        <v>HCC Pharmacy</v>
      </c>
      <c r="D22" s="464">
        <f>VAC_Optim_Scenario!E38</f>
        <v>3200000</v>
      </c>
      <c r="E22" s="454">
        <f>VAC_Optim_Scenario!F38</f>
        <v>22412.309442908503</v>
      </c>
      <c r="F22" s="464">
        <f>VAC_Optim_Scenario!G68</f>
        <v>5063837.1955307471</v>
      </c>
      <c r="G22" s="469">
        <f t="shared" si="3"/>
        <v>1.5824491236033584</v>
      </c>
      <c r="H22" s="457">
        <f t="shared" si="4"/>
        <v>4.822076907516566E-3</v>
      </c>
      <c r="I22" s="459">
        <f t="shared" si="5"/>
        <v>142.77868187352351</v>
      </c>
      <c r="J22" s="462">
        <f t="shared" ca="1" si="6"/>
        <v>1.1322085520510514</v>
      </c>
      <c r="K22"/>
      <c r="Q22" s="463" cm="1">
        <f t="array" aca="1" ref="Q22" ca="1">MAX(_xlfn._xlws.FILTER(INDIRECT("'"&amp;A22&amp;"'!"&amp;"A20:A42"),INDIRECT("'"&amp;A22&amp;"'!"&amp;"A20:A42")&lt;$D22))</f>
        <v>3000000</v>
      </c>
      <c r="R22" s="463" cm="1">
        <f t="array" aca="1" ref="R22" ca="1">MIN(_xlfn._xlws.FILTER(INDIRECT("'"&amp;A22&amp;"'!"&amp;"A20:A42"),INDIRECT("'"&amp;A22&amp;"'!"&amp;"A20:A42")&gt;=$D22))</f>
        <v>3200000</v>
      </c>
    </row>
    <row r="23" spans="1:18" x14ac:dyDescent="0.25">
      <c r="B23" s="465" t="s">
        <v>154</v>
      </c>
      <c r="C23" s="466" t="s">
        <v>231</v>
      </c>
      <c r="D23" s="467">
        <f>SUM(D4:D22)</f>
        <v>107419239</v>
      </c>
      <c r="E23" s="468">
        <f>SUM(E4:E22)</f>
        <v>2216670.3846171955</v>
      </c>
      <c r="F23" s="467">
        <f>SUM(F4:F22)</f>
        <v>500834506.70040905</v>
      </c>
      <c r="G23" s="470">
        <f>F23/D23</f>
        <v>4.6624283635113919</v>
      </c>
      <c r="H23" s="225">
        <f>SUM(H4:H22)</f>
        <v>0.35173882898207975</v>
      </c>
      <c r="I23" s="289">
        <f>D23/E23</f>
        <v>48.459725787580545</v>
      </c>
      <c r="J23" s="290"/>
    </row>
    <row r="24" spans="1:18" x14ac:dyDescent="0.25">
      <c r="F24" s="97">
        <f>F23/D23</f>
        <v>4.6624283635113919</v>
      </c>
      <c r="G24" s="226"/>
      <c r="H24" s="227"/>
    </row>
    <row r="26" spans="1:18" ht="25.5" x14ac:dyDescent="0.25">
      <c r="E26" s="220" t="s">
        <v>3</v>
      </c>
      <c r="F26" s="221" t="s">
        <v>309</v>
      </c>
    </row>
    <row r="27" spans="1:18" x14ac:dyDescent="0.25">
      <c r="E27" s="222" t="s">
        <v>189</v>
      </c>
      <c r="F27" s="259">
        <f t="shared" ref="F27:F35" si="8">VLOOKUP(E27,$C$4:$I$12,7,0)</f>
        <v>55.691114230995083</v>
      </c>
    </row>
    <row r="28" spans="1:18" x14ac:dyDescent="0.25">
      <c r="E28" s="223" t="s">
        <v>225</v>
      </c>
      <c r="F28" s="259">
        <f t="shared" si="8"/>
        <v>62.616631772461922</v>
      </c>
    </row>
    <row r="29" spans="1:18" x14ac:dyDescent="0.25">
      <c r="E29" s="223" t="s">
        <v>247</v>
      </c>
      <c r="F29" s="259">
        <f t="shared" si="8"/>
        <v>39.647204915358948</v>
      </c>
    </row>
    <row r="30" spans="1:18" x14ac:dyDescent="0.25">
      <c r="E30" s="223" t="s">
        <v>227</v>
      </c>
      <c r="F30" s="259">
        <f t="shared" si="8"/>
        <v>26.103968382011573</v>
      </c>
    </row>
    <row r="31" spans="1:18" x14ac:dyDescent="0.25">
      <c r="E31" s="223" t="s">
        <v>245</v>
      </c>
      <c r="F31" s="259">
        <f t="shared" si="8"/>
        <v>81.210005271246729</v>
      </c>
    </row>
    <row r="32" spans="1:18" x14ac:dyDescent="0.25">
      <c r="E32" s="223" t="s">
        <v>284</v>
      </c>
      <c r="F32" s="259">
        <f t="shared" si="8"/>
        <v>24.233129140920326</v>
      </c>
    </row>
    <row r="33" spans="5:6" x14ac:dyDescent="0.25">
      <c r="E33" s="223" t="s">
        <v>226</v>
      </c>
      <c r="F33" s="259">
        <f t="shared" si="8"/>
        <v>22.721170503658026</v>
      </c>
    </row>
    <row r="34" spans="5:6" x14ac:dyDescent="0.25">
      <c r="E34" s="223" t="s">
        <v>228</v>
      </c>
      <c r="F34" s="259">
        <f t="shared" si="8"/>
        <v>20.356623878083514</v>
      </c>
    </row>
    <row r="35" spans="5:6" x14ac:dyDescent="0.25">
      <c r="E35" s="224" t="s">
        <v>229</v>
      </c>
      <c r="F35" s="259">
        <f t="shared" si="8"/>
        <v>2.7578911836232054</v>
      </c>
    </row>
    <row r="46" spans="5:6" ht="25.5" x14ac:dyDescent="0.25">
      <c r="E46" s="220" t="s">
        <v>3</v>
      </c>
      <c r="F46" s="221" t="s">
        <v>299</v>
      </c>
    </row>
    <row r="47" spans="5:6" x14ac:dyDescent="0.25">
      <c r="E47" s="222" t="s">
        <v>286</v>
      </c>
      <c r="F47" s="259">
        <f t="shared" ref="F47:F56" si="9">VLOOKUP(E47,$C$13:$I$22,7,0)</f>
        <v>148.31584469639799</v>
      </c>
    </row>
    <row r="48" spans="5:6" x14ac:dyDescent="0.25">
      <c r="E48" s="223" t="s">
        <v>287</v>
      </c>
      <c r="F48" s="259">
        <f t="shared" si="9"/>
        <v>157.11001622596055</v>
      </c>
    </row>
    <row r="49" spans="5:6" x14ac:dyDescent="0.25">
      <c r="E49" s="223" t="s">
        <v>247</v>
      </c>
      <c r="F49" s="259">
        <f t="shared" si="9"/>
        <v>122.84276777540508</v>
      </c>
    </row>
    <row r="50" spans="5:6" x14ac:dyDescent="0.25">
      <c r="E50" s="223" t="s">
        <v>304</v>
      </c>
      <c r="F50" s="259">
        <f t="shared" si="9"/>
        <v>142.77868187352351</v>
      </c>
    </row>
    <row r="51" spans="5:6" x14ac:dyDescent="0.25">
      <c r="E51" s="223" t="s">
        <v>227</v>
      </c>
      <c r="F51" s="259">
        <f t="shared" si="9"/>
        <v>80.536294708145277</v>
      </c>
    </row>
    <row r="52" spans="5:6" x14ac:dyDescent="0.25">
      <c r="E52" s="223" t="s">
        <v>245</v>
      </c>
      <c r="F52" s="259">
        <f t="shared" si="9"/>
        <v>57.011933200722879</v>
      </c>
    </row>
    <row r="53" spans="5:6" x14ac:dyDescent="0.25">
      <c r="E53" s="223" t="s">
        <v>228</v>
      </c>
      <c r="F53" s="259">
        <f t="shared" si="9"/>
        <v>42.993860984546004</v>
      </c>
    </row>
    <row r="54" spans="5:6" x14ac:dyDescent="0.25">
      <c r="E54" s="223" t="s">
        <v>226</v>
      </c>
      <c r="F54" s="259">
        <f t="shared" si="9"/>
        <v>41.438268268892379</v>
      </c>
    </row>
    <row r="55" spans="5:6" x14ac:dyDescent="0.25">
      <c r="E55" s="224" t="s">
        <v>192</v>
      </c>
      <c r="F55" s="259">
        <f t="shared" si="9"/>
        <v>46.487735431938745</v>
      </c>
    </row>
    <row r="56" spans="5:6" x14ac:dyDescent="0.25">
      <c r="E56" s="223" t="s">
        <v>229</v>
      </c>
      <c r="F56" s="259">
        <f t="shared" si="9"/>
        <v>2.5147277110902859</v>
      </c>
    </row>
  </sheetData>
  <autoFilter ref="E26:F35" xr:uid="{8BCDA747-D407-4282-8381-F585CCEDDB35}">
    <sortState xmlns:xlrd2="http://schemas.microsoft.com/office/spreadsheetml/2017/richdata2" ref="E27:F35">
      <sortCondition descending="1" ref="F26:F3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K6" sqref="K6:K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5.14062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51" t="s">
        <v>201</v>
      </c>
      <c r="H4" s="551"/>
      <c r="I4" s="552" t="s">
        <v>202</v>
      </c>
      <c r="J4" s="552"/>
      <c r="K4" s="553" t="s">
        <v>203</v>
      </c>
      <c r="L4" s="553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308</v>
      </c>
      <c r="G5" s="275" t="s">
        <v>337</v>
      </c>
      <c r="H5" s="275"/>
      <c r="I5" s="275" t="s">
        <v>337</v>
      </c>
      <c r="J5" s="275"/>
      <c r="K5" s="275" t="s">
        <v>337</v>
      </c>
      <c r="L5" s="275"/>
      <c r="M5" s="276"/>
    </row>
    <row r="6" spans="2:13" ht="15" customHeight="1" x14ac:dyDescent="0.25">
      <c r="B6" s="183"/>
      <c r="C6" s="169">
        <f>$C$8+E6</f>
        <v>214838478</v>
      </c>
      <c r="D6" s="170">
        <v>1</v>
      </c>
      <c r="E6" s="171">
        <f>D6*$C$8</f>
        <v>107419239</v>
      </c>
      <c r="F6" s="258"/>
      <c r="G6" s="169">
        <f>'Scenario deep dive_24_20M'!P28</f>
        <v>584315376.29753828</v>
      </c>
      <c r="H6" s="275"/>
      <c r="I6" s="169">
        <f t="shared" ref="I6:J8" si="0">G6-$F$8</f>
        <v>83480869.597129226</v>
      </c>
      <c r="J6" s="169">
        <f t="shared" si="0"/>
        <v>-500834506.70040905</v>
      </c>
      <c r="K6" s="172">
        <f t="shared" ref="K6:L8" si="1">G6/$C6</f>
        <v>2.7197892190315103</v>
      </c>
      <c r="L6" s="172">
        <f t="shared" si="1"/>
        <v>0</v>
      </c>
      <c r="M6" s="276"/>
    </row>
    <row r="7" spans="2:13" x14ac:dyDescent="0.25">
      <c r="C7" s="169">
        <f>$C$8+E7</f>
        <v>161128858.5</v>
      </c>
      <c r="D7" s="170">
        <v>0.5</v>
      </c>
      <c r="E7" s="171">
        <f>D7*$C$8</f>
        <v>53709619.5</v>
      </c>
      <c r="F7" s="169"/>
      <c r="G7" s="169">
        <f>'Scenario deep dive_24_20M'!L28</f>
        <v>579638942.31260693</v>
      </c>
      <c r="H7" s="169"/>
      <c r="I7" s="169">
        <f t="shared" si="0"/>
        <v>78804435.612197876</v>
      </c>
      <c r="J7" s="169">
        <f t="shared" si="0"/>
        <v>-500834506.70040905</v>
      </c>
      <c r="K7" s="172">
        <f t="shared" si="1"/>
        <v>3.5973626804574361</v>
      </c>
      <c r="L7" s="172">
        <f t="shared" si="1"/>
        <v>0</v>
      </c>
    </row>
    <row r="8" spans="2:13" x14ac:dyDescent="0.25">
      <c r="B8" s="174">
        <f>F8/C8</f>
        <v>4.6624283635113919</v>
      </c>
      <c r="C8" s="169">
        <f>'Scenario deep dive_24_20M'!C28</f>
        <v>107419239</v>
      </c>
      <c r="D8" s="170">
        <v>0</v>
      </c>
      <c r="E8" s="171">
        <f>D8*$C$8</f>
        <v>0</v>
      </c>
      <c r="F8" s="169">
        <f>'Scenario deep dive_24_20M'!D28</f>
        <v>500834506.70040905</v>
      </c>
      <c r="G8" s="169">
        <f>'Scenario deep dive_24_20M'!H28</f>
        <v>515884477.51702702</v>
      </c>
      <c r="H8" s="169"/>
      <c r="I8" s="169">
        <f t="shared" si="0"/>
        <v>15049970.816617966</v>
      </c>
      <c r="J8" s="169">
        <f t="shared" si="0"/>
        <v>-500834506.70040905</v>
      </c>
      <c r="K8" s="172">
        <f t="shared" si="1"/>
        <v>4.8025333480255528</v>
      </c>
      <c r="L8" s="172">
        <f t="shared" si="1"/>
        <v>0</v>
      </c>
    </row>
    <row r="9" spans="2:13" x14ac:dyDescent="0.25">
      <c r="C9" s="169"/>
      <c r="D9" s="170"/>
      <c r="E9" s="330"/>
      <c r="F9" s="169"/>
      <c r="G9" s="169"/>
      <c r="L9" s="172"/>
    </row>
    <row r="10" spans="2:13" x14ac:dyDescent="0.25">
      <c r="D10" s="330"/>
      <c r="E10" s="330"/>
    </row>
    <row r="11" spans="2:13" x14ac:dyDescent="0.25">
      <c r="F11" s="554" t="s">
        <v>207</v>
      </c>
      <c r="G11" s="554"/>
      <c r="H11" s="554" t="s">
        <v>208</v>
      </c>
      <c r="I11" s="554"/>
    </row>
    <row r="12" spans="2:13" x14ac:dyDescent="0.25">
      <c r="C12" s="166" t="s">
        <v>204</v>
      </c>
      <c r="D12" s="166" t="s">
        <v>205</v>
      </c>
      <c r="E12" s="97" t="s">
        <v>209</v>
      </c>
      <c r="F12" s="275" t="s">
        <v>337</v>
      </c>
      <c r="G12" s="168"/>
      <c r="H12" s="275" t="s">
        <v>337</v>
      </c>
      <c r="I12" s="168"/>
    </row>
    <row r="13" spans="2:13" x14ac:dyDescent="0.25">
      <c r="C13" s="176">
        <f>C6</f>
        <v>214838478</v>
      </c>
      <c r="D13" s="177">
        <v>0.5</v>
      </c>
      <c r="E13" s="176">
        <f>C13-C14</f>
        <v>53709619.5</v>
      </c>
      <c r="F13" s="178">
        <f>G6-G7</f>
        <v>4676433.9849313498</v>
      </c>
      <c r="G13" s="178">
        <f>H6-H7</f>
        <v>0</v>
      </c>
      <c r="H13" s="172">
        <f t="shared" ref="H13:I14" si="2">F13/$E13</f>
        <v>8.7068834753732519E-2</v>
      </c>
      <c r="I13" s="172">
        <f t="shared" si="2"/>
        <v>0</v>
      </c>
    </row>
    <row r="14" spans="2:13" x14ac:dyDescent="0.25">
      <c r="C14" s="176">
        <f>C7</f>
        <v>161128858.5</v>
      </c>
      <c r="D14" s="177">
        <f>D7</f>
        <v>0.5</v>
      </c>
      <c r="E14" s="176">
        <f>C14-C15</f>
        <v>53709619.5</v>
      </c>
      <c r="F14" s="178">
        <f>G7-G8</f>
        <v>63754464.79557991</v>
      </c>
      <c r="G14" s="178">
        <f>H7-H8</f>
        <v>0</v>
      </c>
      <c r="H14" s="172">
        <f t="shared" si="2"/>
        <v>1.1870213453212028</v>
      </c>
      <c r="I14" s="172">
        <f t="shared" si="2"/>
        <v>0</v>
      </c>
    </row>
    <row r="15" spans="2:13" x14ac:dyDescent="0.25">
      <c r="C15" s="176">
        <f>C8</f>
        <v>107419239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25">
      <c r="C16" s="176"/>
      <c r="D16" s="177"/>
      <c r="E16" s="176"/>
      <c r="F16" s="178"/>
      <c r="G16" s="178"/>
      <c r="H16" s="172"/>
      <c r="I16" s="172"/>
    </row>
    <row r="17" spans="8:8" x14ac:dyDescent="0.25">
      <c r="H17" s="172"/>
    </row>
    <row r="53" spans="21:22" x14ac:dyDescent="0.25">
      <c r="U53" s="179"/>
      <c r="V53" s="179"/>
    </row>
    <row r="54" spans="21:22" x14ac:dyDescent="0.25">
      <c r="U54" s="179"/>
      <c r="V54" s="179"/>
    </row>
    <row r="55" spans="21:22" x14ac:dyDescent="0.25">
      <c r="U55" s="179"/>
      <c r="V55" s="179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85345-F47A-48E8-BB8C-1961748810C0}">
  <sheetPr>
    <pageSetUpPr autoPageBreaks="0"/>
  </sheetPr>
  <dimension ref="A3:AB81"/>
  <sheetViews>
    <sheetView showGridLines="0" topLeftCell="A7" zoomScale="75" zoomScaleNormal="75" workbookViewId="0">
      <selection activeCell="R59" sqref="R59:T59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9" width="13.85546875" style="97" customWidth="1"/>
    <col min="20" max="20" width="14.570312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59" t="s">
        <v>350</v>
      </c>
      <c r="G4" s="559"/>
      <c r="H4" s="559"/>
      <c r="I4" s="559"/>
      <c r="J4" s="559"/>
      <c r="K4" s="559"/>
      <c r="L4" s="559"/>
      <c r="M4" s="559"/>
      <c r="N4" s="559"/>
      <c r="O4" s="559"/>
      <c r="P4" s="559"/>
      <c r="Q4" s="501"/>
      <c r="R4" s="501"/>
      <c r="S4" s="501"/>
      <c r="T4" s="501"/>
    </row>
    <row r="5" spans="1:28" ht="34.5" customHeight="1" x14ac:dyDescent="0.25">
      <c r="F5" s="555" t="s">
        <v>310</v>
      </c>
      <c r="G5" s="556"/>
      <c r="H5" s="557"/>
      <c r="I5" s="181"/>
      <c r="J5" s="555" t="s">
        <v>346</v>
      </c>
      <c r="K5" s="556"/>
      <c r="L5" s="557"/>
      <c r="N5" s="586" t="s">
        <v>353</v>
      </c>
      <c r="O5" s="587"/>
      <c r="P5" s="588"/>
      <c r="Q5" s="506"/>
      <c r="R5" s="586" t="s">
        <v>354</v>
      </c>
      <c r="S5" s="587"/>
      <c r="T5" s="588"/>
      <c r="V5" s="97" t="s">
        <v>249</v>
      </c>
    </row>
    <row r="6" spans="1:28" ht="33.75" customHeight="1" x14ac:dyDescent="0.25">
      <c r="B6" s="386" t="s">
        <v>212</v>
      </c>
      <c r="C6" s="388" t="s">
        <v>213</v>
      </c>
      <c r="D6" s="387" t="s">
        <v>214</v>
      </c>
      <c r="E6" s="389"/>
      <c r="F6" s="390" t="s">
        <v>222</v>
      </c>
      <c r="G6" s="389" t="s">
        <v>215</v>
      </c>
      <c r="H6" s="387" t="s">
        <v>216</v>
      </c>
      <c r="I6" s="389"/>
      <c r="J6" s="390" t="s">
        <v>222</v>
      </c>
      <c r="K6" s="389" t="s">
        <v>215</v>
      </c>
      <c r="L6" s="387" t="s">
        <v>216</v>
      </c>
      <c r="M6" s="391"/>
      <c r="N6" s="390" t="s">
        <v>222</v>
      </c>
      <c r="O6" s="389" t="s">
        <v>215</v>
      </c>
      <c r="P6" s="387" t="s">
        <v>216</v>
      </c>
      <c r="Q6" s="507"/>
      <c r="R6" s="390" t="s">
        <v>222</v>
      </c>
      <c r="S6" s="389" t="s">
        <v>215</v>
      </c>
      <c r="T6" s="387" t="s">
        <v>216</v>
      </c>
      <c r="V6" s="183" t="s">
        <v>222</v>
      </c>
      <c r="W6" s="183" t="s">
        <v>215</v>
      </c>
      <c r="X6" s="183" t="s">
        <v>216</v>
      </c>
      <c r="Z6" s="500" t="s">
        <v>343</v>
      </c>
      <c r="AA6" s="499" t="s">
        <v>344</v>
      </c>
      <c r="AB6" s="499" t="s">
        <v>345</v>
      </c>
    </row>
    <row r="7" spans="1:28" x14ac:dyDescent="0.25">
      <c r="A7" s="379" t="str">
        <f>VAC_Optim_Scenario!A49</f>
        <v>Gardasil Adolescents</v>
      </c>
      <c r="B7" s="379" t="str">
        <f>VAC_Optim_Scenario!B19</f>
        <v>HCC In Office</v>
      </c>
      <c r="C7" s="383">
        <f>VAC_Optim_Scenario!E19</f>
        <v>1000000</v>
      </c>
      <c r="D7" s="375">
        <f>VAC_Optim_Scenario!G49</f>
        <v>3608306.5090601984</v>
      </c>
      <c r="E7" s="368"/>
      <c r="F7" s="382">
        <v>1000000</v>
      </c>
      <c r="G7" s="369">
        <v>0</v>
      </c>
      <c r="H7" s="371">
        <v>5040789.0644048415</v>
      </c>
      <c r="I7" s="368"/>
      <c r="J7" s="383">
        <v>1000000.0000000001</v>
      </c>
      <c r="K7" s="373">
        <v>1.1641532182693481E-16</v>
      </c>
      <c r="L7" s="375">
        <v>5040789.0644048415</v>
      </c>
      <c r="M7" s="370"/>
      <c r="N7" s="383">
        <v>1031002.6589524267</v>
      </c>
      <c r="O7" s="373">
        <v>3.1002658952426747E-2</v>
      </c>
      <c r="P7" s="375">
        <v>5166746.0165532213</v>
      </c>
      <c r="Q7" s="372"/>
      <c r="R7" s="383">
        <v>1278223.9170682379</v>
      </c>
      <c r="S7" s="373">
        <v>0.2782239170682379</v>
      </c>
      <c r="T7" s="375">
        <v>6116389.4689701721</v>
      </c>
      <c r="U7" s="180"/>
      <c r="V7" s="185">
        <f>VAC_Optim_Scenario!$H49</f>
        <v>1280553.8166407023</v>
      </c>
      <c r="W7" s="177">
        <f>(V7-$C7)/$C7</f>
        <v>0.28055381664070234</v>
      </c>
      <c r="X7" s="185">
        <f>VAC_Optim_Scenario!$J49</f>
        <v>4383975.1022611018</v>
      </c>
      <c r="Y7" s="185">
        <f>J7-V7</f>
        <v>-280553.81664070219</v>
      </c>
      <c r="Z7" s="493">
        <f>$F7-'[1]Scenario deep dive'!$F7</f>
        <v>0</v>
      </c>
      <c r="AA7" s="496">
        <f>$J7-'[1]Scenario deep dive'!$J7</f>
        <v>-172914.32590990246</v>
      </c>
      <c r="AB7" s="496">
        <f>$N7-'[1]Scenario deep dive'!$N7</f>
        <v>-623586.05337636976</v>
      </c>
    </row>
    <row r="8" spans="1:28" x14ac:dyDescent="0.25">
      <c r="A8" s="380" t="str">
        <f>VAC_Optim_Scenario!A50</f>
        <v>Gardasil Adolescents</v>
      </c>
      <c r="B8" s="380" t="str">
        <f>VAC_Optim_Scenario!B20</f>
        <v>HCP MCM</v>
      </c>
      <c r="C8" s="383">
        <f>VAC_Optim_Scenario!E20</f>
        <v>7775778</v>
      </c>
      <c r="D8" s="375">
        <f>VAC_Optim_Scenario!G50</f>
        <v>77322569.320852205</v>
      </c>
      <c r="E8" s="372"/>
      <c r="F8" s="383">
        <v>7998918.3413149435</v>
      </c>
      <c r="G8" s="373">
        <v>2.869685082508059E-2</v>
      </c>
      <c r="H8" s="375">
        <v>81777817.454316273</v>
      </c>
      <c r="I8" s="372"/>
      <c r="J8" s="383">
        <v>9605523.7969724406</v>
      </c>
      <c r="K8" s="373">
        <v>0.23531353351040121</v>
      </c>
      <c r="L8" s="375">
        <v>89888425.755108371</v>
      </c>
      <c r="M8" s="374"/>
      <c r="N8" s="383">
        <v>10373777.470138263</v>
      </c>
      <c r="O8" s="373">
        <v>0.33411440889107985</v>
      </c>
      <c r="P8" s="375">
        <v>93164666.595661461</v>
      </c>
      <c r="Q8" s="372"/>
      <c r="R8" s="383">
        <v>11092377.687795117</v>
      </c>
      <c r="S8" s="373">
        <v>0.42652962671968225</v>
      </c>
      <c r="T8" s="375">
        <v>95923265.052984297</v>
      </c>
      <c r="U8" s="180"/>
      <c r="V8" s="185">
        <f>VAC_Optim_Scenario!$H50</f>
        <v>11092068.118553624</v>
      </c>
      <c r="W8" s="177">
        <f t="shared" ref="W8:W22" si="0">(V8-$C8)/$C8</f>
        <v>0.42648981472382874</v>
      </c>
      <c r="X8" s="185">
        <f>VAC_Optim_Scenario!$J50</f>
        <v>92129276.914606035</v>
      </c>
      <c r="Y8" s="185">
        <f t="shared" ref="Y8:Y25" si="1">J8-V8</f>
        <v>-1486544.321581183</v>
      </c>
      <c r="Z8" s="494">
        <f>$F8-'[1]Scenario deep dive'!$F8</f>
        <v>-4744.332567198202</v>
      </c>
      <c r="AA8" s="497">
        <f>$J8-'[1]Scenario deep dive'!$J8</f>
        <v>-1175556.0034301039</v>
      </c>
      <c r="AB8" s="497">
        <f>$N8-'[1]Scenario deep dive'!$N8</f>
        <v>-1626222.529861737</v>
      </c>
    </row>
    <row r="9" spans="1:28" x14ac:dyDescent="0.25">
      <c r="A9" s="380" t="str">
        <f>VAC_Optim_Scenario!A51</f>
        <v>Gardasil Adolescents</v>
      </c>
      <c r="B9" s="380" t="str">
        <f>VAC_Optim_Scenario!B21</f>
        <v>HCC Social</v>
      </c>
      <c r="C9" s="383">
        <f>VAC_Optim_Scenario!E21</f>
        <v>1840000</v>
      </c>
      <c r="D9" s="375">
        <f>VAC_Optim_Scenario!G51</f>
        <v>15925915.704314221</v>
      </c>
      <c r="E9" s="372"/>
      <c r="F9" s="383">
        <v>1599500</v>
      </c>
      <c r="G9" s="373">
        <v>-0.13070652173913044</v>
      </c>
      <c r="H9" s="375">
        <v>14642130.239828272</v>
      </c>
      <c r="I9" s="372"/>
      <c r="J9" s="383">
        <v>2632821.5643628188</v>
      </c>
      <c r="K9" s="373">
        <v>0.43088128497979283</v>
      </c>
      <c r="L9" s="375">
        <v>19745429.03808571</v>
      </c>
      <c r="M9" s="374"/>
      <c r="N9" s="383">
        <v>3452816.0964715122</v>
      </c>
      <c r="O9" s="373">
        <v>0.87653048721277838</v>
      </c>
      <c r="P9" s="375">
        <v>23233668.442866057</v>
      </c>
      <c r="Q9" s="372"/>
      <c r="R9" s="383">
        <v>4461839.5943768937</v>
      </c>
      <c r="S9" s="373">
        <v>1.4249128230309205</v>
      </c>
      <c r="T9" s="375">
        <v>27097054.868681762</v>
      </c>
      <c r="U9" s="180"/>
      <c r="V9" s="185">
        <f>VAC_Optim_Scenario!$H51</f>
        <v>4455047.5305201802</v>
      </c>
      <c r="W9" s="177">
        <f t="shared" si="0"/>
        <v>1.4212214839783588</v>
      </c>
      <c r="X9" s="185">
        <f>VAC_Optim_Scenario!$J51</f>
        <v>27072298.129360568</v>
      </c>
      <c r="Y9" s="185">
        <f t="shared" si="1"/>
        <v>-1822225.9661573614</v>
      </c>
      <c r="Z9" s="494">
        <f>$F9-'[1]Scenario deep dive'!$F9</f>
        <v>0</v>
      </c>
      <c r="AA9" s="497">
        <f>$J9-'[1]Scenario deep dive'!$J9</f>
        <v>-1355096.5328637054</v>
      </c>
      <c r="AB9" s="497">
        <f>$N9-'[1]Scenario deep dive'!$N9</f>
        <v>-3047183.9035284878</v>
      </c>
    </row>
    <row r="10" spans="1:28" x14ac:dyDescent="0.25">
      <c r="A10" s="380" t="str">
        <f>VAC_Optim_Scenario!A52</f>
        <v>Gardasil Adolescents</v>
      </c>
      <c r="B10" s="380" t="str">
        <f>VAC_Optim_Scenario!B22</f>
        <v>HCC Online Video</v>
      </c>
      <c r="C10" s="383">
        <f>VAC_Optim_Scenario!E22</f>
        <v>1220000</v>
      </c>
      <c r="D10" s="375">
        <f>VAC_Optim_Scenario!G52</f>
        <v>3394246.7935979273</v>
      </c>
      <c r="E10" s="372"/>
      <c r="F10" s="383">
        <v>1000000</v>
      </c>
      <c r="G10" s="373">
        <v>-0.18032786885245902</v>
      </c>
      <c r="H10" s="375">
        <v>3357832.8692201264</v>
      </c>
      <c r="I10" s="372"/>
      <c r="J10" s="383">
        <v>1000000</v>
      </c>
      <c r="K10" s="373">
        <v>-0.18032786885245902</v>
      </c>
      <c r="L10" s="375">
        <v>3357832.8692201264</v>
      </c>
      <c r="M10" s="374"/>
      <c r="N10" s="383">
        <v>1000000</v>
      </c>
      <c r="O10" s="373">
        <v>-0.18032786885245902</v>
      </c>
      <c r="P10" s="375">
        <v>3357832.8692201264</v>
      </c>
      <c r="Q10" s="372"/>
      <c r="R10" s="383">
        <v>1000000</v>
      </c>
      <c r="S10" s="373">
        <v>-0.18032786885245902</v>
      </c>
      <c r="T10" s="375">
        <v>3357832.8692201264</v>
      </c>
      <c r="U10" s="180"/>
      <c r="V10" s="185">
        <f>VAC_Optim_Scenario!$H52</f>
        <v>1000000</v>
      </c>
      <c r="W10" s="177">
        <f t="shared" si="0"/>
        <v>-0.18032786885245902</v>
      </c>
      <c r="X10" s="185">
        <f>VAC_Optim_Scenario!$J52</f>
        <v>3357832.8692201264</v>
      </c>
      <c r="Y10" s="185">
        <f t="shared" si="1"/>
        <v>0</v>
      </c>
      <c r="Z10" s="494">
        <f>$F10-'[1]Scenario deep dive'!$F10</f>
        <v>0</v>
      </c>
      <c r="AA10" s="497">
        <f>$J10-'[1]Scenario deep dive'!$J10</f>
        <v>0</v>
      </c>
      <c r="AB10" s="497">
        <f>$N10-'[1]Scenario deep dive'!$N10</f>
        <v>0</v>
      </c>
    </row>
    <row r="11" spans="1:28" x14ac:dyDescent="0.25">
      <c r="A11" s="380" t="str">
        <f>VAC_Optim_Scenario!A53</f>
        <v>Gardasil Adolescents</v>
      </c>
      <c r="B11" s="380" t="str">
        <f>VAC_Optim_Scenario!B23</f>
        <v>HCC Streaming Video</v>
      </c>
      <c r="C11" s="383">
        <f>VAC_Optim_Scenario!E23</f>
        <v>4817798</v>
      </c>
      <c r="D11" s="375">
        <f>VAC_Optim_Scenario!G53</f>
        <v>27455486.015820313</v>
      </c>
      <c r="E11" s="372"/>
      <c r="F11" s="383">
        <v>4817798</v>
      </c>
      <c r="G11" s="373">
        <v>0</v>
      </c>
      <c r="H11" s="375">
        <v>27455486.015820313</v>
      </c>
      <c r="I11" s="372"/>
      <c r="J11" s="383">
        <v>4817798</v>
      </c>
      <c r="K11" s="373">
        <v>0</v>
      </c>
      <c r="L11" s="375">
        <v>27455486.015820313</v>
      </c>
      <c r="M11" s="374"/>
      <c r="N11" s="383">
        <v>4817798</v>
      </c>
      <c r="O11" s="373">
        <v>0</v>
      </c>
      <c r="P11" s="375">
        <v>27455486.015820313</v>
      </c>
      <c r="Q11" s="372"/>
      <c r="R11" s="383">
        <v>6488693.6093388796</v>
      </c>
      <c r="S11" s="373">
        <v>0.34681728236403425</v>
      </c>
      <c r="T11" s="375">
        <v>33817789.179286644</v>
      </c>
      <c r="U11" s="180"/>
      <c r="V11" s="185">
        <f>VAC_Optim_Scenario!$H53</f>
        <v>6494076.6811486697</v>
      </c>
      <c r="W11" s="177">
        <f t="shared" si="0"/>
        <v>0.3479346126900027</v>
      </c>
      <c r="X11" s="185">
        <f>VAC_Optim_Scenario!$J53</f>
        <v>33837425.591033712</v>
      </c>
      <c r="Y11" s="185">
        <f t="shared" si="1"/>
        <v>-1676278.6811486697</v>
      </c>
      <c r="Z11" s="494">
        <f>$F11-'[1]Scenario deep dive'!$F11</f>
        <v>0</v>
      </c>
      <c r="AA11" s="497">
        <f>$J11-'[1]Scenario deep dive'!$J11</f>
        <v>-791243.45098168217</v>
      </c>
      <c r="AB11" s="497">
        <f>$N11-'[1]Scenario deep dive'!$N11</f>
        <v>-5954558.8915328681</v>
      </c>
    </row>
    <row r="12" spans="1:28" x14ac:dyDescent="0.25">
      <c r="A12" s="380" t="str">
        <f>VAC_Optim_Scenario!A54</f>
        <v>Gardasil Adolescents</v>
      </c>
      <c r="B12" s="380" t="str">
        <f>VAC_Optim_Scenario!B24</f>
        <v>HCC Display</v>
      </c>
      <c r="C12" s="383">
        <f>VAC_Optim_Scenario!E24</f>
        <v>3540000</v>
      </c>
      <c r="D12" s="375">
        <f>VAC_Optim_Scenario!G54</f>
        <v>39290778.509746693</v>
      </c>
      <c r="E12" s="372"/>
      <c r="F12" s="383">
        <v>3816067.0635054582</v>
      </c>
      <c r="G12" s="373">
        <v>7.7985046187982535E-2</v>
      </c>
      <c r="H12" s="375">
        <v>40912863.539436728</v>
      </c>
      <c r="I12" s="372"/>
      <c r="J12" s="383">
        <v>4532027.9300459428</v>
      </c>
      <c r="K12" s="373">
        <v>0.28023387854405163</v>
      </c>
      <c r="L12" s="375">
        <v>44523257.408678614</v>
      </c>
      <c r="M12" s="374"/>
      <c r="N12" s="383">
        <v>4878657.1744378023</v>
      </c>
      <c r="O12" s="373">
        <v>0.37815174419146957</v>
      </c>
      <c r="P12" s="375">
        <v>46001461.844430365</v>
      </c>
      <c r="Q12" s="372"/>
      <c r="R12" s="383">
        <v>5203154.2914208723</v>
      </c>
      <c r="S12" s="373">
        <v>0.46981759644657412</v>
      </c>
      <c r="T12" s="375">
        <v>47247175.366367191</v>
      </c>
      <c r="U12" s="180"/>
      <c r="V12" s="185">
        <f>VAC_Optim_Scenario!$H54</f>
        <v>5202542.954141208</v>
      </c>
      <c r="W12" s="177">
        <f t="shared" si="0"/>
        <v>0.46964490229977629</v>
      </c>
      <c r="X12" s="185">
        <f>VAC_Optim_Scenario!$J54</f>
        <v>47244945.61050126</v>
      </c>
      <c r="Y12" s="185">
        <f t="shared" si="1"/>
        <v>-670515.02409526519</v>
      </c>
      <c r="Z12" s="494">
        <f>$F12-'[1]Scenario deep dive'!$F12</f>
        <v>4227.6383799510077</v>
      </c>
      <c r="AA12" s="497">
        <f>$J12-'[1]Scenario deep dive'!$J12</f>
        <v>-530594.45622217096</v>
      </c>
      <c r="AB12" s="497">
        <f>$N12-'[1]Scenario deep dive'!$N12</f>
        <v>-807973.26200205088</v>
      </c>
    </row>
    <row r="13" spans="1:28" x14ac:dyDescent="0.25">
      <c r="A13" s="380" t="str">
        <f>VAC_Optim_Scenario!A55</f>
        <v>Gardasil Adolescents</v>
      </c>
      <c r="B13" s="380" t="str">
        <f>VAC_Optim_Scenario!B25</f>
        <v>HCC Paid Search</v>
      </c>
      <c r="C13" s="383">
        <f>VAC_Optim_Scenario!E25</f>
        <v>400000</v>
      </c>
      <c r="D13" s="375">
        <f>VAC_Optim_Scenario!G55</f>
        <v>32769965.884320233</v>
      </c>
      <c r="E13" s="372"/>
      <c r="F13" s="383">
        <v>400000</v>
      </c>
      <c r="G13" s="373">
        <v>0</v>
      </c>
      <c r="H13" s="375">
        <v>32769965.884320233</v>
      </c>
      <c r="I13" s="372"/>
      <c r="J13" s="383">
        <v>400000</v>
      </c>
      <c r="K13" s="373">
        <v>0</v>
      </c>
      <c r="L13" s="375">
        <v>32769965.884320233</v>
      </c>
      <c r="M13" s="374"/>
      <c r="N13" s="383">
        <v>400000</v>
      </c>
      <c r="O13" s="373">
        <v>0</v>
      </c>
      <c r="P13" s="375">
        <v>32769965.884320233</v>
      </c>
      <c r="Q13" s="372"/>
      <c r="R13" s="383">
        <v>400000</v>
      </c>
      <c r="S13" s="373">
        <v>0</v>
      </c>
      <c r="T13" s="375">
        <v>32769965.884320233</v>
      </c>
      <c r="U13" s="180"/>
      <c r="V13" s="185">
        <f>VAC_Optim_Scenario!$H55</f>
        <v>400000</v>
      </c>
      <c r="W13" s="177">
        <f t="shared" si="0"/>
        <v>0</v>
      </c>
      <c r="X13" s="185">
        <f>VAC_Optim_Scenario!$J55</f>
        <v>32769965.884320233</v>
      </c>
      <c r="Y13" s="185">
        <f t="shared" si="1"/>
        <v>0</v>
      </c>
      <c r="Z13" s="494">
        <f>$F13-'[1]Scenario deep dive'!$F13</f>
        <v>0</v>
      </c>
      <c r="AA13" s="497">
        <f>$J13-'[1]Scenario deep dive'!$J13</f>
        <v>0</v>
      </c>
      <c r="AB13" s="497">
        <f>$N13-'[1]Scenario deep dive'!$N13</f>
        <v>0</v>
      </c>
    </row>
    <row r="14" spans="1:28" x14ac:dyDescent="0.25">
      <c r="A14" s="380" t="str">
        <f>VAC_Optim_Scenario!A56</f>
        <v>Gardasil Adolescents</v>
      </c>
      <c r="B14" s="380" t="str">
        <f>VAC_Optim_Scenario!B26</f>
        <v>HCC Audio</v>
      </c>
      <c r="C14" s="383">
        <f>VAC_Optim_Scenario!E26</f>
        <v>2220000</v>
      </c>
      <c r="D14" s="375">
        <f>VAC_Optim_Scenario!G56</f>
        <v>20698391.738152172</v>
      </c>
      <c r="E14" s="372"/>
      <c r="F14" s="383">
        <v>2181292.5931008384</v>
      </c>
      <c r="G14" s="373">
        <v>-1.7435768873496234E-2</v>
      </c>
      <c r="H14" s="375">
        <v>20481095.012188639</v>
      </c>
      <c r="I14" s="372"/>
      <c r="J14" s="383">
        <v>3825404.598056044</v>
      </c>
      <c r="K14" s="373">
        <v>0.72315522434956936</v>
      </c>
      <c r="L14" s="375">
        <v>28690045.883740306</v>
      </c>
      <c r="M14" s="374"/>
      <c r="N14" s="383">
        <v>4800000</v>
      </c>
      <c r="O14" s="373">
        <v>1.1621621621621621</v>
      </c>
      <c r="P14" s="375">
        <v>32875287.531392161</v>
      </c>
      <c r="Q14" s="372"/>
      <c r="R14" s="383">
        <v>4800000</v>
      </c>
      <c r="S14" s="373">
        <v>1.1621621621621621</v>
      </c>
      <c r="T14" s="375">
        <v>32875287.531392161</v>
      </c>
      <c r="U14" s="180"/>
      <c r="V14" s="185">
        <f>VAC_Optim_Scenario!$H56</f>
        <v>4800000</v>
      </c>
      <c r="W14" s="177">
        <f t="shared" si="0"/>
        <v>1.1621621621621621</v>
      </c>
      <c r="X14" s="185">
        <f>VAC_Optim_Scenario!$J56</f>
        <v>32875287.531392161</v>
      </c>
      <c r="Y14" s="185">
        <f t="shared" si="1"/>
        <v>-974595.40194395604</v>
      </c>
      <c r="Z14" s="494">
        <f>$F14-'[1]Scenario deep dive'!$F14</f>
        <v>516.69210848771036</v>
      </c>
      <c r="AA14" s="497">
        <f>$J14-'[1]Scenario deep dive'!$J14</f>
        <v>-974595.40194395604</v>
      </c>
      <c r="AB14" s="497">
        <f>$N14-'[1]Scenario deep dive'!$N14</f>
        <v>0</v>
      </c>
    </row>
    <row r="15" spans="1:28" x14ac:dyDescent="0.25">
      <c r="A15" s="437" t="str">
        <f>VAC_Optim_Scenario!A57</f>
        <v>Gardasil Adolescents</v>
      </c>
      <c r="B15" s="437" t="str">
        <f>VAC_Optim_Scenario!B27</f>
        <v>HCC TV</v>
      </c>
      <c r="C15" s="383">
        <f>VAC_Optim_Scenario!E27</f>
        <v>15700000</v>
      </c>
      <c r="D15" s="375">
        <f>VAC_Optim_Scenario!G57</f>
        <v>63695224.07626316</v>
      </c>
      <c r="E15" s="376"/>
      <c r="F15" s="384">
        <v>16888801</v>
      </c>
      <c r="G15" s="377">
        <v>0</v>
      </c>
      <c r="H15" s="378">
        <v>67034177.652868718</v>
      </c>
      <c r="I15" s="372"/>
      <c r="J15" s="383">
        <v>16888801</v>
      </c>
      <c r="K15" s="373">
        <v>0</v>
      </c>
      <c r="L15" s="375">
        <v>67034177.652868718</v>
      </c>
      <c r="M15" s="374"/>
      <c r="N15" s="383">
        <v>16888801</v>
      </c>
      <c r="O15" s="373">
        <v>0</v>
      </c>
      <c r="P15" s="375">
        <v>67034177.652868718</v>
      </c>
      <c r="Q15" s="372"/>
      <c r="R15" s="383">
        <v>16888801</v>
      </c>
      <c r="S15" s="373">
        <v>0</v>
      </c>
      <c r="T15" s="375">
        <v>67034177.652868718</v>
      </c>
      <c r="U15" s="180"/>
      <c r="V15" s="185">
        <f>VAC_Optim_Scenario!$H57</f>
        <v>16888801</v>
      </c>
      <c r="W15" s="177">
        <f t="shared" si="0"/>
        <v>7.5719808917197456E-2</v>
      </c>
      <c r="X15" s="185">
        <f>VAC_Optim_Scenario!$J57</f>
        <v>67034177.652868718</v>
      </c>
      <c r="Y15" s="185">
        <f t="shared" si="1"/>
        <v>0</v>
      </c>
      <c r="Z15" s="495">
        <f>$F15-'[1]Scenario deep dive'!$F15</f>
        <v>0</v>
      </c>
      <c r="AA15" s="497">
        <f>$J15-'[1]Scenario deep dive'!$J15</f>
        <v>0</v>
      </c>
      <c r="AB15" s="497">
        <f>$N15-'[1]Scenario deep dive'!$N15</f>
        <v>0</v>
      </c>
    </row>
    <row r="16" spans="1:28" x14ac:dyDescent="0.25">
      <c r="A16" s="379" t="str">
        <f>VAC_Optim_Scenario!A59</f>
        <v>Gardasil Adults</v>
      </c>
      <c r="B16" s="379" t="str">
        <f>VAC_Optim_Scenario!B29</f>
        <v>HCC InOffice</v>
      </c>
      <c r="C16" s="382">
        <f>VAC_Optim_Scenario!E29</f>
        <v>1000000</v>
      </c>
      <c r="D16" s="371">
        <f>VAC_Optim_Scenario!G59</f>
        <v>1523370.618038136</v>
      </c>
      <c r="E16" s="368"/>
      <c r="F16" s="382">
        <v>900000</v>
      </c>
      <c r="G16" s="369">
        <v>-0.1</v>
      </c>
      <c r="H16" s="371">
        <v>1410431.7445188572</v>
      </c>
      <c r="I16" s="372"/>
      <c r="J16" s="382">
        <v>900000</v>
      </c>
      <c r="K16" s="369">
        <v>-0.1</v>
      </c>
      <c r="L16" s="371">
        <v>1410431.7445188572</v>
      </c>
      <c r="M16" s="374"/>
      <c r="N16" s="382">
        <v>900000</v>
      </c>
      <c r="O16" s="369">
        <v>-0.1</v>
      </c>
      <c r="P16" s="371">
        <v>1410431.7445188572</v>
      </c>
      <c r="Q16" s="372"/>
      <c r="R16" s="382">
        <v>900000</v>
      </c>
      <c r="S16" s="369">
        <v>-0.1</v>
      </c>
      <c r="T16" s="371">
        <v>1410431.7445188572</v>
      </c>
      <c r="U16" s="180"/>
      <c r="V16" s="185">
        <f>VAC_Optim_Scenario!$H59</f>
        <v>900000</v>
      </c>
      <c r="W16" s="177">
        <f t="shared" si="0"/>
        <v>-0.1</v>
      </c>
      <c r="X16" s="185">
        <f>VAC_Optim_Scenario!$J59</f>
        <v>1410431.7445188572</v>
      </c>
      <c r="Y16" s="185">
        <f t="shared" si="1"/>
        <v>0</v>
      </c>
      <c r="Z16" s="493">
        <f>$F16-'[2]Scenario deep dive'!$F7</f>
        <v>0</v>
      </c>
      <c r="AA16" s="496">
        <f>$J16-'[2]Scenario deep dive'!$J7</f>
        <v>0</v>
      </c>
      <c r="AB16" s="496">
        <f>$N16-'[2]Scenario deep dive'!$N7</f>
        <v>-126598.07612722274</v>
      </c>
    </row>
    <row r="17" spans="1:28" x14ac:dyDescent="0.25">
      <c r="A17" s="380" t="str">
        <f>VAC_Optim_Scenario!A60</f>
        <v>Gardasil Adults</v>
      </c>
      <c r="B17" s="380" t="str">
        <f>VAC_Optim_Scenario!B30</f>
        <v>HCP MCM</v>
      </c>
      <c r="C17" s="383">
        <f>VAC_Optim_Scenario!E30</f>
        <v>16948000</v>
      </c>
      <c r="D17" s="375">
        <f>VAC_Optim_Scenario!G60</f>
        <v>92408087.499027938</v>
      </c>
      <c r="E17" s="372"/>
      <c r="F17" s="383">
        <v>20341852.513153099</v>
      </c>
      <c r="G17" s="373">
        <v>0.20025091533827583</v>
      </c>
      <c r="H17" s="375">
        <v>103736894.64632764</v>
      </c>
      <c r="I17" s="372"/>
      <c r="J17" s="383">
        <v>21000000.209999997</v>
      </c>
      <c r="K17" s="373">
        <v>0.23908427012036801</v>
      </c>
      <c r="L17" s="375">
        <v>105724787.34578903</v>
      </c>
      <c r="M17" s="374"/>
      <c r="N17" s="383">
        <v>21000000</v>
      </c>
      <c r="O17" s="373">
        <v>0.2390842577295256</v>
      </c>
      <c r="P17" s="375">
        <v>105724786.72171538</v>
      </c>
      <c r="Q17" s="372"/>
      <c r="R17" s="383">
        <v>19092190.833976123</v>
      </c>
      <c r="S17" s="373">
        <v>0.12651586228322653</v>
      </c>
      <c r="T17" s="375">
        <v>99781193.393137068</v>
      </c>
      <c r="U17" s="180"/>
      <c r="V17" s="185">
        <f>VAC_Optim_Scenario!$H60</f>
        <v>21000000.203315023</v>
      </c>
      <c r="W17" s="177">
        <f t="shared" si="0"/>
        <v>0.23908426972592775</v>
      </c>
      <c r="X17" s="185">
        <f>VAC_Optim_Scenario!$J60</f>
        <v>105724787.32592277</v>
      </c>
      <c r="Y17" s="185">
        <f t="shared" si="1"/>
        <v>6.6849738359451294E-3</v>
      </c>
      <c r="Z17" s="494">
        <f>$F17-'[2]Scenario deep dive'!$F8</f>
        <v>9125.7266342788935</v>
      </c>
      <c r="AA17" s="497">
        <f>$J17-'[2]Scenario deep dive'!$J8</f>
        <v>0.20999999716877937</v>
      </c>
      <c r="AB17" s="497">
        <f>$N17-'[2]Scenario deep dive'!$N8</f>
        <v>0</v>
      </c>
    </row>
    <row r="18" spans="1:28" x14ac:dyDescent="0.25">
      <c r="A18" s="380" t="str">
        <f>VAC_Optim_Scenario!A61</f>
        <v>Gardasil Adults</v>
      </c>
      <c r="B18" s="380" t="str">
        <f>VAC_Optim_Scenario!B31</f>
        <v>HCC Social</v>
      </c>
      <c r="C18" s="383">
        <f>VAC_Optim_Scenario!E31</f>
        <v>2200000</v>
      </c>
      <c r="D18" s="375">
        <f>VAC_Optim_Scenario!G61</f>
        <v>6171975.0306531982</v>
      </c>
      <c r="E18" s="372"/>
      <c r="F18" s="383">
        <v>1800000</v>
      </c>
      <c r="G18" s="373">
        <v>-0.18181818181818182</v>
      </c>
      <c r="H18" s="375">
        <v>5471848.3801533533</v>
      </c>
      <c r="I18" s="372"/>
      <c r="J18" s="383">
        <v>2789260.1176541862</v>
      </c>
      <c r="K18" s="373">
        <v>0.26784550802463009</v>
      </c>
      <c r="L18" s="375">
        <v>7116459.1733021522</v>
      </c>
      <c r="M18" s="374"/>
      <c r="N18" s="383">
        <v>1800000</v>
      </c>
      <c r="O18" s="373">
        <v>-0.18181818181818182</v>
      </c>
      <c r="P18" s="375">
        <v>5471848.3801533533</v>
      </c>
      <c r="Q18" s="372"/>
      <c r="R18" s="383">
        <v>1800000</v>
      </c>
      <c r="S18" s="373">
        <v>-0.18181818181818182</v>
      </c>
      <c r="T18" s="375">
        <v>5471848.3801533533</v>
      </c>
      <c r="U18" s="180"/>
      <c r="V18" s="185">
        <f>VAC_Optim_Scenario!$H61</f>
        <v>4154570.9220185205</v>
      </c>
      <c r="W18" s="177">
        <f t="shared" si="0"/>
        <v>0.88844132819023658</v>
      </c>
      <c r="X18" s="185">
        <f>VAC_Optim_Scenario!$J61</f>
        <v>9038289.7156212088</v>
      </c>
      <c r="Y18" s="185">
        <f t="shared" si="1"/>
        <v>-1365310.8043643343</v>
      </c>
      <c r="Z18" s="494">
        <f>$F18-'[2]Scenario deep dive'!$F9</f>
        <v>0</v>
      </c>
      <c r="AA18" s="497">
        <f>$J18-'[2]Scenario deep dive'!$J9</f>
        <v>-1797255.114508539</v>
      </c>
      <c r="AB18" s="497">
        <f>$N18-'[2]Scenario deep dive'!$N9</f>
        <v>-4933228.4705905961</v>
      </c>
    </row>
    <row r="19" spans="1:28" x14ac:dyDescent="0.25">
      <c r="A19" s="380" t="str">
        <f>VAC_Optim_Scenario!A62</f>
        <v>Gardasil Adults</v>
      </c>
      <c r="B19" s="380" t="str">
        <f>VAC_Optim_Scenario!B32</f>
        <v>HCC Online Video</v>
      </c>
      <c r="C19" s="383">
        <f>VAC_Optim_Scenario!E32</f>
        <v>1500000</v>
      </c>
      <c r="D19" s="375">
        <f>VAC_Optim_Scenario!G62</f>
        <v>5944544.9570494974</v>
      </c>
      <c r="E19" s="372"/>
      <c r="F19" s="383">
        <v>1105721.3674438763</v>
      </c>
      <c r="G19" s="373">
        <v>-0.26285242170408246</v>
      </c>
      <c r="H19" s="375">
        <v>4872206.4746905435</v>
      </c>
      <c r="I19" s="372"/>
      <c r="J19" s="383">
        <v>2220290.7469812133</v>
      </c>
      <c r="K19" s="373">
        <v>0.48019383132080889</v>
      </c>
      <c r="L19" s="375">
        <v>7336836.6723772259</v>
      </c>
      <c r="M19" s="374"/>
      <c r="N19" s="383">
        <v>1457954.7342470805</v>
      </c>
      <c r="O19" s="373">
        <v>-2.8030177168612988E-2</v>
      </c>
      <c r="P19" s="375">
        <v>5842322.9322365355</v>
      </c>
      <c r="Q19" s="372"/>
      <c r="R19" s="383">
        <v>1100000</v>
      </c>
      <c r="S19" s="373">
        <v>-0.26666666666666666</v>
      </c>
      <c r="T19" s="375">
        <v>4854627.720414157</v>
      </c>
      <c r="U19" s="180"/>
      <c r="V19" s="185">
        <f>VAC_Optim_Scenario!$H62</f>
        <v>2469338.7975853113</v>
      </c>
      <c r="W19" s="177">
        <f t="shared" si="0"/>
        <v>0.64622586505687418</v>
      </c>
      <c r="X19" s="185">
        <f>VAC_Optim_Scenario!$J62</f>
        <v>7689906.7353378301</v>
      </c>
      <c r="Y19" s="185">
        <f t="shared" si="1"/>
        <v>-249048.05060409801</v>
      </c>
      <c r="Z19" s="494">
        <f>$F19-'[2]Scenario deep dive'!$F10</f>
        <v>2109.5296276581939</v>
      </c>
      <c r="AA19" s="497">
        <f>$J19-'[2]Scenario deep dive'!$J10</f>
        <v>-318317.61094867205</v>
      </c>
      <c r="AB19" s="497">
        <f>$N19-'[2]Scenario deep dive'!$N10</f>
        <v>-1326193.8492011135</v>
      </c>
    </row>
    <row r="20" spans="1:28" x14ac:dyDescent="0.25">
      <c r="A20" s="380" t="str">
        <f>VAC_Optim_Scenario!A63</f>
        <v>Gardasil Adults</v>
      </c>
      <c r="B20" s="380" t="str">
        <f>VAC_Optim_Scenario!B33</f>
        <v>HCC Streaming Video</v>
      </c>
      <c r="C20" s="383">
        <f>VAC_Optim_Scenario!E33</f>
        <v>10268452</v>
      </c>
      <c r="D20" s="375">
        <f>VAC_Optim_Scenario!G63</f>
        <v>18886370.658155333</v>
      </c>
      <c r="E20" s="372"/>
      <c r="F20" s="383">
        <v>8306900.9999999991</v>
      </c>
      <c r="G20" s="373">
        <v>-0.19102694349644922</v>
      </c>
      <c r="H20" s="375">
        <v>16281797.494816165</v>
      </c>
      <c r="I20" s="372"/>
      <c r="J20" s="383">
        <v>8306901</v>
      </c>
      <c r="K20" s="373">
        <v>-0.19102694349644914</v>
      </c>
      <c r="L20" s="375">
        <v>16281797.494816165</v>
      </c>
      <c r="M20" s="374"/>
      <c r="N20" s="383">
        <v>8306901.0709167719</v>
      </c>
      <c r="O20" s="373">
        <v>-0.19102693659017231</v>
      </c>
      <c r="P20" s="375">
        <v>16281797.592115596</v>
      </c>
      <c r="Q20" s="372"/>
      <c r="R20" s="383">
        <v>8306901.0709167719</v>
      </c>
      <c r="S20" s="373">
        <v>-0.19102693659017231</v>
      </c>
      <c r="T20" s="375">
        <v>16281797.592115596</v>
      </c>
      <c r="U20" s="180"/>
      <c r="V20" s="185">
        <f>VAC_Optim_Scenario!$H63</f>
        <v>9781828.9864038322</v>
      </c>
      <c r="W20" s="177">
        <f t="shared" si="0"/>
        <v>-4.7390104525605978E-2</v>
      </c>
      <c r="X20" s="185">
        <f>VAC_Optim_Scenario!$J63</f>
        <v>18255304.051492907</v>
      </c>
      <c r="Y20" s="185">
        <f t="shared" si="1"/>
        <v>-1474927.9864038322</v>
      </c>
      <c r="Z20" s="494">
        <f>$F20-'[2]Scenario deep dive'!$F11</f>
        <v>0</v>
      </c>
      <c r="AA20" s="497">
        <f>$J20-'[2]Scenario deep dive'!$J11</f>
        <v>-2884427.353730984</v>
      </c>
      <c r="AB20" s="497">
        <f>$N20-'[2]Scenario deep dive'!$N11</f>
        <v>-10365575.834969964</v>
      </c>
    </row>
    <row r="21" spans="1:28" x14ac:dyDescent="0.25">
      <c r="A21" s="380" t="str">
        <f>VAC_Optim_Scenario!A64</f>
        <v>Gardasil Adults</v>
      </c>
      <c r="B21" s="380" t="str">
        <f>VAC_Optim_Scenario!B34</f>
        <v>HCC Display</v>
      </c>
      <c r="C21" s="383">
        <f>VAC_Optim_Scenario!E34</f>
        <v>4000000</v>
      </c>
      <c r="D21" s="375">
        <f>VAC_Optim_Scenario!G64</f>
        <v>21020675.494225871</v>
      </c>
      <c r="E21" s="372"/>
      <c r="F21" s="383">
        <v>4257472.7107360102</v>
      </c>
      <c r="G21" s="373">
        <v>6.4368177684002562E-2</v>
      </c>
      <c r="H21" s="375">
        <v>21822364.062061273</v>
      </c>
      <c r="I21" s="372"/>
      <c r="J21" s="383">
        <v>5000000</v>
      </c>
      <c r="K21" s="373">
        <v>0.25</v>
      </c>
      <c r="L21" s="375">
        <v>24032152.746086098</v>
      </c>
      <c r="M21" s="374"/>
      <c r="N21" s="383">
        <v>5000000</v>
      </c>
      <c r="O21" s="373">
        <v>0.25</v>
      </c>
      <c r="P21" s="375">
        <v>24032152.746086098</v>
      </c>
      <c r="Q21" s="372"/>
      <c r="R21" s="383">
        <v>3677820.7816323922</v>
      </c>
      <c r="S21" s="373">
        <v>-8.0544804591901956E-2</v>
      </c>
      <c r="T21" s="375">
        <v>19987800.706370473</v>
      </c>
      <c r="U21" s="180"/>
      <c r="V21" s="185">
        <f>VAC_Optim_Scenario!$H64</f>
        <v>5000000</v>
      </c>
      <c r="W21" s="177">
        <f t="shared" si="0"/>
        <v>0.25</v>
      </c>
      <c r="X21" s="185">
        <f>VAC_Optim_Scenario!$J64</f>
        <v>24032152.746086098</v>
      </c>
      <c r="Y21" s="185">
        <f t="shared" si="1"/>
        <v>0</v>
      </c>
      <c r="Z21" s="494">
        <f>$F21-'[2]Scenario deep dive'!$F12</f>
        <v>-15613.501948088408</v>
      </c>
      <c r="AA21" s="497">
        <f>$J21-'[2]Scenario deep dive'!$J12</f>
        <v>0</v>
      </c>
      <c r="AB21" s="497">
        <f>$N21-'[2]Scenario deep dive'!$N12</f>
        <v>0</v>
      </c>
    </row>
    <row r="22" spans="1:28" x14ac:dyDescent="0.25">
      <c r="A22" s="380" t="str">
        <f>VAC_Optim_Scenario!A65</f>
        <v>Gardasil Adults</v>
      </c>
      <c r="B22" s="380" t="str">
        <f>VAC_Optim_Scenario!B35</f>
        <v>HCC Paid Search</v>
      </c>
      <c r="C22" s="383">
        <f>VAC_Optim_Scenario!E35</f>
        <v>200000</v>
      </c>
      <c r="D22" s="375">
        <f>VAC_Optim_Scenario!G65</f>
        <v>17969341.094351832</v>
      </c>
      <c r="E22" s="372"/>
      <c r="F22" s="383">
        <v>200000</v>
      </c>
      <c r="G22" s="373">
        <v>0</v>
      </c>
      <c r="H22" s="375">
        <v>17969341.094351832</v>
      </c>
      <c r="I22" s="372"/>
      <c r="J22" s="383">
        <v>200000</v>
      </c>
      <c r="K22" s="373">
        <v>0</v>
      </c>
      <c r="L22" s="375">
        <v>17969341.094351832</v>
      </c>
      <c r="M22" s="374"/>
      <c r="N22" s="383">
        <v>200000</v>
      </c>
      <c r="O22" s="373">
        <v>0</v>
      </c>
      <c r="P22" s="375">
        <v>17969341.094351832</v>
      </c>
      <c r="Q22" s="372"/>
      <c r="R22" s="383">
        <v>200000</v>
      </c>
      <c r="S22" s="373">
        <v>0</v>
      </c>
      <c r="T22" s="375">
        <v>17969341.094351832</v>
      </c>
      <c r="U22" s="180"/>
      <c r="V22" s="185">
        <f>VAC_Optim_Scenario!$H65</f>
        <v>200000</v>
      </c>
      <c r="W22" s="177">
        <f t="shared" si="0"/>
        <v>0</v>
      </c>
      <c r="X22" s="185">
        <f>VAC_Optim_Scenario!$J65</f>
        <v>17969341.094351832</v>
      </c>
      <c r="Y22" s="185">
        <f t="shared" si="1"/>
        <v>0</v>
      </c>
      <c r="Z22" s="494">
        <f>$F22-'[2]Scenario deep dive'!$F13</f>
        <v>0</v>
      </c>
      <c r="AA22" s="497">
        <f>$J22-'[2]Scenario deep dive'!$J13</f>
        <v>0</v>
      </c>
      <c r="AB22" s="497">
        <f>$N22-'[2]Scenario deep dive'!$N13</f>
        <v>0</v>
      </c>
    </row>
    <row r="23" spans="1:28" x14ac:dyDescent="0.25">
      <c r="A23" s="380" t="str">
        <f>VAC_Optim_Scenario!A66</f>
        <v>Gardasil Adults</v>
      </c>
      <c r="B23" s="380" t="str">
        <f>VAC_Optim_Scenario!B36</f>
        <v>HCC Linear TV</v>
      </c>
      <c r="C23" s="383">
        <f>VAC_Optim_Scenario!E36</f>
        <v>28089211</v>
      </c>
      <c r="D23" s="375">
        <f>VAC_Optim_Scenario!G66</f>
        <v>40395109.654958591</v>
      </c>
      <c r="E23" s="372"/>
      <c r="F23" s="383">
        <v>28089211</v>
      </c>
      <c r="G23" s="373">
        <v>0</v>
      </c>
      <c r="H23" s="375">
        <v>40395109.654958591</v>
      </c>
      <c r="I23" s="372"/>
      <c r="J23" s="383">
        <v>28089211</v>
      </c>
      <c r="K23" s="373">
        <v>0</v>
      </c>
      <c r="L23" s="375">
        <v>40395109.654958591</v>
      </c>
      <c r="M23" s="374"/>
      <c r="N23" s="383">
        <v>28089211</v>
      </c>
      <c r="O23" s="373">
        <v>0</v>
      </c>
      <c r="P23" s="375">
        <v>40395109.654958591</v>
      </c>
      <c r="Q23" s="372"/>
      <c r="R23" s="383">
        <v>28089211</v>
      </c>
      <c r="S23" s="373">
        <v>0</v>
      </c>
      <c r="T23" s="375">
        <v>40395109.654958591</v>
      </c>
      <c r="U23" s="180"/>
      <c r="V23" s="185">
        <f>VAC_Optim_Scenario!$H66</f>
        <v>28089211</v>
      </c>
      <c r="W23" s="177">
        <f>(V23-$C23)/$C23</f>
        <v>0</v>
      </c>
      <c r="X23" s="185">
        <f>VAC_Optim_Scenario!$J66</f>
        <v>40395109.654958591</v>
      </c>
      <c r="Y23" s="185">
        <f t="shared" si="1"/>
        <v>0</v>
      </c>
      <c r="Z23" s="494">
        <f>$F23-'[2]Scenario deep dive'!$F15</f>
        <v>0</v>
      </c>
      <c r="AA23" s="497">
        <f>$J23-'[2]Scenario deep dive'!$J15</f>
        <v>0</v>
      </c>
      <c r="AB23" s="497">
        <f>$N23-'[2]Scenario deep dive'!$N15</f>
        <v>0</v>
      </c>
    </row>
    <row r="24" spans="1:28" x14ac:dyDescent="0.25">
      <c r="A24" s="437" t="str">
        <f>VAC_Optim_Scenario!A67</f>
        <v>Gardasil Adults</v>
      </c>
      <c r="B24" s="437" t="str">
        <f>VAC_Optim_Scenario!B37</f>
        <v>HCC Radio</v>
      </c>
      <c r="C24" s="383">
        <f>VAC_Optim_Scenario!E37</f>
        <v>1500000</v>
      </c>
      <c r="D24" s="375">
        <f>VAC_Optim_Scenario!G67</f>
        <v>7290309.9462908376</v>
      </c>
      <c r="E24" s="372"/>
      <c r="F24" s="383">
        <v>704504.46923774574</v>
      </c>
      <c r="G24" s="373">
        <v>-0.53033035384150284</v>
      </c>
      <c r="H24" s="375">
        <v>5388439.2392324274</v>
      </c>
      <c r="I24" s="372"/>
      <c r="J24" s="383">
        <v>2200000</v>
      </c>
      <c r="K24" s="373">
        <v>0.46666666666666667</v>
      </c>
      <c r="L24" s="375">
        <v>8497253.2367697079</v>
      </c>
      <c r="M24" s="374"/>
      <c r="N24" s="383">
        <v>1011120.7948361478</v>
      </c>
      <c r="O24" s="373">
        <v>-0.32591947010923478</v>
      </c>
      <c r="P24" s="375">
        <v>6226309.513811579</v>
      </c>
      <c r="Q24" s="372"/>
      <c r="R24" s="383">
        <v>628826.21347470093</v>
      </c>
      <c r="S24" s="373">
        <v>-0.58078252435019939</v>
      </c>
      <c r="T24" s="375">
        <v>5148986.3921964923</v>
      </c>
      <c r="U24" s="180"/>
      <c r="V24" s="185">
        <f>VAC_Optim_Scenario!$H67</f>
        <v>2200000</v>
      </c>
      <c r="W24" s="177">
        <f t="shared" ref="W24:W25" si="2">(V24-$C24)/$C24</f>
        <v>0.46666666666666667</v>
      </c>
      <c r="X24" s="491">
        <f>VAC_Optim_Scenario!$J67</f>
        <v>8497253.2367697079</v>
      </c>
      <c r="Y24" s="185">
        <f t="shared" si="1"/>
        <v>0</v>
      </c>
      <c r="Z24" s="494">
        <f>$F24-'[2]Scenario deep dive'!$F14</f>
        <v>4378.2927336152643</v>
      </c>
      <c r="AA24" s="497">
        <f>$J24-'[2]Scenario deep dive'!$J14</f>
        <v>0</v>
      </c>
      <c r="AB24" s="497">
        <f>$N24-'[2]Scenario deep dive'!$N14</f>
        <v>-1188879.2051638523</v>
      </c>
    </row>
    <row r="25" spans="1:28" x14ac:dyDescent="0.25">
      <c r="A25" s="381" t="str">
        <f>VAC_Optim_Scenario!A68</f>
        <v>Gardasil Adults</v>
      </c>
      <c r="B25" s="437" t="str">
        <f>VAC_Optim_Scenario!B38</f>
        <v>HCC Pharmacy</v>
      </c>
      <c r="C25" s="384">
        <f>VAC_Optim_Scenario!E38</f>
        <v>3200000</v>
      </c>
      <c r="D25" s="378">
        <f>VAC_Optim_Scenario!G68</f>
        <v>5063837.1955307471</v>
      </c>
      <c r="E25" s="372"/>
      <c r="F25" s="383">
        <v>3200000</v>
      </c>
      <c r="G25" s="373">
        <v>0</v>
      </c>
      <c r="H25" s="375">
        <v>5063837.1955307471</v>
      </c>
      <c r="I25" s="372"/>
      <c r="J25" s="383">
        <v>3200000</v>
      </c>
      <c r="K25" s="373">
        <v>0</v>
      </c>
      <c r="L25" s="375">
        <v>5063837.1955307471</v>
      </c>
      <c r="M25" s="374"/>
      <c r="N25" s="383">
        <v>3200000</v>
      </c>
      <c r="O25" s="373">
        <v>0</v>
      </c>
      <c r="P25" s="375">
        <v>5063837.1955307471</v>
      </c>
      <c r="Q25" s="372"/>
      <c r="R25" s="383">
        <v>3200000</v>
      </c>
      <c r="S25" s="373">
        <v>0</v>
      </c>
      <c r="T25" s="375">
        <v>5063837.1955307471</v>
      </c>
      <c r="U25" s="180"/>
      <c r="V25" s="185">
        <f>VAC_Optim_Scenario!$H68</f>
        <v>3200000</v>
      </c>
      <c r="W25" s="177">
        <f t="shared" si="2"/>
        <v>0</v>
      </c>
      <c r="X25" s="185">
        <f>VAC_Optim_Scenario!$J68</f>
        <v>5063837.1955307471</v>
      </c>
      <c r="Y25" s="185">
        <f t="shared" si="1"/>
        <v>0</v>
      </c>
      <c r="Z25" s="495">
        <f>$F25-'[2]Scenario deep dive'!$F16</f>
        <v>0</v>
      </c>
      <c r="AA25" s="498">
        <f>$J25-'[2]Scenario deep dive'!$J16</f>
        <v>0</v>
      </c>
      <c r="AB25" s="498">
        <f>$N25-'[2]Scenario deep dive'!$N16</f>
        <v>0</v>
      </c>
    </row>
    <row r="26" spans="1:28" x14ac:dyDescent="0.25">
      <c r="A26" s="439"/>
      <c r="B26" s="440" t="s">
        <v>175</v>
      </c>
      <c r="C26" s="382">
        <f>SUM(C7:C15)</f>
        <v>38513576</v>
      </c>
      <c r="D26" s="371">
        <f>SUM(D7:D15)</f>
        <v>284160884.55212712</v>
      </c>
      <c r="E26" s="372"/>
      <c r="F26" s="382">
        <f>SUM(F7:F15)</f>
        <v>39702376.997921243</v>
      </c>
      <c r="G26" s="442">
        <f>(F26-$C$26)/$C$26</f>
        <v>3.0867063549779E-2</v>
      </c>
      <c r="H26" s="371">
        <f>SUM(H7:H15)</f>
        <v>293472157.73240411</v>
      </c>
      <c r="I26" s="372"/>
      <c r="J26" s="382">
        <v>44702376.889437243</v>
      </c>
      <c r="K26" s="442">
        <v>0.12593704123652957</v>
      </c>
      <c r="L26" s="371">
        <v>318505409.57224727</v>
      </c>
      <c r="M26" s="374"/>
      <c r="N26" s="382">
        <v>47642852.400000006</v>
      </c>
      <c r="O26" s="442">
        <v>0.20000000000000015</v>
      </c>
      <c r="P26" s="371">
        <v>331059292.85313261</v>
      </c>
      <c r="Q26" s="372"/>
      <c r="R26" s="382">
        <v>51613090.100000001</v>
      </c>
      <c r="S26" s="442">
        <v>0.30000000000000004</v>
      </c>
      <c r="T26" s="371">
        <v>346238937.87409127</v>
      </c>
      <c r="U26" s="180">
        <f>L26-D26</f>
        <v>34344525.020120144</v>
      </c>
      <c r="V26" s="382">
        <f>SUM(V7:V15)</f>
        <v>51613090.101004384</v>
      </c>
      <c r="W26" s="442">
        <f>(V26-$C$26)/$C$26</f>
        <v>0.34012718271095843</v>
      </c>
      <c r="X26" s="371">
        <f>SUM(X7:X15)</f>
        <v>340705185.28556395</v>
      </c>
      <c r="Y26" s="185">
        <f>X26-D26</f>
        <v>56544300.733436823</v>
      </c>
      <c r="Z26" s="180"/>
    </row>
    <row r="27" spans="1:28" x14ac:dyDescent="0.25">
      <c r="A27" s="439"/>
      <c r="B27" s="441" t="s">
        <v>285</v>
      </c>
      <c r="C27" s="384">
        <f>SUM(C16:C25)</f>
        <v>68905663</v>
      </c>
      <c r="D27" s="378">
        <f>SUM(D16:D25)</f>
        <v>216673622.14828196</v>
      </c>
      <c r="E27" s="372"/>
      <c r="F27" s="384">
        <f>SUM(F16:F25)</f>
        <v>68905663.060570732</v>
      </c>
      <c r="G27" s="443">
        <f>(F27-$C$27)/$C$27</f>
        <v>8.7903851616769654E-10</v>
      </c>
      <c r="H27" s="378">
        <f>SUM(H16:H25)</f>
        <v>222412269.98664144</v>
      </c>
      <c r="I27" s="372"/>
      <c r="J27" s="384">
        <v>73905663.074635401</v>
      </c>
      <c r="K27" s="443">
        <v>7.2562977510794741E-2</v>
      </c>
      <c r="L27" s="378">
        <v>233828006.35850042</v>
      </c>
      <c r="M27" s="374"/>
      <c r="N27" s="384">
        <v>70965187.599999994</v>
      </c>
      <c r="O27" s="443">
        <v>2.9889047000389416E-2</v>
      </c>
      <c r="P27" s="378">
        <v>228417937.57547858</v>
      </c>
      <c r="Q27" s="372"/>
      <c r="R27" s="384">
        <v>66994949.899999984</v>
      </c>
      <c r="S27" s="443">
        <v>-2.772940592705735E-2</v>
      </c>
      <c r="T27" s="378">
        <v>216364973.87374717</v>
      </c>
      <c r="U27" s="180">
        <f>L27-D27</f>
        <v>17154384.210218459</v>
      </c>
      <c r="V27" s="384">
        <f>SUM(V16:V25)</f>
        <v>76994949.909322679</v>
      </c>
      <c r="W27" s="443">
        <f>(V27-$C$27)/$C$27</f>
        <v>0.11739654706352189</v>
      </c>
      <c r="X27" s="378">
        <f>SUM(X16:X25)</f>
        <v>238076413.5005905</v>
      </c>
      <c r="Y27" s="185">
        <f>X27-D27</f>
        <v>21402791.352308542</v>
      </c>
      <c r="Z27" s="180"/>
    </row>
    <row r="28" spans="1:28" ht="34.35" customHeight="1" x14ac:dyDescent="0.25">
      <c r="B28" s="444" t="s">
        <v>218</v>
      </c>
      <c r="C28" s="445">
        <f>SUM(C7:C25)</f>
        <v>107419239</v>
      </c>
      <c r="D28" s="446">
        <f>SUM(D7:D25)</f>
        <v>500834506.70040905</v>
      </c>
      <c r="E28" s="179"/>
      <c r="F28" s="445">
        <f>SUM(F7:F25)</f>
        <v>108608040.05849196</v>
      </c>
      <c r="G28" s="447">
        <f>(F28-$C$28)/$C$28</f>
        <v>1.1066928695072585E-2</v>
      </c>
      <c r="H28" s="446">
        <f>SUM(H7:H25)</f>
        <v>515884427.71904558</v>
      </c>
      <c r="I28" s="438"/>
      <c r="J28" s="445">
        <f>SUM(J7:J25)</f>
        <v>118608039.96407264</v>
      </c>
      <c r="K28" s="447">
        <f>(J28-$C$28)/$C$28</f>
        <v>0.10416012129887314</v>
      </c>
      <c r="L28" s="446">
        <f>SUM(L7:L25)</f>
        <v>552333415.93074775</v>
      </c>
      <c r="M28" s="374"/>
      <c r="N28" s="445">
        <f>SUM(N7:N25)</f>
        <v>118608040</v>
      </c>
      <c r="O28" s="447">
        <f>(N28-$C$28)/$C$28</f>
        <v>0.10416012163333237</v>
      </c>
      <c r="P28" s="446">
        <f>SUM(P7:P25)</f>
        <v>559477230.42861128</v>
      </c>
      <c r="Q28" s="508"/>
      <c r="R28" s="445">
        <f>SUM(R7:R25)</f>
        <v>118608040</v>
      </c>
      <c r="S28" s="447">
        <f>(R28-$C$28)/$C$28</f>
        <v>0.10416012163333237</v>
      </c>
      <c r="T28" s="446">
        <f>SUM(T7:T25)</f>
        <v>562603911.7478385</v>
      </c>
      <c r="V28" s="188">
        <f>SUM(V7:V25)</f>
        <v>128608040.01032709</v>
      </c>
      <c r="W28" s="189">
        <f>(V28-$C$28)/$C$28</f>
        <v>0.19725331521225062</v>
      </c>
      <c r="X28" s="188">
        <f>SUM(X7:X25)</f>
        <v>578781598.78615463</v>
      </c>
    </row>
    <row r="29" spans="1:28" x14ac:dyDescent="0.25">
      <c r="D29" s="385">
        <f>SUM(D7:D15)/D28</f>
        <v>0.56737481293817371</v>
      </c>
      <c r="E29" s="385"/>
      <c r="F29" s="385"/>
      <c r="G29" s="385"/>
      <c r="H29" s="385">
        <f>SUM(H7:H15)/H28</f>
        <v>0.56887190611659866</v>
      </c>
      <c r="I29" s="385"/>
      <c r="J29" s="385"/>
      <c r="K29" s="385"/>
      <c r="L29" s="385">
        <f>SUM(L7:L15)/L28</f>
        <v>0.57665424612329064</v>
      </c>
      <c r="P29" s="385">
        <f>SUM(P7:P15)/P28</f>
        <v>0.59172969845351986</v>
      </c>
      <c r="Q29" s="385"/>
      <c r="T29" s="385"/>
      <c r="U29" s="180"/>
      <c r="X29" s="502">
        <f>X28/VAC_Optim_Scenario!$E$46</f>
        <v>2561660.6124907262</v>
      </c>
    </row>
    <row r="30" spans="1:28" x14ac:dyDescent="0.25">
      <c r="D30" s="385">
        <f>SUM(D16:D25)/D28</f>
        <v>0.43262518706182629</v>
      </c>
      <c r="E30" s="385"/>
      <c r="F30" s="385"/>
      <c r="G30" s="385"/>
      <c r="H30" s="385">
        <f>SUM(H16:H25)/H28</f>
        <v>0.43112809388340129</v>
      </c>
      <c r="I30" s="385"/>
      <c r="J30" s="385"/>
      <c r="K30" s="385"/>
      <c r="L30" s="385">
        <f>SUM(L16:L25)/L28</f>
        <v>0.42334575387670925</v>
      </c>
      <c r="P30" s="385">
        <f>SUM(P16:P25)/P28</f>
        <v>0.40827030154647997</v>
      </c>
      <c r="Q30" s="385"/>
      <c r="T30" s="385"/>
    </row>
    <row r="31" spans="1:28" ht="16.5" customHeight="1" x14ac:dyDescent="0.25">
      <c r="A31" s="486"/>
      <c r="B31" s="486"/>
      <c r="C31" s="486"/>
      <c r="D31" s="486"/>
      <c r="E31" s="486"/>
      <c r="F31" s="575" t="str">
        <f>F4</f>
        <v>Optimal channel spend allowed to vary based on custom constraints of the 2024 channel spend</v>
      </c>
      <c r="G31" s="576"/>
      <c r="H31" s="576"/>
      <c r="I31" s="576"/>
      <c r="J31" s="576"/>
      <c r="K31" s="576"/>
      <c r="L31" s="576"/>
      <c r="M31" s="576"/>
      <c r="N31" s="576"/>
      <c r="O31" s="576"/>
      <c r="P31" s="576"/>
      <c r="Q31" s="576"/>
      <c r="R31" s="576"/>
      <c r="S31" s="576"/>
      <c r="T31" s="576"/>
    </row>
    <row r="32" spans="1:28" ht="30.4" customHeight="1" x14ac:dyDescent="0.25">
      <c r="A32" s="486"/>
      <c r="B32" s="486"/>
      <c r="C32" s="578" t="s">
        <v>341</v>
      </c>
      <c r="D32" s="579"/>
      <c r="E32" s="546"/>
      <c r="F32" s="580" t="str">
        <f>F5</f>
        <v>Current Optimal ($92MM)</v>
      </c>
      <c r="G32" s="581"/>
      <c r="H32" s="582"/>
      <c r="I32" s="547"/>
      <c r="J32" s="580" t="str">
        <f>J5</f>
        <v xml:space="preserve">10M increase in total budget </v>
      </c>
      <c r="K32" s="581"/>
      <c r="L32" s="582"/>
      <c r="M32" s="486"/>
      <c r="N32" s="583" t="str">
        <f>N5</f>
        <v>10M increase in total budget ( Global Max 120%)</v>
      </c>
      <c r="O32" s="584"/>
      <c r="P32" s="585"/>
      <c r="Q32" s="548"/>
      <c r="R32" s="577" t="str">
        <f>R5</f>
        <v>10M increase in total budget ( Global Max 130%)</v>
      </c>
      <c r="S32" s="577"/>
      <c r="T32" s="577"/>
    </row>
    <row r="33" spans="1:20" ht="25.5" x14ac:dyDescent="0.25">
      <c r="A33" s="539" t="s">
        <v>338</v>
      </c>
      <c r="B33" s="539" t="s">
        <v>339</v>
      </c>
      <c r="C33" s="540" t="s">
        <v>219</v>
      </c>
      <c r="D33" s="541" t="s">
        <v>220</v>
      </c>
      <c r="E33" s="542"/>
      <c r="F33" s="543" t="s">
        <v>222</v>
      </c>
      <c r="G33" s="541" t="s">
        <v>215</v>
      </c>
      <c r="H33" s="544" t="s">
        <v>216</v>
      </c>
      <c r="I33" s="542"/>
      <c r="J33" s="543" t="s">
        <v>222</v>
      </c>
      <c r="K33" s="541" t="s">
        <v>215</v>
      </c>
      <c r="L33" s="544" t="s">
        <v>216</v>
      </c>
      <c r="M33" s="486"/>
      <c r="N33" s="543" t="s">
        <v>222</v>
      </c>
      <c r="O33" s="541" t="s">
        <v>215</v>
      </c>
      <c r="P33" s="544" t="s">
        <v>216</v>
      </c>
      <c r="Q33" s="545"/>
      <c r="R33" s="543" t="s">
        <v>222</v>
      </c>
      <c r="S33" s="541" t="s">
        <v>215</v>
      </c>
      <c r="T33" s="544" t="s">
        <v>216</v>
      </c>
    </row>
    <row r="34" spans="1:20" x14ac:dyDescent="0.25">
      <c r="A34" s="523" t="str">
        <f t="shared" ref="A34:B49" si="3">A7</f>
        <v>Gardasil Adolescents</v>
      </c>
      <c r="B34" s="523" t="str">
        <f t="shared" si="3"/>
        <v>HCC In Office</v>
      </c>
      <c r="C34" s="524">
        <f t="shared" ref="C34:D49" si="4">C7/1000000</f>
        <v>1</v>
      </c>
      <c r="D34" s="525">
        <f t="shared" si="4"/>
        <v>3.6083065090601982</v>
      </c>
      <c r="E34" s="526"/>
      <c r="F34" s="527">
        <f t="shared" ref="F34:F50" si="5">F7/1000000</f>
        <v>1</v>
      </c>
      <c r="G34" s="528">
        <f t="shared" ref="G34:G50" si="6">G7</f>
        <v>0</v>
      </c>
      <c r="H34" s="529">
        <f t="shared" ref="H34:H50" si="7">H7/1000000</f>
        <v>5.0407890644048416</v>
      </c>
      <c r="I34" s="526"/>
      <c r="J34" s="527">
        <f t="shared" ref="J34:J50" si="8">J7/1000000</f>
        <v>1.0000000000000002</v>
      </c>
      <c r="K34" s="528">
        <f t="shared" ref="K34:K50" si="9">K7</f>
        <v>1.1641532182693481E-16</v>
      </c>
      <c r="L34" s="529">
        <f t="shared" ref="L34:L50" si="10">L7/1000000</f>
        <v>5.0407890644048416</v>
      </c>
      <c r="M34" s="530"/>
      <c r="N34" s="527">
        <f t="shared" ref="N34:N50" si="11">N7/1000000</f>
        <v>1.0310026589524268</v>
      </c>
      <c r="O34" s="528">
        <f t="shared" ref="O34:O50" si="12">O7</f>
        <v>3.1002658952426747E-2</v>
      </c>
      <c r="P34" s="531">
        <f t="shared" ref="P34:P50" si="13">P7/1000000</f>
        <v>5.1667460165532209</v>
      </c>
      <c r="Q34" s="532"/>
      <c r="R34" s="527">
        <f t="shared" ref="R34:R50" si="14">R7/1000000</f>
        <v>1.2782239170682379</v>
      </c>
      <c r="S34" s="528">
        <f t="shared" ref="S34:S50" si="15">S7</f>
        <v>0.2782239170682379</v>
      </c>
      <c r="T34" s="531">
        <f t="shared" ref="T34:T50" si="16">T7/1000000</f>
        <v>6.1163894689701719</v>
      </c>
    </row>
    <row r="35" spans="1:20" x14ac:dyDescent="0.25">
      <c r="A35" s="523" t="str">
        <f t="shared" si="3"/>
        <v>Gardasil Adolescents</v>
      </c>
      <c r="B35" s="523" t="str">
        <f t="shared" si="3"/>
        <v>HCP MCM</v>
      </c>
      <c r="C35" s="533">
        <f t="shared" si="4"/>
        <v>7.7757779999999999</v>
      </c>
      <c r="D35" s="534">
        <f t="shared" si="4"/>
        <v>77.32256932085221</v>
      </c>
      <c r="E35" s="526"/>
      <c r="F35" s="535">
        <f t="shared" si="5"/>
        <v>7.9989183413149432</v>
      </c>
      <c r="G35" s="536">
        <f t="shared" si="6"/>
        <v>2.869685082508059E-2</v>
      </c>
      <c r="H35" s="537">
        <f t="shared" si="7"/>
        <v>81.777817454316278</v>
      </c>
      <c r="I35" s="526"/>
      <c r="J35" s="535">
        <f t="shared" si="8"/>
        <v>9.6055237969724399</v>
      </c>
      <c r="K35" s="528">
        <f t="shared" si="9"/>
        <v>0.23531353351040121</v>
      </c>
      <c r="L35" s="537">
        <f t="shared" si="10"/>
        <v>89.888425755108372</v>
      </c>
      <c r="M35" s="530"/>
      <c r="N35" s="535">
        <f t="shared" si="11"/>
        <v>10.373777470138263</v>
      </c>
      <c r="O35" s="528">
        <f t="shared" si="12"/>
        <v>0.33411440889107985</v>
      </c>
      <c r="P35" s="538">
        <f t="shared" si="13"/>
        <v>93.164666595661458</v>
      </c>
      <c r="Q35" s="532"/>
      <c r="R35" s="535">
        <f t="shared" si="14"/>
        <v>11.092377687795118</v>
      </c>
      <c r="S35" s="528">
        <f t="shared" si="15"/>
        <v>0.42652962671968225</v>
      </c>
      <c r="T35" s="538">
        <f t="shared" si="16"/>
        <v>95.923265052984291</v>
      </c>
    </row>
    <row r="36" spans="1:20" x14ac:dyDescent="0.25">
      <c r="A36" s="523" t="str">
        <f t="shared" si="3"/>
        <v>Gardasil Adolescents</v>
      </c>
      <c r="B36" s="523" t="str">
        <f t="shared" si="3"/>
        <v>HCC Social</v>
      </c>
      <c r="C36" s="533">
        <f t="shared" si="4"/>
        <v>1.84</v>
      </c>
      <c r="D36" s="534">
        <f t="shared" si="4"/>
        <v>15.925915704314221</v>
      </c>
      <c r="E36" s="526"/>
      <c r="F36" s="535">
        <f t="shared" si="5"/>
        <v>1.5994999999999999</v>
      </c>
      <c r="G36" s="536">
        <f t="shared" si="6"/>
        <v>-0.13070652173913044</v>
      </c>
      <c r="H36" s="537">
        <f t="shared" si="7"/>
        <v>14.642130239828273</v>
      </c>
      <c r="I36" s="526"/>
      <c r="J36" s="535">
        <f t="shared" si="8"/>
        <v>2.632821564362819</v>
      </c>
      <c r="K36" s="528">
        <f t="shared" si="9"/>
        <v>0.43088128497979283</v>
      </c>
      <c r="L36" s="537">
        <f t="shared" si="10"/>
        <v>19.74542903808571</v>
      </c>
      <c r="M36" s="530"/>
      <c r="N36" s="535">
        <f t="shared" si="11"/>
        <v>3.4528160964715124</v>
      </c>
      <c r="O36" s="528">
        <f t="shared" si="12"/>
        <v>0.87653048721277838</v>
      </c>
      <c r="P36" s="538">
        <f t="shared" si="13"/>
        <v>23.233668442866058</v>
      </c>
      <c r="Q36" s="532"/>
      <c r="R36" s="535">
        <f t="shared" si="14"/>
        <v>4.4618395943768938</v>
      </c>
      <c r="S36" s="528">
        <f t="shared" si="15"/>
        <v>1.4249128230309205</v>
      </c>
      <c r="T36" s="538">
        <f t="shared" si="16"/>
        <v>27.097054868681763</v>
      </c>
    </row>
    <row r="37" spans="1:20" x14ac:dyDescent="0.25">
      <c r="A37" s="523" t="str">
        <f t="shared" si="3"/>
        <v>Gardasil Adolescents</v>
      </c>
      <c r="B37" s="523" t="str">
        <f t="shared" si="3"/>
        <v>HCC Online Video</v>
      </c>
      <c r="C37" s="533">
        <f t="shared" si="4"/>
        <v>1.22</v>
      </c>
      <c r="D37" s="534">
        <f t="shared" si="4"/>
        <v>3.3942467935979272</v>
      </c>
      <c r="E37" s="526"/>
      <c r="F37" s="535">
        <f t="shared" si="5"/>
        <v>1</v>
      </c>
      <c r="G37" s="536">
        <f t="shared" si="6"/>
        <v>-0.18032786885245902</v>
      </c>
      <c r="H37" s="537">
        <f t="shared" si="7"/>
        <v>3.3578328692201262</v>
      </c>
      <c r="I37" s="526"/>
      <c r="J37" s="535">
        <f t="shared" si="8"/>
        <v>1</v>
      </c>
      <c r="K37" s="528">
        <f t="shared" si="9"/>
        <v>-0.18032786885245902</v>
      </c>
      <c r="L37" s="537">
        <f t="shared" si="10"/>
        <v>3.3578328692201262</v>
      </c>
      <c r="M37" s="530"/>
      <c r="N37" s="535">
        <f t="shared" si="11"/>
        <v>1</v>
      </c>
      <c r="O37" s="528">
        <f t="shared" si="12"/>
        <v>-0.18032786885245902</v>
      </c>
      <c r="P37" s="538">
        <f t="shared" si="13"/>
        <v>3.3578328692201262</v>
      </c>
      <c r="Q37" s="532"/>
      <c r="R37" s="535">
        <f t="shared" si="14"/>
        <v>1</v>
      </c>
      <c r="S37" s="528">
        <f t="shared" si="15"/>
        <v>-0.18032786885245902</v>
      </c>
      <c r="T37" s="538">
        <f t="shared" si="16"/>
        <v>3.3578328692201262</v>
      </c>
    </row>
    <row r="38" spans="1:20" x14ac:dyDescent="0.25">
      <c r="A38" s="523" t="str">
        <f t="shared" si="3"/>
        <v>Gardasil Adolescents</v>
      </c>
      <c r="B38" s="523" t="str">
        <f t="shared" si="3"/>
        <v>HCC Streaming Video</v>
      </c>
      <c r="C38" s="533">
        <f t="shared" si="4"/>
        <v>4.8177979999999998</v>
      </c>
      <c r="D38" s="534">
        <f t="shared" si="4"/>
        <v>27.455486015820313</v>
      </c>
      <c r="E38" s="526"/>
      <c r="F38" s="535">
        <f t="shared" si="5"/>
        <v>4.8177979999999998</v>
      </c>
      <c r="G38" s="536">
        <f t="shared" si="6"/>
        <v>0</v>
      </c>
      <c r="H38" s="537">
        <f t="shared" si="7"/>
        <v>27.455486015820313</v>
      </c>
      <c r="I38" s="526"/>
      <c r="J38" s="535">
        <f t="shared" si="8"/>
        <v>4.8177979999999998</v>
      </c>
      <c r="K38" s="528">
        <f t="shared" si="9"/>
        <v>0</v>
      </c>
      <c r="L38" s="537">
        <f t="shared" si="10"/>
        <v>27.455486015820313</v>
      </c>
      <c r="M38" s="530"/>
      <c r="N38" s="535">
        <f t="shared" si="11"/>
        <v>4.8177979999999998</v>
      </c>
      <c r="O38" s="528">
        <f t="shared" si="12"/>
        <v>0</v>
      </c>
      <c r="P38" s="538">
        <f t="shared" si="13"/>
        <v>27.455486015820313</v>
      </c>
      <c r="Q38" s="532"/>
      <c r="R38" s="535">
        <f t="shared" si="14"/>
        <v>6.4886936093388794</v>
      </c>
      <c r="S38" s="528">
        <f t="shared" si="15"/>
        <v>0.34681728236403425</v>
      </c>
      <c r="T38" s="538">
        <f t="shared" si="16"/>
        <v>33.817789179286642</v>
      </c>
    </row>
    <row r="39" spans="1:20" x14ac:dyDescent="0.25">
      <c r="A39" s="523" t="str">
        <f t="shared" si="3"/>
        <v>Gardasil Adolescents</v>
      </c>
      <c r="B39" s="523" t="str">
        <f t="shared" si="3"/>
        <v>HCC Display</v>
      </c>
      <c r="C39" s="533">
        <f t="shared" si="4"/>
        <v>3.54</v>
      </c>
      <c r="D39" s="534">
        <f t="shared" si="4"/>
        <v>39.290778509746694</v>
      </c>
      <c r="E39" s="526"/>
      <c r="F39" s="535">
        <f t="shared" si="5"/>
        <v>3.8160670635054581</v>
      </c>
      <c r="G39" s="536">
        <f t="shared" si="6"/>
        <v>7.7985046187982535E-2</v>
      </c>
      <c r="H39" s="537">
        <f t="shared" si="7"/>
        <v>40.912863539436728</v>
      </c>
      <c r="I39" s="526"/>
      <c r="J39" s="535">
        <f t="shared" si="8"/>
        <v>4.5320279300459427</v>
      </c>
      <c r="K39" s="528">
        <f t="shared" si="9"/>
        <v>0.28023387854405163</v>
      </c>
      <c r="L39" s="537">
        <f t="shared" si="10"/>
        <v>44.52325740867861</v>
      </c>
      <c r="M39" s="530"/>
      <c r="N39" s="535">
        <f t="shared" si="11"/>
        <v>4.8786571744378024</v>
      </c>
      <c r="O39" s="528">
        <f t="shared" si="12"/>
        <v>0.37815174419146957</v>
      </c>
      <c r="P39" s="538">
        <f t="shared" si="13"/>
        <v>46.001461844430366</v>
      </c>
      <c r="Q39" s="532"/>
      <c r="R39" s="535">
        <f t="shared" si="14"/>
        <v>5.2031542914208719</v>
      </c>
      <c r="S39" s="528">
        <f t="shared" si="15"/>
        <v>0.46981759644657412</v>
      </c>
      <c r="T39" s="538">
        <f t="shared" si="16"/>
        <v>47.247175366367188</v>
      </c>
    </row>
    <row r="40" spans="1:20" x14ac:dyDescent="0.25">
      <c r="A40" s="523" t="str">
        <f t="shared" si="3"/>
        <v>Gardasil Adolescents</v>
      </c>
      <c r="B40" s="523" t="str">
        <f t="shared" si="3"/>
        <v>HCC Paid Search</v>
      </c>
      <c r="C40" s="533">
        <f t="shared" si="4"/>
        <v>0.4</v>
      </c>
      <c r="D40" s="534">
        <f t="shared" si="4"/>
        <v>32.769965884320236</v>
      </c>
      <c r="E40" s="526"/>
      <c r="F40" s="535">
        <f t="shared" si="5"/>
        <v>0.4</v>
      </c>
      <c r="G40" s="536">
        <f t="shared" si="6"/>
        <v>0</v>
      </c>
      <c r="H40" s="537">
        <f t="shared" si="7"/>
        <v>32.769965884320236</v>
      </c>
      <c r="I40" s="526"/>
      <c r="J40" s="535">
        <f t="shared" si="8"/>
        <v>0.4</v>
      </c>
      <c r="K40" s="528">
        <f t="shared" si="9"/>
        <v>0</v>
      </c>
      <c r="L40" s="537">
        <f t="shared" si="10"/>
        <v>32.769965884320236</v>
      </c>
      <c r="M40" s="530"/>
      <c r="N40" s="535">
        <f t="shared" si="11"/>
        <v>0.4</v>
      </c>
      <c r="O40" s="528">
        <f t="shared" si="12"/>
        <v>0</v>
      </c>
      <c r="P40" s="538">
        <f t="shared" si="13"/>
        <v>32.769965884320236</v>
      </c>
      <c r="Q40" s="532"/>
      <c r="R40" s="535">
        <f t="shared" si="14"/>
        <v>0.4</v>
      </c>
      <c r="S40" s="528">
        <f t="shared" si="15"/>
        <v>0</v>
      </c>
      <c r="T40" s="538">
        <f t="shared" si="16"/>
        <v>32.769965884320236</v>
      </c>
    </row>
    <row r="41" spans="1:20" x14ac:dyDescent="0.25">
      <c r="A41" s="523" t="str">
        <f t="shared" si="3"/>
        <v>Gardasil Adolescents</v>
      </c>
      <c r="B41" s="523" t="str">
        <f t="shared" si="3"/>
        <v>HCC Audio</v>
      </c>
      <c r="C41" s="533">
        <f t="shared" si="4"/>
        <v>2.2200000000000002</v>
      </c>
      <c r="D41" s="534">
        <f t="shared" si="4"/>
        <v>20.698391738152171</v>
      </c>
      <c r="E41" s="526"/>
      <c r="F41" s="535">
        <f t="shared" si="5"/>
        <v>2.1812925931008382</v>
      </c>
      <c r="G41" s="536">
        <f t="shared" si="6"/>
        <v>-1.7435768873496234E-2</v>
      </c>
      <c r="H41" s="537">
        <f t="shared" si="7"/>
        <v>20.481095012188639</v>
      </c>
      <c r="I41" s="526"/>
      <c r="J41" s="535">
        <f t="shared" si="8"/>
        <v>3.825404598056044</v>
      </c>
      <c r="K41" s="528">
        <f t="shared" si="9"/>
        <v>0.72315522434956936</v>
      </c>
      <c r="L41" s="537">
        <f t="shared" si="10"/>
        <v>28.690045883740307</v>
      </c>
      <c r="M41" s="530"/>
      <c r="N41" s="535">
        <f t="shared" si="11"/>
        <v>4.8</v>
      </c>
      <c r="O41" s="528">
        <f t="shared" si="12"/>
        <v>1.1621621621621621</v>
      </c>
      <c r="P41" s="538">
        <f t="shared" si="13"/>
        <v>32.875287531392161</v>
      </c>
      <c r="Q41" s="532"/>
      <c r="R41" s="535">
        <f t="shared" si="14"/>
        <v>4.8</v>
      </c>
      <c r="S41" s="528">
        <f t="shared" si="15"/>
        <v>1.1621621621621621</v>
      </c>
      <c r="T41" s="538">
        <f t="shared" si="16"/>
        <v>32.875287531392161</v>
      </c>
    </row>
    <row r="42" spans="1:20" x14ac:dyDescent="0.25">
      <c r="A42" s="523" t="str">
        <f t="shared" si="3"/>
        <v>Gardasil Adolescents</v>
      </c>
      <c r="B42" s="523" t="str">
        <f t="shared" si="3"/>
        <v>HCC TV</v>
      </c>
      <c r="C42" s="533">
        <f t="shared" si="4"/>
        <v>15.7</v>
      </c>
      <c r="D42" s="534">
        <f t="shared" si="4"/>
        <v>63.695224076263159</v>
      </c>
      <c r="E42" s="526"/>
      <c r="F42" s="535">
        <f t="shared" si="5"/>
        <v>16.888801000000001</v>
      </c>
      <c r="G42" s="536">
        <f t="shared" si="6"/>
        <v>0</v>
      </c>
      <c r="H42" s="537">
        <f t="shared" si="7"/>
        <v>67.034177652868721</v>
      </c>
      <c r="I42" s="526"/>
      <c r="J42" s="535">
        <f t="shared" si="8"/>
        <v>16.888801000000001</v>
      </c>
      <c r="K42" s="528">
        <f t="shared" si="9"/>
        <v>0</v>
      </c>
      <c r="L42" s="537">
        <f t="shared" si="10"/>
        <v>67.034177652868721</v>
      </c>
      <c r="M42" s="530"/>
      <c r="N42" s="535">
        <f t="shared" si="11"/>
        <v>16.888801000000001</v>
      </c>
      <c r="O42" s="528">
        <f t="shared" si="12"/>
        <v>0</v>
      </c>
      <c r="P42" s="538">
        <f t="shared" si="13"/>
        <v>67.034177652868721</v>
      </c>
      <c r="Q42" s="532"/>
      <c r="R42" s="535">
        <f t="shared" si="14"/>
        <v>16.888801000000001</v>
      </c>
      <c r="S42" s="528">
        <f t="shared" si="15"/>
        <v>0</v>
      </c>
      <c r="T42" s="538">
        <f t="shared" si="16"/>
        <v>67.034177652868721</v>
      </c>
    </row>
    <row r="43" spans="1:20" x14ac:dyDescent="0.25">
      <c r="A43" s="523" t="str">
        <f t="shared" si="3"/>
        <v>Gardasil Adults</v>
      </c>
      <c r="B43" s="523" t="str">
        <f t="shared" si="3"/>
        <v>HCC InOffice</v>
      </c>
      <c r="C43" s="533">
        <f t="shared" si="4"/>
        <v>1</v>
      </c>
      <c r="D43" s="534">
        <f t="shared" si="4"/>
        <v>1.5233706180381361</v>
      </c>
      <c r="E43" s="526"/>
      <c r="F43" s="535">
        <f t="shared" si="5"/>
        <v>0.9</v>
      </c>
      <c r="G43" s="536">
        <f t="shared" si="6"/>
        <v>-0.1</v>
      </c>
      <c r="H43" s="537">
        <f t="shared" si="7"/>
        <v>1.4104317445188572</v>
      </c>
      <c r="I43" s="526"/>
      <c r="J43" s="535">
        <f t="shared" si="8"/>
        <v>0.9</v>
      </c>
      <c r="K43" s="528">
        <f t="shared" si="9"/>
        <v>-0.1</v>
      </c>
      <c r="L43" s="537">
        <f t="shared" si="10"/>
        <v>1.4104317445188572</v>
      </c>
      <c r="M43" s="530"/>
      <c r="N43" s="535">
        <f t="shared" si="11"/>
        <v>0.9</v>
      </c>
      <c r="O43" s="528">
        <f t="shared" si="12"/>
        <v>-0.1</v>
      </c>
      <c r="P43" s="538">
        <f t="shared" si="13"/>
        <v>1.4104317445188572</v>
      </c>
      <c r="Q43" s="532"/>
      <c r="R43" s="535">
        <f t="shared" si="14"/>
        <v>0.9</v>
      </c>
      <c r="S43" s="528">
        <f t="shared" si="15"/>
        <v>-0.1</v>
      </c>
      <c r="T43" s="538">
        <f t="shared" si="16"/>
        <v>1.4104317445188572</v>
      </c>
    </row>
    <row r="44" spans="1:20" x14ac:dyDescent="0.25">
      <c r="A44" s="523" t="str">
        <f t="shared" si="3"/>
        <v>Gardasil Adults</v>
      </c>
      <c r="B44" s="523" t="str">
        <f t="shared" si="3"/>
        <v>HCP MCM</v>
      </c>
      <c r="C44" s="533">
        <f t="shared" si="4"/>
        <v>16.948</v>
      </c>
      <c r="D44" s="534">
        <f t="shared" si="4"/>
        <v>92.408087499027943</v>
      </c>
      <c r="E44" s="526"/>
      <c r="F44" s="535">
        <f t="shared" si="5"/>
        <v>20.3418525131531</v>
      </c>
      <c r="G44" s="536">
        <f t="shared" si="6"/>
        <v>0.20025091533827583</v>
      </c>
      <c r="H44" s="537">
        <f t="shared" si="7"/>
        <v>103.73689464632764</v>
      </c>
      <c r="I44" s="526"/>
      <c r="J44" s="535">
        <f t="shared" si="8"/>
        <v>21.000000209999996</v>
      </c>
      <c r="K44" s="528">
        <f t="shared" si="9"/>
        <v>0.23908427012036801</v>
      </c>
      <c r="L44" s="537">
        <f t="shared" si="10"/>
        <v>105.72478734578903</v>
      </c>
      <c r="M44" s="530"/>
      <c r="N44" s="535">
        <f t="shared" si="11"/>
        <v>21</v>
      </c>
      <c r="O44" s="528">
        <f t="shared" si="12"/>
        <v>0.2390842577295256</v>
      </c>
      <c r="P44" s="538">
        <f t="shared" si="13"/>
        <v>105.72478672171538</v>
      </c>
      <c r="Q44" s="532"/>
      <c r="R44" s="535">
        <f t="shared" si="14"/>
        <v>19.092190833976122</v>
      </c>
      <c r="S44" s="528">
        <f t="shared" si="15"/>
        <v>0.12651586228322653</v>
      </c>
      <c r="T44" s="538">
        <f t="shared" si="16"/>
        <v>99.781193393137073</v>
      </c>
    </row>
    <row r="45" spans="1:20" x14ac:dyDescent="0.25">
      <c r="A45" s="523" t="str">
        <f t="shared" si="3"/>
        <v>Gardasil Adults</v>
      </c>
      <c r="B45" s="523" t="str">
        <f t="shared" si="3"/>
        <v>HCC Social</v>
      </c>
      <c r="C45" s="533">
        <f t="shared" si="4"/>
        <v>2.2000000000000002</v>
      </c>
      <c r="D45" s="534">
        <f t="shared" si="4"/>
        <v>6.171975030653198</v>
      </c>
      <c r="E45" s="526"/>
      <c r="F45" s="535">
        <f t="shared" si="5"/>
        <v>1.8</v>
      </c>
      <c r="G45" s="536">
        <f t="shared" si="6"/>
        <v>-0.18181818181818182</v>
      </c>
      <c r="H45" s="537">
        <f t="shared" si="7"/>
        <v>5.4718483801533537</v>
      </c>
      <c r="I45" s="526"/>
      <c r="J45" s="535">
        <f t="shared" si="8"/>
        <v>2.789260117654186</v>
      </c>
      <c r="K45" s="528">
        <f t="shared" si="9"/>
        <v>0.26784550802463009</v>
      </c>
      <c r="L45" s="537">
        <f t="shared" si="10"/>
        <v>7.1164591733021521</v>
      </c>
      <c r="M45" s="530"/>
      <c r="N45" s="535">
        <f t="shared" si="11"/>
        <v>1.8</v>
      </c>
      <c r="O45" s="528">
        <f t="shared" si="12"/>
        <v>-0.18181818181818182</v>
      </c>
      <c r="P45" s="538">
        <f t="shared" si="13"/>
        <v>5.4718483801533537</v>
      </c>
      <c r="Q45" s="532"/>
      <c r="R45" s="535">
        <f t="shared" si="14"/>
        <v>1.8</v>
      </c>
      <c r="S45" s="528">
        <f t="shared" si="15"/>
        <v>-0.18181818181818182</v>
      </c>
      <c r="T45" s="538">
        <f t="shared" si="16"/>
        <v>5.4718483801533537</v>
      </c>
    </row>
    <row r="46" spans="1:20" x14ac:dyDescent="0.25">
      <c r="A46" s="523" t="str">
        <f t="shared" si="3"/>
        <v>Gardasil Adults</v>
      </c>
      <c r="B46" s="523" t="str">
        <f t="shared" si="3"/>
        <v>HCC Online Video</v>
      </c>
      <c r="C46" s="533">
        <f t="shared" si="4"/>
        <v>1.5</v>
      </c>
      <c r="D46" s="534">
        <f t="shared" si="4"/>
        <v>5.944544957049497</v>
      </c>
      <c r="E46" s="526"/>
      <c r="F46" s="535">
        <f t="shared" si="5"/>
        <v>1.1057213674438764</v>
      </c>
      <c r="G46" s="536">
        <f t="shared" si="6"/>
        <v>-0.26285242170408246</v>
      </c>
      <c r="H46" s="537">
        <f t="shared" si="7"/>
        <v>4.8722064746905431</v>
      </c>
      <c r="I46" s="526"/>
      <c r="J46" s="535">
        <f t="shared" si="8"/>
        <v>2.2202907469812132</v>
      </c>
      <c r="K46" s="528">
        <f t="shared" si="9"/>
        <v>0.48019383132080889</v>
      </c>
      <c r="L46" s="537">
        <f t="shared" si="10"/>
        <v>7.3368366723772258</v>
      </c>
      <c r="M46" s="530"/>
      <c r="N46" s="535">
        <f t="shared" si="11"/>
        <v>1.4579547342470804</v>
      </c>
      <c r="O46" s="528">
        <f t="shared" si="12"/>
        <v>-2.8030177168612988E-2</v>
      </c>
      <c r="P46" s="538">
        <f t="shared" si="13"/>
        <v>5.8423229322365353</v>
      </c>
      <c r="Q46" s="532"/>
      <c r="R46" s="535">
        <f t="shared" si="14"/>
        <v>1.1000000000000001</v>
      </c>
      <c r="S46" s="528">
        <f t="shared" si="15"/>
        <v>-0.26666666666666666</v>
      </c>
      <c r="T46" s="538">
        <f t="shared" si="16"/>
        <v>4.8546277204141575</v>
      </c>
    </row>
    <row r="47" spans="1:20" x14ac:dyDescent="0.25">
      <c r="A47" s="523" t="str">
        <f t="shared" si="3"/>
        <v>Gardasil Adults</v>
      </c>
      <c r="B47" s="523" t="str">
        <f t="shared" si="3"/>
        <v>HCC Streaming Video</v>
      </c>
      <c r="C47" s="533">
        <f t="shared" si="4"/>
        <v>10.268452</v>
      </c>
      <c r="D47" s="534">
        <f t="shared" si="4"/>
        <v>18.886370658155332</v>
      </c>
      <c r="E47" s="526"/>
      <c r="F47" s="535">
        <f t="shared" si="5"/>
        <v>8.3069009999999999</v>
      </c>
      <c r="G47" s="536">
        <f t="shared" si="6"/>
        <v>-0.19102694349644922</v>
      </c>
      <c r="H47" s="537">
        <f t="shared" si="7"/>
        <v>16.281797494816164</v>
      </c>
      <c r="I47" s="526"/>
      <c r="J47" s="535">
        <f t="shared" si="8"/>
        <v>8.3069009999999999</v>
      </c>
      <c r="K47" s="528">
        <f t="shared" si="9"/>
        <v>-0.19102694349644914</v>
      </c>
      <c r="L47" s="537">
        <f t="shared" si="10"/>
        <v>16.281797494816164</v>
      </c>
      <c r="M47" s="530"/>
      <c r="N47" s="535">
        <f t="shared" si="11"/>
        <v>8.3069010709167728</v>
      </c>
      <c r="O47" s="528">
        <f t="shared" si="12"/>
        <v>-0.19102693659017231</v>
      </c>
      <c r="P47" s="538">
        <f t="shared" si="13"/>
        <v>16.281797592115595</v>
      </c>
      <c r="Q47" s="532"/>
      <c r="R47" s="535">
        <f t="shared" si="14"/>
        <v>8.3069010709167728</v>
      </c>
      <c r="S47" s="528">
        <f t="shared" si="15"/>
        <v>-0.19102693659017231</v>
      </c>
      <c r="T47" s="538">
        <f t="shared" si="16"/>
        <v>16.281797592115595</v>
      </c>
    </row>
    <row r="48" spans="1:20" x14ac:dyDescent="0.25">
      <c r="A48" s="523" t="str">
        <f t="shared" si="3"/>
        <v>Gardasil Adults</v>
      </c>
      <c r="B48" s="523" t="str">
        <f t="shared" si="3"/>
        <v>HCC Display</v>
      </c>
      <c r="C48" s="533">
        <f t="shared" si="4"/>
        <v>4</v>
      </c>
      <c r="D48" s="534">
        <f t="shared" si="4"/>
        <v>21.02067549422587</v>
      </c>
      <c r="E48" s="526"/>
      <c r="F48" s="535">
        <f t="shared" si="5"/>
        <v>4.2574727107360104</v>
      </c>
      <c r="G48" s="536">
        <f t="shared" si="6"/>
        <v>6.4368177684002562E-2</v>
      </c>
      <c r="H48" s="537">
        <f t="shared" si="7"/>
        <v>21.822364062061272</v>
      </c>
      <c r="I48" s="526"/>
      <c r="J48" s="535">
        <f t="shared" si="8"/>
        <v>5</v>
      </c>
      <c r="K48" s="528">
        <f t="shared" si="9"/>
        <v>0.25</v>
      </c>
      <c r="L48" s="537">
        <f t="shared" si="10"/>
        <v>24.032152746086098</v>
      </c>
      <c r="M48" s="530"/>
      <c r="N48" s="535">
        <f t="shared" si="11"/>
        <v>5</v>
      </c>
      <c r="O48" s="528">
        <f t="shared" si="12"/>
        <v>0.25</v>
      </c>
      <c r="P48" s="538">
        <f t="shared" si="13"/>
        <v>24.032152746086098</v>
      </c>
      <c r="Q48" s="532"/>
      <c r="R48" s="535">
        <f t="shared" si="14"/>
        <v>3.6778207816323922</v>
      </c>
      <c r="S48" s="528">
        <f t="shared" si="15"/>
        <v>-8.0544804591901956E-2</v>
      </c>
      <c r="T48" s="538">
        <f t="shared" si="16"/>
        <v>19.987800706370471</v>
      </c>
    </row>
    <row r="49" spans="1:23" x14ac:dyDescent="0.25">
      <c r="A49" s="523" t="str">
        <f t="shared" si="3"/>
        <v>Gardasil Adults</v>
      </c>
      <c r="B49" s="523" t="str">
        <f t="shared" si="3"/>
        <v>HCC Paid Search</v>
      </c>
      <c r="C49" s="533">
        <f t="shared" si="4"/>
        <v>0.2</v>
      </c>
      <c r="D49" s="534">
        <f t="shared" si="4"/>
        <v>17.969341094351833</v>
      </c>
      <c r="E49" s="526"/>
      <c r="F49" s="535">
        <f t="shared" si="5"/>
        <v>0.2</v>
      </c>
      <c r="G49" s="536">
        <f t="shared" si="6"/>
        <v>0</v>
      </c>
      <c r="H49" s="537">
        <f t="shared" si="7"/>
        <v>17.969341094351833</v>
      </c>
      <c r="I49" s="526"/>
      <c r="J49" s="535">
        <f t="shared" si="8"/>
        <v>0.2</v>
      </c>
      <c r="K49" s="528">
        <f t="shared" si="9"/>
        <v>0</v>
      </c>
      <c r="L49" s="537">
        <f t="shared" si="10"/>
        <v>17.969341094351833</v>
      </c>
      <c r="M49" s="530"/>
      <c r="N49" s="535">
        <f t="shared" si="11"/>
        <v>0.2</v>
      </c>
      <c r="O49" s="528">
        <f t="shared" si="12"/>
        <v>0</v>
      </c>
      <c r="P49" s="538">
        <f t="shared" si="13"/>
        <v>17.969341094351833</v>
      </c>
      <c r="Q49" s="532"/>
      <c r="R49" s="535">
        <f t="shared" si="14"/>
        <v>0.2</v>
      </c>
      <c r="S49" s="528">
        <f t="shared" si="15"/>
        <v>0</v>
      </c>
      <c r="T49" s="538">
        <f t="shared" si="16"/>
        <v>17.969341094351833</v>
      </c>
    </row>
    <row r="50" spans="1:23" x14ac:dyDescent="0.25">
      <c r="A50" s="523" t="str">
        <f t="shared" ref="A50:B50" si="17">A23</f>
        <v>Gardasil Adults</v>
      </c>
      <c r="B50" s="523" t="str">
        <f t="shared" si="17"/>
        <v>HCC Linear TV</v>
      </c>
      <c r="C50" s="533">
        <f>C23/1000000</f>
        <v>28.089210999999999</v>
      </c>
      <c r="D50" s="534">
        <f>D23/1000000</f>
        <v>40.395109654958588</v>
      </c>
      <c r="E50" s="526"/>
      <c r="F50" s="535">
        <f t="shared" si="5"/>
        <v>28.089210999999999</v>
      </c>
      <c r="G50" s="536">
        <f t="shared" si="6"/>
        <v>0</v>
      </c>
      <c r="H50" s="537">
        <f t="shared" si="7"/>
        <v>40.395109654958588</v>
      </c>
      <c r="I50" s="526"/>
      <c r="J50" s="535">
        <f t="shared" si="8"/>
        <v>28.089210999999999</v>
      </c>
      <c r="K50" s="528">
        <f t="shared" si="9"/>
        <v>0</v>
      </c>
      <c r="L50" s="537">
        <f t="shared" si="10"/>
        <v>40.395109654958588</v>
      </c>
      <c r="M50" s="530"/>
      <c r="N50" s="535">
        <f t="shared" si="11"/>
        <v>28.089210999999999</v>
      </c>
      <c r="O50" s="528">
        <f t="shared" si="12"/>
        <v>0</v>
      </c>
      <c r="P50" s="538">
        <f t="shared" si="13"/>
        <v>40.395109654958588</v>
      </c>
      <c r="Q50" s="532"/>
      <c r="R50" s="535">
        <f t="shared" si="14"/>
        <v>28.089210999999999</v>
      </c>
      <c r="S50" s="528">
        <f t="shared" si="15"/>
        <v>0</v>
      </c>
      <c r="T50" s="538">
        <f t="shared" si="16"/>
        <v>40.395109654958588</v>
      </c>
    </row>
    <row r="51" spans="1:23" x14ac:dyDescent="0.25">
      <c r="A51" s="523" t="str">
        <f>A24</f>
        <v>Gardasil Adults</v>
      </c>
      <c r="B51" s="523" t="str">
        <f>B24</f>
        <v>HCC Radio</v>
      </c>
      <c r="C51" s="533">
        <f t="shared" ref="C51:D54" si="18">C24/1000000</f>
        <v>1.5</v>
      </c>
      <c r="D51" s="534">
        <f t="shared" si="18"/>
        <v>7.2903099462908374</v>
      </c>
      <c r="E51" s="526"/>
      <c r="F51" s="535">
        <f>F24/1000000</f>
        <v>0.70450446923774579</v>
      </c>
      <c r="G51" s="536">
        <f>G24</f>
        <v>-0.53033035384150284</v>
      </c>
      <c r="H51" s="537">
        <f>H24/1000000</f>
        <v>5.3884392392324276</v>
      </c>
      <c r="I51" s="526"/>
      <c r="J51" s="535">
        <f>J24/1000000</f>
        <v>2.2000000000000002</v>
      </c>
      <c r="K51" s="528">
        <f>K24</f>
        <v>0.46666666666666667</v>
      </c>
      <c r="L51" s="537">
        <f>L24/1000000</f>
        <v>8.4972532367697085</v>
      </c>
      <c r="M51" s="530"/>
      <c r="N51" s="535">
        <f>N24/1000000</f>
        <v>1.0111207948361478</v>
      </c>
      <c r="O51" s="528">
        <f>O24</f>
        <v>-0.32591947010923478</v>
      </c>
      <c r="P51" s="538">
        <f>P24/1000000</f>
        <v>6.2263095138115787</v>
      </c>
      <c r="Q51" s="532"/>
      <c r="R51" s="535">
        <f>R24/1000000</f>
        <v>0.62882621347470091</v>
      </c>
      <c r="S51" s="528">
        <f>S24</f>
        <v>-0.58078252435019939</v>
      </c>
      <c r="T51" s="538">
        <f>T24/1000000</f>
        <v>5.148986392196492</v>
      </c>
    </row>
    <row r="52" spans="1:23" x14ac:dyDescent="0.25">
      <c r="A52" s="523" t="str">
        <f>A25</f>
        <v>Gardasil Adults</v>
      </c>
      <c r="B52" s="523" t="str">
        <f>B25</f>
        <v>HCC Pharmacy</v>
      </c>
      <c r="C52" s="533">
        <f t="shared" si="18"/>
        <v>3.2</v>
      </c>
      <c r="D52" s="534">
        <f t="shared" si="18"/>
        <v>5.0638371955307466</v>
      </c>
      <c r="E52" s="526"/>
      <c r="F52" s="535">
        <f>F25/1000000</f>
        <v>3.2</v>
      </c>
      <c r="G52" s="536">
        <f>G25</f>
        <v>0</v>
      </c>
      <c r="H52" s="537">
        <f>H25/1000000</f>
        <v>5.0638371955307466</v>
      </c>
      <c r="I52" s="526"/>
      <c r="J52" s="535">
        <f>J25/1000000</f>
        <v>3.2</v>
      </c>
      <c r="K52" s="528">
        <f>K25</f>
        <v>0</v>
      </c>
      <c r="L52" s="537">
        <f>L25/1000000</f>
        <v>5.0638371955307466</v>
      </c>
      <c r="M52" s="530"/>
      <c r="N52" s="535">
        <f>N25/1000000</f>
        <v>3.2</v>
      </c>
      <c r="O52" s="528">
        <f>O25</f>
        <v>0</v>
      </c>
      <c r="P52" s="538">
        <f>P25/1000000</f>
        <v>5.0638371955307466</v>
      </c>
      <c r="Q52" s="532"/>
      <c r="R52" s="535">
        <f>R25/1000000</f>
        <v>3.2</v>
      </c>
      <c r="S52" s="528">
        <f>S25</f>
        <v>0</v>
      </c>
      <c r="T52" s="538">
        <f>T25/1000000</f>
        <v>5.0638371955307466</v>
      </c>
    </row>
    <row r="53" spans="1:23" x14ac:dyDescent="0.25">
      <c r="A53" s="469"/>
      <c r="B53" s="510" t="str">
        <f>B26</f>
        <v>Gardasil Adolescents</v>
      </c>
      <c r="C53" s="511">
        <f t="shared" si="18"/>
        <v>38.513576</v>
      </c>
      <c r="D53" s="512">
        <f t="shared" si="18"/>
        <v>284.16088455212713</v>
      </c>
      <c r="E53" s="513"/>
      <c r="F53" s="514">
        <f t="shared" ref="F53:F54" si="19">F26/1000000</f>
        <v>39.702376997921242</v>
      </c>
      <c r="G53" s="487">
        <f t="shared" ref="G53:G54" si="20">G26</f>
        <v>3.0867063549779E-2</v>
      </c>
      <c r="H53" s="515">
        <f t="shared" ref="H53:H54" si="21">H26/1000000</f>
        <v>293.47215773240413</v>
      </c>
      <c r="I53" s="513"/>
      <c r="J53" s="514">
        <f t="shared" ref="J53:J54" si="22">J26/1000000</f>
        <v>44.702376889437247</v>
      </c>
      <c r="K53" s="487">
        <f t="shared" ref="K53:K54" si="23">K26</f>
        <v>0.12593704123652957</v>
      </c>
      <c r="L53" s="515">
        <f t="shared" ref="L53:L54" si="24">L26/1000000</f>
        <v>318.50540957224729</v>
      </c>
      <c r="M53" s="486"/>
      <c r="N53" s="514">
        <f t="shared" ref="N53:N54" si="25">N26/1000000</f>
        <v>47.642852400000002</v>
      </c>
      <c r="O53" s="487">
        <f t="shared" ref="O53:O54" si="26">O26</f>
        <v>0.20000000000000015</v>
      </c>
      <c r="P53" s="515">
        <f t="shared" ref="P53:P54" si="27">P26/1000000</f>
        <v>331.0592928531326</v>
      </c>
      <c r="Q53" s="516"/>
      <c r="R53" s="514">
        <f t="shared" ref="R53:R54" si="28">R26/1000000</f>
        <v>51.613090100000001</v>
      </c>
      <c r="S53" s="487">
        <f t="shared" ref="S53:S54" si="29">S26</f>
        <v>0.30000000000000004</v>
      </c>
      <c r="T53" s="515">
        <f t="shared" ref="T53:T54" si="30">T26/1000000</f>
        <v>346.23893787409128</v>
      </c>
      <c r="U53" s="180">
        <f>L53-D53</f>
        <v>34.344525020120159</v>
      </c>
      <c r="V53" s="180">
        <f>P53-D53</f>
        <v>46.898408301005475</v>
      </c>
      <c r="W53" s="180">
        <f>T53-D53</f>
        <v>62.078053321964148</v>
      </c>
    </row>
    <row r="54" spans="1:23" x14ac:dyDescent="0.25">
      <c r="A54" s="469"/>
      <c r="B54" s="510" t="str">
        <f>B27</f>
        <v>Gardasil Adults</v>
      </c>
      <c r="C54" s="511">
        <f t="shared" si="18"/>
        <v>68.905663000000004</v>
      </c>
      <c r="D54" s="512">
        <f t="shared" si="18"/>
        <v>216.67362214828196</v>
      </c>
      <c r="E54" s="513"/>
      <c r="F54" s="514">
        <f t="shared" si="19"/>
        <v>68.905663060570731</v>
      </c>
      <c r="G54" s="487">
        <f t="shared" si="20"/>
        <v>8.7903851616769654E-10</v>
      </c>
      <c r="H54" s="515">
        <f t="shared" si="21"/>
        <v>222.41226998664143</v>
      </c>
      <c r="I54" s="513"/>
      <c r="J54" s="514">
        <f t="shared" si="22"/>
        <v>73.905663074635399</v>
      </c>
      <c r="K54" s="487">
        <f t="shared" si="23"/>
        <v>7.2562977510794741E-2</v>
      </c>
      <c r="L54" s="515">
        <f t="shared" si="24"/>
        <v>233.82800635850043</v>
      </c>
      <c r="M54" s="486"/>
      <c r="N54" s="514">
        <f t="shared" si="25"/>
        <v>70.965187599999993</v>
      </c>
      <c r="O54" s="487">
        <f t="shared" si="26"/>
        <v>2.9889047000389416E-2</v>
      </c>
      <c r="P54" s="515">
        <f t="shared" si="27"/>
        <v>228.41793757547859</v>
      </c>
      <c r="Q54" s="516"/>
      <c r="R54" s="514">
        <f t="shared" si="28"/>
        <v>66.99494989999998</v>
      </c>
      <c r="S54" s="487">
        <f t="shared" si="29"/>
        <v>-2.772940592705735E-2</v>
      </c>
      <c r="T54" s="515">
        <f t="shared" si="30"/>
        <v>216.36497387374718</v>
      </c>
      <c r="U54" s="180">
        <f>L54-D54</f>
        <v>17.154384210218467</v>
      </c>
      <c r="V54" s="180">
        <f>P54-D54</f>
        <v>11.744315427196625</v>
      </c>
      <c r="W54" s="180">
        <f>T54-D54</f>
        <v>-0.30864827453478938</v>
      </c>
    </row>
    <row r="55" spans="1:23" ht="29.65" customHeight="1" x14ac:dyDescent="0.25">
      <c r="A55" s="485"/>
      <c r="B55" s="510" t="s">
        <v>218</v>
      </c>
      <c r="C55" s="517">
        <f>C28/1000000</f>
        <v>107.419239</v>
      </c>
      <c r="D55" s="512">
        <f>D28/1000000</f>
        <v>500.83450670040907</v>
      </c>
      <c r="E55" s="513"/>
      <c r="F55" s="518">
        <f>F28/1000000</f>
        <v>108.60804005849197</v>
      </c>
      <c r="G55" s="519">
        <f>G28</f>
        <v>1.1066928695072585E-2</v>
      </c>
      <c r="H55" s="515">
        <f>H28/1000000</f>
        <v>515.88442771904556</v>
      </c>
      <c r="I55" s="513"/>
      <c r="J55" s="518">
        <f>J28/1000000</f>
        <v>118.60803996407265</v>
      </c>
      <c r="K55" s="519">
        <f>K28</f>
        <v>0.10416012129887314</v>
      </c>
      <c r="L55" s="515">
        <f>L28/1000000</f>
        <v>552.33341593074772</v>
      </c>
      <c r="M55" s="486"/>
      <c r="N55" s="518">
        <f>N28/1000000</f>
        <v>118.60804</v>
      </c>
      <c r="O55" s="519">
        <f>O28</f>
        <v>0.10416012163333237</v>
      </c>
      <c r="P55" s="515">
        <f>P28/1000000</f>
        <v>559.47723042861128</v>
      </c>
      <c r="Q55" s="516"/>
      <c r="R55" s="518">
        <f>R28/1000000</f>
        <v>118.60804</v>
      </c>
      <c r="S55" s="519">
        <f>S28</f>
        <v>0.10416012163333237</v>
      </c>
      <c r="T55" s="515">
        <f>T28/1000000</f>
        <v>562.60391174783854</v>
      </c>
      <c r="U55" s="503">
        <f>U54*1.25</f>
        <v>21.442980262773084</v>
      </c>
      <c r="V55" s="503">
        <f>V54*1.25</f>
        <v>14.680394283995781</v>
      </c>
      <c r="W55" s="503">
        <f>W54*1.25</f>
        <v>-0.38581034316848672</v>
      </c>
    </row>
    <row r="56" spans="1:23" ht="25.5" x14ac:dyDescent="0.25">
      <c r="A56" s="485"/>
      <c r="B56" s="510" t="s">
        <v>307</v>
      </c>
      <c r="C56" s="514" t="str">
        <f>_xlfn.CONCAT("ROI"," ", ,C61)</f>
        <v>ROI 4.66</v>
      </c>
      <c r="D56" s="520"/>
      <c r="E56" s="513"/>
      <c r="F56" s="514" t="str">
        <f>_xlfn.CONCAT("ROI"," ", ,F61)</f>
        <v>ROI 4.75</v>
      </c>
      <c r="G56" s="519"/>
      <c r="H56" s="521" t="s">
        <v>347</v>
      </c>
      <c r="I56" s="513"/>
      <c r="J56" s="514" t="str">
        <f>_xlfn.CONCAT("ROI"," ", ,J61)</f>
        <v>ROI 4.66</v>
      </c>
      <c r="K56" s="519"/>
      <c r="L56" s="521" t="s">
        <v>381</v>
      </c>
      <c r="M56" s="486"/>
      <c r="N56" s="514" t="str">
        <f>_xlfn.CONCAT("ROI"," ", ,N61)</f>
        <v>ROI 4.72</v>
      </c>
      <c r="O56" s="519"/>
      <c r="P56" s="521" t="s">
        <v>386</v>
      </c>
      <c r="Q56" s="522"/>
      <c r="R56" s="514" t="str">
        <f>_xlfn.CONCAT("ROI"," ", ,R61)</f>
        <v>ROI 4.74</v>
      </c>
      <c r="S56" s="519"/>
      <c r="T56" s="521" t="s">
        <v>391</v>
      </c>
    </row>
    <row r="57" spans="1:23" ht="38.25" x14ac:dyDescent="0.25">
      <c r="A57" s="485"/>
      <c r="B57" s="510" t="s">
        <v>357</v>
      </c>
      <c r="C57" s="514" t="str">
        <f>_xlfn.CONCAT("ROI"," ", ,C63)</f>
        <v>ROI 7.38</v>
      </c>
      <c r="D57" s="520"/>
      <c r="E57" s="513"/>
      <c r="F57" s="514" t="str">
        <f>_xlfn.CONCAT("ROI"," ", ,F63)</f>
        <v>ROI 7.39</v>
      </c>
      <c r="G57" s="519"/>
      <c r="H57" s="521" t="s">
        <v>365</v>
      </c>
      <c r="I57" s="513"/>
      <c r="J57" s="514" t="str">
        <f>_xlfn.CONCAT("ROI"," ", ,J63)</f>
        <v>ROI 7.13</v>
      </c>
      <c r="K57" s="519"/>
      <c r="L57" s="521" t="s">
        <v>382</v>
      </c>
      <c r="M57" s="486"/>
      <c r="N57" s="514" t="str">
        <f>_xlfn.CONCAT("ROI"," ", ,N63)</f>
        <v>ROI 6.95</v>
      </c>
      <c r="O57" s="519"/>
      <c r="P57" s="521" t="s">
        <v>387</v>
      </c>
      <c r="Q57" s="522"/>
      <c r="R57" s="514" t="str">
        <f>_xlfn.CONCAT("ROI"," ", ,R63)</f>
        <v>ROI 6.71</v>
      </c>
      <c r="S57" s="519"/>
      <c r="T57" s="521" t="s">
        <v>373</v>
      </c>
    </row>
    <row r="58" spans="1:23" ht="51" x14ac:dyDescent="0.25">
      <c r="A58" s="485"/>
      <c r="B58" s="510" t="s">
        <v>360</v>
      </c>
      <c r="C58" s="514" t="str">
        <f>_xlfn.CONCAT("ROI"," ", ,C65)</f>
        <v>ROI 3.14</v>
      </c>
      <c r="D58" s="520"/>
      <c r="E58" s="513"/>
      <c r="F58" s="514" t="str">
        <f>_xlfn.CONCAT("ROI"," ", ,F65)</f>
        <v>ROI 3.23</v>
      </c>
      <c r="G58" s="519"/>
      <c r="H58" s="521" t="s">
        <v>366</v>
      </c>
      <c r="I58" s="513"/>
      <c r="J58" s="514" t="str">
        <f>_xlfn.CONCAT("ROI"," ", ,J65)</f>
        <v>ROI 3.16</v>
      </c>
      <c r="K58" s="519"/>
      <c r="L58" s="521" t="s">
        <v>383</v>
      </c>
      <c r="M58" s="486"/>
      <c r="N58" s="514" t="str">
        <f>_xlfn.CONCAT("ROI"," ", ,N65)</f>
        <v>ROI 3.22</v>
      </c>
      <c r="O58" s="519"/>
      <c r="P58" s="521" t="s">
        <v>388</v>
      </c>
      <c r="Q58" s="522"/>
      <c r="R58" s="514" t="str">
        <f>_xlfn.CONCAT("ROI"," ", ,R65)</f>
        <v>ROI 3.23</v>
      </c>
      <c r="S58" s="519"/>
      <c r="T58" s="521" t="s">
        <v>392</v>
      </c>
    </row>
    <row r="59" spans="1:23" ht="38.25" x14ac:dyDescent="0.25">
      <c r="A59" s="485"/>
      <c r="B59" s="510" t="s">
        <v>359</v>
      </c>
      <c r="C59" s="514" t="str">
        <f>_xlfn.CONCAT("ROI"," ", ,C67)</f>
        <v>ROI 3.93</v>
      </c>
      <c r="D59" s="520"/>
      <c r="E59" s="513"/>
      <c r="F59" s="514" t="str">
        <f>_xlfn.CONCAT("ROI"," ", ,F67)</f>
        <v>ROI 4.03</v>
      </c>
      <c r="G59" s="519"/>
      <c r="H59" s="521" t="s">
        <v>367</v>
      </c>
      <c r="I59" s="513"/>
      <c r="J59" s="514" t="str">
        <f>_xlfn.CONCAT("ROI"," ", ,J67)</f>
        <v>ROI 3.95</v>
      </c>
      <c r="K59" s="519"/>
      <c r="L59" s="521" t="s">
        <v>384</v>
      </c>
      <c r="M59" s="486"/>
      <c r="N59" s="514" t="str">
        <f>_xlfn.CONCAT("ROI"," ", ,N67)</f>
        <v>ROI 4.02</v>
      </c>
      <c r="O59" s="519"/>
      <c r="P59" s="521" t="s">
        <v>389</v>
      </c>
      <c r="Q59" s="522"/>
      <c r="R59" s="514" t="str">
        <f>_xlfn.CONCAT("ROI"," ", ,R67)</f>
        <v>ROI 4.04</v>
      </c>
      <c r="S59" s="519"/>
      <c r="T59" s="521" t="s">
        <v>392</v>
      </c>
    </row>
    <row r="60" spans="1:23" ht="38.25" x14ac:dyDescent="0.25">
      <c r="A60" s="485"/>
      <c r="B60" s="510" t="s">
        <v>358</v>
      </c>
      <c r="C60" s="514" t="str">
        <f>_xlfn.CONCAT("ROI"," ", ,C69)</f>
        <v>ROI 2.52</v>
      </c>
      <c r="D60" s="520"/>
      <c r="E60" s="513"/>
      <c r="F60" s="514" t="str">
        <f>_xlfn.CONCAT("ROI"," ", ,F69)</f>
        <v>ROI 2.58</v>
      </c>
      <c r="G60" s="519"/>
      <c r="H60" s="521" t="s">
        <v>368</v>
      </c>
      <c r="I60" s="513"/>
      <c r="J60" s="514" t="str">
        <f>_xlfn.CONCAT("ROI"," ", ,J69)</f>
        <v>ROI 2.53</v>
      </c>
      <c r="K60" s="519"/>
      <c r="L60" s="521" t="s">
        <v>385</v>
      </c>
      <c r="M60" s="486"/>
      <c r="N60" s="514" t="str">
        <f>_xlfn.CONCAT("ROI"," ", ,N69)</f>
        <v>ROI 2.57</v>
      </c>
      <c r="O60" s="519"/>
      <c r="P60" s="521" t="s">
        <v>390</v>
      </c>
      <c r="Q60" s="522"/>
      <c r="R60" s="514" t="str">
        <f>_xlfn.CONCAT("ROI"," ", ,R69)</f>
        <v>ROI 2.58</v>
      </c>
      <c r="S60" s="519"/>
      <c r="T60" s="521" t="s">
        <v>392</v>
      </c>
    </row>
    <row r="61" spans="1:23" x14ac:dyDescent="0.25">
      <c r="C61" s="97">
        <f>ROUND(D55/C55,2)</f>
        <v>4.66</v>
      </c>
      <c r="F61" s="97">
        <f>ROUND(H55/F55,2)</f>
        <v>4.75</v>
      </c>
      <c r="H61" s="216">
        <f>(H55-$D$55)</f>
        <v>15.049921018636496</v>
      </c>
      <c r="J61" s="97">
        <f>ROUND(L55/J55,2)</f>
        <v>4.66</v>
      </c>
      <c r="L61" s="216">
        <f>(L55-$D$55)</f>
        <v>51.498909230338654</v>
      </c>
      <c r="N61" s="97">
        <f>ROUND(P55/N55,2)</f>
        <v>4.72</v>
      </c>
      <c r="P61" s="216">
        <f>(P55-$D$55)</f>
        <v>58.642723728202213</v>
      </c>
      <c r="Q61" s="509"/>
      <c r="R61" s="97">
        <f>ROUND(T55/R55,2)</f>
        <v>4.74</v>
      </c>
      <c r="T61" s="216">
        <f>(T55-$D$55)</f>
        <v>61.769405047429473</v>
      </c>
    </row>
    <row r="62" spans="1:23" x14ac:dyDescent="0.25">
      <c r="H62" s="331">
        <f>H61/$D$55</f>
        <v>3.0049688704135376E-2</v>
      </c>
      <c r="J62" s="248"/>
      <c r="K62" s="248"/>
      <c r="L62" s="331">
        <f>L61/$D$55</f>
        <v>0.10282620015466397</v>
      </c>
      <c r="M62" s="248"/>
      <c r="N62" s="248"/>
      <c r="O62" s="248"/>
      <c r="P62" s="331">
        <f>P61/$D$55</f>
        <v>0.11709002263951697</v>
      </c>
      <c r="Q62" s="331"/>
      <c r="R62" s="248"/>
      <c r="S62" s="248"/>
      <c r="T62" s="331">
        <f>T61/$D$55</f>
        <v>0.12333296572230577</v>
      </c>
    </row>
    <row r="63" spans="1:23" x14ac:dyDescent="0.25">
      <c r="C63" s="97">
        <f>ROUND(D53/C53,2)</f>
        <v>7.38</v>
      </c>
      <c r="F63" s="97">
        <f>ROUND(H53/F53,2)</f>
        <v>7.39</v>
      </c>
      <c r="H63" s="216">
        <f>H53-$D$53</f>
        <v>9.3112731802769986</v>
      </c>
      <c r="J63" s="97">
        <f>ROUND(L53/J53,2)</f>
        <v>7.13</v>
      </c>
      <c r="L63" s="216">
        <f>L53-$D$53</f>
        <v>34.344525020120159</v>
      </c>
      <c r="N63" s="97">
        <f>ROUND(P53/N53,2)</f>
        <v>6.95</v>
      </c>
      <c r="P63" s="216">
        <f>P53-$D$53</f>
        <v>46.898408301005475</v>
      </c>
      <c r="R63" s="97">
        <f>ROUND(T53/R53,2)</f>
        <v>6.71</v>
      </c>
      <c r="T63" s="216">
        <f>T53-$D$53</f>
        <v>62.078053321964148</v>
      </c>
    </row>
    <row r="64" spans="1:23" x14ac:dyDescent="0.25">
      <c r="H64" s="280">
        <f>H63/$D$53</f>
        <v>3.2767610485703272E-2</v>
      </c>
      <c r="L64" s="331">
        <f>L63/$D$53</f>
        <v>0.12086295787772268</v>
      </c>
      <c r="M64" s="248"/>
      <c r="P64" s="331">
        <f>P63/$D$53</f>
        <v>0.16504174518925502</v>
      </c>
      <c r="T64" s="331">
        <f>T63/$D$53</f>
        <v>0.21846093778813672</v>
      </c>
    </row>
    <row r="65" spans="3:20" x14ac:dyDescent="0.25">
      <c r="C65" s="97">
        <f>ROUND(D54/C54,2)</f>
        <v>3.14</v>
      </c>
      <c r="F65" s="97">
        <f>ROUND(H54/F54,2)</f>
        <v>3.23</v>
      </c>
      <c r="H65" s="216">
        <f>H54-$D$54</f>
        <v>5.7386478383594692</v>
      </c>
      <c r="J65" s="97">
        <f>ROUND(L54/J54,2)</f>
        <v>3.16</v>
      </c>
      <c r="L65" s="216">
        <f>L54-$D$54</f>
        <v>17.154384210218467</v>
      </c>
      <c r="N65" s="97">
        <f>ROUND(P54/N54,2)</f>
        <v>3.22</v>
      </c>
      <c r="P65" s="216">
        <f>P54-$D$54</f>
        <v>11.744315427196625</v>
      </c>
      <c r="R65" s="97">
        <f>ROUND(T54/R54,2)</f>
        <v>3.23</v>
      </c>
      <c r="T65" s="216">
        <f>T54-$D$54</f>
        <v>-0.30864827453478938</v>
      </c>
    </row>
    <row r="66" spans="3:20" x14ac:dyDescent="0.25">
      <c r="H66" s="280">
        <f>H65/$D$54</f>
        <v>2.6485216711945626E-2</v>
      </c>
      <c r="L66" s="331">
        <f>L65/$D$54</f>
        <v>7.9171539387839079E-2</v>
      </c>
      <c r="M66" s="248"/>
      <c r="P66" s="331">
        <f>P65/$D$54</f>
        <v>5.420279271077736E-2</v>
      </c>
      <c r="T66" s="331">
        <f>T65/$D$54</f>
        <v>-1.4244847687253964E-3</v>
      </c>
    </row>
    <row r="67" spans="3:20" x14ac:dyDescent="0.25">
      <c r="C67" s="97">
        <f>ROUND(D54*1.25/C54,2)</f>
        <v>3.93</v>
      </c>
      <c r="F67" s="97">
        <f>ROUND(H54*1.25/F54,2)</f>
        <v>4.03</v>
      </c>
      <c r="H67" s="216">
        <f>H65*1.25</f>
        <v>7.1733097979493365</v>
      </c>
      <c r="J67" s="97">
        <f>ROUND(L54*1.25/J54,2)</f>
        <v>3.95</v>
      </c>
      <c r="L67" s="216">
        <f>L65*1.25</f>
        <v>21.442980262773084</v>
      </c>
      <c r="N67" s="97">
        <f>ROUND(P54*1.25/N54,2)</f>
        <v>4.0199999999999996</v>
      </c>
      <c r="P67" s="216">
        <f>P65*1.25</f>
        <v>14.680394283995781</v>
      </c>
      <c r="R67" s="97">
        <f>ROUND(T54*1.25/R54,2)</f>
        <v>4.04</v>
      </c>
      <c r="T67" s="216">
        <f>T65*1.25</f>
        <v>-0.38581034316848672</v>
      </c>
    </row>
    <row r="68" spans="3:20" x14ac:dyDescent="0.25">
      <c r="H68" s="280">
        <f>H67/($D$54*1.25)</f>
        <v>2.6485216711945626E-2</v>
      </c>
      <c r="L68" s="331">
        <f>L67/($D$54*1.25)</f>
        <v>7.9171539387839079E-2</v>
      </c>
      <c r="M68" s="248"/>
      <c r="P68" s="331">
        <f>P67/($D$54*1.25)</f>
        <v>5.420279271077736E-2</v>
      </c>
      <c r="T68" s="331">
        <f>T67/($D$54*1.25)</f>
        <v>-1.4244847687253967E-3</v>
      </c>
    </row>
    <row r="69" spans="3:20" x14ac:dyDescent="0.25">
      <c r="C69" s="97">
        <f>ROUND(D54*0.8/C54,2)</f>
        <v>2.52</v>
      </c>
      <c r="F69" s="97">
        <f>ROUND(H54*0.8/F54,2)</f>
        <v>2.58</v>
      </c>
      <c r="H69" s="216">
        <f>H65*0.8</f>
        <v>4.5909182706875757</v>
      </c>
      <c r="J69" s="97">
        <f>ROUND(L54*0.8/J54,2)</f>
        <v>2.5299999999999998</v>
      </c>
      <c r="L69" s="216">
        <f>L65*0.8</f>
        <v>13.723507368174774</v>
      </c>
      <c r="N69" s="97">
        <f>ROUND(P54*0.8/N54,2)</f>
        <v>2.57</v>
      </c>
      <c r="P69" s="216">
        <f>P65*0.8</f>
        <v>9.3954523417573004</v>
      </c>
      <c r="R69" s="97">
        <f>ROUND(T54*0.8/R54,2)</f>
        <v>2.58</v>
      </c>
      <c r="T69" s="216">
        <f>T65*0.8</f>
        <v>-0.24691861962783151</v>
      </c>
    </row>
    <row r="70" spans="3:20" x14ac:dyDescent="0.25">
      <c r="H70" s="280">
        <f>H69/($D$54*0.8)</f>
        <v>2.6485216711945623E-2</v>
      </c>
      <c r="L70" s="331">
        <f>L69/($D$54*0.8)</f>
        <v>7.9171539387839066E-2</v>
      </c>
      <c r="M70" s="248"/>
      <c r="P70" s="331">
        <f>P69/($D$54*0.8)</f>
        <v>5.4202792710777353E-2</v>
      </c>
      <c r="T70" s="331">
        <f>T69/($D$54*0.8)</f>
        <v>-1.4244847687253964E-3</v>
      </c>
    </row>
    <row r="81" ht="27.6" customHeight="1" x14ac:dyDescent="0.25"/>
  </sheetData>
  <mergeCells count="11">
    <mergeCell ref="F4:P4"/>
    <mergeCell ref="F5:H5"/>
    <mergeCell ref="J5:L5"/>
    <mergeCell ref="N5:P5"/>
    <mergeCell ref="R5:T5"/>
    <mergeCell ref="F31:T31"/>
    <mergeCell ref="R32:T32"/>
    <mergeCell ref="C32:D32"/>
    <mergeCell ref="F32:H32"/>
    <mergeCell ref="J32:L32"/>
    <mergeCell ref="N32:P32"/>
  </mergeCells>
  <conditionalFormatting sqref="G34:G52">
    <cfRule type="cellIs" dxfId="51" priority="15" operator="lessThan">
      <formula>0</formula>
    </cfRule>
    <cfRule type="cellIs" dxfId="50" priority="16" operator="greaterThan">
      <formula>0</formula>
    </cfRule>
  </conditionalFormatting>
  <conditionalFormatting sqref="O34:O52">
    <cfRule type="cellIs" dxfId="49" priority="13" operator="lessThan">
      <formula>0</formula>
    </cfRule>
    <cfRule type="cellIs" dxfId="48" priority="14" operator="greaterThan">
      <formula>0</formula>
    </cfRule>
  </conditionalFormatting>
  <conditionalFormatting sqref="K34:K52">
    <cfRule type="cellIs" dxfId="47" priority="11" operator="lessThan">
      <formula>0</formula>
    </cfRule>
    <cfRule type="cellIs" dxfId="46" priority="12" operator="greaterThan">
      <formula>0</formula>
    </cfRule>
  </conditionalFormatting>
  <conditionalFormatting sqref="G53:G54">
    <cfRule type="cellIs" dxfId="45" priority="9" operator="lessThan">
      <formula>0</formula>
    </cfRule>
    <cfRule type="cellIs" dxfId="44" priority="10" operator="greaterThan">
      <formula>0</formula>
    </cfRule>
  </conditionalFormatting>
  <conditionalFormatting sqref="K53:K54">
    <cfRule type="cellIs" dxfId="43" priority="7" operator="lessThan">
      <formula>0</formula>
    </cfRule>
    <cfRule type="cellIs" dxfId="42" priority="8" operator="greaterThan">
      <formula>0</formula>
    </cfRule>
  </conditionalFormatting>
  <conditionalFormatting sqref="O53:O54">
    <cfRule type="cellIs" dxfId="41" priority="5" operator="lessThan">
      <formula>0</formula>
    </cfRule>
    <cfRule type="cellIs" dxfId="40" priority="6" operator="greaterThan">
      <formula>0</formula>
    </cfRule>
  </conditionalFormatting>
  <conditionalFormatting sqref="S34:S52">
    <cfRule type="cellIs" dxfId="39" priority="3" operator="lessThan">
      <formula>0</formula>
    </cfRule>
    <cfRule type="cellIs" dxfId="38" priority="4" operator="greaterThan">
      <formula>0</formula>
    </cfRule>
  </conditionalFormatting>
  <conditionalFormatting sqref="S53:S54">
    <cfRule type="cellIs" dxfId="37" priority="1" operator="lessThan">
      <formula>0</formula>
    </cfRule>
    <cfRule type="cellIs" dxfId="3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AD107"/>
  <sheetViews>
    <sheetView showGridLines="0" topLeftCell="A34" zoomScale="75" zoomScaleNormal="75" workbookViewId="0">
      <selection activeCell="N16" sqref="N16:N25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customWidth="1"/>
    <col min="19" max="19" width="13.28515625" style="97" customWidth="1"/>
    <col min="20" max="20" width="13.8554687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59" t="s">
        <v>350</v>
      </c>
      <c r="G4" s="559"/>
      <c r="H4" s="559"/>
      <c r="I4" s="559"/>
      <c r="J4" s="559"/>
      <c r="K4" s="559"/>
      <c r="L4" s="559"/>
      <c r="M4" s="559"/>
      <c r="N4" s="559"/>
      <c r="O4" s="559"/>
      <c r="P4" s="559"/>
      <c r="Q4" s="501"/>
      <c r="R4" s="501"/>
      <c r="S4" s="501"/>
      <c r="T4" s="501"/>
    </row>
    <row r="5" spans="1:28" ht="36" customHeight="1" x14ac:dyDescent="0.25">
      <c r="F5" s="555" t="s">
        <v>310</v>
      </c>
      <c r="G5" s="556"/>
      <c r="H5" s="557"/>
      <c r="I5" s="181"/>
      <c r="J5" s="586" t="s">
        <v>355</v>
      </c>
      <c r="K5" s="587"/>
      <c r="L5" s="588"/>
      <c r="N5" s="586" t="s">
        <v>351</v>
      </c>
      <c r="O5" s="587"/>
      <c r="P5" s="588"/>
      <c r="Q5" s="506"/>
      <c r="R5" s="586" t="s">
        <v>352</v>
      </c>
      <c r="S5" s="587"/>
      <c r="T5" s="588"/>
      <c r="V5" s="97" t="s">
        <v>249</v>
      </c>
    </row>
    <row r="6" spans="1:28" ht="30.75" customHeight="1" x14ac:dyDescent="0.25">
      <c r="B6" s="386" t="s">
        <v>212</v>
      </c>
      <c r="C6" s="388" t="s">
        <v>213</v>
      </c>
      <c r="D6" s="387" t="s">
        <v>214</v>
      </c>
      <c r="E6" s="389"/>
      <c r="F6" s="390" t="s">
        <v>222</v>
      </c>
      <c r="G6" s="389" t="s">
        <v>215</v>
      </c>
      <c r="H6" s="387" t="s">
        <v>216</v>
      </c>
      <c r="I6" s="389"/>
      <c r="J6" s="390" t="s">
        <v>222</v>
      </c>
      <c r="K6" s="389" t="s">
        <v>215</v>
      </c>
      <c r="L6" s="387" t="s">
        <v>216</v>
      </c>
      <c r="M6" s="391"/>
      <c r="N6" s="390" t="s">
        <v>222</v>
      </c>
      <c r="O6" s="389" t="s">
        <v>215</v>
      </c>
      <c r="P6" s="387" t="s">
        <v>216</v>
      </c>
      <c r="Q6" s="507"/>
      <c r="R6" s="390" t="s">
        <v>222</v>
      </c>
      <c r="S6" s="389" t="s">
        <v>215</v>
      </c>
      <c r="T6" s="387" t="s">
        <v>216</v>
      </c>
      <c r="V6" s="183" t="s">
        <v>222</v>
      </c>
      <c r="W6" s="183" t="s">
        <v>215</v>
      </c>
      <c r="X6" s="183" t="s">
        <v>216</v>
      </c>
      <c r="Z6" s="500" t="s">
        <v>343</v>
      </c>
      <c r="AA6" s="499" t="s">
        <v>344</v>
      </c>
      <c r="AB6" s="499" t="s">
        <v>345</v>
      </c>
    </row>
    <row r="7" spans="1:28" x14ac:dyDescent="0.25">
      <c r="A7" s="379" t="str">
        <f>VAC_Optim_Scenario!A49</f>
        <v>Gardasil Adolescents</v>
      </c>
      <c r="B7" s="379" t="str">
        <f>VAC_Optim_Scenario!B19</f>
        <v>HCC In Office</v>
      </c>
      <c r="C7" s="383">
        <f>VAC_Optim_Scenario!E19</f>
        <v>1000000</v>
      </c>
      <c r="D7" s="375">
        <f>VAC_Optim_Scenario!G49</f>
        <v>3608306.5090601984</v>
      </c>
      <c r="E7" s="368"/>
      <c r="F7" s="382">
        <v>1000000</v>
      </c>
      <c r="G7" s="369">
        <v>0</v>
      </c>
      <c r="H7" s="371">
        <v>5040789.0644048415</v>
      </c>
      <c r="I7" s="368"/>
      <c r="J7" s="383">
        <v>1176429.1162956713</v>
      </c>
      <c r="K7" s="373">
        <v>0.17642911629567132</v>
      </c>
      <c r="L7" s="375">
        <v>5736877.6676953258</v>
      </c>
      <c r="M7" s="370"/>
      <c r="N7" s="383">
        <v>1280553.8166407023</v>
      </c>
      <c r="O7" s="373">
        <v>0.28055381664070234</v>
      </c>
      <c r="P7" s="375">
        <v>6124893.4309640741</v>
      </c>
      <c r="Q7" s="372"/>
      <c r="R7" s="383">
        <v>1477446.4670283725</v>
      </c>
      <c r="S7" s="373">
        <v>0.47744646702837246</v>
      </c>
      <c r="T7" s="375">
        <v>6815212.4286170546</v>
      </c>
      <c r="U7" s="180"/>
      <c r="V7" s="185">
        <f>VAC_Optim_Scenario!$H49</f>
        <v>1280553.8166407023</v>
      </c>
      <c r="W7" s="177">
        <f>(V7-$C7)/$C7</f>
        <v>0.28055381664070234</v>
      </c>
      <c r="X7" s="185">
        <f>VAC_Optim_Scenario!$J49</f>
        <v>4383975.1022611018</v>
      </c>
      <c r="Y7" s="185">
        <f>J7-V7</f>
        <v>-104124.70034503099</v>
      </c>
      <c r="Z7" s="493">
        <f>$F7-'[1]Scenario deep dive'!$F7</f>
        <v>0</v>
      </c>
      <c r="AA7" s="496">
        <f>$J7-'[1]Scenario deep dive'!$J7</f>
        <v>3514.7903857687488</v>
      </c>
      <c r="AB7" s="496">
        <f>$N7-'[1]Scenario deep dive'!$N7</f>
        <v>-374034.8956880942</v>
      </c>
    </row>
    <row r="8" spans="1:28" x14ac:dyDescent="0.25">
      <c r="A8" s="380" t="str">
        <f>VAC_Optim_Scenario!A50</f>
        <v>Gardasil Adolescents</v>
      </c>
      <c r="B8" s="380" t="str">
        <f>VAC_Optim_Scenario!B20</f>
        <v>HCP MCM</v>
      </c>
      <c r="C8" s="383">
        <f>VAC_Optim_Scenario!E20</f>
        <v>7775778</v>
      </c>
      <c r="D8" s="375">
        <f>VAC_Optim_Scenario!G50</f>
        <v>77322569.320852205</v>
      </c>
      <c r="E8" s="372"/>
      <c r="F8" s="383">
        <v>7998999.8847845653</v>
      </c>
      <c r="G8" s="373">
        <v>2.8707337681781207E-2</v>
      </c>
      <c r="H8" s="375">
        <v>81778277.188084155</v>
      </c>
      <c r="I8" s="372"/>
      <c r="J8" s="383">
        <v>10781490.947601428</v>
      </c>
      <c r="K8" s="373">
        <v>0.38654819461170681</v>
      </c>
      <c r="L8" s="375">
        <v>94764181.268858969</v>
      </c>
      <c r="M8" s="374"/>
      <c r="N8" s="383">
        <v>11092068.118553624</v>
      </c>
      <c r="O8" s="373">
        <v>0.42648981472382874</v>
      </c>
      <c r="P8" s="375">
        <v>95922136.097286731</v>
      </c>
      <c r="Q8" s="372"/>
      <c r="R8" s="383">
        <v>11653434.194842588</v>
      </c>
      <c r="S8" s="373">
        <v>0.49868401526414313</v>
      </c>
      <c r="T8" s="375">
        <v>97889996.867404997</v>
      </c>
      <c r="U8" s="180"/>
      <c r="V8" s="185">
        <f>VAC_Optim_Scenario!$H50</f>
        <v>11092068.118553624</v>
      </c>
      <c r="W8" s="177">
        <f t="shared" ref="W8:W22" si="0">(V8-$C8)/$C8</f>
        <v>0.42648981472382874</v>
      </c>
      <c r="X8" s="185">
        <f>VAC_Optim_Scenario!$J50</f>
        <v>92129276.914606035</v>
      </c>
      <c r="Y8" s="185">
        <f t="shared" ref="Y8:Y25" si="1">J8-V8</f>
        <v>-310577.1709521953</v>
      </c>
      <c r="Z8" s="494">
        <f>$F8-'[1]Scenario deep dive'!$F8</f>
        <v>-4662.7890975764021</v>
      </c>
      <c r="AA8" s="497">
        <f>$J8-'[1]Scenario deep dive'!$J8</f>
        <v>411.1471988838166</v>
      </c>
      <c r="AB8" s="497">
        <f>$N8-'[1]Scenario deep dive'!$N8</f>
        <v>-907931.88144637644</v>
      </c>
    </row>
    <row r="9" spans="1:28" x14ac:dyDescent="0.25">
      <c r="A9" s="380" t="str">
        <f>VAC_Optim_Scenario!A51</f>
        <v>Gardasil Adolescents</v>
      </c>
      <c r="B9" s="380" t="str">
        <f>VAC_Optim_Scenario!B21</f>
        <v>HCC Social</v>
      </c>
      <c r="C9" s="383">
        <f>VAC_Optim_Scenario!E21</f>
        <v>1840000</v>
      </c>
      <c r="D9" s="375">
        <f>VAC_Optim_Scenario!G51</f>
        <v>15925915.704314221</v>
      </c>
      <c r="E9" s="372"/>
      <c r="F9" s="383">
        <v>1599500</v>
      </c>
      <c r="G9" s="373">
        <v>-0.13070652173913044</v>
      </c>
      <c r="H9" s="375">
        <v>14642130.239828272</v>
      </c>
      <c r="I9" s="372"/>
      <c r="J9" s="383">
        <v>3981710.9863617201</v>
      </c>
      <c r="K9" s="373">
        <v>1.1639733621531088</v>
      </c>
      <c r="L9" s="375">
        <v>25307867.902625494</v>
      </c>
      <c r="M9" s="374"/>
      <c r="N9" s="383">
        <v>4455047.5305201802</v>
      </c>
      <c r="O9" s="373">
        <v>1.4212214839783588</v>
      </c>
      <c r="P9" s="375">
        <v>27072298.129360568</v>
      </c>
      <c r="Q9" s="372"/>
      <c r="R9" s="383">
        <v>5433719.4069541646</v>
      </c>
      <c r="S9" s="373">
        <v>1.9531083733446546</v>
      </c>
      <c r="T9" s="375">
        <v>30498048.005856685</v>
      </c>
      <c r="U9" s="180"/>
      <c r="V9" s="185">
        <f>VAC_Optim_Scenario!$H51</f>
        <v>4455047.5305201802</v>
      </c>
      <c r="W9" s="177">
        <f t="shared" si="0"/>
        <v>1.4212214839783588</v>
      </c>
      <c r="X9" s="185">
        <f>VAC_Optim_Scenario!$J51</f>
        <v>27072298.129360568</v>
      </c>
      <c r="Y9" s="185">
        <f t="shared" si="1"/>
        <v>-473336.54415846011</v>
      </c>
      <c r="Z9" s="494">
        <f>$F9-'[1]Scenario deep dive'!$F9</f>
        <v>0</v>
      </c>
      <c r="AA9" s="497">
        <f>$J9-'[1]Scenario deep dive'!$J9</f>
        <v>-6207.1108648041263</v>
      </c>
      <c r="AB9" s="497">
        <f>$N9-'[1]Scenario deep dive'!$N9</f>
        <v>-2044952.4694798198</v>
      </c>
    </row>
    <row r="10" spans="1:28" x14ac:dyDescent="0.25">
      <c r="A10" s="380" t="str">
        <f>VAC_Optim_Scenario!A52</f>
        <v>Gardasil Adolescents</v>
      </c>
      <c r="B10" s="380" t="str">
        <f>VAC_Optim_Scenario!B22</f>
        <v>HCC Online Video</v>
      </c>
      <c r="C10" s="383">
        <f>VAC_Optim_Scenario!E22</f>
        <v>1220000</v>
      </c>
      <c r="D10" s="375">
        <f>VAC_Optim_Scenario!G52</f>
        <v>3394246.7935979273</v>
      </c>
      <c r="E10" s="372"/>
      <c r="F10" s="383">
        <v>1000000</v>
      </c>
      <c r="G10" s="373">
        <v>-0.18032786885245902</v>
      </c>
      <c r="H10" s="375">
        <v>3357832.8692201264</v>
      </c>
      <c r="I10" s="372"/>
      <c r="J10" s="383">
        <v>1000000</v>
      </c>
      <c r="K10" s="373">
        <v>-0.18032786885245902</v>
      </c>
      <c r="L10" s="375">
        <v>3357832.8692201264</v>
      </c>
      <c r="M10" s="374"/>
      <c r="N10" s="383">
        <v>1000000</v>
      </c>
      <c r="O10" s="373">
        <v>-0.18032786885245902</v>
      </c>
      <c r="P10" s="375">
        <v>3357832.8692201264</v>
      </c>
      <c r="Q10" s="372"/>
      <c r="R10" s="383">
        <v>1000000</v>
      </c>
      <c r="S10" s="373">
        <v>-0.18032786885245902</v>
      </c>
      <c r="T10" s="375">
        <v>3357832.8692201264</v>
      </c>
      <c r="U10" s="180"/>
      <c r="V10" s="185">
        <f>VAC_Optim_Scenario!$H52</f>
        <v>1000000</v>
      </c>
      <c r="W10" s="177">
        <f t="shared" si="0"/>
        <v>-0.18032786885245902</v>
      </c>
      <c r="X10" s="185">
        <f>VAC_Optim_Scenario!$J52</f>
        <v>3357832.8692201264</v>
      </c>
      <c r="Y10" s="185">
        <f t="shared" si="1"/>
        <v>0</v>
      </c>
      <c r="Z10" s="494">
        <f>$F10-'[1]Scenario deep dive'!$F10</f>
        <v>0</v>
      </c>
      <c r="AA10" s="497">
        <f>$J10-'[1]Scenario deep dive'!$J10</f>
        <v>0</v>
      </c>
      <c r="AB10" s="497">
        <f>$N10-'[1]Scenario deep dive'!$N10</f>
        <v>0</v>
      </c>
    </row>
    <row r="11" spans="1:28" x14ac:dyDescent="0.25">
      <c r="A11" s="380" t="str">
        <f>VAC_Optim_Scenario!A53</f>
        <v>Gardasil Adolescents</v>
      </c>
      <c r="B11" s="380" t="str">
        <f>VAC_Optim_Scenario!B23</f>
        <v>HCC Streaming Video</v>
      </c>
      <c r="C11" s="383">
        <f>VAC_Optim_Scenario!E23</f>
        <v>4817798</v>
      </c>
      <c r="D11" s="375">
        <f>VAC_Optim_Scenario!G53</f>
        <v>27455486.015820313</v>
      </c>
      <c r="E11" s="372"/>
      <c r="F11" s="383">
        <v>4817798</v>
      </c>
      <c r="G11" s="373">
        <v>0</v>
      </c>
      <c r="H11" s="375">
        <v>27455486.015820313</v>
      </c>
      <c r="I11" s="372"/>
      <c r="J11" s="383">
        <v>5610885.2745636441</v>
      </c>
      <c r="K11" s="373">
        <v>0.16461613263230299</v>
      </c>
      <c r="L11" s="375">
        <v>30546193.408102117</v>
      </c>
      <c r="M11" s="374"/>
      <c r="N11" s="383">
        <v>6494076.6811486697</v>
      </c>
      <c r="O11" s="373">
        <v>0.3479346126900027</v>
      </c>
      <c r="P11" s="375">
        <v>33837425.591033712</v>
      </c>
      <c r="Q11" s="372"/>
      <c r="R11" s="383">
        <v>8472745.2524451073</v>
      </c>
      <c r="S11" s="373">
        <v>0.75863439115652154</v>
      </c>
      <c r="T11" s="375">
        <v>40761675.682919972</v>
      </c>
      <c r="U11" s="180"/>
      <c r="V11" s="185">
        <f>VAC_Optim_Scenario!$H53</f>
        <v>6494076.6811486697</v>
      </c>
      <c r="W11" s="177">
        <f t="shared" si="0"/>
        <v>0.3479346126900027</v>
      </c>
      <c r="X11" s="185">
        <f>VAC_Optim_Scenario!$J53</f>
        <v>33837425.591033712</v>
      </c>
      <c r="Y11" s="185">
        <f t="shared" si="1"/>
        <v>-883191.4065850256</v>
      </c>
      <c r="Z11" s="494">
        <f>$F11-'[1]Scenario deep dive'!$F11</f>
        <v>0</v>
      </c>
      <c r="AA11" s="497">
        <f>$J11-'[1]Scenario deep dive'!$J11</f>
        <v>1843.8235819619149</v>
      </c>
      <c r="AB11" s="497">
        <f>$N11-'[1]Scenario deep dive'!$N11</f>
        <v>-4278280.2103841985</v>
      </c>
    </row>
    <row r="12" spans="1:28" x14ac:dyDescent="0.25">
      <c r="A12" s="380" t="str">
        <f>VAC_Optim_Scenario!A54</f>
        <v>Gardasil Adolescents</v>
      </c>
      <c r="B12" s="380" t="str">
        <f>VAC_Optim_Scenario!B24</f>
        <v>HCC Display</v>
      </c>
      <c r="C12" s="383">
        <f>VAC_Optim_Scenario!E24</f>
        <v>3540000</v>
      </c>
      <c r="D12" s="375">
        <f>VAC_Optim_Scenario!G54</f>
        <v>39290778.509746693</v>
      </c>
      <c r="E12" s="372"/>
      <c r="F12" s="383">
        <v>3815866.8367254268</v>
      </c>
      <c r="G12" s="373">
        <v>7.792848495068555E-2</v>
      </c>
      <c r="H12" s="375">
        <v>40911736.873087771</v>
      </c>
      <c r="I12" s="372"/>
      <c r="J12" s="383">
        <v>5063060.177244084</v>
      </c>
      <c r="K12" s="373">
        <v>0.43024298792205762</v>
      </c>
      <c r="L12" s="375">
        <v>46724867.304993257</v>
      </c>
      <c r="M12" s="374"/>
      <c r="N12" s="383">
        <v>5202542.954141208</v>
      </c>
      <c r="O12" s="373">
        <v>0.46964490229977629</v>
      </c>
      <c r="P12" s="375">
        <v>47244945.61050126</v>
      </c>
      <c r="Q12" s="372"/>
      <c r="R12" s="383">
        <v>5457181.4787297705</v>
      </c>
      <c r="S12" s="373">
        <v>0.54157668890671484</v>
      </c>
      <c r="T12" s="375">
        <v>48137663.740853444</v>
      </c>
      <c r="U12" s="180"/>
      <c r="V12" s="185">
        <f>VAC_Optim_Scenario!$H54</f>
        <v>5202542.954141208</v>
      </c>
      <c r="W12" s="177">
        <f t="shared" si="0"/>
        <v>0.46964490229977629</v>
      </c>
      <c r="X12" s="185">
        <f>VAC_Optim_Scenario!$J54</f>
        <v>47244945.61050126</v>
      </c>
      <c r="Y12" s="185">
        <f t="shared" si="1"/>
        <v>-139482.77689712401</v>
      </c>
      <c r="Z12" s="494">
        <f>$F12-'[1]Scenario deep dive'!$F12</f>
        <v>4027.4115999196656</v>
      </c>
      <c r="AA12" s="497">
        <f>$J12-'[1]Scenario deep dive'!$J12</f>
        <v>437.7909759702161</v>
      </c>
      <c r="AB12" s="497">
        <f>$N12-'[1]Scenario deep dive'!$N12</f>
        <v>-484087.48229864519</v>
      </c>
    </row>
    <row r="13" spans="1:28" x14ac:dyDescent="0.25">
      <c r="A13" s="380" t="str">
        <f>VAC_Optim_Scenario!A55</f>
        <v>Gardasil Adolescents</v>
      </c>
      <c r="B13" s="380" t="str">
        <f>VAC_Optim_Scenario!B25</f>
        <v>HCC Paid Search</v>
      </c>
      <c r="C13" s="383">
        <f>VAC_Optim_Scenario!E25</f>
        <v>400000</v>
      </c>
      <c r="D13" s="375">
        <f>VAC_Optim_Scenario!G55</f>
        <v>32769965.884320233</v>
      </c>
      <c r="E13" s="372"/>
      <c r="F13" s="383">
        <v>400000</v>
      </c>
      <c r="G13" s="373">
        <v>0</v>
      </c>
      <c r="H13" s="375">
        <v>32769965.884320233</v>
      </c>
      <c r="I13" s="372"/>
      <c r="J13" s="383">
        <v>400000</v>
      </c>
      <c r="K13" s="373">
        <v>0</v>
      </c>
      <c r="L13" s="375">
        <v>32769965.884320233</v>
      </c>
      <c r="M13" s="374"/>
      <c r="N13" s="383">
        <v>400000</v>
      </c>
      <c r="O13" s="373">
        <v>0</v>
      </c>
      <c r="P13" s="375">
        <v>32769965.884320233</v>
      </c>
      <c r="Q13" s="372"/>
      <c r="R13" s="383">
        <v>400000</v>
      </c>
      <c r="S13" s="373">
        <v>0</v>
      </c>
      <c r="T13" s="375">
        <v>32769965.884320233</v>
      </c>
      <c r="U13" s="180"/>
      <c r="V13" s="185">
        <f>VAC_Optim_Scenario!$H55</f>
        <v>400000</v>
      </c>
      <c r="W13" s="177">
        <f t="shared" si="0"/>
        <v>0</v>
      </c>
      <c r="X13" s="185">
        <f>VAC_Optim_Scenario!$J55</f>
        <v>32769965.884320233</v>
      </c>
      <c r="Y13" s="185">
        <f t="shared" si="1"/>
        <v>0</v>
      </c>
      <c r="Z13" s="494">
        <f>$F13-'[1]Scenario deep dive'!$F13</f>
        <v>0</v>
      </c>
      <c r="AA13" s="497">
        <f>$J13-'[1]Scenario deep dive'!$J13</f>
        <v>0</v>
      </c>
      <c r="AB13" s="497">
        <f>$N13-'[1]Scenario deep dive'!$N13</f>
        <v>0</v>
      </c>
    </row>
    <row r="14" spans="1:28" x14ac:dyDescent="0.25">
      <c r="A14" s="380" t="str">
        <f>VAC_Optim_Scenario!A56</f>
        <v>Gardasil Adolescents</v>
      </c>
      <c r="B14" s="380" t="str">
        <f>VAC_Optim_Scenario!B26</f>
        <v>HCC Audio</v>
      </c>
      <c r="C14" s="383">
        <f>VAC_Optim_Scenario!E26</f>
        <v>2220000</v>
      </c>
      <c r="D14" s="375">
        <f>VAC_Optim_Scenario!G56</f>
        <v>20698391.738152172</v>
      </c>
      <c r="E14" s="372"/>
      <c r="F14" s="383">
        <v>2181411.278490013</v>
      </c>
      <c r="G14" s="373">
        <v>-1.738230698648064E-2</v>
      </c>
      <c r="H14" s="375">
        <v>20481763.637834262</v>
      </c>
      <c r="I14" s="372"/>
      <c r="J14" s="383">
        <v>4800000</v>
      </c>
      <c r="K14" s="373">
        <v>1.1621621621621621</v>
      </c>
      <c r="L14" s="375">
        <v>32875287.531392161</v>
      </c>
      <c r="M14" s="374"/>
      <c r="N14" s="383">
        <v>4800000</v>
      </c>
      <c r="O14" s="373">
        <v>1.1621621621621621</v>
      </c>
      <c r="P14" s="375">
        <v>32875287.531392161</v>
      </c>
      <c r="Q14" s="372"/>
      <c r="R14" s="383">
        <v>4800000</v>
      </c>
      <c r="S14" s="373">
        <v>1.1621621621621621</v>
      </c>
      <c r="T14" s="375">
        <v>32875287.531392161</v>
      </c>
      <c r="U14" s="180"/>
      <c r="V14" s="185">
        <f>VAC_Optim_Scenario!$H56</f>
        <v>4800000</v>
      </c>
      <c r="W14" s="177">
        <f t="shared" si="0"/>
        <v>1.1621621621621621</v>
      </c>
      <c r="X14" s="185">
        <f>VAC_Optim_Scenario!$J56</f>
        <v>32875287.531392161</v>
      </c>
      <c r="Y14" s="185">
        <f t="shared" si="1"/>
        <v>0</v>
      </c>
      <c r="Z14" s="494">
        <f>$F14-'[1]Scenario deep dive'!$F14</f>
        <v>635.37749766232446</v>
      </c>
      <c r="AA14" s="497">
        <f>$J14-'[1]Scenario deep dive'!$J14</f>
        <v>0</v>
      </c>
      <c r="AB14" s="497">
        <f>$N14-'[1]Scenario deep dive'!$N14</f>
        <v>0</v>
      </c>
    </row>
    <row r="15" spans="1:28" x14ac:dyDescent="0.25">
      <c r="A15" s="437" t="str">
        <f>VAC_Optim_Scenario!A57</f>
        <v>Gardasil Adolescents</v>
      </c>
      <c r="B15" s="437" t="str">
        <f>VAC_Optim_Scenario!B27</f>
        <v>HCC TV</v>
      </c>
      <c r="C15" s="383">
        <f>VAC_Optim_Scenario!E27</f>
        <v>15700000</v>
      </c>
      <c r="D15" s="375">
        <f>VAC_Optim_Scenario!G57</f>
        <v>63695224.07626316</v>
      </c>
      <c r="E15" s="376"/>
      <c r="F15" s="384">
        <v>16888801</v>
      </c>
      <c r="G15" s="377">
        <v>0</v>
      </c>
      <c r="H15" s="378">
        <v>67034177.652868718</v>
      </c>
      <c r="I15" s="372"/>
      <c r="J15" s="383">
        <v>16888801</v>
      </c>
      <c r="K15" s="373">
        <v>0</v>
      </c>
      <c r="L15" s="375">
        <v>67034177.652868718</v>
      </c>
      <c r="M15" s="374"/>
      <c r="N15" s="383">
        <v>16888801</v>
      </c>
      <c r="O15" s="373">
        <v>0</v>
      </c>
      <c r="P15" s="375">
        <v>67034177.652868718</v>
      </c>
      <c r="Q15" s="372"/>
      <c r="R15" s="383">
        <v>16888801</v>
      </c>
      <c r="S15" s="373">
        <v>0</v>
      </c>
      <c r="T15" s="375">
        <v>67034177.652868718</v>
      </c>
      <c r="U15" s="180"/>
      <c r="V15" s="185">
        <f>VAC_Optim_Scenario!$H57</f>
        <v>16888801</v>
      </c>
      <c r="W15" s="177">
        <f t="shared" si="0"/>
        <v>7.5719808917197456E-2</v>
      </c>
      <c r="X15" s="185">
        <f>VAC_Optim_Scenario!$J57</f>
        <v>67034177.652868718</v>
      </c>
      <c r="Y15" s="185">
        <f t="shared" si="1"/>
        <v>0</v>
      </c>
      <c r="Z15" s="495">
        <f>$F15-'[1]Scenario deep dive'!$F15</f>
        <v>0</v>
      </c>
      <c r="AA15" s="497">
        <f>$J15-'[1]Scenario deep dive'!$J15</f>
        <v>0</v>
      </c>
      <c r="AB15" s="497">
        <f>$N15-'[1]Scenario deep dive'!$N15</f>
        <v>0</v>
      </c>
    </row>
    <row r="16" spans="1:28" x14ac:dyDescent="0.25">
      <c r="A16" s="379" t="str">
        <f>VAC_Optim_Scenario!A59</f>
        <v>Gardasil Adults</v>
      </c>
      <c r="B16" s="379" t="str">
        <f>VAC_Optim_Scenario!B29</f>
        <v>HCC InOffice</v>
      </c>
      <c r="C16" s="382">
        <f>VAC_Optim_Scenario!E29</f>
        <v>1000000</v>
      </c>
      <c r="D16" s="371">
        <f>VAC_Optim_Scenario!G59</f>
        <v>1523370.618038136</v>
      </c>
      <c r="E16" s="368"/>
      <c r="F16" s="382">
        <v>900000</v>
      </c>
      <c r="G16" s="369">
        <v>-0.1</v>
      </c>
      <c r="H16" s="371">
        <v>1410431.7445188572</v>
      </c>
      <c r="I16" s="372"/>
      <c r="J16" s="382">
        <v>900000</v>
      </c>
      <c r="K16" s="369">
        <v>-0.1</v>
      </c>
      <c r="L16" s="371">
        <v>1410431.7445188572</v>
      </c>
      <c r="M16" s="374"/>
      <c r="N16" s="382">
        <v>900000</v>
      </c>
      <c r="O16" s="369">
        <v>-0.1</v>
      </c>
      <c r="P16" s="371">
        <v>1410431.7445188572</v>
      </c>
      <c r="Q16" s="372"/>
      <c r="R16" s="382">
        <v>900000</v>
      </c>
      <c r="S16" s="369">
        <v>-0.1</v>
      </c>
      <c r="T16" s="371">
        <v>1410431.7445188572</v>
      </c>
      <c r="U16" s="180"/>
      <c r="V16" s="185">
        <f>VAC_Optim_Scenario!$H59</f>
        <v>900000</v>
      </c>
      <c r="W16" s="177">
        <f t="shared" si="0"/>
        <v>-0.1</v>
      </c>
      <c r="X16" s="185">
        <f>VAC_Optim_Scenario!$J59</f>
        <v>1410431.7445188572</v>
      </c>
      <c r="Y16" s="185">
        <f t="shared" si="1"/>
        <v>0</v>
      </c>
      <c r="Z16" s="493">
        <f>$F16-'[2]Scenario deep dive'!$F7</f>
        <v>0</v>
      </c>
      <c r="AA16" s="496">
        <f>$J16-'[2]Scenario deep dive'!$J7</f>
        <v>0</v>
      </c>
      <c r="AB16" s="496">
        <f>$N16-'[2]Scenario deep dive'!$N7</f>
        <v>-126598.07612722274</v>
      </c>
    </row>
    <row r="17" spans="1:28" x14ac:dyDescent="0.25">
      <c r="A17" s="380" t="str">
        <f>VAC_Optim_Scenario!A60</f>
        <v>Gardasil Adults</v>
      </c>
      <c r="B17" s="380" t="str">
        <f>VAC_Optim_Scenario!B30</f>
        <v>HCP MCM</v>
      </c>
      <c r="C17" s="383">
        <f>VAC_Optim_Scenario!E30</f>
        <v>16948000</v>
      </c>
      <c r="D17" s="375">
        <f>VAC_Optim_Scenario!G60</f>
        <v>92408087.499027938</v>
      </c>
      <c r="E17" s="372"/>
      <c r="F17" s="383">
        <v>20333699.638065696</v>
      </c>
      <c r="G17" s="373">
        <v>0.19976986299655983</v>
      </c>
      <c r="H17" s="375">
        <v>103711863.92886993</v>
      </c>
      <c r="I17" s="372"/>
      <c r="J17" s="383">
        <v>21000000</v>
      </c>
      <c r="K17" s="373">
        <v>0.2390842577295256</v>
      </c>
      <c r="L17" s="375">
        <v>105724786.72171538</v>
      </c>
      <c r="M17" s="374"/>
      <c r="N17" s="383">
        <v>21000000.203315023</v>
      </c>
      <c r="O17" s="373">
        <v>0.23908426972592775</v>
      </c>
      <c r="P17" s="375">
        <v>105724787.32592277</v>
      </c>
      <c r="Q17" s="372"/>
      <c r="R17" s="383">
        <v>21000000</v>
      </c>
      <c r="S17" s="373">
        <v>0.2390842577295256</v>
      </c>
      <c r="T17" s="375">
        <v>105724786.72171538</v>
      </c>
      <c r="U17" s="180"/>
      <c r="V17" s="185">
        <f>VAC_Optim_Scenario!$H60</f>
        <v>21000000.203315023</v>
      </c>
      <c r="W17" s="177">
        <f t="shared" si="0"/>
        <v>0.23908426972592775</v>
      </c>
      <c r="X17" s="185">
        <f>VAC_Optim_Scenario!$J60</f>
        <v>105724787.32592277</v>
      </c>
      <c r="Y17" s="185">
        <f t="shared" si="1"/>
        <v>-0.20331502333283424</v>
      </c>
      <c r="Z17" s="494">
        <f>$F17-'[2]Scenario deep dive'!$F8</f>
        <v>972.85154687613249</v>
      </c>
      <c r="AA17" s="497">
        <f>$J17-'[2]Scenario deep dive'!$J8</f>
        <v>0</v>
      </c>
      <c r="AB17" s="497">
        <f>$N17-'[2]Scenario deep dive'!$N8</f>
        <v>0.20331502333283424</v>
      </c>
    </row>
    <row r="18" spans="1:28" x14ac:dyDescent="0.25">
      <c r="A18" s="380" t="str">
        <f>VAC_Optim_Scenario!A61</f>
        <v>Gardasil Adults</v>
      </c>
      <c r="B18" s="380" t="str">
        <f>VAC_Optim_Scenario!B31</f>
        <v>HCC Social</v>
      </c>
      <c r="C18" s="383">
        <f>VAC_Optim_Scenario!E31</f>
        <v>2200000</v>
      </c>
      <c r="D18" s="375">
        <f>VAC_Optim_Scenario!G61</f>
        <v>6171975.0306531982</v>
      </c>
      <c r="E18" s="372"/>
      <c r="F18" s="383">
        <v>1800000</v>
      </c>
      <c r="G18" s="373">
        <v>-0.18181818181818182</v>
      </c>
      <c r="H18" s="375">
        <v>5471848.3801533533</v>
      </c>
      <c r="I18" s="372"/>
      <c r="J18" s="383">
        <v>4584161.4183054324</v>
      </c>
      <c r="K18" s="373">
        <v>1.0837097355933785</v>
      </c>
      <c r="L18" s="375">
        <v>9587966.168260688</v>
      </c>
      <c r="M18" s="374"/>
      <c r="N18" s="383">
        <v>4154570.9220185205</v>
      </c>
      <c r="O18" s="373">
        <v>0.88844132819023658</v>
      </c>
      <c r="P18" s="375">
        <v>9038289.7156212088</v>
      </c>
      <c r="Q18" s="372"/>
      <c r="R18" s="383">
        <v>2282368.4526044191</v>
      </c>
      <c r="S18" s="373">
        <v>3.7440205729281403E-2</v>
      </c>
      <c r="T18" s="375">
        <v>6309602.5797727108</v>
      </c>
      <c r="U18" s="180"/>
      <c r="V18" s="185">
        <f>VAC_Optim_Scenario!$H61</f>
        <v>4154570.9220185205</v>
      </c>
      <c r="W18" s="177">
        <f t="shared" si="0"/>
        <v>0.88844132819023658</v>
      </c>
      <c r="X18" s="185">
        <f>VAC_Optim_Scenario!$J61</f>
        <v>9038289.7156212088</v>
      </c>
      <c r="Y18" s="185">
        <f t="shared" si="1"/>
        <v>429590.49628691189</v>
      </c>
      <c r="Z18" s="494">
        <f>$F18-'[2]Scenario deep dive'!$F9</f>
        <v>0</v>
      </c>
      <c r="AA18" s="497">
        <f>$J18-'[2]Scenario deep dive'!$J9</f>
        <v>-2353.8138572927564</v>
      </c>
      <c r="AB18" s="497">
        <f>$N18-'[2]Scenario deep dive'!$N9</f>
        <v>-2578657.5485720756</v>
      </c>
    </row>
    <row r="19" spans="1:28" x14ac:dyDescent="0.25">
      <c r="A19" s="380" t="str">
        <f>VAC_Optim_Scenario!A62</f>
        <v>Gardasil Adults</v>
      </c>
      <c r="B19" s="380" t="str">
        <f>VAC_Optim_Scenario!B32</f>
        <v>HCC Online Video</v>
      </c>
      <c r="C19" s="383">
        <f>VAC_Optim_Scenario!E32</f>
        <v>1500000</v>
      </c>
      <c r="D19" s="375">
        <f>VAC_Optim_Scenario!G62</f>
        <v>5944544.9570494974</v>
      </c>
      <c r="E19" s="372"/>
      <c r="F19" s="383">
        <v>1106817.9535387796</v>
      </c>
      <c r="G19" s="373">
        <v>-0.26212136430748023</v>
      </c>
      <c r="H19" s="375">
        <v>4875568.5712330546</v>
      </c>
      <c r="I19" s="372"/>
      <c r="J19" s="383">
        <v>2539912.7789936913</v>
      </c>
      <c r="K19" s="373">
        <v>0.69327518599579419</v>
      </c>
      <c r="L19" s="375">
        <v>7780362.4969045799</v>
      </c>
      <c r="M19" s="374"/>
      <c r="N19" s="383">
        <v>2469338.7975853113</v>
      </c>
      <c r="O19" s="373">
        <v>0.64622586505687418</v>
      </c>
      <c r="P19" s="375">
        <v>7689906.7353378301</v>
      </c>
      <c r="Q19" s="372"/>
      <c r="R19" s="383">
        <v>2091880.7528473777</v>
      </c>
      <c r="S19" s="373">
        <v>0.39458716856491843</v>
      </c>
      <c r="T19" s="375">
        <v>7132160.5639820658</v>
      </c>
      <c r="U19" s="180"/>
      <c r="V19" s="185">
        <f>VAC_Optim_Scenario!$H62</f>
        <v>2469338.7975853113</v>
      </c>
      <c r="W19" s="177">
        <f t="shared" si="0"/>
        <v>0.64622586505687418</v>
      </c>
      <c r="X19" s="185">
        <f>VAC_Optim_Scenario!$J62</f>
        <v>7689906.7353378301</v>
      </c>
      <c r="Y19" s="185">
        <f t="shared" si="1"/>
        <v>70573.981408379972</v>
      </c>
      <c r="Z19" s="494">
        <f>$F19-'[2]Scenario deep dive'!$F10</f>
        <v>3206.1157225614879</v>
      </c>
      <c r="AA19" s="497">
        <f>$J19-'[2]Scenario deep dive'!$J10</f>
        <v>1304.4210638059303</v>
      </c>
      <c r="AB19" s="497">
        <f>$N19-'[2]Scenario deep dive'!$N10</f>
        <v>-314809.78586288262</v>
      </c>
    </row>
    <row r="20" spans="1:28" x14ac:dyDescent="0.25">
      <c r="A20" s="380" t="str">
        <f>VAC_Optim_Scenario!A63</f>
        <v>Gardasil Adults</v>
      </c>
      <c r="B20" s="380" t="str">
        <f>VAC_Optim_Scenario!B33</f>
        <v>HCC Streaming Video</v>
      </c>
      <c r="C20" s="383">
        <f>VAC_Optim_Scenario!E33</f>
        <v>10268452</v>
      </c>
      <c r="D20" s="375">
        <f>VAC_Optim_Scenario!G63</f>
        <v>18886370.658155333</v>
      </c>
      <c r="E20" s="372"/>
      <c r="F20" s="383">
        <v>8306901</v>
      </c>
      <c r="G20" s="373">
        <v>-0.19102694349644914</v>
      </c>
      <c r="H20" s="375">
        <v>16281797.494816165</v>
      </c>
      <c r="I20" s="372"/>
      <c r="J20" s="383">
        <v>11192377.367288953</v>
      </c>
      <c r="K20" s="373">
        <v>8.9977083915759912E-2</v>
      </c>
      <c r="L20" s="375">
        <v>20060449.763434079</v>
      </c>
      <c r="M20" s="374"/>
      <c r="N20" s="383">
        <v>9781828.9864038322</v>
      </c>
      <c r="O20" s="373">
        <v>-4.7390104525605978E-2</v>
      </c>
      <c r="P20" s="375">
        <v>18255304.051492907</v>
      </c>
      <c r="Q20" s="372"/>
      <c r="R20" s="383">
        <v>8306901</v>
      </c>
      <c r="S20" s="373">
        <v>-0.19102694349644914</v>
      </c>
      <c r="T20" s="375">
        <v>16281797.494816165</v>
      </c>
      <c r="U20" s="180"/>
      <c r="V20" s="185">
        <f>VAC_Optim_Scenario!$H63</f>
        <v>9781828.9864038322</v>
      </c>
      <c r="W20" s="177">
        <f t="shared" si="0"/>
        <v>-4.7390104525605978E-2</v>
      </c>
      <c r="X20" s="185">
        <f>VAC_Optim_Scenario!$J63</f>
        <v>18255304.051492907</v>
      </c>
      <c r="Y20" s="185">
        <f t="shared" si="1"/>
        <v>1410548.3808851205</v>
      </c>
      <c r="Z20" s="494">
        <f>$F20-'[2]Scenario deep dive'!$F11</f>
        <v>0</v>
      </c>
      <c r="AA20" s="497">
        <f>$J20-'[2]Scenario deep dive'!$J11</f>
        <v>1049.0135579686612</v>
      </c>
      <c r="AB20" s="497">
        <f>$N20-'[2]Scenario deep dive'!$N11</f>
        <v>-8890647.9194829036</v>
      </c>
    </row>
    <row r="21" spans="1:28" x14ac:dyDescent="0.25">
      <c r="A21" s="380" t="str">
        <f>VAC_Optim_Scenario!A64</f>
        <v>Gardasil Adults</v>
      </c>
      <c r="B21" s="380" t="str">
        <f>VAC_Optim_Scenario!B34</f>
        <v>HCC Display</v>
      </c>
      <c r="C21" s="383">
        <f>VAC_Optim_Scenario!E34</f>
        <v>4000000</v>
      </c>
      <c r="D21" s="375">
        <f>VAC_Optim_Scenario!G64</f>
        <v>21020675.494225871</v>
      </c>
      <c r="E21" s="372"/>
      <c r="F21" s="383">
        <v>4266670.9673053306</v>
      </c>
      <c r="G21" s="373">
        <v>6.6667741826332644E-2</v>
      </c>
      <c r="H21" s="375">
        <v>21850640.140886877</v>
      </c>
      <c r="I21" s="372"/>
      <c r="J21" s="383">
        <v>5000000</v>
      </c>
      <c r="K21" s="373">
        <v>0.25</v>
      </c>
      <c r="L21" s="375">
        <v>24032152.746086098</v>
      </c>
      <c r="M21" s="374"/>
      <c r="N21" s="383">
        <v>5000000</v>
      </c>
      <c r="O21" s="373">
        <v>0.25</v>
      </c>
      <c r="P21" s="375">
        <v>24032152.746086098</v>
      </c>
      <c r="Q21" s="372"/>
      <c r="R21" s="383">
        <v>5000000</v>
      </c>
      <c r="S21" s="373">
        <v>0.25</v>
      </c>
      <c r="T21" s="375">
        <v>24032152.746086098</v>
      </c>
      <c r="U21" s="180"/>
      <c r="V21" s="185">
        <f>VAC_Optim_Scenario!$H64</f>
        <v>5000000</v>
      </c>
      <c r="W21" s="177">
        <f t="shared" si="0"/>
        <v>0.25</v>
      </c>
      <c r="X21" s="185">
        <f>VAC_Optim_Scenario!$J64</f>
        <v>24032152.746086098</v>
      </c>
      <c r="Y21" s="185">
        <f t="shared" si="1"/>
        <v>0</v>
      </c>
      <c r="Z21" s="494">
        <f>$F21-'[2]Scenario deep dive'!$F12</f>
        <v>-6415.2453787680715</v>
      </c>
      <c r="AA21" s="497">
        <f>$J21-'[2]Scenario deep dive'!$J12</f>
        <v>0</v>
      </c>
      <c r="AB21" s="497">
        <f>$N21-'[2]Scenario deep dive'!$N12</f>
        <v>0</v>
      </c>
    </row>
    <row r="22" spans="1:28" x14ac:dyDescent="0.25">
      <c r="A22" s="380" t="str">
        <f>VAC_Optim_Scenario!A65</f>
        <v>Gardasil Adults</v>
      </c>
      <c r="B22" s="380" t="str">
        <f>VAC_Optim_Scenario!B35</f>
        <v>HCC Paid Search</v>
      </c>
      <c r="C22" s="383">
        <f>VAC_Optim_Scenario!E35</f>
        <v>200000</v>
      </c>
      <c r="D22" s="375">
        <f>VAC_Optim_Scenario!G65</f>
        <v>17969341.094351832</v>
      </c>
      <c r="E22" s="372"/>
      <c r="F22" s="383">
        <v>200000</v>
      </c>
      <c r="G22" s="373">
        <v>0</v>
      </c>
      <c r="H22" s="375">
        <v>17969341.094351832</v>
      </c>
      <c r="I22" s="372"/>
      <c r="J22" s="383">
        <v>200000</v>
      </c>
      <c r="K22" s="373">
        <v>0</v>
      </c>
      <c r="L22" s="375">
        <v>17969341.094351832</v>
      </c>
      <c r="M22" s="374"/>
      <c r="N22" s="383">
        <v>200000</v>
      </c>
      <c r="O22" s="373">
        <v>0</v>
      </c>
      <c r="P22" s="375">
        <v>17969341.094351832</v>
      </c>
      <c r="Q22" s="372"/>
      <c r="R22" s="383">
        <v>200000</v>
      </c>
      <c r="S22" s="373">
        <v>0</v>
      </c>
      <c r="T22" s="375">
        <v>17969341.094351832</v>
      </c>
      <c r="U22" s="180"/>
      <c r="V22" s="185">
        <f>VAC_Optim_Scenario!$H65</f>
        <v>200000</v>
      </c>
      <c r="W22" s="177">
        <f t="shared" si="0"/>
        <v>0</v>
      </c>
      <c r="X22" s="185">
        <f>VAC_Optim_Scenario!$J65</f>
        <v>17969341.094351832</v>
      </c>
      <c r="Y22" s="185">
        <f t="shared" si="1"/>
        <v>0</v>
      </c>
      <c r="Z22" s="494">
        <f>$F22-'[2]Scenario deep dive'!$F13</f>
        <v>0</v>
      </c>
      <c r="AA22" s="497">
        <f>$J22-'[2]Scenario deep dive'!$J13</f>
        <v>0</v>
      </c>
      <c r="AB22" s="497">
        <f>$N22-'[2]Scenario deep dive'!$N13</f>
        <v>0</v>
      </c>
    </row>
    <row r="23" spans="1:28" x14ac:dyDescent="0.25">
      <c r="A23" s="380" t="str">
        <f>VAC_Optim_Scenario!A66</f>
        <v>Gardasil Adults</v>
      </c>
      <c r="B23" s="380" t="str">
        <f>VAC_Optim_Scenario!B36</f>
        <v>HCC Linear TV</v>
      </c>
      <c r="C23" s="383">
        <f>VAC_Optim_Scenario!E36</f>
        <v>28089211</v>
      </c>
      <c r="D23" s="375">
        <f>VAC_Optim_Scenario!G66</f>
        <v>40395109.654958591</v>
      </c>
      <c r="E23" s="372"/>
      <c r="F23" s="383">
        <v>28089211</v>
      </c>
      <c r="G23" s="373">
        <v>0</v>
      </c>
      <c r="H23" s="375">
        <v>40395109.654958591</v>
      </c>
      <c r="I23" s="372"/>
      <c r="J23" s="383">
        <v>28089211</v>
      </c>
      <c r="K23" s="373">
        <v>0</v>
      </c>
      <c r="L23" s="375">
        <v>40395109.654958591</v>
      </c>
      <c r="M23" s="374"/>
      <c r="N23" s="383">
        <v>28089211</v>
      </c>
      <c r="O23" s="373">
        <v>0</v>
      </c>
      <c r="P23" s="375">
        <v>40395109.654958591</v>
      </c>
      <c r="Q23" s="372"/>
      <c r="R23" s="383">
        <v>28089211</v>
      </c>
      <c r="S23" s="373">
        <v>0</v>
      </c>
      <c r="T23" s="375">
        <v>40395109.654958591</v>
      </c>
      <c r="U23" s="180"/>
      <c r="V23" s="185">
        <f>VAC_Optim_Scenario!$H66</f>
        <v>28089211</v>
      </c>
      <c r="W23" s="177">
        <f>(V23-$C23)/$C23</f>
        <v>0</v>
      </c>
      <c r="X23" s="185">
        <f>VAC_Optim_Scenario!$J66</f>
        <v>40395109.654958591</v>
      </c>
      <c r="Y23" s="185">
        <f t="shared" si="1"/>
        <v>0</v>
      </c>
      <c r="Z23" s="494">
        <f>$F23-'[2]Scenario deep dive'!$F15</f>
        <v>0</v>
      </c>
      <c r="AA23" s="497">
        <f>$J23-'[2]Scenario deep dive'!$J15</f>
        <v>0</v>
      </c>
      <c r="AB23" s="497">
        <f>$N23-'[2]Scenario deep dive'!$N15</f>
        <v>0</v>
      </c>
    </row>
    <row r="24" spans="1:28" x14ac:dyDescent="0.25">
      <c r="A24" s="437" t="str">
        <f>VAC_Optim_Scenario!A67</f>
        <v>Gardasil Adults</v>
      </c>
      <c r="B24" s="437" t="str">
        <f>VAC_Optim_Scenario!B37</f>
        <v>HCC Radio</v>
      </c>
      <c r="C24" s="383">
        <f>VAC_Optim_Scenario!E37</f>
        <v>1500000</v>
      </c>
      <c r="D24" s="375">
        <f>VAC_Optim_Scenario!G67</f>
        <v>7290309.9462908376</v>
      </c>
      <c r="E24" s="372"/>
      <c r="F24" s="383">
        <v>702362.44109018752</v>
      </c>
      <c r="G24" s="373">
        <v>-0.53175837260654168</v>
      </c>
      <c r="H24" s="375">
        <v>5381879.8862388413</v>
      </c>
      <c r="I24" s="372"/>
      <c r="J24" s="383">
        <v>2200000</v>
      </c>
      <c r="K24" s="373">
        <v>0.46666666666666667</v>
      </c>
      <c r="L24" s="375">
        <v>8497253.2367697079</v>
      </c>
      <c r="M24" s="374"/>
      <c r="N24" s="383">
        <v>2200000</v>
      </c>
      <c r="O24" s="373">
        <v>0.46666666666666667</v>
      </c>
      <c r="P24" s="375">
        <v>8497253.2367697079</v>
      </c>
      <c r="Q24" s="372"/>
      <c r="R24" s="383">
        <v>1954350.9945481978</v>
      </c>
      <c r="S24" s="373">
        <v>0.30290066303213187</v>
      </c>
      <c r="T24" s="375">
        <v>8104206.8009546781</v>
      </c>
      <c r="U24" s="180"/>
      <c r="V24" s="185">
        <f>VAC_Optim_Scenario!$H67</f>
        <v>2200000</v>
      </c>
      <c r="W24" s="177">
        <f t="shared" ref="W24:W25" si="2">(V24-$C24)/$C24</f>
        <v>0.46666666666666667</v>
      </c>
      <c r="X24" s="491">
        <f>VAC_Optim_Scenario!$J67</f>
        <v>8497253.2367697079</v>
      </c>
      <c r="Y24" s="185">
        <f t="shared" si="1"/>
        <v>0</v>
      </c>
      <c r="Z24" s="494">
        <f>$F24-'[2]Scenario deep dive'!$F14</f>
        <v>2236.2645860570483</v>
      </c>
      <c r="AA24" s="497">
        <f>$J24-'[2]Scenario deep dive'!$J14</f>
        <v>0</v>
      </c>
      <c r="AB24" s="497">
        <f>$N24-'[2]Scenario deep dive'!$N14</f>
        <v>0</v>
      </c>
    </row>
    <row r="25" spans="1:28" x14ac:dyDescent="0.25">
      <c r="A25" s="381" t="str">
        <f>VAC_Optim_Scenario!A68</f>
        <v>Gardasil Adults</v>
      </c>
      <c r="B25" s="437" t="str">
        <f>VAC_Optim_Scenario!B38</f>
        <v>HCC Pharmacy</v>
      </c>
      <c r="C25" s="384">
        <f>VAC_Optim_Scenario!E38</f>
        <v>3200000</v>
      </c>
      <c r="D25" s="378">
        <f>VAC_Optim_Scenario!G68</f>
        <v>5063837.1955307471</v>
      </c>
      <c r="E25" s="372"/>
      <c r="F25" s="383">
        <v>3200000</v>
      </c>
      <c r="G25" s="373">
        <v>0</v>
      </c>
      <c r="H25" s="375">
        <v>5063837.1955307471</v>
      </c>
      <c r="I25" s="372"/>
      <c r="J25" s="383">
        <v>3200000</v>
      </c>
      <c r="K25" s="373">
        <v>0</v>
      </c>
      <c r="L25" s="375">
        <v>5063837.1955307471</v>
      </c>
      <c r="M25" s="374"/>
      <c r="N25" s="383">
        <v>3200000</v>
      </c>
      <c r="O25" s="373">
        <v>0</v>
      </c>
      <c r="P25" s="375">
        <v>5063837.1955307471</v>
      </c>
      <c r="Q25" s="372"/>
      <c r="R25" s="383">
        <v>3200000</v>
      </c>
      <c r="S25" s="373">
        <v>0</v>
      </c>
      <c r="T25" s="375">
        <v>5063837.1955307471</v>
      </c>
      <c r="U25" s="180"/>
      <c r="V25" s="185">
        <f>VAC_Optim_Scenario!$H68</f>
        <v>3200000</v>
      </c>
      <c r="W25" s="177">
        <f t="shared" si="2"/>
        <v>0</v>
      </c>
      <c r="X25" s="185">
        <f>VAC_Optim_Scenario!$J68</f>
        <v>5063837.1955307471</v>
      </c>
      <c r="Y25" s="185">
        <f t="shared" si="1"/>
        <v>0</v>
      </c>
      <c r="Z25" s="495">
        <f>$F25-'[2]Scenario deep dive'!$F16</f>
        <v>0</v>
      </c>
      <c r="AA25" s="498">
        <f>$J25-'[2]Scenario deep dive'!$J16</f>
        <v>0</v>
      </c>
      <c r="AB25" s="498">
        <f>$N25-'[2]Scenario deep dive'!$N16</f>
        <v>0</v>
      </c>
    </row>
    <row r="26" spans="1:28" x14ac:dyDescent="0.25">
      <c r="A26" s="439"/>
      <c r="B26" s="440" t="s">
        <v>175</v>
      </c>
      <c r="C26" s="382">
        <f>SUM(C7:C15)</f>
        <v>38513576</v>
      </c>
      <c r="D26" s="371">
        <f>SUM(D7:D15)</f>
        <v>284160884.55212712</v>
      </c>
      <c r="E26" s="372"/>
      <c r="F26" s="382">
        <v>39702377.000000007</v>
      </c>
      <c r="G26" s="442">
        <v>1.8766081932383616E-16</v>
      </c>
      <c r="H26" s="371">
        <v>293472159.42546868</v>
      </c>
      <c r="I26" s="372"/>
      <c r="J26" s="382">
        <v>49702377.502066545</v>
      </c>
      <c r="K26" s="442">
        <v>0.25187410068839317</v>
      </c>
      <c r="L26" s="371">
        <v>339117251.49007642</v>
      </c>
      <c r="M26" s="374"/>
      <c r="N26" s="382">
        <f>SUM(N7:N15)</f>
        <v>51613090.101004384</v>
      </c>
      <c r="O26" s="442">
        <f>(N26-$C$26)/$C$26</f>
        <v>0.34012718271095843</v>
      </c>
      <c r="P26" s="371">
        <f>SUM(P7:P15)</f>
        <v>346238962.7969476</v>
      </c>
      <c r="Q26" s="372"/>
      <c r="R26" s="382">
        <v>55583327.800000004</v>
      </c>
      <c r="S26" s="442">
        <v>0.40000000000000013</v>
      </c>
      <c r="T26" s="371">
        <v>360139860.66345346</v>
      </c>
      <c r="U26" s="180">
        <f>L26-D26</f>
        <v>54956366.9379493</v>
      </c>
      <c r="V26" s="382">
        <f>SUM(V7:V15)</f>
        <v>51613090.101004384</v>
      </c>
      <c r="W26" s="442">
        <f>(V26-$C$26)/$C$26</f>
        <v>0.34012718271095843</v>
      </c>
      <c r="X26" s="371">
        <f>SUM(X7:X15)</f>
        <v>340705185.28556395</v>
      </c>
      <c r="Y26" s="185">
        <f>V26-F26</f>
        <v>11910713.101004377</v>
      </c>
      <c r="Z26" s="180"/>
    </row>
    <row r="27" spans="1:28" x14ac:dyDescent="0.25">
      <c r="A27" s="439"/>
      <c r="B27" s="441" t="s">
        <v>285</v>
      </c>
      <c r="C27" s="384">
        <f>SUM(C16:C25)</f>
        <v>68905663</v>
      </c>
      <c r="D27" s="378">
        <f>SUM(D16:D25)</f>
        <v>216673622.14828196</v>
      </c>
      <c r="E27" s="372"/>
      <c r="F27" s="384">
        <v>68905663</v>
      </c>
      <c r="G27" s="443">
        <v>0</v>
      </c>
      <c r="H27" s="378">
        <v>222412318.09155828</v>
      </c>
      <c r="I27" s="372"/>
      <c r="J27" s="384">
        <v>78905662.56458807</v>
      </c>
      <c r="K27" s="443">
        <v>0.1451259465363256</v>
      </c>
      <c r="L27" s="378">
        <v>240521690.82253057</v>
      </c>
      <c r="M27" s="374"/>
      <c r="N27" s="384">
        <f>SUM(N16:N25)</f>
        <v>76994949.909322679</v>
      </c>
      <c r="O27" s="443">
        <f>(N27-$C$27)/$C$27</f>
        <v>0.11739654706352189</v>
      </c>
      <c r="P27" s="378">
        <f>SUM(P16:P25)</f>
        <v>238076413.5005905</v>
      </c>
      <c r="Q27" s="372"/>
      <c r="R27" s="384">
        <v>73024712.200000003</v>
      </c>
      <c r="S27" s="443">
        <v>5.9778094000779047E-2</v>
      </c>
      <c r="T27" s="378">
        <v>232423426.59668708</v>
      </c>
      <c r="U27" s="180">
        <f>L27-D27</f>
        <v>23848068.674248606</v>
      </c>
      <c r="V27" s="384">
        <f>SUM(V16:V25)</f>
        <v>76994949.909322679</v>
      </c>
      <c r="W27" s="443">
        <f>(V27-$C$27)/$C$27</f>
        <v>0.11739654706352189</v>
      </c>
      <c r="X27" s="378">
        <f>SUM(X16:X25)</f>
        <v>238076413.5005905</v>
      </c>
      <c r="Y27" s="185">
        <f>V27-F27</f>
        <v>8089286.909322679</v>
      </c>
      <c r="Z27" s="180"/>
    </row>
    <row r="28" spans="1:28" ht="34.35" customHeight="1" x14ac:dyDescent="0.25">
      <c r="B28" s="444" t="s">
        <v>218</v>
      </c>
      <c r="C28" s="445">
        <f>SUM(C7:C25)</f>
        <v>107419239</v>
      </c>
      <c r="D28" s="446">
        <f>SUM(D7:D25)</f>
        <v>500834506.70040905</v>
      </c>
      <c r="E28" s="179"/>
      <c r="F28" s="445">
        <f>SUM(F7:F25)</f>
        <v>108608040</v>
      </c>
      <c r="G28" s="447">
        <f>(F28-$C$28)/$C$28</f>
        <v>1.106692815055225E-2</v>
      </c>
      <c r="H28" s="446">
        <f>SUM(H7:H25)</f>
        <v>515884477.51702702</v>
      </c>
      <c r="I28" s="438"/>
      <c r="J28" s="445">
        <f>SUM(J7:J25)</f>
        <v>128608040.06665462</v>
      </c>
      <c r="K28" s="447">
        <f>(J28-$C$28)/$C$28</f>
        <v>0.19725331573662166</v>
      </c>
      <c r="L28" s="446">
        <f>SUM(L7:L25)</f>
        <v>579638942.31260693</v>
      </c>
      <c r="M28" s="374"/>
      <c r="N28" s="445">
        <f>SUM(N7:N25)</f>
        <v>128608040.01032709</v>
      </c>
      <c r="O28" s="447">
        <f>(N28-$C$28)/$C$28</f>
        <v>0.19725331521225062</v>
      </c>
      <c r="P28" s="446">
        <f>SUM(P7:P25)</f>
        <v>584315376.29753828</v>
      </c>
      <c r="Q28" s="508"/>
      <c r="R28" s="445">
        <f>SUM(R7:R25)</f>
        <v>128608040</v>
      </c>
      <c r="S28" s="447">
        <f>(R28-$C$28)/$C$28</f>
        <v>0.19725331511611249</v>
      </c>
      <c r="T28" s="446">
        <f>SUM(T7:T25)</f>
        <v>592563287.26014078</v>
      </c>
      <c r="V28" s="188">
        <f>SUM(V7:V25)</f>
        <v>128608040.01032709</v>
      </c>
      <c r="W28" s="189">
        <f>(V28-$C$28)/$C$28</f>
        <v>0.19725331521225062</v>
      </c>
      <c r="X28" s="188">
        <f>SUM(X7:X25)</f>
        <v>578781598.78615463</v>
      </c>
    </row>
    <row r="29" spans="1:28" x14ac:dyDescent="0.25">
      <c r="D29" s="385">
        <f>SUM(D7:D15)/D28</f>
        <v>0.56737481293817371</v>
      </c>
      <c r="E29" s="385"/>
      <c r="F29" s="385"/>
      <c r="G29" s="385"/>
      <c r="H29" s="385">
        <f>SUM(H7:H15)/H28</f>
        <v>0.56887185448564404</v>
      </c>
      <c r="I29" s="385"/>
      <c r="J29" s="385"/>
      <c r="K29" s="385"/>
      <c r="L29" s="385">
        <f>SUM(L7:L15)/L28</f>
        <v>0.58504911719196739</v>
      </c>
      <c r="P29" s="385">
        <f>SUM(P7:P15)/P28</f>
        <v>0.59255494009221454</v>
      </c>
      <c r="Q29" s="385"/>
      <c r="T29" s="385"/>
      <c r="U29" s="180"/>
      <c r="X29" s="502">
        <f>X28/VAC_Optim_Scenario!$E$46</f>
        <v>2561660.6124907262</v>
      </c>
    </row>
    <row r="30" spans="1:28" x14ac:dyDescent="0.25">
      <c r="D30" s="385">
        <f>SUM(D16:D25)/D28</f>
        <v>0.43262518706182629</v>
      </c>
      <c r="E30" s="385"/>
      <c r="F30" s="385"/>
      <c r="G30" s="385"/>
      <c r="H30" s="385">
        <f>SUM(H16:H25)/H28</f>
        <v>0.43112814551435585</v>
      </c>
      <c r="I30" s="385"/>
      <c r="J30" s="385"/>
      <c r="K30" s="385"/>
      <c r="L30" s="385">
        <f>SUM(L16:L25)/L28</f>
        <v>0.41495088280803266</v>
      </c>
      <c r="P30" s="385">
        <f>SUM(P16:P25)/P28</f>
        <v>0.40744505990778512</v>
      </c>
      <c r="Q30" s="385"/>
      <c r="T30" s="385"/>
    </row>
    <row r="31" spans="1:28" ht="15" customHeight="1" x14ac:dyDescent="0.25">
      <c r="A31" s="485"/>
      <c r="B31" s="485"/>
      <c r="C31" s="486"/>
      <c r="D31" s="486"/>
      <c r="E31" s="486"/>
      <c r="F31" s="575" t="str">
        <f>F4</f>
        <v>Optimal channel spend allowed to vary based on custom constraints of the 2024 channel spend</v>
      </c>
      <c r="G31" s="576"/>
      <c r="H31" s="576"/>
      <c r="I31" s="576"/>
      <c r="J31" s="576"/>
      <c r="K31" s="576"/>
      <c r="L31" s="576"/>
      <c r="M31" s="576"/>
      <c r="N31" s="576"/>
      <c r="O31" s="576"/>
      <c r="P31" s="576"/>
      <c r="Q31" s="576"/>
      <c r="R31" s="576"/>
      <c r="S31" s="576"/>
      <c r="T31" s="576"/>
    </row>
    <row r="32" spans="1:28" ht="30.4" customHeight="1" x14ac:dyDescent="0.25">
      <c r="A32" s="485"/>
      <c r="B32" s="485"/>
      <c r="C32" s="578" t="s">
        <v>341</v>
      </c>
      <c r="D32" s="579"/>
      <c r="E32" s="546"/>
      <c r="F32" s="580" t="str">
        <f>F5</f>
        <v>Current Optimal ($92MM)</v>
      </c>
      <c r="G32" s="581"/>
      <c r="H32" s="582"/>
      <c r="I32" s="547"/>
      <c r="J32" s="583" t="str">
        <f>J5</f>
        <v>20M increase in total budget (10M increase in adult and adolescent in each)</v>
      </c>
      <c r="K32" s="584"/>
      <c r="L32" s="585"/>
      <c r="M32" s="486"/>
      <c r="N32" s="583" t="str">
        <f>N5</f>
        <v>20M increase in total budget ( Global Max 130%)</v>
      </c>
      <c r="O32" s="584"/>
      <c r="P32" s="585"/>
      <c r="Q32" s="548"/>
      <c r="R32" s="577" t="str">
        <f>R5</f>
        <v>20M increase in total budget ( Global Max 140%)</v>
      </c>
      <c r="S32" s="577"/>
      <c r="T32" s="577"/>
    </row>
    <row r="33" spans="1:20" ht="25.5" x14ac:dyDescent="0.25">
      <c r="A33" s="539" t="s">
        <v>338</v>
      </c>
      <c r="B33" s="539" t="s">
        <v>339</v>
      </c>
      <c r="C33" s="540" t="s">
        <v>219</v>
      </c>
      <c r="D33" s="541" t="s">
        <v>220</v>
      </c>
      <c r="E33" s="542"/>
      <c r="F33" s="543" t="s">
        <v>222</v>
      </c>
      <c r="G33" s="541" t="s">
        <v>215</v>
      </c>
      <c r="H33" s="544" t="s">
        <v>216</v>
      </c>
      <c r="I33" s="542"/>
      <c r="J33" s="543" t="s">
        <v>222</v>
      </c>
      <c r="K33" s="541" t="s">
        <v>215</v>
      </c>
      <c r="L33" s="544" t="s">
        <v>216</v>
      </c>
      <c r="M33" s="486"/>
      <c r="N33" s="543" t="s">
        <v>222</v>
      </c>
      <c r="O33" s="541" t="s">
        <v>215</v>
      </c>
      <c r="P33" s="544" t="s">
        <v>216</v>
      </c>
      <c r="Q33" s="545"/>
      <c r="R33" s="543" t="s">
        <v>222</v>
      </c>
      <c r="S33" s="541" t="s">
        <v>215</v>
      </c>
      <c r="T33" s="544" t="s">
        <v>216</v>
      </c>
    </row>
    <row r="34" spans="1:20" x14ac:dyDescent="0.25">
      <c r="A34" s="523" t="str">
        <f t="shared" ref="A34:B50" si="3">A7</f>
        <v>Gardasil Adolescents</v>
      </c>
      <c r="B34" s="523" t="str">
        <f t="shared" si="3"/>
        <v>HCC In Office</v>
      </c>
      <c r="C34" s="524">
        <f t="shared" ref="C34:D42" si="4">C7/1000000</f>
        <v>1</v>
      </c>
      <c r="D34" s="525">
        <f t="shared" si="4"/>
        <v>3.6083065090601982</v>
      </c>
      <c r="E34" s="526"/>
      <c r="F34" s="527">
        <f t="shared" ref="F34:F50" si="5">F7/1000000</f>
        <v>1</v>
      </c>
      <c r="G34" s="528">
        <f t="shared" ref="G34:G50" si="6">G7</f>
        <v>0</v>
      </c>
      <c r="H34" s="529">
        <f t="shared" ref="H34:H50" si="7">H7/1000000</f>
        <v>5.0407890644048416</v>
      </c>
      <c r="I34" s="526"/>
      <c r="J34" s="527">
        <f t="shared" ref="J34:J50" si="8">J7/1000000</f>
        <v>1.1764291162956713</v>
      </c>
      <c r="K34" s="528">
        <f t="shared" ref="K34:K50" si="9">K7</f>
        <v>0.17642911629567132</v>
      </c>
      <c r="L34" s="529">
        <f t="shared" ref="L34:L50" si="10">L7/1000000</f>
        <v>5.7368776676953255</v>
      </c>
      <c r="M34" s="530"/>
      <c r="N34" s="527">
        <f t="shared" ref="N34:N50" si="11">N7/1000000</f>
        <v>1.2805538166407022</v>
      </c>
      <c r="O34" s="528">
        <f t="shared" ref="O34:O50" si="12">O7</f>
        <v>0.28055381664070234</v>
      </c>
      <c r="P34" s="531">
        <f t="shared" ref="P34:P50" si="13">P7/1000000</f>
        <v>6.1248934309640743</v>
      </c>
      <c r="Q34" s="532"/>
      <c r="R34" s="527">
        <f t="shared" ref="R34:R50" si="14">R7/1000000</f>
        <v>1.4774464670283725</v>
      </c>
      <c r="S34" s="528">
        <f t="shared" ref="S34:S50" si="15">S7</f>
        <v>0.47744646702837246</v>
      </c>
      <c r="T34" s="531">
        <f t="shared" ref="T34:T50" si="16">T7/1000000</f>
        <v>6.8152124286170546</v>
      </c>
    </row>
    <row r="35" spans="1:20" x14ac:dyDescent="0.25">
      <c r="A35" s="523" t="str">
        <f t="shared" si="3"/>
        <v>Gardasil Adolescents</v>
      </c>
      <c r="B35" s="523" t="str">
        <f t="shared" si="3"/>
        <v>HCP MCM</v>
      </c>
      <c r="C35" s="533">
        <f t="shared" si="4"/>
        <v>7.7757779999999999</v>
      </c>
      <c r="D35" s="534">
        <f t="shared" si="4"/>
        <v>77.32256932085221</v>
      </c>
      <c r="E35" s="526"/>
      <c r="F35" s="535">
        <f t="shared" si="5"/>
        <v>7.9989998847845651</v>
      </c>
      <c r="G35" s="536">
        <f t="shared" si="6"/>
        <v>2.8707337681781207E-2</v>
      </c>
      <c r="H35" s="537">
        <f t="shared" si="7"/>
        <v>81.778277188084161</v>
      </c>
      <c r="I35" s="526"/>
      <c r="J35" s="535">
        <f t="shared" si="8"/>
        <v>10.781490947601428</v>
      </c>
      <c r="K35" s="528">
        <f t="shared" si="9"/>
        <v>0.38654819461170681</v>
      </c>
      <c r="L35" s="537">
        <f t="shared" si="10"/>
        <v>94.764181268858962</v>
      </c>
      <c r="M35" s="530"/>
      <c r="N35" s="535">
        <f t="shared" si="11"/>
        <v>11.092068118553623</v>
      </c>
      <c r="O35" s="528">
        <f t="shared" si="12"/>
        <v>0.42648981472382874</v>
      </c>
      <c r="P35" s="538">
        <f t="shared" si="13"/>
        <v>95.922136097286725</v>
      </c>
      <c r="Q35" s="532"/>
      <c r="R35" s="535">
        <f t="shared" si="14"/>
        <v>11.653434194842589</v>
      </c>
      <c r="S35" s="528">
        <f t="shared" si="15"/>
        <v>0.49868401526414313</v>
      </c>
      <c r="T35" s="538">
        <f t="shared" si="16"/>
        <v>97.889996867405003</v>
      </c>
    </row>
    <row r="36" spans="1:20" x14ac:dyDescent="0.25">
      <c r="A36" s="523" t="str">
        <f t="shared" si="3"/>
        <v>Gardasil Adolescents</v>
      </c>
      <c r="B36" s="523" t="str">
        <f t="shared" si="3"/>
        <v>HCC Social</v>
      </c>
      <c r="C36" s="533">
        <f t="shared" si="4"/>
        <v>1.84</v>
      </c>
      <c r="D36" s="534">
        <f t="shared" si="4"/>
        <v>15.925915704314221</v>
      </c>
      <c r="E36" s="526"/>
      <c r="F36" s="535">
        <f t="shared" si="5"/>
        <v>1.5994999999999999</v>
      </c>
      <c r="G36" s="536">
        <f t="shared" si="6"/>
        <v>-0.13070652173913044</v>
      </c>
      <c r="H36" s="537">
        <f t="shared" si="7"/>
        <v>14.642130239828273</v>
      </c>
      <c r="I36" s="526"/>
      <c r="J36" s="535">
        <f t="shared" si="8"/>
        <v>3.9817109863617199</v>
      </c>
      <c r="K36" s="528">
        <f t="shared" si="9"/>
        <v>1.1639733621531088</v>
      </c>
      <c r="L36" s="537">
        <f t="shared" si="10"/>
        <v>25.307867902625492</v>
      </c>
      <c r="M36" s="530"/>
      <c r="N36" s="535">
        <f t="shared" si="11"/>
        <v>4.4550475305201802</v>
      </c>
      <c r="O36" s="528">
        <f t="shared" si="12"/>
        <v>1.4212214839783588</v>
      </c>
      <c r="P36" s="538">
        <f t="shared" si="13"/>
        <v>27.072298129360568</v>
      </c>
      <c r="Q36" s="532"/>
      <c r="R36" s="535">
        <f t="shared" si="14"/>
        <v>5.4337194069541646</v>
      </c>
      <c r="S36" s="528">
        <f t="shared" si="15"/>
        <v>1.9531083733446546</v>
      </c>
      <c r="T36" s="538">
        <f t="shared" si="16"/>
        <v>30.498048005856685</v>
      </c>
    </row>
    <row r="37" spans="1:20" x14ac:dyDescent="0.25">
      <c r="A37" s="523" t="str">
        <f t="shared" si="3"/>
        <v>Gardasil Adolescents</v>
      </c>
      <c r="B37" s="523" t="str">
        <f t="shared" si="3"/>
        <v>HCC Online Video</v>
      </c>
      <c r="C37" s="533">
        <f t="shared" si="4"/>
        <v>1.22</v>
      </c>
      <c r="D37" s="534">
        <f t="shared" si="4"/>
        <v>3.3942467935979272</v>
      </c>
      <c r="E37" s="526"/>
      <c r="F37" s="535">
        <f t="shared" si="5"/>
        <v>1</v>
      </c>
      <c r="G37" s="536">
        <f t="shared" si="6"/>
        <v>-0.18032786885245902</v>
      </c>
      <c r="H37" s="537">
        <f t="shared" si="7"/>
        <v>3.3578328692201262</v>
      </c>
      <c r="I37" s="526"/>
      <c r="J37" s="535">
        <f t="shared" si="8"/>
        <v>1</v>
      </c>
      <c r="K37" s="528">
        <f t="shared" si="9"/>
        <v>-0.18032786885245902</v>
      </c>
      <c r="L37" s="537">
        <f t="shared" si="10"/>
        <v>3.3578328692201262</v>
      </c>
      <c r="M37" s="530"/>
      <c r="N37" s="535">
        <f t="shared" si="11"/>
        <v>1</v>
      </c>
      <c r="O37" s="528">
        <f t="shared" si="12"/>
        <v>-0.18032786885245902</v>
      </c>
      <c r="P37" s="538">
        <f t="shared" si="13"/>
        <v>3.3578328692201262</v>
      </c>
      <c r="Q37" s="532"/>
      <c r="R37" s="535">
        <f t="shared" si="14"/>
        <v>1</v>
      </c>
      <c r="S37" s="528">
        <f t="shared" si="15"/>
        <v>-0.18032786885245902</v>
      </c>
      <c r="T37" s="538">
        <f t="shared" si="16"/>
        <v>3.3578328692201262</v>
      </c>
    </row>
    <row r="38" spans="1:20" x14ac:dyDescent="0.25">
      <c r="A38" s="523" t="str">
        <f t="shared" si="3"/>
        <v>Gardasil Adolescents</v>
      </c>
      <c r="B38" s="523" t="str">
        <f t="shared" si="3"/>
        <v>HCC Streaming Video</v>
      </c>
      <c r="C38" s="533">
        <f t="shared" si="4"/>
        <v>4.8177979999999998</v>
      </c>
      <c r="D38" s="534">
        <f t="shared" si="4"/>
        <v>27.455486015820313</v>
      </c>
      <c r="E38" s="526"/>
      <c r="F38" s="535">
        <f t="shared" si="5"/>
        <v>4.8177979999999998</v>
      </c>
      <c r="G38" s="536">
        <f t="shared" si="6"/>
        <v>0</v>
      </c>
      <c r="H38" s="537">
        <f t="shared" si="7"/>
        <v>27.455486015820313</v>
      </c>
      <c r="I38" s="526"/>
      <c r="J38" s="535">
        <f t="shared" si="8"/>
        <v>5.6108852745636444</v>
      </c>
      <c r="K38" s="528">
        <f t="shared" si="9"/>
        <v>0.16461613263230299</v>
      </c>
      <c r="L38" s="537">
        <f t="shared" si="10"/>
        <v>30.546193408102116</v>
      </c>
      <c r="M38" s="530"/>
      <c r="N38" s="535">
        <f t="shared" si="11"/>
        <v>6.4940766811486696</v>
      </c>
      <c r="O38" s="528">
        <f t="shared" si="12"/>
        <v>0.3479346126900027</v>
      </c>
      <c r="P38" s="538">
        <f t="shared" si="13"/>
        <v>33.837425591033714</v>
      </c>
      <c r="Q38" s="532"/>
      <c r="R38" s="535">
        <f t="shared" si="14"/>
        <v>8.4727452524451081</v>
      </c>
      <c r="S38" s="528">
        <f t="shared" si="15"/>
        <v>0.75863439115652154</v>
      </c>
      <c r="T38" s="538">
        <f t="shared" si="16"/>
        <v>40.761675682919972</v>
      </c>
    </row>
    <row r="39" spans="1:20" x14ac:dyDescent="0.25">
      <c r="A39" s="523" t="str">
        <f t="shared" si="3"/>
        <v>Gardasil Adolescents</v>
      </c>
      <c r="B39" s="523" t="str">
        <f t="shared" si="3"/>
        <v>HCC Display</v>
      </c>
      <c r="C39" s="533">
        <f t="shared" si="4"/>
        <v>3.54</v>
      </c>
      <c r="D39" s="534">
        <f t="shared" si="4"/>
        <v>39.290778509746694</v>
      </c>
      <c r="E39" s="526"/>
      <c r="F39" s="535">
        <f t="shared" si="5"/>
        <v>3.8158668367254269</v>
      </c>
      <c r="G39" s="536">
        <f t="shared" si="6"/>
        <v>7.792848495068555E-2</v>
      </c>
      <c r="H39" s="537">
        <f t="shared" si="7"/>
        <v>40.911736873087769</v>
      </c>
      <c r="I39" s="526"/>
      <c r="J39" s="535">
        <f t="shared" si="8"/>
        <v>5.0630601772440835</v>
      </c>
      <c r="K39" s="528">
        <f t="shared" si="9"/>
        <v>0.43024298792205762</v>
      </c>
      <c r="L39" s="537">
        <f t="shared" si="10"/>
        <v>46.724867304993253</v>
      </c>
      <c r="M39" s="530"/>
      <c r="N39" s="535">
        <f t="shared" si="11"/>
        <v>5.202542954141208</v>
      </c>
      <c r="O39" s="528">
        <f t="shared" si="12"/>
        <v>0.46964490229977629</v>
      </c>
      <c r="P39" s="538">
        <f t="shared" si="13"/>
        <v>47.244945610501262</v>
      </c>
      <c r="Q39" s="532"/>
      <c r="R39" s="535">
        <f t="shared" si="14"/>
        <v>5.4571814787297708</v>
      </c>
      <c r="S39" s="528">
        <f t="shared" si="15"/>
        <v>0.54157668890671484</v>
      </c>
      <c r="T39" s="538">
        <f t="shared" si="16"/>
        <v>48.137663740853441</v>
      </c>
    </row>
    <row r="40" spans="1:20" x14ac:dyDescent="0.25">
      <c r="A40" s="523" t="str">
        <f t="shared" si="3"/>
        <v>Gardasil Adolescents</v>
      </c>
      <c r="B40" s="523" t="str">
        <f t="shared" si="3"/>
        <v>HCC Paid Search</v>
      </c>
      <c r="C40" s="533">
        <f t="shared" si="4"/>
        <v>0.4</v>
      </c>
      <c r="D40" s="534">
        <f t="shared" si="4"/>
        <v>32.769965884320236</v>
      </c>
      <c r="E40" s="526"/>
      <c r="F40" s="535">
        <f t="shared" si="5"/>
        <v>0.4</v>
      </c>
      <c r="G40" s="536">
        <f t="shared" si="6"/>
        <v>0</v>
      </c>
      <c r="H40" s="537">
        <f t="shared" si="7"/>
        <v>32.769965884320236</v>
      </c>
      <c r="I40" s="526"/>
      <c r="J40" s="535">
        <f t="shared" si="8"/>
        <v>0.4</v>
      </c>
      <c r="K40" s="528">
        <f t="shared" si="9"/>
        <v>0</v>
      </c>
      <c r="L40" s="537">
        <f t="shared" si="10"/>
        <v>32.769965884320236</v>
      </c>
      <c r="M40" s="530"/>
      <c r="N40" s="535">
        <f t="shared" si="11"/>
        <v>0.4</v>
      </c>
      <c r="O40" s="528">
        <f t="shared" si="12"/>
        <v>0</v>
      </c>
      <c r="P40" s="538">
        <f t="shared" si="13"/>
        <v>32.769965884320236</v>
      </c>
      <c r="Q40" s="532"/>
      <c r="R40" s="535">
        <f t="shared" si="14"/>
        <v>0.4</v>
      </c>
      <c r="S40" s="528">
        <f t="shared" si="15"/>
        <v>0</v>
      </c>
      <c r="T40" s="538">
        <f t="shared" si="16"/>
        <v>32.769965884320236</v>
      </c>
    </row>
    <row r="41" spans="1:20" x14ac:dyDescent="0.25">
      <c r="A41" s="523" t="str">
        <f t="shared" si="3"/>
        <v>Gardasil Adolescents</v>
      </c>
      <c r="B41" s="523" t="str">
        <f t="shared" si="3"/>
        <v>HCC Audio</v>
      </c>
      <c r="C41" s="533">
        <f t="shared" si="4"/>
        <v>2.2200000000000002</v>
      </c>
      <c r="D41" s="534">
        <f t="shared" si="4"/>
        <v>20.698391738152171</v>
      </c>
      <c r="E41" s="526"/>
      <c r="F41" s="535">
        <f t="shared" si="5"/>
        <v>2.181411278490013</v>
      </c>
      <c r="G41" s="536">
        <f t="shared" si="6"/>
        <v>-1.738230698648064E-2</v>
      </c>
      <c r="H41" s="537">
        <f t="shared" si="7"/>
        <v>20.481763637834263</v>
      </c>
      <c r="I41" s="526"/>
      <c r="J41" s="535">
        <f t="shared" si="8"/>
        <v>4.8</v>
      </c>
      <c r="K41" s="528">
        <f t="shared" si="9"/>
        <v>1.1621621621621621</v>
      </c>
      <c r="L41" s="537">
        <f t="shared" si="10"/>
        <v>32.875287531392161</v>
      </c>
      <c r="M41" s="530"/>
      <c r="N41" s="535">
        <f t="shared" si="11"/>
        <v>4.8</v>
      </c>
      <c r="O41" s="528">
        <f t="shared" si="12"/>
        <v>1.1621621621621621</v>
      </c>
      <c r="P41" s="538">
        <f t="shared" si="13"/>
        <v>32.875287531392161</v>
      </c>
      <c r="Q41" s="532"/>
      <c r="R41" s="535">
        <f t="shared" si="14"/>
        <v>4.8</v>
      </c>
      <c r="S41" s="528">
        <f t="shared" si="15"/>
        <v>1.1621621621621621</v>
      </c>
      <c r="T41" s="538">
        <f t="shared" si="16"/>
        <v>32.875287531392161</v>
      </c>
    </row>
    <row r="42" spans="1:20" x14ac:dyDescent="0.25">
      <c r="A42" s="523" t="str">
        <f t="shared" si="3"/>
        <v>Gardasil Adolescents</v>
      </c>
      <c r="B42" s="523" t="str">
        <f t="shared" si="3"/>
        <v>HCC TV</v>
      </c>
      <c r="C42" s="533">
        <f t="shared" si="4"/>
        <v>15.7</v>
      </c>
      <c r="D42" s="534">
        <f t="shared" si="4"/>
        <v>63.695224076263159</v>
      </c>
      <c r="E42" s="526"/>
      <c r="F42" s="535">
        <f t="shared" si="5"/>
        <v>16.888801000000001</v>
      </c>
      <c r="G42" s="536">
        <f t="shared" si="6"/>
        <v>0</v>
      </c>
      <c r="H42" s="537">
        <f t="shared" si="7"/>
        <v>67.034177652868721</v>
      </c>
      <c r="I42" s="526"/>
      <c r="J42" s="535">
        <f t="shared" si="8"/>
        <v>16.888801000000001</v>
      </c>
      <c r="K42" s="528">
        <f t="shared" si="9"/>
        <v>0</v>
      </c>
      <c r="L42" s="537">
        <f t="shared" si="10"/>
        <v>67.034177652868721</v>
      </c>
      <c r="M42" s="530"/>
      <c r="N42" s="535">
        <f t="shared" si="11"/>
        <v>16.888801000000001</v>
      </c>
      <c r="O42" s="528">
        <f t="shared" si="12"/>
        <v>0</v>
      </c>
      <c r="P42" s="538">
        <f t="shared" si="13"/>
        <v>67.034177652868721</v>
      </c>
      <c r="Q42" s="532"/>
      <c r="R42" s="535">
        <f t="shared" si="14"/>
        <v>16.888801000000001</v>
      </c>
      <c r="S42" s="528">
        <f t="shared" si="15"/>
        <v>0</v>
      </c>
      <c r="T42" s="538">
        <f t="shared" si="16"/>
        <v>67.034177652868721</v>
      </c>
    </row>
    <row r="43" spans="1:20" x14ac:dyDescent="0.25">
      <c r="A43" s="523" t="str">
        <f t="shared" si="3"/>
        <v>Gardasil Adults</v>
      </c>
      <c r="B43" s="523" t="str">
        <f t="shared" si="3"/>
        <v>HCC InOffice</v>
      </c>
      <c r="C43" s="533">
        <f t="shared" ref="C43:D43" si="17">C16/1000000</f>
        <v>1</v>
      </c>
      <c r="D43" s="534">
        <f t="shared" si="17"/>
        <v>1.5233706180381361</v>
      </c>
      <c r="E43" s="526"/>
      <c r="F43" s="535">
        <f t="shared" si="5"/>
        <v>0.9</v>
      </c>
      <c r="G43" s="536">
        <f t="shared" si="6"/>
        <v>-0.1</v>
      </c>
      <c r="H43" s="537">
        <f t="shared" si="7"/>
        <v>1.4104317445188572</v>
      </c>
      <c r="I43" s="526"/>
      <c r="J43" s="535">
        <f t="shared" si="8"/>
        <v>0.9</v>
      </c>
      <c r="K43" s="528">
        <f t="shared" si="9"/>
        <v>-0.1</v>
      </c>
      <c r="L43" s="537">
        <f t="shared" si="10"/>
        <v>1.4104317445188572</v>
      </c>
      <c r="M43" s="530"/>
      <c r="N43" s="535">
        <f t="shared" si="11"/>
        <v>0.9</v>
      </c>
      <c r="O43" s="528">
        <f t="shared" si="12"/>
        <v>-0.1</v>
      </c>
      <c r="P43" s="538">
        <f t="shared" si="13"/>
        <v>1.4104317445188572</v>
      </c>
      <c r="Q43" s="532"/>
      <c r="R43" s="535">
        <f t="shared" si="14"/>
        <v>0.9</v>
      </c>
      <c r="S43" s="528">
        <f t="shared" si="15"/>
        <v>-0.1</v>
      </c>
      <c r="T43" s="538">
        <f t="shared" si="16"/>
        <v>1.4104317445188572</v>
      </c>
    </row>
    <row r="44" spans="1:20" x14ac:dyDescent="0.25">
      <c r="A44" s="523" t="str">
        <f t="shared" si="3"/>
        <v>Gardasil Adults</v>
      </c>
      <c r="B44" s="523" t="str">
        <f t="shared" si="3"/>
        <v>HCP MCM</v>
      </c>
      <c r="C44" s="533">
        <f t="shared" ref="C44:D44" si="18">C17/1000000</f>
        <v>16.948</v>
      </c>
      <c r="D44" s="534">
        <f t="shared" si="18"/>
        <v>92.408087499027943</v>
      </c>
      <c r="E44" s="526"/>
      <c r="F44" s="535">
        <f t="shared" si="5"/>
        <v>20.333699638065696</v>
      </c>
      <c r="G44" s="536">
        <f t="shared" si="6"/>
        <v>0.19976986299655983</v>
      </c>
      <c r="H44" s="537">
        <f t="shared" si="7"/>
        <v>103.71186392886993</v>
      </c>
      <c r="I44" s="526"/>
      <c r="J44" s="535">
        <f t="shared" si="8"/>
        <v>21</v>
      </c>
      <c r="K44" s="528">
        <f t="shared" si="9"/>
        <v>0.2390842577295256</v>
      </c>
      <c r="L44" s="537">
        <f t="shared" si="10"/>
        <v>105.72478672171538</v>
      </c>
      <c r="M44" s="530"/>
      <c r="N44" s="535">
        <f t="shared" si="11"/>
        <v>21.000000203315022</v>
      </c>
      <c r="O44" s="528">
        <f t="shared" si="12"/>
        <v>0.23908426972592775</v>
      </c>
      <c r="P44" s="538">
        <f t="shared" si="13"/>
        <v>105.72478732592278</v>
      </c>
      <c r="Q44" s="532"/>
      <c r="R44" s="535">
        <f t="shared" si="14"/>
        <v>21</v>
      </c>
      <c r="S44" s="528">
        <f t="shared" si="15"/>
        <v>0.2390842577295256</v>
      </c>
      <c r="T44" s="538">
        <f t="shared" si="16"/>
        <v>105.72478672171538</v>
      </c>
    </row>
    <row r="45" spans="1:20" x14ac:dyDescent="0.25">
      <c r="A45" s="523" t="str">
        <f t="shared" si="3"/>
        <v>Gardasil Adults</v>
      </c>
      <c r="B45" s="523" t="str">
        <f t="shared" si="3"/>
        <v>HCC Social</v>
      </c>
      <c r="C45" s="533">
        <f t="shared" ref="C45:D45" si="19">C18/1000000</f>
        <v>2.2000000000000002</v>
      </c>
      <c r="D45" s="534">
        <f t="shared" si="19"/>
        <v>6.171975030653198</v>
      </c>
      <c r="E45" s="526"/>
      <c r="F45" s="535">
        <f t="shared" si="5"/>
        <v>1.8</v>
      </c>
      <c r="G45" s="536">
        <f t="shared" si="6"/>
        <v>-0.18181818181818182</v>
      </c>
      <c r="H45" s="537">
        <f t="shared" si="7"/>
        <v>5.4718483801533537</v>
      </c>
      <c r="I45" s="526"/>
      <c r="J45" s="535">
        <f t="shared" si="8"/>
        <v>4.584161418305432</v>
      </c>
      <c r="K45" s="528">
        <f t="shared" si="9"/>
        <v>1.0837097355933785</v>
      </c>
      <c r="L45" s="537">
        <f t="shared" si="10"/>
        <v>9.5879661682606887</v>
      </c>
      <c r="M45" s="530"/>
      <c r="N45" s="535">
        <f t="shared" si="11"/>
        <v>4.1545709220185207</v>
      </c>
      <c r="O45" s="528">
        <f t="shared" si="12"/>
        <v>0.88844132819023658</v>
      </c>
      <c r="P45" s="538">
        <f t="shared" si="13"/>
        <v>9.0382897156212092</v>
      </c>
      <c r="Q45" s="532"/>
      <c r="R45" s="535">
        <f t="shared" si="14"/>
        <v>2.2823684526044192</v>
      </c>
      <c r="S45" s="528">
        <f t="shared" si="15"/>
        <v>3.7440205729281403E-2</v>
      </c>
      <c r="T45" s="538">
        <f t="shared" si="16"/>
        <v>6.3096025797727107</v>
      </c>
    </row>
    <row r="46" spans="1:20" x14ac:dyDescent="0.25">
      <c r="A46" s="523" t="str">
        <f t="shared" si="3"/>
        <v>Gardasil Adults</v>
      </c>
      <c r="B46" s="523" t="str">
        <f t="shared" si="3"/>
        <v>HCC Online Video</v>
      </c>
      <c r="C46" s="533">
        <f t="shared" ref="C46:D46" si="20">C19/1000000</f>
        <v>1.5</v>
      </c>
      <c r="D46" s="534">
        <f t="shared" si="20"/>
        <v>5.944544957049497</v>
      </c>
      <c r="E46" s="526"/>
      <c r="F46" s="535">
        <f t="shared" si="5"/>
        <v>1.1068179535387797</v>
      </c>
      <c r="G46" s="536">
        <f t="shared" si="6"/>
        <v>-0.26212136430748023</v>
      </c>
      <c r="H46" s="537">
        <f t="shared" si="7"/>
        <v>4.875568571233055</v>
      </c>
      <c r="I46" s="526"/>
      <c r="J46" s="535">
        <f t="shared" si="8"/>
        <v>2.5399127789936915</v>
      </c>
      <c r="K46" s="528">
        <f t="shared" si="9"/>
        <v>0.69327518599579419</v>
      </c>
      <c r="L46" s="537">
        <f t="shared" si="10"/>
        <v>7.7803624969045799</v>
      </c>
      <c r="M46" s="530"/>
      <c r="N46" s="535">
        <f t="shared" si="11"/>
        <v>2.4693387975853112</v>
      </c>
      <c r="O46" s="528">
        <f t="shared" si="12"/>
        <v>0.64622586505687418</v>
      </c>
      <c r="P46" s="538">
        <f t="shared" si="13"/>
        <v>7.6899067353378303</v>
      </c>
      <c r="Q46" s="532"/>
      <c r="R46" s="535">
        <f t="shared" si="14"/>
        <v>2.0918807528473775</v>
      </c>
      <c r="S46" s="528">
        <f t="shared" si="15"/>
        <v>0.39458716856491843</v>
      </c>
      <c r="T46" s="538">
        <f t="shared" si="16"/>
        <v>7.1321605639820653</v>
      </c>
    </row>
    <row r="47" spans="1:20" x14ac:dyDescent="0.25">
      <c r="A47" s="523" t="str">
        <f t="shared" si="3"/>
        <v>Gardasil Adults</v>
      </c>
      <c r="B47" s="523" t="str">
        <f t="shared" si="3"/>
        <v>HCC Streaming Video</v>
      </c>
      <c r="C47" s="533">
        <f t="shared" ref="C47:D47" si="21">C20/1000000</f>
        <v>10.268452</v>
      </c>
      <c r="D47" s="534">
        <f t="shared" si="21"/>
        <v>18.886370658155332</v>
      </c>
      <c r="E47" s="526"/>
      <c r="F47" s="535">
        <f t="shared" si="5"/>
        <v>8.3069009999999999</v>
      </c>
      <c r="G47" s="536">
        <f t="shared" si="6"/>
        <v>-0.19102694349644914</v>
      </c>
      <c r="H47" s="537">
        <f t="shared" si="7"/>
        <v>16.281797494816164</v>
      </c>
      <c r="I47" s="526"/>
      <c r="J47" s="535">
        <f t="shared" si="8"/>
        <v>11.192377367288953</v>
      </c>
      <c r="K47" s="528">
        <f t="shared" si="9"/>
        <v>8.9977083915759912E-2</v>
      </c>
      <c r="L47" s="537">
        <f t="shared" si="10"/>
        <v>20.060449763434079</v>
      </c>
      <c r="M47" s="530"/>
      <c r="N47" s="535">
        <f t="shared" si="11"/>
        <v>9.7818289864038324</v>
      </c>
      <c r="O47" s="528">
        <f t="shared" si="12"/>
        <v>-4.7390104525605978E-2</v>
      </c>
      <c r="P47" s="538">
        <f t="shared" si="13"/>
        <v>18.255304051492907</v>
      </c>
      <c r="Q47" s="532"/>
      <c r="R47" s="535">
        <f t="shared" si="14"/>
        <v>8.3069009999999999</v>
      </c>
      <c r="S47" s="528">
        <f t="shared" si="15"/>
        <v>-0.19102694349644914</v>
      </c>
      <c r="T47" s="538">
        <f t="shared" si="16"/>
        <v>16.281797494816164</v>
      </c>
    </row>
    <row r="48" spans="1:20" x14ac:dyDescent="0.25">
      <c r="A48" s="523" t="str">
        <f t="shared" si="3"/>
        <v>Gardasil Adults</v>
      </c>
      <c r="B48" s="523" t="str">
        <f t="shared" si="3"/>
        <v>HCC Display</v>
      </c>
      <c r="C48" s="533">
        <f t="shared" ref="C48:D48" si="22">C21/1000000</f>
        <v>4</v>
      </c>
      <c r="D48" s="534">
        <f t="shared" si="22"/>
        <v>21.02067549422587</v>
      </c>
      <c r="E48" s="526"/>
      <c r="F48" s="535">
        <f t="shared" si="5"/>
        <v>4.2666709673053305</v>
      </c>
      <c r="G48" s="536">
        <f t="shared" si="6"/>
        <v>6.6667741826332644E-2</v>
      </c>
      <c r="H48" s="537">
        <f t="shared" si="7"/>
        <v>21.850640140886878</v>
      </c>
      <c r="I48" s="526"/>
      <c r="J48" s="535">
        <f t="shared" si="8"/>
        <v>5</v>
      </c>
      <c r="K48" s="528">
        <f t="shared" si="9"/>
        <v>0.25</v>
      </c>
      <c r="L48" s="537">
        <f t="shared" si="10"/>
        <v>24.032152746086098</v>
      </c>
      <c r="M48" s="530"/>
      <c r="N48" s="535">
        <f t="shared" si="11"/>
        <v>5</v>
      </c>
      <c r="O48" s="528">
        <f t="shared" si="12"/>
        <v>0.25</v>
      </c>
      <c r="P48" s="538">
        <f t="shared" si="13"/>
        <v>24.032152746086098</v>
      </c>
      <c r="Q48" s="532"/>
      <c r="R48" s="535">
        <f t="shared" si="14"/>
        <v>5</v>
      </c>
      <c r="S48" s="528">
        <f t="shared" si="15"/>
        <v>0.25</v>
      </c>
      <c r="T48" s="538">
        <f t="shared" si="16"/>
        <v>24.032152746086098</v>
      </c>
    </row>
    <row r="49" spans="1:30" x14ac:dyDescent="0.25">
      <c r="A49" s="523" t="str">
        <f t="shared" si="3"/>
        <v>Gardasil Adults</v>
      </c>
      <c r="B49" s="523" t="str">
        <f t="shared" si="3"/>
        <v>HCC Paid Search</v>
      </c>
      <c r="C49" s="533">
        <f t="shared" ref="C49:D49" si="23">C22/1000000</f>
        <v>0.2</v>
      </c>
      <c r="D49" s="534">
        <f t="shared" si="23"/>
        <v>17.969341094351833</v>
      </c>
      <c r="E49" s="526"/>
      <c r="F49" s="535">
        <f t="shared" si="5"/>
        <v>0.2</v>
      </c>
      <c r="G49" s="536">
        <f t="shared" si="6"/>
        <v>0</v>
      </c>
      <c r="H49" s="537">
        <f t="shared" si="7"/>
        <v>17.969341094351833</v>
      </c>
      <c r="I49" s="526"/>
      <c r="J49" s="535">
        <f t="shared" si="8"/>
        <v>0.2</v>
      </c>
      <c r="K49" s="528">
        <f t="shared" si="9"/>
        <v>0</v>
      </c>
      <c r="L49" s="537">
        <f t="shared" si="10"/>
        <v>17.969341094351833</v>
      </c>
      <c r="M49" s="530"/>
      <c r="N49" s="535">
        <f t="shared" si="11"/>
        <v>0.2</v>
      </c>
      <c r="O49" s="528">
        <f t="shared" si="12"/>
        <v>0</v>
      </c>
      <c r="P49" s="538">
        <f t="shared" si="13"/>
        <v>17.969341094351833</v>
      </c>
      <c r="Q49" s="532"/>
      <c r="R49" s="535">
        <f t="shared" si="14"/>
        <v>0.2</v>
      </c>
      <c r="S49" s="528">
        <f t="shared" si="15"/>
        <v>0</v>
      </c>
      <c r="T49" s="538">
        <f t="shared" si="16"/>
        <v>17.969341094351833</v>
      </c>
    </row>
    <row r="50" spans="1:30" x14ac:dyDescent="0.25">
      <c r="A50" s="523" t="str">
        <f t="shared" si="3"/>
        <v>Gardasil Adults</v>
      </c>
      <c r="B50" s="523" t="str">
        <f t="shared" si="3"/>
        <v>HCC Linear TV</v>
      </c>
      <c r="C50" s="533">
        <f>C23/1000000</f>
        <v>28.089210999999999</v>
      </c>
      <c r="D50" s="534">
        <f>D23/1000000</f>
        <v>40.395109654958588</v>
      </c>
      <c r="E50" s="526"/>
      <c r="F50" s="535">
        <f t="shared" si="5"/>
        <v>28.089210999999999</v>
      </c>
      <c r="G50" s="536">
        <f t="shared" si="6"/>
        <v>0</v>
      </c>
      <c r="H50" s="537">
        <f t="shared" si="7"/>
        <v>40.395109654958588</v>
      </c>
      <c r="I50" s="526"/>
      <c r="J50" s="535">
        <f t="shared" si="8"/>
        <v>28.089210999999999</v>
      </c>
      <c r="K50" s="528">
        <f t="shared" si="9"/>
        <v>0</v>
      </c>
      <c r="L50" s="537">
        <f t="shared" si="10"/>
        <v>40.395109654958588</v>
      </c>
      <c r="M50" s="530"/>
      <c r="N50" s="535">
        <f t="shared" si="11"/>
        <v>28.089210999999999</v>
      </c>
      <c r="O50" s="528">
        <f t="shared" si="12"/>
        <v>0</v>
      </c>
      <c r="P50" s="538">
        <f t="shared" si="13"/>
        <v>40.395109654958588</v>
      </c>
      <c r="Q50" s="532"/>
      <c r="R50" s="535">
        <f t="shared" si="14"/>
        <v>28.089210999999999</v>
      </c>
      <c r="S50" s="528">
        <f t="shared" si="15"/>
        <v>0</v>
      </c>
      <c r="T50" s="538">
        <f t="shared" si="16"/>
        <v>40.395109654958588</v>
      </c>
    </row>
    <row r="51" spans="1:30" x14ac:dyDescent="0.25">
      <c r="A51" s="523" t="str">
        <f>A24</f>
        <v>Gardasil Adults</v>
      </c>
      <c r="B51" s="523" t="str">
        <f>B24</f>
        <v>HCC Radio</v>
      </c>
      <c r="C51" s="533">
        <f t="shared" ref="C51:D51" si="24">C24/1000000</f>
        <v>1.5</v>
      </c>
      <c r="D51" s="534">
        <f t="shared" si="24"/>
        <v>7.2903099462908374</v>
      </c>
      <c r="E51" s="526"/>
      <c r="F51" s="535">
        <f>F24/1000000</f>
        <v>0.70236244109018753</v>
      </c>
      <c r="G51" s="536">
        <f>G24</f>
        <v>-0.53175837260654168</v>
      </c>
      <c r="H51" s="537">
        <f>H24/1000000</f>
        <v>5.3818798862388411</v>
      </c>
      <c r="I51" s="526"/>
      <c r="J51" s="535">
        <f>J24/1000000</f>
        <v>2.2000000000000002</v>
      </c>
      <c r="K51" s="528">
        <f>K24</f>
        <v>0.46666666666666667</v>
      </c>
      <c r="L51" s="537">
        <f>L24/1000000</f>
        <v>8.4972532367697085</v>
      </c>
      <c r="M51" s="530"/>
      <c r="N51" s="535">
        <f>N24/1000000</f>
        <v>2.2000000000000002</v>
      </c>
      <c r="O51" s="528">
        <f>O24</f>
        <v>0.46666666666666667</v>
      </c>
      <c r="P51" s="538">
        <f>P24/1000000</f>
        <v>8.4972532367697085</v>
      </c>
      <c r="Q51" s="532"/>
      <c r="R51" s="535">
        <f>R24/1000000</f>
        <v>1.9543509945481978</v>
      </c>
      <c r="S51" s="528">
        <f>S24</f>
        <v>0.30290066303213187</v>
      </c>
      <c r="T51" s="538">
        <f>T24/1000000</f>
        <v>8.1042068009546782</v>
      </c>
    </row>
    <row r="52" spans="1:30" x14ac:dyDescent="0.25">
      <c r="A52" s="523" t="str">
        <f>A25</f>
        <v>Gardasil Adults</v>
      </c>
      <c r="B52" s="523" t="str">
        <f>B25</f>
        <v>HCC Pharmacy</v>
      </c>
      <c r="C52" s="533">
        <f t="shared" ref="C52:D52" si="25">C25/1000000</f>
        <v>3.2</v>
      </c>
      <c r="D52" s="534">
        <f t="shared" si="25"/>
        <v>5.0638371955307466</v>
      </c>
      <c r="E52" s="526"/>
      <c r="F52" s="535">
        <f>F25/1000000</f>
        <v>3.2</v>
      </c>
      <c r="G52" s="536">
        <f>G25</f>
        <v>0</v>
      </c>
      <c r="H52" s="537">
        <f>H25/1000000</f>
        <v>5.0638371955307466</v>
      </c>
      <c r="I52" s="526"/>
      <c r="J52" s="535">
        <f>J25/1000000</f>
        <v>3.2</v>
      </c>
      <c r="K52" s="528">
        <f>K25</f>
        <v>0</v>
      </c>
      <c r="L52" s="537">
        <f>L25/1000000</f>
        <v>5.0638371955307466</v>
      </c>
      <c r="M52" s="530"/>
      <c r="N52" s="535">
        <f>N25/1000000</f>
        <v>3.2</v>
      </c>
      <c r="O52" s="528">
        <f>O25</f>
        <v>0</v>
      </c>
      <c r="P52" s="538">
        <f>P25/1000000</f>
        <v>5.0638371955307466</v>
      </c>
      <c r="Q52" s="532"/>
      <c r="R52" s="535">
        <f>R25/1000000</f>
        <v>3.2</v>
      </c>
      <c r="S52" s="528">
        <f>S25</f>
        <v>0</v>
      </c>
      <c r="T52" s="538">
        <f>T25/1000000</f>
        <v>5.0638371955307466</v>
      </c>
    </row>
    <row r="53" spans="1:30" x14ac:dyDescent="0.25">
      <c r="A53" s="469"/>
      <c r="B53" s="510" t="str">
        <f>B26</f>
        <v>Gardasil Adolescents</v>
      </c>
      <c r="C53" s="511">
        <f t="shared" ref="C53:D53" si="26">C26/1000000</f>
        <v>38.513576</v>
      </c>
      <c r="D53" s="512">
        <f t="shared" si="26"/>
        <v>284.16088455212713</v>
      </c>
      <c r="E53" s="513"/>
      <c r="F53" s="514">
        <f t="shared" ref="F53:F54" si="27">F26/1000000</f>
        <v>39.702377000000006</v>
      </c>
      <c r="G53" s="487">
        <f t="shared" ref="G53:G54" si="28">G26</f>
        <v>1.8766081932383616E-16</v>
      </c>
      <c r="H53" s="515">
        <f t="shared" ref="H53:H54" si="29">H26/1000000</f>
        <v>293.4721594254687</v>
      </c>
      <c r="I53" s="513"/>
      <c r="J53" s="514">
        <f t="shared" ref="J53:J54" si="30">J26/1000000</f>
        <v>49.702377502066547</v>
      </c>
      <c r="K53" s="487">
        <f t="shared" ref="K53:K54" si="31">K26</f>
        <v>0.25187410068839317</v>
      </c>
      <c r="L53" s="515">
        <f t="shared" ref="L53:L54" si="32">L26/1000000</f>
        <v>339.1172514900764</v>
      </c>
      <c r="M53" s="486"/>
      <c r="N53" s="514">
        <f t="shared" ref="N53:N54" si="33">N26/1000000</f>
        <v>51.613090101004381</v>
      </c>
      <c r="O53" s="487">
        <f t="shared" ref="O53:O54" si="34">O26</f>
        <v>0.34012718271095843</v>
      </c>
      <c r="P53" s="515">
        <f t="shared" ref="P53:P54" si="35">P26/1000000</f>
        <v>346.23896279694759</v>
      </c>
      <c r="Q53" s="516"/>
      <c r="R53" s="514">
        <f t="shared" ref="R53:R54" si="36">R26/1000000</f>
        <v>55.583327800000006</v>
      </c>
      <c r="S53" s="487">
        <f t="shared" ref="S53:S54" si="37">S26</f>
        <v>0.40000000000000013</v>
      </c>
      <c r="T53" s="515">
        <f t="shared" ref="T53:T54" si="38">T26/1000000</f>
        <v>360.13986066345348</v>
      </c>
      <c r="U53" s="180">
        <f>L53-D53</f>
        <v>54.956366937949269</v>
      </c>
      <c r="V53" s="180">
        <f>P53-D53</f>
        <v>62.07807824482046</v>
      </c>
      <c r="W53" s="180">
        <f>T53-D53</f>
        <v>75.978976111326347</v>
      </c>
    </row>
    <row r="54" spans="1:30" x14ac:dyDescent="0.25">
      <c r="A54" s="469"/>
      <c r="B54" s="510" t="str">
        <f>B27</f>
        <v>Gardasil Adults</v>
      </c>
      <c r="C54" s="511">
        <f t="shared" ref="C54:D54" si="39">C27/1000000</f>
        <v>68.905663000000004</v>
      </c>
      <c r="D54" s="512">
        <f t="shared" si="39"/>
        <v>216.67362214828196</v>
      </c>
      <c r="E54" s="513"/>
      <c r="F54" s="514">
        <f t="shared" si="27"/>
        <v>68.905663000000004</v>
      </c>
      <c r="G54" s="487">
        <f t="shared" si="28"/>
        <v>0</v>
      </c>
      <c r="H54" s="515">
        <f t="shared" si="29"/>
        <v>222.41231809155829</v>
      </c>
      <c r="I54" s="513"/>
      <c r="J54" s="514">
        <f t="shared" si="30"/>
        <v>78.90566256458807</v>
      </c>
      <c r="K54" s="487">
        <f t="shared" si="31"/>
        <v>0.1451259465363256</v>
      </c>
      <c r="L54" s="515">
        <f t="shared" si="32"/>
        <v>240.52169082253056</v>
      </c>
      <c r="M54" s="486"/>
      <c r="N54" s="514">
        <f t="shared" si="33"/>
        <v>76.994949909322685</v>
      </c>
      <c r="O54" s="487">
        <f t="shared" si="34"/>
        <v>0.11739654706352189</v>
      </c>
      <c r="P54" s="515">
        <f t="shared" si="35"/>
        <v>238.07641350059049</v>
      </c>
      <c r="Q54" s="516"/>
      <c r="R54" s="514">
        <f t="shared" si="36"/>
        <v>73.024712199999996</v>
      </c>
      <c r="S54" s="487">
        <f t="shared" si="37"/>
        <v>5.9778094000779047E-2</v>
      </c>
      <c r="T54" s="515">
        <f t="shared" si="38"/>
        <v>232.42342659668708</v>
      </c>
      <c r="U54" s="180">
        <f>L54-D54</f>
        <v>23.848068674248594</v>
      </c>
      <c r="V54" s="180">
        <f>P54-D54</f>
        <v>21.402791352308526</v>
      </c>
      <c r="W54" s="180">
        <f>T54-D54</f>
        <v>15.749804448405115</v>
      </c>
    </row>
    <row r="55" spans="1:30" ht="29.65" customHeight="1" x14ac:dyDescent="0.25">
      <c r="A55" s="485"/>
      <c r="B55" s="510" t="s">
        <v>218</v>
      </c>
      <c r="C55" s="517">
        <f>C28/1000000</f>
        <v>107.419239</v>
      </c>
      <c r="D55" s="512">
        <f>D28/1000000</f>
        <v>500.83450670040907</v>
      </c>
      <c r="E55" s="513"/>
      <c r="F55" s="518">
        <f>F28/1000000</f>
        <v>108.60804</v>
      </c>
      <c r="G55" s="519">
        <f>G28</f>
        <v>1.106692815055225E-2</v>
      </c>
      <c r="H55" s="515">
        <f>H28/1000000</f>
        <v>515.88447751702699</v>
      </c>
      <c r="I55" s="513"/>
      <c r="J55" s="518">
        <f>J28/1000000</f>
        <v>128.60804006665461</v>
      </c>
      <c r="K55" s="519">
        <f>K28</f>
        <v>0.19725331573662166</v>
      </c>
      <c r="L55" s="515">
        <f>L28/1000000</f>
        <v>579.6389423126069</v>
      </c>
      <c r="M55" s="486"/>
      <c r="N55" s="518">
        <f>N28/1000000</f>
        <v>128.60804001032707</v>
      </c>
      <c r="O55" s="519">
        <f>O28</f>
        <v>0.19725331521225062</v>
      </c>
      <c r="P55" s="515">
        <f>P28/1000000</f>
        <v>584.31537629753825</v>
      </c>
      <c r="Q55" s="516"/>
      <c r="R55" s="518">
        <f>R28/1000000</f>
        <v>128.60803999999999</v>
      </c>
      <c r="S55" s="519">
        <f>S28</f>
        <v>0.19725331511611249</v>
      </c>
      <c r="T55" s="515">
        <f>T28/1000000</f>
        <v>592.56328726014078</v>
      </c>
      <c r="U55" s="503">
        <f>U54*1.25</f>
        <v>29.810085842810743</v>
      </c>
      <c r="V55" s="503">
        <f>V54*1.25</f>
        <v>26.753489190385658</v>
      </c>
      <c r="W55" s="503">
        <f>W54*1.25</f>
        <v>19.687255560506394</v>
      </c>
    </row>
    <row r="56" spans="1:30" ht="25.5" x14ac:dyDescent="0.25">
      <c r="A56" s="485"/>
      <c r="B56" s="510" t="s">
        <v>356</v>
      </c>
      <c r="C56" s="514" t="str">
        <f>_xlfn.CONCAT("ROI"," ", ,C61)</f>
        <v>ROI 4.66</v>
      </c>
      <c r="D56" s="520"/>
      <c r="E56" s="513"/>
      <c r="F56" s="514" t="str">
        <f>_xlfn.CONCAT("ROI"," ", ,F61)</f>
        <v>ROI 4.75</v>
      </c>
      <c r="G56" s="519"/>
      <c r="H56" s="521" t="s">
        <v>364</v>
      </c>
      <c r="I56" s="513"/>
      <c r="J56" s="514" t="str">
        <f>_xlfn.CONCAT("ROI"," ", ,J61)</f>
        <v>ROI 4.51</v>
      </c>
      <c r="K56" s="519"/>
      <c r="L56" s="521" t="s">
        <v>361</v>
      </c>
      <c r="M56" s="486"/>
      <c r="N56" s="514" t="str">
        <f>_xlfn.CONCAT("ROI"," ", ,N61)</f>
        <v>ROI 4.54</v>
      </c>
      <c r="O56" s="519"/>
      <c r="P56" s="521" t="s">
        <v>362</v>
      </c>
      <c r="Q56" s="522"/>
      <c r="R56" s="514" t="str">
        <f>_xlfn.CONCAT("ROI"," ", ,R61)</f>
        <v>ROI 4.61</v>
      </c>
      <c r="S56" s="519"/>
      <c r="T56" s="521" t="s">
        <v>363</v>
      </c>
    </row>
    <row r="57" spans="1:30" ht="38.25" x14ac:dyDescent="0.25">
      <c r="A57" s="485"/>
      <c r="B57" s="510" t="s">
        <v>357</v>
      </c>
      <c r="C57" s="514" t="str">
        <f>_xlfn.CONCAT("ROI"," ", ,C63)</f>
        <v>ROI 7.38</v>
      </c>
      <c r="D57" s="520"/>
      <c r="E57" s="513"/>
      <c r="F57" s="514" t="str">
        <f>_xlfn.CONCAT("ROI"," ", ,F63)</f>
        <v>ROI 7.39</v>
      </c>
      <c r="G57" s="519"/>
      <c r="H57" s="521" t="s">
        <v>365</v>
      </c>
      <c r="I57" s="513"/>
      <c r="J57" s="514" t="str">
        <f>_xlfn.CONCAT("ROI"," ", ,J63)</f>
        <v>ROI 6.82</v>
      </c>
      <c r="K57" s="519"/>
      <c r="L57" s="521" t="s">
        <v>369</v>
      </c>
      <c r="M57" s="486"/>
      <c r="N57" s="514" t="str">
        <f>_xlfn.CONCAT("ROI"," ", ,N63)</f>
        <v>ROI 6.71</v>
      </c>
      <c r="O57" s="519"/>
      <c r="P57" s="521" t="s">
        <v>373</v>
      </c>
      <c r="Q57" s="522"/>
      <c r="R57" s="514" t="str">
        <f>_xlfn.CONCAT("ROI"," ", ,R63)</f>
        <v>ROI 6.48</v>
      </c>
      <c r="S57" s="519"/>
      <c r="T57" s="521" t="s">
        <v>377</v>
      </c>
    </row>
    <row r="58" spans="1:30" ht="51" x14ac:dyDescent="0.25">
      <c r="A58" s="485"/>
      <c r="B58" s="510" t="s">
        <v>360</v>
      </c>
      <c r="C58" s="514" t="str">
        <f>_xlfn.CONCAT("ROI"," ", ,C65)</f>
        <v>ROI 3.14</v>
      </c>
      <c r="D58" s="520"/>
      <c r="E58" s="513"/>
      <c r="F58" s="514" t="str">
        <f>_xlfn.CONCAT("ROI"," ", ,F65)</f>
        <v>ROI 3.23</v>
      </c>
      <c r="G58" s="519"/>
      <c r="H58" s="521" t="s">
        <v>366</v>
      </c>
      <c r="I58" s="513"/>
      <c r="J58" s="514" t="str">
        <f>_xlfn.CONCAT("ROI"," ", ,J65)</f>
        <v>ROI 3.05</v>
      </c>
      <c r="K58" s="519"/>
      <c r="L58" s="521" t="s">
        <v>370</v>
      </c>
      <c r="M58" s="486"/>
      <c r="N58" s="514" t="str">
        <f>_xlfn.CONCAT("ROI"," ", ,N65)</f>
        <v>ROI 3.09</v>
      </c>
      <c r="O58" s="519"/>
      <c r="P58" s="521" t="s">
        <v>374</v>
      </c>
      <c r="Q58" s="522"/>
      <c r="R58" s="514" t="str">
        <f>_xlfn.CONCAT("ROI"," ", ,R65)</f>
        <v>ROI 3.18</v>
      </c>
      <c r="S58" s="519"/>
      <c r="T58" s="521" t="s">
        <v>378</v>
      </c>
    </row>
    <row r="59" spans="1:30" ht="38.25" x14ac:dyDescent="0.25">
      <c r="A59" s="485"/>
      <c r="B59" s="510" t="s">
        <v>359</v>
      </c>
      <c r="C59" s="514" t="str">
        <f>_xlfn.CONCAT("ROI"," ", ,C67)</f>
        <v>ROI 3.93</v>
      </c>
      <c r="D59" s="520"/>
      <c r="E59" s="513"/>
      <c r="F59" s="514" t="str">
        <f>_xlfn.CONCAT("ROI"," ", ,F67)</f>
        <v>ROI 4.03</v>
      </c>
      <c r="G59" s="519"/>
      <c r="H59" s="521" t="s">
        <v>367</v>
      </c>
      <c r="I59" s="513"/>
      <c r="J59" s="514" t="str">
        <f>_xlfn.CONCAT("ROI"," ", ,J67)</f>
        <v>ROI 3.81</v>
      </c>
      <c r="K59" s="519"/>
      <c r="L59" s="521" t="s">
        <v>371</v>
      </c>
      <c r="M59" s="486"/>
      <c r="N59" s="514" t="str">
        <f>_xlfn.CONCAT("ROI"," ", ,N67)</f>
        <v>ROI 3.87</v>
      </c>
      <c r="O59" s="519"/>
      <c r="P59" s="521" t="s">
        <v>375</v>
      </c>
      <c r="Q59" s="522"/>
      <c r="R59" s="514" t="str">
        <f>_xlfn.CONCAT("ROI"," ", ,R67)</f>
        <v>ROI 3.98</v>
      </c>
      <c r="S59" s="519"/>
      <c r="T59" s="521" t="s">
        <v>379</v>
      </c>
    </row>
    <row r="60" spans="1:30" ht="38.25" x14ac:dyDescent="0.25">
      <c r="A60" s="485"/>
      <c r="B60" s="510" t="s">
        <v>358</v>
      </c>
      <c r="C60" s="514" t="str">
        <f>_xlfn.CONCAT("ROI"," ", ,C69)</f>
        <v>ROI 2.52</v>
      </c>
      <c r="D60" s="520"/>
      <c r="E60" s="513"/>
      <c r="F60" s="514" t="str">
        <f>_xlfn.CONCAT("ROI"," ", ,F69)</f>
        <v>ROI 2.58</v>
      </c>
      <c r="G60" s="519"/>
      <c r="H60" s="521" t="s">
        <v>368</v>
      </c>
      <c r="I60" s="513"/>
      <c r="J60" s="514" t="str">
        <f>_xlfn.CONCAT("ROI"," ", ,J69)</f>
        <v>ROI 2.44</v>
      </c>
      <c r="K60" s="519"/>
      <c r="L60" s="521" t="s">
        <v>372</v>
      </c>
      <c r="M60" s="486"/>
      <c r="N60" s="514" t="str">
        <f>_xlfn.CONCAT("ROI"," ", ,N69)</f>
        <v>ROI 2.47</v>
      </c>
      <c r="O60" s="519"/>
      <c r="P60" s="521" t="s">
        <v>376</v>
      </c>
      <c r="Q60" s="522"/>
      <c r="R60" s="514" t="str">
        <f>_xlfn.CONCAT("ROI"," ", ,R69)</f>
        <v>ROI 2.55</v>
      </c>
      <c r="S60" s="519"/>
      <c r="T60" s="521" t="s">
        <v>380</v>
      </c>
    </row>
    <row r="61" spans="1:30" x14ac:dyDescent="0.25">
      <c r="C61" s="97">
        <f>ROUND(D55/C55,2)</f>
        <v>4.66</v>
      </c>
      <c r="F61" s="97">
        <f>ROUND(H55/F55,2)</f>
        <v>4.75</v>
      </c>
      <c r="H61" s="216">
        <f>(H55-$D$55)</f>
        <v>15.049970816617929</v>
      </c>
      <c r="J61" s="97">
        <f>ROUND(L55/J55,2)</f>
        <v>4.51</v>
      </c>
      <c r="L61" s="216">
        <f>(L55-$D$55)</f>
        <v>78.804435612197835</v>
      </c>
      <c r="N61" s="97">
        <f>ROUND(P55/N55,2)</f>
        <v>4.54</v>
      </c>
      <c r="P61" s="216">
        <f>(P55-$D$55)</f>
        <v>83.480869597129185</v>
      </c>
      <c r="Q61" s="509"/>
      <c r="R61" s="97">
        <f>ROUND(T55/R55,2)</f>
        <v>4.6100000000000003</v>
      </c>
      <c r="T61" s="216">
        <f>(T55-$D$55)</f>
        <v>91.728780559731717</v>
      </c>
    </row>
    <row r="62" spans="1:30" x14ac:dyDescent="0.25">
      <c r="H62" s="280">
        <f>H61/$D$55</f>
        <v>3.0049788134148218E-2</v>
      </c>
      <c r="J62" s="248"/>
      <c r="K62" s="248"/>
      <c r="L62" s="331">
        <f>L61/$D$55</f>
        <v>0.15734625821087314</v>
      </c>
      <c r="M62" s="248"/>
      <c r="N62" s="248"/>
      <c r="O62" s="248"/>
      <c r="P62" s="331">
        <f>P61/$D$55</f>
        <v>0.16668354212874967</v>
      </c>
      <c r="Q62" s="331"/>
      <c r="R62" s="248"/>
      <c r="S62" s="248"/>
      <c r="T62" s="331">
        <f>T61/$D$55</f>
        <v>0.18315187818039536</v>
      </c>
    </row>
    <row r="63" spans="1:30" x14ac:dyDescent="0.25">
      <c r="C63" s="97">
        <f>ROUND(D53/C53,2)</f>
        <v>7.38</v>
      </c>
      <c r="F63" s="97">
        <f>ROUND(H53/F53,2)</f>
        <v>7.39</v>
      </c>
      <c r="H63" s="216">
        <f>H53-$D$53</f>
        <v>9.3112748733415742</v>
      </c>
      <c r="J63" s="97">
        <f>ROUND(L53/J53,2)</f>
        <v>6.82</v>
      </c>
      <c r="L63" s="216">
        <f>L53-$D$53</f>
        <v>54.956366937949269</v>
      </c>
      <c r="N63" s="97">
        <f>ROUND(P53/N53,2)</f>
        <v>6.71</v>
      </c>
      <c r="P63" s="216">
        <f>P53-$D$53</f>
        <v>62.07807824482046</v>
      </c>
      <c r="R63" s="97">
        <f>ROUND(T53/R53,2)</f>
        <v>6.48</v>
      </c>
      <c r="T63" s="216">
        <f>T53-$D$53</f>
        <v>75.978976111326347</v>
      </c>
    </row>
    <row r="64" spans="1:30" x14ac:dyDescent="0.25">
      <c r="A64"/>
      <c r="B64"/>
      <c r="H64" s="280">
        <f>H63/$D$53</f>
        <v>3.2767616443823012E-2</v>
      </c>
      <c r="L64" s="331">
        <f>L63/$D$53</f>
        <v>0.19339877486856552</v>
      </c>
      <c r="M64" s="248"/>
      <c r="P64" s="331">
        <f>P63/$D$53</f>
        <v>0.21846102549498755</v>
      </c>
      <c r="T64" s="331">
        <f>T63/$D$53</f>
        <v>0.2673801365415886</v>
      </c>
      <c r="U64"/>
      <c r="V64"/>
      <c r="W64"/>
      <c r="X64"/>
      <c r="Y64"/>
      <c r="Z64"/>
      <c r="AA64"/>
      <c r="AB64"/>
      <c r="AC64"/>
      <c r="AD64"/>
    </row>
    <row r="65" spans="1:30" x14ac:dyDescent="0.25">
      <c r="A65"/>
      <c r="B65"/>
      <c r="C65" s="97">
        <f>ROUND(D54/C54,2)</f>
        <v>3.14</v>
      </c>
      <c r="F65" s="97">
        <f>ROUND(H54/F54,2)</f>
        <v>3.23</v>
      </c>
      <c r="H65" s="216">
        <f>H54-$D$54</f>
        <v>5.7386959432763263</v>
      </c>
      <c r="J65" s="97">
        <f>ROUND(L54/J54,2)</f>
        <v>3.05</v>
      </c>
      <c r="L65" s="216">
        <f>L54-$D$54</f>
        <v>23.848068674248594</v>
      </c>
      <c r="N65" s="97">
        <f>ROUND(P54/N54,2)</f>
        <v>3.09</v>
      </c>
      <c r="P65" s="216">
        <f>P54-$D$54</f>
        <v>21.402791352308526</v>
      </c>
      <c r="R65" s="97">
        <f>ROUND(T54/R54,2)</f>
        <v>3.18</v>
      </c>
      <c r="T65" s="216">
        <f>T54-$D$54</f>
        <v>15.749804448405115</v>
      </c>
      <c r="U65"/>
      <c r="V65"/>
      <c r="W65"/>
      <c r="X65"/>
      <c r="Y65"/>
      <c r="Z65"/>
      <c r="AA65"/>
      <c r="AB65"/>
      <c r="AC65"/>
      <c r="AD65"/>
    </row>
    <row r="66" spans="1:30" x14ac:dyDescent="0.25">
      <c r="A66"/>
      <c r="B66"/>
      <c r="H66" s="280">
        <f>H65/$D$54</f>
        <v>2.6485438727511617E-2</v>
      </c>
      <c r="L66" s="331">
        <f>L65/$D$54</f>
        <v>0.110064475951429</v>
      </c>
      <c r="M66" s="248"/>
      <c r="P66" s="331">
        <f>P65/$D$54</f>
        <v>9.877894291009448E-2</v>
      </c>
      <c r="T66" s="331">
        <f>T65/$D$54</f>
        <v>7.268907166570851E-2</v>
      </c>
      <c r="U66"/>
      <c r="V66"/>
      <c r="W66"/>
      <c r="X66"/>
      <c r="Y66"/>
      <c r="Z66"/>
      <c r="AA66"/>
      <c r="AB66"/>
      <c r="AC66"/>
      <c r="AD66"/>
    </row>
    <row r="67" spans="1:30" x14ac:dyDescent="0.25">
      <c r="A67"/>
      <c r="B67"/>
      <c r="C67" s="97">
        <f>ROUND(D54*1.25/C54,2)</f>
        <v>3.93</v>
      </c>
      <c r="F67" s="97">
        <f>ROUND(H54*1.25/F54,2)</f>
        <v>4.03</v>
      </c>
      <c r="H67" s="216">
        <f>H65*1.25</f>
        <v>7.1733699290954078</v>
      </c>
      <c r="J67" s="97">
        <f>ROUND(L54*1.25/J54,2)</f>
        <v>3.81</v>
      </c>
      <c r="L67" s="216">
        <f>L65*1.25</f>
        <v>29.810085842810743</v>
      </c>
      <c r="N67" s="97">
        <f>ROUND(P54*1.25/N54,2)</f>
        <v>3.87</v>
      </c>
      <c r="P67" s="216">
        <f>P65*1.25</f>
        <v>26.753489190385658</v>
      </c>
      <c r="R67" s="97">
        <f>ROUND(T54*1.25/R54,2)</f>
        <v>3.98</v>
      </c>
      <c r="T67" s="216">
        <f>T65*1.25</f>
        <v>19.687255560506394</v>
      </c>
      <c r="U67"/>
      <c r="V67"/>
      <c r="W67"/>
      <c r="X67"/>
      <c r="Y67"/>
      <c r="Z67"/>
      <c r="AA67"/>
      <c r="AB67"/>
      <c r="AC67"/>
      <c r="AD67"/>
    </row>
    <row r="68" spans="1:30" x14ac:dyDescent="0.25">
      <c r="A68"/>
      <c r="B68"/>
      <c r="H68" s="280">
        <f>H67/($D$54*1.25)</f>
        <v>2.648543872751162E-2</v>
      </c>
      <c r="L68" s="331">
        <f>L67/($D$54*1.25)</f>
        <v>0.11006447595142901</v>
      </c>
      <c r="M68" s="248"/>
      <c r="P68" s="331">
        <f>P67/($D$54*1.25)</f>
        <v>9.877894291009448E-2</v>
      </c>
      <c r="T68" s="331">
        <f>T67/($D$54*1.25)</f>
        <v>7.2689071665708524E-2</v>
      </c>
      <c r="U68"/>
      <c r="V68"/>
      <c r="W68"/>
      <c r="X68"/>
      <c r="Y68"/>
      <c r="Z68"/>
      <c r="AA68"/>
      <c r="AB68"/>
      <c r="AC68"/>
      <c r="AD68"/>
    </row>
    <row r="69" spans="1:30" x14ac:dyDescent="0.25">
      <c r="A69"/>
      <c r="B69"/>
      <c r="C69" s="97">
        <f>ROUND(D54*0.8/C54,2)</f>
        <v>2.52</v>
      </c>
      <c r="F69" s="97">
        <f>ROUND(H54*0.8/F54,2)</f>
        <v>2.58</v>
      </c>
      <c r="H69" s="216">
        <f>H65*0.8</f>
        <v>4.590956754621061</v>
      </c>
      <c r="J69" s="97">
        <f>ROUND(L54*0.8/J54,2)</f>
        <v>2.44</v>
      </c>
      <c r="L69" s="216">
        <f>L65*0.8</f>
        <v>19.078454939398878</v>
      </c>
      <c r="N69" s="97">
        <f>ROUND(P54*0.8/N54,2)</f>
        <v>2.4700000000000002</v>
      </c>
      <c r="P69" s="216">
        <f>P65*0.8</f>
        <v>17.122233081846822</v>
      </c>
      <c r="R69" s="97">
        <f>ROUND(T54*0.8/R54,2)</f>
        <v>2.5499999999999998</v>
      </c>
      <c r="T69" s="216">
        <f>T65*0.8</f>
        <v>12.599843558724093</v>
      </c>
      <c r="U69"/>
      <c r="V69"/>
      <c r="W69"/>
      <c r="X69"/>
      <c r="Y69"/>
      <c r="Z69"/>
      <c r="AA69"/>
      <c r="AB69"/>
      <c r="AC69"/>
      <c r="AD69"/>
    </row>
    <row r="70" spans="1:30" x14ac:dyDescent="0.25">
      <c r="A70"/>
      <c r="B70"/>
      <c r="H70" s="280">
        <f>H69/($D$54*0.8)</f>
        <v>2.6485438727511617E-2</v>
      </c>
      <c r="L70" s="331">
        <f>L69/($D$54*0.8)</f>
        <v>0.110064475951429</v>
      </c>
      <c r="M70" s="248"/>
      <c r="P70" s="331">
        <f>P69/($D$54*0.8)</f>
        <v>9.877894291009448E-2</v>
      </c>
      <c r="T70" s="331">
        <f>T69/($D$54*0.8)</f>
        <v>7.268907166570851E-2</v>
      </c>
      <c r="U70"/>
      <c r="V70"/>
      <c r="W70"/>
      <c r="X70"/>
      <c r="Y70"/>
      <c r="Z70"/>
      <c r="AA70"/>
      <c r="AB70"/>
      <c r="AC70"/>
      <c r="AD70"/>
    </row>
    <row r="71" spans="1:30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U71"/>
      <c r="V71"/>
      <c r="W71"/>
      <c r="X71"/>
      <c r="Y71"/>
      <c r="Z71"/>
      <c r="AA71"/>
      <c r="AB71"/>
      <c r="AC71"/>
      <c r="AD71"/>
    </row>
    <row r="72" spans="1:30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U72"/>
      <c r="V72"/>
      <c r="W72"/>
      <c r="X72"/>
      <c r="Y72"/>
      <c r="Z72"/>
      <c r="AA72"/>
      <c r="AB72"/>
      <c r="AC72"/>
      <c r="AD72"/>
    </row>
    <row r="73" spans="1:30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U73"/>
      <c r="V73"/>
      <c r="W73"/>
      <c r="X73"/>
      <c r="Y73"/>
      <c r="Z73"/>
      <c r="AA73"/>
      <c r="AB73"/>
      <c r="AC73"/>
      <c r="AD73"/>
    </row>
    <row r="74" spans="1:30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U74"/>
      <c r="V74"/>
      <c r="W74"/>
      <c r="X74"/>
      <c r="Y74"/>
      <c r="Z74"/>
      <c r="AA74"/>
      <c r="AB74"/>
      <c r="AC74"/>
      <c r="AD74"/>
    </row>
    <row r="75" spans="1:30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U75"/>
      <c r="V75"/>
      <c r="W75"/>
      <c r="X75"/>
      <c r="Y75"/>
      <c r="Z75"/>
      <c r="AA75"/>
      <c r="AB75"/>
      <c r="AC75"/>
      <c r="AD75"/>
    </row>
    <row r="76" spans="1:30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U76"/>
      <c r="V76"/>
      <c r="W76"/>
      <c r="X76"/>
      <c r="Y76"/>
      <c r="Z76"/>
      <c r="AA76"/>
      <c r="AB76"/>
      <c r="AC76"/>
      <c r="AD76"/>
    </row>
    <row r="77" spans="1:30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U77"/>
      <c r="V77"/>
      <c r="W77"/>
      <c r="X77"/>
      <c r="Y77"/>
      <c r="Z77"/>
      <c r="AA77"/>
      <c r="AB77"/>
      <c r="AC77"/>
      <c r="AD77"/>
    </row>
    <row r="78" spans="1:30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U78"/>
      <c r="V78"/>
      <c r="W78"/>
      <c r="X78"/>
      <c r="Y78"/>
      <c r="Z78"/>
      <c r="AA78"/>
      <c r="AB78"/>
      <c r="AC78"/>
      <c r="AD78"/>
    </row>
    <row r="79" spans="1:30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U79"/>
      <c r="V79"/>
      <c r="W79"/>
      <c r="X79"/>
      <c r="Y79"/>
      <c r="Z79"/>
      <c r="AA79"/>
      <c r="AB79"/>
      <c r="AC79"/>
      <c r="AD79"/>
    </row>
    <row r="80" spans="1:30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U80"/>
      <c r="V80"/>
      <c r="W80"/>
      <c r="X80"/>
      <c r="Y80"/>
      <c r="Z80"/>
      <c r="AA80"/>
      <c r="AB80"/>
      <c r="AC80"/>
      <c r="AD80"/>
    </row>
    <row r="81" spans="1:30" ht="27.6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U81"/>
      <c r="V81"/>
      <c r="W81"/>
      <c r="X81"/>
      <c r="Y81"/>
      <c r="Z81"/>
      <c r="AA81"/>
      <c r="AB81"/>
      <c r="AC81"/>
      <c r="AD81"/>
    </row>
    <row r="82" spans="1:30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U82"/>
      <c r="V82"/>
      <c r="W82"/>
      <c r="X82"/>
      <c r="Y82"/>
      <c r="Z82"/>
      <c r="AA82"/>
      <c r="AB82"/>
      <c r="AC82"/>
      <c r="AD82"/>
    </row>
    <row r="83" spans="1:30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U83"/>
      <c r="V83"/>
      <c r="W83"/>
      <c r="X83"/>
      <c r="Y83"/>
      <c r="Z83"/>
      <c r="AA83"/>
      <c r="AB83"/>
      <c r="AC83"/>
      <c r="AD83"/>
    </row>
    <row r="84" spans="1:30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U84"/>
      <c r="V84"/>
      <c r="W84"/>
      <c r="X84"/>
      <c r="Y84"/>
      <c r="Z84"/>
      <c r="AA84"/>
      <c r="AB84"/>
      <c r="AC84"/>
      <c r="AD84"/>
    </row>
    <row r="85" spans="1:30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U85"/>
      <c r="V85"/>
      <c r="W85"/>
      <c r="X85"/>
      <c r="Y85"/>
      <c r="Z85"/>
      <c r="AA85"/>
      <c r="AB85"/>
      <c r="AC85"/>
      <c r="AD85"/>
    </row>
    <row r="86" spans="1:30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U86"/>
      <c r="V86"/>
      <c r="W86"/>
      <c r="X86"/>
      <c r="Y86"/>
      <c r="Z86"/>
      <c r="AA86"/>
      <c r="AB86"/>
      <c r="AC86"/>
      <c r="AD86"/>
    </row>
    <row r="87" spans="1:30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U87"/>
      <c r="V87"/>
      <c r="W87"/>
      <c r="X87"/>
      <c r="Y87"/>
      <c r="Z87"/>
      <c r="AA87"/>
      <c r="AB87"/>
      <c r="AC87"/>
      <c r="AD87"/>
    </row>
    <row r="88" spans="1:30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U88"/>
      <c r="V88"/>
      <c r="W88"/>
      <c r="X88"/>
      <c r="Y88"/>
      <c r="Z88"/>
      <c r="AA88"/>
      <c r="AB88"/>
      <c r="AC88"/>
      <c r="AD88"/>
    </row>
    <row r="89" spans="1:30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U89"/>
      <c r="V89"/>
      <c r="W89"/>
      <c r="X89"/>
      <c r="Y89"/>
      <c r="Z89"/>
      <c r="AA89"/>
      <c r="AB89"/>
      <c r="AC89"/>
      <c r="AD89"/>
    </row>
    <row r="90" spans="1:30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U90"/>
      <c r="V90"/>
      <c r="W90"/>
      <c r="X90"/>
      <c r="Y90"/>
      <c r="Z90"/>
      <c r="AA90"/>
      <c r="AB90"/>
      <c r="AC90"/>
      <c r="AD90"/>
    </row>
    <row r="91" spans="1:30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U91"/>
      <c r="V91"/>
      <c r="W91"/>
      <c r="X91"/>
      <c r="Y91"/>
      <c r="Z91"/>
      <c r="AA91"/>
      <c r="AB91"/>
      <c r="AC91"/>
      <c r="AD91"/>
    </row>
    <row r="92" spans="1:30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U92"/>
      <c r="V92"/>
      <c r="W92"/>
      <c r="X92"/>
      <c r="Y92"/>
      <c r="Z92"/>
      <c r="AA92"/>
      <c r="AB92"/>
      <c r="AC92"/>
      <c r="AD92"/>
    </row>
    <row r="93" spans="1:30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U93"/>
      <c r="V93"/>
      <c r="W93"/>
      <c r="X93"/>
      <c r="Y93"/>
      <c r="Z93"/>
      <c r="AA93"/>
      <c r="AB93"/>
      <c r="AC93"/>
      <c r="AD93"/>
    </row>
    <row r="94" spans="1:30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U94"/>
      <c r="V94"/>
      <c r="W94"/>
      <c r="X94"/>
      <c r="Y94"/>
      <c r="Z94"/>
      <c r="AA94"/>
      <c r="AB94"/>
      <c r="AC94"/>
      <c r="AD94"/>
    </row>
    <row r="95" spans="1:30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U95"/>
      <c r="V95"/>
      <c r="W95"/>
      <c r="X95"/>
      <c r="Y95"/>
      <c r="Z95"/>
      <c r="AA95"/>
      <c r="AB95"/>
      <c r="AC95"/>
      <c r="AD95"/>
    </row>
    <row r="96" spans="1:30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U96"/>
      <c r="V96"/>
      <c r="W96"/>
      <c r="X96"/>
      <c r="Y96"/>
      <c r="Z96"/>
      <c r="AA96"/>
      <c r="AB96"/>
      <c r="AC96"/>
      <c r="AD96"/>
    </row>
    <row r="97" spans="1:30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U97"/>
      <c r="V97"/>
      <c r="W97"/>
      <c r="X97"/>
      <c r="Y97"/>
      <c r="Z97"/>
      <c r="AA97"/>
      <c r="AB97"/>
      <c r="AC97"/>
      <c r="AD97"/>
    </row>
    <row r="98" spans="1:30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U98"/>
      <c r="V98"/>
      <c r="W98"/>
      <c r="X98"/>
      <c r="Y98"/>
      <c r="Z98"/>
      <c r="AA98"/>
      <c r="AB98"/>
      <c r="AC98"/>
      <c r="AD98"/>
    </row>
    <row r="99" spans="1:30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U99"/>
      <c r="V99"/>
      <c r="W99"/>
      <c r="X99"/>
      <c r="Y99"/>
      <c r="Z99"/>
      <c r="AA99"/>
      <c r="AB99"/>
      <c r="AC99"/>
      <c r="AD99"/>
    </row>
    <row r="100" spans="1:30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U100"/>
      <c r="V100"/>
      <c r="W100"/>
      <c r="X100"/>
      <c r="Y100"/>
      <c r="Z100"/>
      <c r="AA100"/>
      <c r="AB100"/>
      <c r="AC100"/>
      <c r="AD100"/>
    </row>
    <row r="101" spans="1:30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U101"/>
      <c r="V101"/>
      <c r="W101"/>
      <c r="X101"/>
      <c r="Y101"/>
      <c r="Z101"/>
      <c r="AA101"/>
      <c r="AB101"/>
      <c r="AC101"/>
      <c r="AD101"/>
    </row>
    <row r="102" spans="1:30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U102"/>
      <c r="V102"/>
      <c r="W102"/>
      <c r="X102"/>
      <c r="Y102"/>
      <c r="Z102"/>
      <c r="AA102"/>
      <c r="AB102"/>
      <c r="AC102"/>
      <c r="AD102"/>
    </row>
    <row r="103" spans="1:30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U103"/>
      <c r="V103"/>
      <c r="W103"/>
      <c r="X103"/>
      <c r="Y103"/>
      <c r="Z103"/>
      <c r="AA103"/>
      <c r="AB103"/>
      <c r="AC103"/>
      <c r="AD103"/>
    </row>
    <row r="104" spans="1:30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U104"/>
      <c r="V104"/>
      <c r="W104"/>
      <c r="X104"/>
      <c r="Y104"/>
      <c r="Z104"/>
      <c r="AA104"/>
      <c r="AB104"/>
      <c r="AC104"/>
      <c r="AD104"/>
    </row>
    <row r="105" spans="1:30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U105"/>
      <c r="V105"/>
      <c r="W105"/>
      <c r="X105"/>
      <c r="Y105"/>
      <c r="Z105"/>
      <c r="AA105"/>
      <c r="AB105"/>
      <c r="AC105"/>
      <c r="AD105"/>
    </row>
    <row r="106" spans="1:30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U106"/>
      <c r="V106"/>
      <c r="W106"/>
      <c r="X106"/>
      <c r="Y106"/>
      <c r="Z106"/>
      <c r="AA106"/>
      <c r="AB106"/>
      <c r="AC106"/>
      <c r="AD106"/>
    </row>
    <row r="107" spans="1:30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U107"/>
      <c r="V107"/>
      <c r="W107"/>
      <c r="X107"/>
      <c r="Y107"/>
      <c r="Z107"/>
      <c r="AA107"/>
      <c r="AB107"/>
      <c r="AC107"/>
      <c r="AD107"/>
    </row>
  </sheetData>
  <mergeCells count="11">
    <mergeCell ref="R5:T5"/>
    <mergeCell ref="F4:P4"/>
    <mergeCell ref="N5:P5"/>
    <mergeCell ref="J5:L5"/>
    <mergeCell ref="F5:H5"/>
    <mergeCell ref="R32:T32"/>
    <mergeCell ref="F31:T31"/>
    <mergeCell ref="C32:D32"/>
    <mergeCell ref="F32:H32"/>
    <mergeCell ref="N32:P32"/>
    <mergeCell ref="J32:L32"/>
  </mergeCells>
  <conditionalFormatting sqref="G34:G52">
    <cfRule type="cellIs" dxfId="35" priority="43" operator="lessThan">
      <formula>0</formula>
    </cfRule>
    <cfRule type="cellIs" dxfId="34" priority="44" operator="greaterThan">
      <formula>0</formula>
    </cfRule>
  </conditionalFormatting>
  <conditionalFormatting sqref="O34:O52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K34:K52">
    <cfRule type="cellIs" dxfId="31" priority="17" operator="lessThan">
      <formula>0</formula>
    </cfRule>
    <cfRule type="cellIs" dxfId="30" priority="18" operator="greaterThan">
      <formula>0</formula>
    </cfRule>
  </conditionalFormatting>
  <conditionalFormatting sqref="G53:G54">
    <cfRule type="cellIs" dxfId="29" priority="9" operator="lessThan">
      <formula>0</formula>
    </cfRule>
    <cfRule type="cellIs" dxfId="28" priority="10" operator="greaterThan">
      <formula>0</formula>
    </cfRule>
  </conditionalFormatting>
  <conditionalFormatting sqref="K53:K54">
    <cfRule type="cellIs" dxfId="27" priority="7" operator="lessThan">
      <formula>0</formula>
    </cfRule>
    <cfRule type="cellIs" dxfId="26" priority="8" operator="greaterThan">
      <formula>0</formula>
    </cfRule>
  </conditionalFormatting>
  <conditionalFormatting sqref="O53:O54">
    <cfRule type="cellIs" dxfId="25" priority="5" operator="lessThan">
      <formula>0</formula>
    </cfRule>
    <cfRule type="cellIs" dxfId="24" priority="6" operator="greaterThan">
      <formula>0</formula>
    </cfRule>
  </conditionalFormatting>
  <conditionalFormatting sqref="S34:S52">
    <cfRule type="cellIs" dxfId="23" priority="3" operator="lessThan">
      <formula>0</formula>
    </cfRule>
    <cfRule type="cellIs" dxfId="22" priority="4" operator="greaterThan">
      <formula>0</formula>
    </cfRule>
  </conditionalFormatting>
  <conditionalFormatting sqref="S53:S54">
    <cfRule type="cellIs" dxfId="21" priority="1" operator="lessThan">
      <formula>0</formula>
    </cfRule>
    <cfRule type="cellIs" dxfId="2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6A8B7-FCF8-4CE4-9985-75787C202868}">
  <sheetPr>
    <pageSetUpPr autoPageBreaks="0"/>
  </sheetPr>
  <dimension ref="A1:AB81"/>
  <sheetViews>
    <sheetView showGridLines="0" tabSelected="1" topLeftCell="A39" zoomScale="75" zoomScaleNormal="75" workbookViewId="0">
      <selection activeCell="S26" sqref="S26:S28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customWidth="1"/>
    <col min="19" max="19" width="13.28515625" style="97" customWidth="1"/>
    <col min="20" max="20" width="13.8554687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1" spans="1:28" x14ac:dyDescent="0.25">
      <c r="A1" s="97" t="s">
        <v>393</v>
      </c>
    </row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59" t="s">
        <v>350</v>
      </c>
      <c r="G4" s="559"/>
      <c r="H4" s="559"/>
      <c r="I4" s="559"/>
      <c r="J4" s="559"/>
      <c r="K4" s="559"/>
      <c r="L4" s="559"/>
      <c r="M4" s="559"/>
      <c r="N4" s="559"/>
      <c r="O4" s="559"/>
      <c r="P4" s="559"/>
      <c r="Q4" s="549"/>
      <c r="R4" s="549"/>
      <c r="S4" s="549"/>
      <c r="T4" s="549"/>
    </row>
    <row r="5" spans="1:28" ht="39.75" customHeight="1" x14ac:dyDescent="0.25">
      <c r="F5" s="555" t="s">
        <v>310</v>
      </c>
      <c r="G5" s="556"/>
      <c r="H5" s="557"/>
      <c r="I5" s="181"/>
      <c r="J5" s="586" t="s">
        <v>395</v>
      </c>
      <c r="K5" s="587"/>
      <c r="L5" s="588"/>
      <c r="N5" s="586" t="s">
        <v>394</v>
      </c>
      <c r="O5" s="587"/>
      <c r="P5" s="588"/>
      <c r="Q5" s="506"/>
      <c r="R5" s="586" t="s">
        <v>351</v>
      </c>
      <c r="S5" s="587"/>
      <c r="T5" s="588"/>
      <c r="V5" s="97" t="s">
        <v>249</v>
      </c>
    </row>
    <row r="6" spans="1:28" ht="30.75" customHeight="1" x14ac:dyDescent="0.25">
      <c r="B6" s="386" t="s">
        <v>212</v>
      </c>
      <c r="C6" s="388" t="s">
        <v>213</v>
      </c>
      <c r="D6" s="387" t="s">
        <v>214</v>
      </c>
      <c r="E6" s="389"/>
      <c r="F6" s="390" t="s">
        <v>222</v>
      </c>
      <c r="G6" s="389" t="s">
        <v>215</v>
      </c>
      <c r="H6" s="387" t="s">
        <v>216</v>
      </c>
      <c r="I6" s="389"/>
      <c r="J6" s="390" t="s">
        <v>222</v>
      </c>
      <c r="K6" s="389" t="s">
        <v>215</v>
      </c>
      <c r="L6" s="387" t="s">
        <v>216</v>
      </c>
      <c r="M6" s="391"/>
      <c r="N6" s="390" t="s">
        <v>222</v>
      </c>
      <c r="O6" s="389" t="s">
        <v>215</v>
      </c>
      <c r="P6" s="387" t="s">
        <v>216</v>
      </c>
      <c r="Q6" s="507"/>
      <c r="R6" s="390" t="s">
        <v>222</v>
      </c>
      <c r="S6" s="389" t="s">
        <v>215</v>
      </c>
      <c r="T6" s="387" t="s">
        <v>216</v>
      </c>
      <c r="V6" s="183" t="s">
        <v>222</v>
      </c>
      <c r="W6" s="183" t="s">
        <v>215</v>
      </c>
      <c r="X6" s="183" t="s">
        <v>216</v>
      </c>
      <c r="Z6" s="500" t="s">
        <v>343</v>
      </c>
      <c r="AA6" s="499" t="s">
        <v>344</v>
      </c>
      <c r="AB6" s="499" t="s">
        <v>345</v>
      </c>
    </row>
    <row r="7" spans="1:28" x14ac:dyDescent="0.25">
      <c r="A7" s="379" t="str">
        <f>VAC_Optim_Scenario!A49</f>
        <v>Gardasil Adolescents</v>
      </c>
      <c r="B7" s="379" t="str">
        <f>VAC_Optim_Scenario!B19</f>
        <v>HCC In Office</v>
      </c>
      <c r="C7" s="383">
        <f>VAC_Optim_Scenario!E19</f>
        <v>1000000</v>
      </c>
      <c r="D7" s="375">
        <f>VAC_Optim_Scenario!G49</f>
        <v>3608306.5090601984</v>
      </c>
      <c r="E7" s="368"/>
      <c r="F7" s="382">
        <v>1000000</v>
      </c>
      <c r="G7" s="369">
        <v>0</v>
      </c>
      <c r="H7" s="371">
        <v>5040789.0644048415</v>
      </c>
      <c r="I7" s="368"/>
      <c r="J7" s="383">
        <v>1312066.2114589978</v>
      </c>
      <c r="K7" s="373">
        <v>0.31206621145899782</v>
      </c>
      <c r="L7" s="375">
        <v>4465700.4117103117</v>
      </c>
      <c r="M7" s="370"/>
      <c r="N7" s="383">
        <v>1312060.6814247447</v>
      </c>
      <c r="O7" s="373">
        <v>0.31206068142474463</v>
      </c>
      <c r="P7" s="375">
        <v>4465686.1616250286</v>
      </c>
      <c r="Q7" s="372"/>
      <c r="R7" s="383">
        <v>1280553.8166407023</v>
      </c>
      <c r="S7" s="373">
        <v>0.28055381664070234</v>
      </c>
      <c r="T7" s="375">
        <v>4383975.1022611018</v>
      </c>
      <c r="U7" s="180"/>
      <c r="V7" s="185">
        <f>VAC_Optim_Scenario!$H49</f>
        <v>1280553.8166407023</v>
      </c>
      <c r="W7" s="177">
        <f>(V7-$C7)/$C7</f>
        <v>0.28055381664070234</v>
      </c>
      <c r="X7" s="185">
        <f>VAC_Optim_Scenario!$J49</f>
        <v>4383975.1022611018</v>
      </c>
      <c r="Y7" s="185">
        <f>J7-V7</f>
        <v>31512.394818295492</v>
      </c>
      <c r="Z7" s="493">
        <f>$F7-'[1]Scenario deep dive'!$F7</f>
        <v>0</v>
      </c>
      <c r="AA7" s="496">
        <f>$J7-'[1]Scenario deep dive'!$J7</f>
        <v>139151.88554909523</v>
      </c>
      <c r="AB7" s="496">
        <f>$N7-'[1]Scenario deep dive'!$N7</f>
        <v>-342528.03090405185</v>
      </c>
    </row>
    <row r="8" spans="1:28" x14ac:dyDescent="0.25">
      <c r="A8" s="380" t="str">
        <f>VAC_Optim_Scenario!A50</f>
        <v>Gardasil Adolescents</v>
      </c>
      <c r="B8" s="380" t="str">
        <f>VAC_Optim_Scenario!B20</f>
        <v>HCP MCM</v>
      </c>
      <c r="C8" s="383">
        <f>VAC_Optim_Scenario!E20</f>
        <v>7775778</v>
      </c>
      <c r="D8" s="375">
        <f>VAC_Optim_Scenario!G50</f>
        <v>77322569.320852205</v>
      </c>
      <c r="E8" s="372"/>
      <c r="F8" s="383">
        <v>7998999.8847845653</v>
      </c>
      <c r="G8" s="373">
        <v>2.8707337681781207E-2</v>
      </c>
      <c r="H8" s="375">
        <v>81778277.188084155</v>
      </c>
      <c r="I8" s="372"/>
      <c r="J8" s="383">
        <v>11179757.92883369</v>
      </c>
      <c r="K8" s="373">
        <v>0.4377671184585889</v>
      </c>
      <c r="L8" s="375">
        <v>92434455.601042956</v>
      </c>
      <c r="M8" s="374"/>
      <c r="N8" s="383">
        <v>11179859.254118364</v>
      </c>
      <c r="O8" s="373">
        <v>0.43778014934561715</v>
      </c>
      <c r="P8" s="375">
        <v>92434806.045008063</v>
      </c>
      <c r="Q8" s="372"/>
      <c r="R8" s="383">
        <v>11092068.118553624</v>
      </c>
      <c r="S8" s="373">
        <v>0.42648981472382874</v>
      </c>
      <c r="T8" s="375">
        <v>92129276.914606035</v>
      </c>
      <c r="U8" s="180"/>
      <c r="V8" s="185">
        <f>VAC_Optim_Scenario!$H50</f>
        <v>11092068.118553624</v>
      </c>
      <c r="W8" s="177">
        <f t="shared" ref="W8:W22" si="0">(V8-$C8)/$C8</f>
        <v>0.42648981472382874</v>
      </c>
      <c r="X8" s="185">
        <f>VAC_Optim_Scenario!$J50</f>
        <v>92129276.914606035</v>
      </c>
      <c r="Y8" s="185">
        <f t="shared" ref="Y8:Y25" si="1">J8-V8</f>
        <v>87689.810280065984</v>
      </c>
      <c r="Z8" s="494">
        <f>$F8-'[1]Scenario deep dive'!$F8</f>
        <v>-4662.7890975764021</v>
      </c>
      <c r="AA8" s="497">
        <f>$J8-'[1]Scenario deep dive'!$J8</f>
        <v>398678.1284311451</v>
      </c>
      <c r="AB8" s="497">
        <f>$N8-'[1]Scenario deep dive'!$N8</f>
        <v>-820140.7458816357</v>
      </c>
    </row>
    <row r="9" spans="1:28" x14ac:dyDescent="0.25">
      <c r="A9" s="380" t="str">
        <f>VAC_Optim_Scenario!A51</f>
        <v>Gardasil Adolescents</v>
      </c>
      <c r="B9" s="380" t="str">
        <f>VAC_Optim_Scenario!B21</f>
        <v>HCC Social</v>
      </c>
      <c r="C9" s="383">
        <f>VAC_Optim_Scenario!E21</f>
        <v>1840000</v>
      </c>
      <c r="D9" s="375">
        <f>VAC_Optim_Scenario!G51</f>
        <v>15925915.704314221</v>
      </c>
      <c r="E9" s="372"/>
      <c r="F9" s="383">
        <v>1599500</v>
      </c>
      <c r="G9" s="373">
        <v>-0.13070652173913044</v>
      </c>
      <c r="H9" s="375">
        <v>14642130.239828272</v>
      </c>
      <c r="I9" s="372"/>
      <c r="J9" s="383">
        <v>4593290.9936571522</v>
      </c>
      <c r="K9" s="373">
        <v>1.4963538009006261</v>
      </c>
      <c r="L9" s="375">
        <v>27573258.646637142</v>
      </c>
      <c r="M9" s="374"/>
      <c r="N9" s="383">
        <v>4593213.5386903435</v>
      </c>
      <c r="O9" s="373">
        <v>1.4963117058099693</v>
      </c>
      <c r="P9" s="375">
        <v>27572979.671100132</v>
      </c>
      <c r="Q9" s="372"/>
      <c r="R9" s="383">
        <v>4455047.5305201802</v>
      </c>
      <c r="S9" s="373">
        <v>1.4212214839783588</v>
      </c>
      <c r="T9" s="375">
        <v>27072298.129360568</v>
      </c>
      <c r="U9" s="180"/>
      <c r="V9" s="185">
        <f>VAC_Optim_Scenario!$H51</f>
        <v>4455047.5305201802</v>
      </c>
      <c r="W9" s="177">
        <f t="shared" si="0"/>
        <v>1.4212214839783588</v>
      </c>
      <c r="X9" s="185">
        <f>VAC_Optim_Scenario!$J51</f>
        <v>27072298.129360568</v>
      </c>
      <c r="Y9" s="185">
        <f t="shared" si="1"/>
        <v>138243.46313697193</v>
      </c>
      <c r="Z9" s="494">
        <f>$F9-'[1]Scenario deep dive'!$F9</f>
        <v>0</v>
      </c>
      <c r="AA9" s="497">
        <f>$J9-'[1]Scenario deep dive'!$J9</f>
        <v>605372.89643062791</v>
      </c>
      <c r="AB9" s="497">
        <f>$N9-'[1]Scenario deep dive'!$N9</f>
        <v>-1906786.4613096565</v>
      </c>
    </row>
    <row r="10" spans="1:28" x14ac:dyDescent="0.25">
      <c r="A10" s="380" t="str">
        <f>VAC_Optim_Scenario!A52</f>
        <v>Gardasil Adolescents</v>
      </c>
      <c r="B10" s="380" t="str">
        <f>VAC_Optim_Scenario!B22</f>
        <v>HCC Online Video</v>
      </c>
      <c r="C10" s="383">
        <f>VAC_Optim_Scenario!E22</f>
        <v>1220000</v>
      </c>
      <c r="D10" s="375">
        <f>VAC_Optim_Scenario!G52</f>
        <v>3394246.7935979273</v>
      </c>
      <c r="E10" s="372"/>
      <c r="F10" s="383">
        <v>1000000</v>
      </c>
      <c r="G10" s="373">
        <v>-0.18032786885245902</v>
      </c>
      <c r="H10" s="375">
        <v>3357832.8692201264</v>
      </c>
      <c r="I10" s="372"/>
      <c r="J10" s="383">
        <v>1000000</v>
      </c>
      <c r="K10" s="373">
        <v>-0.18032786885245902</v>
      </c>
      <c r="L10" s="375">
        <v>3357832.8692201264</v>
      </c>
      <c r="M10" s="374"/>
      <c r="N10" s="383">
        <v>1000000</v>
      </c>
      <c r="O10" s="373">
        <v>-0.18032786885245902</v>
      </c>
      <c r="P10" s="375">
        <v>3357832.8692201264</v>
      </c>
      <c r="Q10" s="372"/>
      <c r="R10" s="383">
        <v>1000000</v>
      </c>
      <c r="S10" s="373">
        <v>-0.18032786885245902</v>
      </c>
      <c r="T10" s="375">
        <v>3357832.8692201264</v>
      </c>
      <c r="U10" s="180"/>
      <c r="V10" s="185">
        <f>VAC_Optim_Scenario!$H52</f>
        <v>1000000</v>
      </c>
      <c r="W10" s="177">
        <f t="shared" si="0"/>
        <v>-0.18032786885245902</v>
      </c>
      <c r="X10" s="185">
        <f>VAC_Optim_Scenario!$J52</f>
        <v>3357832.8692201264</v>
      </c>
      <c r="Y10" s="185">
        <f t="shared" si="1"/>
        <v>0</v>
      </c>
      <c r="Z10" s="494">
        <f>$F10-'[1]Scenario deep dive'!$F10</f>
        <v>0</v>
      </c>
      <c r="AA10" s="497">
        <f>$J10-'[1]Scenario deep dive'!$J10</f>
        <v>0</v>
      </c>
      <c r="AB10" s="497">
        <f>$N10-'[1]Scenario deep dive'!$N10</f>
        <v>0</v>
      </c>
    </row>
    <row r="11" spans="1:28" x14ac:dyDescent="0.25">
      <c r="A11" s="380" t="str">
        <f>VAC_Optim_Scenario!A53</f>
        <v>Gardasil Adolescents</v>
      </c>
      <c r="B11" s="380" t="str">
        <f>VAC_Optim_Scenario!B23</f>
        <v>HCC Streaming Video</v>
      </c>
      <c r="C11" s="383">
        <f>VAC_Optim_Scenario!E23</f>
        <v>4817798</v>
      </c>
      <c r="D11" s="375">
        <f>VAC_Optim_Scenario!G53</f>
        <v>27455486.015820313</v>
      </c>
      <c r="E11" s="372"/>
      <c r="F11" s="383">
        <v>4817798</v>
      </c>
      <c r="G11" s="373">
        <v>0</v>
      </c>
      <c r="H11" s="375">
        <v>27455486.015820313</v>
      </c>
      <c r="I11" s="372"/>
      <c r="J11" s="383">
        <v>6772175.1052560359</v>
      </c>
      <c r="K11" s="373">
        <v>0.40565775178951791</v>
      </c>
      <c r="L11" s="375">
        <v>34845351.543835871</v>
      </c>
      <c r="M11" s="374"/>
      <c r="N11" s="383">
        <v>6772004.1322160074</v>
      </c>
      <c r="O11" s="373">
        <v>0.40562226399197465</v>
      </c>
      <c r="P11" s="375">
        <v>34844735.737731151</v>
      </c>
      <c r="Q11" s="372"/>
      <c r="R11" s="383">
        <v>6494076.6811486697</v>
      </c>
      <c r="S11" s="373">
        <v>0.3479346126900027</v>
      </c>
      <c r="T11" s="375">
        <v>33837425.591033712</v>
      </c>
      <c r="U11" s="180"/>
      <c r="V11" s="185">
        <f>VAC_Optim_Scenario!$H53</f>
        <v>6494076.6811486697</v>
      </c>
      <c r="W11" s="177">
        <f t="shared" si="0"/>
        <v>0.3479346126900027</v>
      </c>
      <c r="X11" s="185">
        <f>VAC_Optim_Scenario!$J53</f>
        <v>33837425.591033712</v>
      </c>
      <c r="Y11" s="185">
        <f t="shared" si="1"/>
        <v>278098.42410736624</v>
      </c>
      <c r="Z11" s="494">
        <f>$F11-'[1]Scenario deep dive'!$F11</f>
        <v>0</v>
      </c>
      <c r="AA11" s="497">
        <f>$J11-'[1]Scenario deep dive'!$J11</f>
        <v>1163133.6542743538</v>
      </c>
      <c r="AB11" s="497">
        <f>$N11-'[1]Scenario deep dive'!$N11</f>
        <v>-4000352.7593168607</v>
      </c>
    </row>
    <row r="12" spans="1:28" x14ac:dyDescent="0.25">
      <c r="A12" s="380" t="str">
        <f>VAC_Optim_Scenario!A54</f>
        <v>Gardasil Adolescents</v>
      </c>
      <c r="B12" s="380" t="str">
        <f>VAC_Optim_Scenario!B24</f>
        <v>HCC Display</v>
      </c>
      <c r="C12" s="383">
        <f>VAC_Optim_Scenario!E24</f>
        <v>3540000</v>
      </c>
      <c r="D12" s="375">
        <f>VAC_Optim_Scenario!G54</f>
        <v>39290778.509746693</v>
      </c>
      <c r="E12" s="372"/>
      <c r="F12" s="383">
        <v>3815866.8367254268</v>
      </c>
      <c r="G12" s="373">
        <v>7.792848495068555E-2</v>
      </c>
      <c r="H12" s="375">
        <v>40911736.873087771</v>
      </c>
      <c r="I12" s="372"/>
      <c r="J12" s="383">
        <v>5242709.7667338559</v>
      </c>
      <c r="K12" s="373">
        <v>0.48099145952933786</v>
      </c>
      <c r="L12" s="375">
        <v>47390542.89394173</v>
      </c>
      <c r="M12" s="374"/>
      <c r="N12" s="383">
        <v>5242862.3994902764</v>
      </c>
      <c r="O12" s="373">
        <v>0.48103457612719669</v>
      </c>
      <c r="P12" s="375">
        <v>47391092.669238076</v>
      </c>
      <c r="Q12" s="372"/>
      <c r="R12" s="383">
        <v>5202542.954141208</v>
      </c>
      <c r="S12" s="373">
        <v>0.46964490229977629</v>
      </c>
      <c r="T12" s="375">
        <v>47244945.61050126</v>
      </c>
      <c r="U12" s="180"/>
      <c r="V12" s="185">
        <f>VAC_Optim_Scenario!$H54</f>
        <v>5202542.954141208</v>
      </c>
      <c r="W12" s="177">
        <f t="shared" si="0"/>
        <v>0.46964490229977629</v>
      </c>
      <c r="X12" s="185">
        <f>VAC_Optim_Scenario!$J54</f>
        <v>47244945.61050126</v>
      </c>
      <c r="Y12" s="185">
        <f t="shared" si="1"/>
        <v>40166.81259264797</v>
      </c>
      <c r="Z12" s="494">
        <f>$F12-'[1]Scenario deep dive'!$F12</f>
        <v>4027.4115999196656</v>
      </c>
      <c r="AA12" s="497">
        <f>$J12-'[1]Scenario deep dive'!$J12</f>
        <v>180087.3804657422</v>
      </c>
      <c r="AB12" s="497">
        <f>$N12-'[1]Scenario deep dive'!$N12</f>
        <v>-443768.03694957681</v>
      </c>
    </row>
    <row r="13" spans="1:28" x14ac:dyDescent="0.25">
      <c r="A13" s="380" t="str">
        <f>VAC_Optim_Scenario!A55</f>
        <v>Gardasil Adolescents</v>
      </c>
      <c r="B13" s="380" t="str">
        <f>VAC_Optim_Scenario!B25</f>
        <v>HCC Paid Search</v>
      </c>
      <c r="C13" s="383">
        <f>VAC_Optim_Scenario!E25</f>
        <v>400000</v>
      </c>
      <c r="D13" s="375">
        <f>VAC_Optim_Scenario!G55</f>
        <v>32769965.884320233</v>
      </c>
      <c r="E13" s="372"/>
      <c r="F13" s="383">
        <v>400000</v>
      </c>
      <c r="G13" s="373">
        <v>0</v>
      </c>
      <c r="H13" s="375">
        <v>32769965.884320233</v>
      </c>
      <c r="I13" s="372"/>
      <c r="J13" s="383">
        <v>400000</v>
      </c>
      <c r="K13" s="373">
        <v>0</v>
      </c>
      <c r="L13" s="375">
        <v>32769965.884320233</v>
      </c>
      <c r="M13" s="374"/>
      <c r="N13" s="383">
        <v>400000</v>
      </c>
      <c r="O13" s="373">
        <v>0</v>
      </c>
      <c r="P13" s="375">
        <v>32769965.884320233</v>
      </c>
      <c r="Q13" s="372"/>
      <c r="R13" s="383">
        <v>400000</v>
      </c>
      <c r="S13" s="373">
        <v>0</v>
      </c>
      <c r="T13" s="375">
        <v>32769965.884320233</v>
      </c>
      <c r="U13" s="180"/>
      <c r="V13" s="185">
        <f>VAC_Optim_Scenario!$H55</f>
        <v>400000</v>
      </c>
      <c r="W13" s="177">
        <f t="shared" si="0"/>
        <v>0</v>
      </c>
      <c r="X13" s="185">
        <f>VAC_Optim_Scenario!$J55</f>
        <v>32769965.884320233</v>
      </c>
      <c r="Y13" s="185">
        <f t="shared" si="1"/>
        <v>0</v>
      </c>
      <c r="Z13" s="494">
        <f>$F13-'[1]Scenario deep dive'!$F13</f>
        <v>0</v>
      </c>
      <c r="AA13" s="497">
        <f>$J13-'[1]Scenario deep dive'!$J13</f>
        <v>0</v>
      </c>
      <c r="AB13" s="497">
        <f>$N13-'[1]Scenario deep dive'!$N13</f>
        <v>0</v>
      </c>
    </row>
    <row r="14" spans="1:28" x14ac:dyDescent="0.25">
      <c r="A14" s="380" t="str">
        <f>VAC_Optim_Scenario!A56</f>
        <v>Gardasil Adolescents</v>
      </c>
      <c r="B14" s="380" t="str">
        <f>VAC_Optim_Scenario!B26</f>
        <v>HCC Audio</v>
      </c>
      <c r="C14" s="383">
        <f>VAC_Optim_Scenario!E26</f>
        <v>2220000</v>
      </c>
      <c r="D14" s="375">
        <f>VAC_Optim_Scenario!G56</f>
        <v>20698391.738152172</v>
      </c>
      <c r="E14" s="372"/>
      <c r="F14" s="383">
        <v>2181411.278490013</v>
      </c>
      <c r="G14" s="373">
        <v>-1.738230698648064E-2</v>
      </c>
      <c r="H14" s="375">
        <v>20481763.637834262</v>
      </c>
      <c r="I14" s="372"/>
      <c r="J14" s="383">
        <v>4800000</v>
      </c>
      <c r="K14" s="373">
        <v>1.1621621621621621</v>
      </c>
      <c r="L14" s="375">
        <v>32875287.531392161</v>
      </c>
      <c r="M14" s="374"/>
      <c r="N14" s="383">
        <v>4800000</v>
      </c>
      <c r="O14" s="373">
        <v>1.1621621621621621</v>
      </c>
      <c r="P14" s="375">
        <v>32875287.531392161</v>
      </c>
      <c r="Q14" s="372"/>
      <c r="R14" s="383">
        <v>4800000</v>
      </c>
      <c r="S14" s="373">
        <v>1.1621621621621621</v>
      </c>
      <c r="T14" s="375">
        <v>32875287.531392161</v>
      </c>
      <c r="U14" s="180"/>
      <c r="V14" s="185">
        <f>VAC_Optim_Scenario!$H56</f>
        <v>4800000</v>
      </c>
      <c r="W14" s="177">
        <f t="shared" si="0"/>
        <v>1.1621621621621621</v>
      </c>
      <c r="X14" s="185">
        <f>VAC_Optim_Scenario!$J56</f>
        <v>32875287.531392161</v>
      </c>
      <c r="Y14" s="185">
        <f t="shared" si="1"/>
        <v>0</v>
      </c>
      <c r="Z14" s="494">
        <f>$F14-'[1]Scenario deep dive'!$F14</f>
        <v>635.37749766232446</v>
      </c>
      <c r="AA14" s="497">
        <f>$J14-'[1]Scenario deep dive'!$J14</f>
        <v>0</v>
      </c>
      <c r="AB14" s="497">
        <f>$N14-'[1]Scenario deep dive'!$N14</f>
        <v>0</v>
      </c>
    </row>
    <row r="15" spans="1:28" x14ac:dyDescent="0.25">
      <c r="A15" s="437" t="str">
        <f>VAC_Optim_Scenario!A57</f>
        <v>Gardasil Adolescents</v>
      </c>
      <c r="B15" s="437" t="str">
        <f>VAC_Optim_Scenario!B27</f>
        <v>HCC TV</v>
      </c>
      <c r="C15" s="383">
        <f>VAC_Optim_Scenario!E27</f>
        <v>15700000</v>
      </c>
      <c r="D15" s="375">
        <f>VAC_Optim_Scenario!G57</f>
        <v>63695224.07626316</v>
      </c>
      <c r="E15" s="376"/>
      <c r="F15" s="384">
        <v>16888801</v>
      </c>
      <c r="G15" s="377">
        <v>0</v>
      </c>
      <c r="H15" s="378">
        <v>67034177.652868718</v>
      </c>
      <c r="I15" s="372"/>
      <c r="J15" s="383">
        <v>15700000</v>
      </c>
      <c r="K15" s="373">
        <v>0</v>
      </c>
      <c r="L15" s="375">
        <v>63695224.07626316</v>
      </c>
      <c r="M15" s="374"/>
      <c r="N15" s="383">
        <v>15700000</v>
      </c>
      <c r="O15" s="373">
        <v>0</v>
      </c>
      <c r="P15" s="375">
        <v>63695224.07626316</v>
      </c>
      <c r="Q15" s="372"/>
      <c r="R15" s="383">
        <v>16888801</v>
      </c>
      <c r="S15" s="373">
        <v>7.5719808917197456E-2</v>
      </c>
      <c r="T15" s="375">
        <v>67034177.652868718</v>
      </c>
      <c r="U15" s="180"/>
      <c r="V15" s="185">
        <f>VAC_Optim_Scenario!$H57</f>
        <v>16888801</v>
      </c>
      <c r="W15" s="177">
        <f t="shared" si="0"/>
        <v>7.5719808917197456E-2</v>
      </c>
      <c r="X15" s="185">
        <f>VAC_Optim_Scenario!$J57</f>
        <v>67034177.652868718</v>
      </c>
      <c r="Y15" s="185">
        <f t="shared" si="1"/>
        <v>-1188801</v>
      </c>
      <c r="Z15" s="495">
        <f>$F15-'[1]Scenario deep dive'!$F15</f>
        <v>0</v>
      </c>
      <c r="AA15" s="497">
        <f>$J15-'[1]Scenario deep dive'!$J15</f>
        <v>-1188801</v>
      </c>
      <c r="AB15" s="497">
        <f>$N15-'[1]Scenario deep dive'!$N15</f>
        <v>-1188801</v>
      </c>
    </row>
    <row r="16" spans="1:28" x14ac:dyDescent="0.25">
      <c r="A16" s="379" t="str">
        <f>VAC_Optim_Scenario!A59</f>
        <v>Gardasil Adults</v>
      </c>
      <c r="B16" s="379" t="str">
        <f>VAC_Optim_Scenario!B29</f>
        <v>HCC InOffice</v>
      </c>
      <c r="C16" s="382">
        <f>VAC_Optim_Scenario!E29</f>
        <v>1000000</v>
      </c>
      <c r="D16" s="371">
        <f>VAC_Optim_Scenario!G59</f>
        <v>1523370.618038136</v>
      </c>
      <c r="E16" s="368"/>
      <c r="F16" s="382">
        <v>900000</v>
      </c>
      <c r="G16" s="369">
        <v>-0.1</v>
      </c>
      <c r="H16" s="371">
        <v>1410431.7445188572</v>
      </c>
      <c r="I16" s="372"/>
      <c r="J16" s="382">
        <v>900000</v>
      </c>
      <c r="K16" s="369">
        <v>-0.1</v>
      </c>
      <c r="L16" s="371">
        <v>1410431.7445188572</v>
      </c>
      <c r="M16" s="374"/>
      <c r="N16" s="382">
        <v>900000</v>
      </c>
      <c r="O16" s="369">
        <v>-0.1</v>
      </c>
      <c r="P16" s="371">
        <v>1410431.7445188572</v>
      </c>
      <c r="Q16" s="372"/>
      <c r="R16" s="382">
        <v>900000</v>
      </c>
      <c r="S16" s="369">
        <v>-0.1</v>
      </c>
      <c r="T16" s="371">
        <v>1410431.7445188572</v>
      </c>
      <c r="U16" s="180"/>
      <c r="V16" s="185">
        <f>VAC_Optim_Scenario!$H59</f>
        <v>900000</v>
      </c>
      <c r="W16" s="177">
        <f t="shared" si="0"/>
        <v>-0.1</v>
      </c>
      <c r="X16" s="185">
        <f>VAC_Optim_Scenario!$J59</f>
        <v>1410431.7445188572</v>
      </c>
      <c r="Y16" s="185">
        <f t="shared" si="1"/>
        <v>0</v>
      </c>
      <c r="Z16" s="493">
        <f>$F16-'[2]Scenario deep dive'!$F7</f>
        <v>0</v>
      </c>
      <c r="AA16" s="496">
        <f>$J16-'[2]Scenario deep dive'!$J7</f>
        <v>0</v>
      </c>
      <c r="AB16" s="496">
        <f>$N16-'[2]Scenario deep dive'!$N7</f>
        <v>-126598.07612722274</v>
      </c>
    </row>
    <row r="17" spans="1:28" x14ac:dyDescent="0.25">
      <c r="A17" s="380" t="str">
        <f>VAC_Optim_Scenario!A60</f>
        <v>Gardasil Adults</v>
      </c>
      <c r="B17" s="380" t="str">
        <f>VAC_Optim_Scenario!B30</f>
        <v>HCP MCM</v>
      </c>
      <c r="C17" s="383">
        <f>VAC_Optim_Scenario!E30</f>
        <v>16948000</v>
      </c>
      <c r="D17" s="375">
        <f>VAC_Optim_Scenario!G60</f>
        <v>92408087.499027938</v>
      </c>
      <c r="E17" s="372"/>
      <c r="F17" s="383">
        <v>20333699.638065696</v>
      </c>
      <c r="G17" s="373">
        <v>0.19976986299655983</v>
      </c>
      <c r="H17" s="375">
        <v>103711863.92886993</v>
      </c>
      <c r="I17" s="372"/>
      <c r="J17" s="383">
        <v>22050000</v>
      </c>
      <c r="K17" s="373">
        <v>0.30103847061600186</v>
      </c>
      <c r="L17" s="375">
        <v>108765644.00671606</v>
      </c>
      <c r="M17" s="374"/>
      <c r="N17" s="383">
        <v>22050000</v>
      </c>
      <c r="O17" s="373">
        <v>0.30103847061600186</v>
      </c>
      <c r="P17" s="375">
        <v>108765644.00671606</v>
      </c>
      <c r="Q17" s="372"/>
      <c r="R17" s="383">
        <v>21000000.203315023</v>
      </c>
      <c r="S17" s="373">
        <v>0.23908426972592775</v>
      </c>
      <c r="T17" s="375">
        <v>105724787.32592277</v>
      </c>
      <c r="U17" s="180"/>
      <c r="V17" s="185">
        <f>VAC_Optim_Scenario!$H60</f>
        <v>21000000.203315023</v>
      </c>
      <c r="W17" s="177">
        <f t="shared" si="0"/>
        <v>0.23908426972592775</v>
      </c>
      <c r="X17" s="185">
        <f>VAC_Optim_Scenario!$J60</f>
        <v>105724787.32592277</v>
      </c>
      <c r="Y17" s="185">
        <f t="shared" si="1"/>
        <v>1049999.7966849767</v>
      </c>
      <c r="Z17" s="494">
        <f>$F17-'[2]Scenario deep dive'!$F8</f>
        <v>972.85154687613249</v>
      </c>
      <c r="AA17" s="497">
        <f>$J17-'[2]Scenario deep dive'!$J8</f>
        <v>1050000</v>
      </c>
      <c r="AB17" s="497">
        <f>$N17-'[2]Scenario deep dive'!$N8</f>
        <v>1050000</v>
      </c>
    </row>
    <row r="18" spans="1:28" x14ac:dyDescent="0.25">
      <c r="A18" s="380" t="str">
        <f>VAC_Optim_Scenario!A61</f>
        <v>Gardasil Adults</v>
      </c>
      <c r="B18" s="380" t="str">
        <f>VAC_Optim_Scenario!B31</f>
        <v>HCC Social</v>
      </c>
      <c r="C18" s="383">
        <f>VAC_Optim_Scenario!E31</f>
        <v>2200000</v>
      </c>
      <c r="D18" s="375">
        <f>VAC_Optim_Scenario!G61</f>
        <v>6171975.0306531982</v>
      </c>
      <c r="E18" s="372"/>
      <c r="F18" s="383">
        <v>1800000</v>
      </c>
      <c r="G18" s="373">
        <v>-0.18181818181818182</v>
      </c>
      <c r="H18" s="375">
        <v>5471848.3801533533</v>
      </c>
      <c r="I18" s="372"/>
      <c r="J18" s="383">
        <v>2290679.6471494259</v>
      </c>
      <c r="K18" s="373">
        <v>4.1218021431557242E-2</v>
      </c>
      <c r="L18" s="375">
        <v>6323378.3241345212</v>
      </c>
      <c r="M18" s="374"/>
      <c r="N18" s="383">
        <v>3753532.7155753803</v>
      </c>
      <c r="O18" s="373">
        <v>0.70615123435244553</v>
      </c>
      <c r="P18" s="375">
        <v>8504223.6926426645</v>
      </c>
      <c r="Q18" s="372"/>
      <c r="R18" s="383">
        <v>4154570.9220185205</v>
      </c>
      <c r="S18" s="373">
        <v>0.88844132819023658</v>
      </c>
      <c r="T18" s="375">
        <v>9038289.7156212088</v>
      </c>
      <c r="U18" s="180"/>
      <c r="V18" s="185">
        <f>VAC_Optim_Scenario!$H61</f>
        <v>4154570.9220185205</v>
      </c>
      <c r="W18" s="177">
        <f t="shared" si="0"/>
        <v>0.88844132819023658</v>
      </c>
      <c r="X18" s="185">
        <f>VAC_Optim_Scenario!$J61</f>
        <v>9038289.7156212088</v>
      </c>
      <c r="Y18" s="185">
        <f t="shared" si="1"/>
        <v>-1863891.2748690946</v>
      </c>
      <c r="Z18" s="494">
        <f>$F18-'[2]Scenario deep dive'!$F9</f>
        <v>0</v>
      </c>
      <c r="AA18" s="497">
        <f>$J18-'[2]Scenario deep dive'!$J9</f>
        <v>-2295835.5850132992</v>
      </c>
      <c r="AB18" s="497">
        <f>$N18-'[2]Scenario deep dive'!$N9</f>
        <v>-2979695.7550152158</v>
      </c>
    </row>
    <row r="19" spans="1:28" x14ac:dyDescent="0.25">
      <c r="A19" s="380" t="str">
        <f>VAC_Optim_Scenario!A62</f>
        <v>Gardasil Adults</v>
      </c>
      <c r="B19" s="380" t="str">
        <f>VAC_Optim_Scenario!B32</f>
        <v>HCC Online Video</v>
      </c>
      <c r="C19" s="383">
        <f>VAC_Optim_Scenario!E32</f>
        <v>1500000</v>
      </c>
      <c r="D19" s="375">
        <f>VAC_Optim_Scenario!G62</f>
        <v>5944544.9570494974</v>
      </c>
      <c r="E19" s="372"/>
      <c r="F19" s="383">
        <v>1106817.9535387796</v>
      </c>
      <c r="G19" s="373">
        <v>-0.26212136430748023</v>
      </c>
      <c r="H19" s="375">
        <v>4875568.5712330546</v>
      </c>
      <c r="I19" s="372"/>
      <c r="J19" s="383">
        <v>2094216.1059919484</v>
      </c>
      <c r="K19" s="373">
        <v>0.39614407066129892</v>
      </c>
      <c r="L19" s="375">
        <v>7136031.390660706</v>
      </c>
      <c r="M19" s="374"/>
      <c r="N19" s="383">
        <v>2410373.6146011599</v>
      </c>
      <c r="O19" s="373">
        <v>0.60691574306744001</v>
      </c>
      <c r="P19" s="375">
        <v>7611209.0114466725</v>
      </c>
      <c r="Q19" s="372"/>
      <c r="R19" s="383">
        <v>2469338.7975853113</v>
      </c>
      <c r="S19" s="373">
        <v>0.64622586505687418</v>
      </c>
      <c r="T19" s="375">
        <v>7689906.7353378301</v>
      </c>
      <c r="U19" s="180"/>
      <c r="V19" s="185">
        <f>VAC_Optim_Scenario!$H62</f>
        <v>2469338.7975853113</v>
      </c>
      <c r="W19" s="177">
        <f t="shared" si="0"/>
        <v>0.64622586505687418</v>
      </c>
      <c r="X19" s="185">
        <f>VAC_Optim_Scenario!$J62</f>
        <v>7689906.7353378301</v>
      </c>
      <c r="Y19" s="185">
        <f t="shared" si="1"/>
        <v>-375122.69159336295</v>
      </c>
      <c r="Z19" s="494">
        <f>$F19-'[2]Scenario deep dive'!$F10</f>
        <v>3206.1157225614879</v>
      </c>
      <c r="AA19" s="497">
        <f>$J19-'[2]Scenario deep dive'!$J10</f>
        <v>-444392.25193793699</v>
      </c>
      <c r="AB19" s="497">
        <f>$N19-'[2]Scenario deep dive'!$N10</f>
        <v>-373774.96884703403</v>
      </c>
    </row>
    <row r="20" spans="1:28" x14ac:dyDescent="0.25">
      <c r="A20" s="380" t="str">
        <f>VAC_Optim_Scenario!A63</f>
        <v>Gardasil Adults</v>
      </c>
      <c r="B20" s="380" t="str">
        <f>VAC_Optim_Scenario!B33</f>
        <v>HCC Streaming Video</v>
      </c>
      <c r="C20" s="383">
        <f>VAC_Optim_Scenario!E33</f>
        <v>10268452</v>
      </c>
      <c r="D20" s="375">
        <f>VAC_Optim_Scenario!G63</f>
        <v>18886370.658155333</v>
      </c>
      <c r="E20" s="372"/>
      <c r="F20" s="383">
        <v>8306901</v>
      </c>
      <c r="G20" s="373">
        <v>-0.19102694349644914</v>
      </c>
      <c r="H20" s="375">
        <v>16281797.494816165</v>
      </c>
      <c r="I20" s="372"/>
      <c r="J20" s="383">
        <v>8306901</v>
      </c>
      <c r="K20" s="373">
        <v>-0.19102694349644914</v>
      </c>
      <c r="L20" s="375">
        <v>16281797.494816165</v>
      </c>
      <c r="M20" s="374"/>
      <c r="N20" s="383">
        <v>8566882.663883714</v>
      </c>
      <c r="O20" s="373">
        <v>-0.16570845694329447</v>
      </c>
      <c r="P20" s="375">
        <v>16636846.042942891</v>
      </c>
      <c r="Q20" s="372"/>
      <c r="R20" s="383">
        <v>9781828.9864038322</v>
      </c>
      <c r="S20" s="373">
        <v>-4.7390104525605978E-2</v>
      </c>
      <c r="T20" s="375">
        <v>18255304.051492907</v>
      </c>
      <c r="U20" s="180"/>
      <c r="V20" s="185">
        <f>VAC_Optim_Scenario!$H63</f>
        <v>9781828.9864038322</v>
      </c>
      <c r="W20" s="177">
        <f t="shared" si="0"/>
        <v>-4.7390104525605978E-2</v>
      </c>
      <c r="X20" s="185">
        <f>VAC_Optim_Scenario!$J63</f>
        <v>18255304.051492907</v>
      </c>
      <c r="Y20" s="185">
        <f t="shared" si="1"/>
        <v>-1474927.9864038322</v>
      </c>
      <c r="Z20" s="494">
        <f>$F20-'[2]Scenario deep dive'!$F11</f>
        <v>0</v>
      </c>
      <c r="AA20" s="497">
        <f>$J20-'[2]Scenario deep dive'!$J11</f>
        <v>-2884427.353730984</v>
      </c>
      <c r="AB20" s="497">
        <f>$N20-'[2]Scenario deep dive'!$N11</f>
        <v>-10105594.242003022</v>
      </c>
    </row>
    <row r="21" spans="1:28" x14ac:dyDescent="0.25">
      <c r="A21" s="380" t="str">
        <f>VAC_Optim_Scenario!A64</f>
        <v>Gardasil Adults</v>
      </c>
      <c r="B21" s="380" t="str">
        <f>VAC_Optim_Scenario!B34</f>
        <v>HCC Display</v>
      </c>
      <c r="C21" s="383">
        <f>VAC_Optim_Scenario!E34</f>
        <v>4000000</v>
      </c>
      <c r="D21" s="375">
        <f>VAC_Optim_Scenario!G64</f>
        <v>21020675.494225871</v>
      </c>
      <c r="E21" s="372"/>
      <c r="F21" s="383">
        <v>4266670.9673053306</v>
      </c>
      <c r="G21" s="373">
        <v>6.6667741826332644E-2</v>
      </c>
      <c r="H21" s="375">
        <v>21850640.140886877</v>
      </c>
      <c r="I21" s="372"/>
      <c r="J21" s="383">
        <v>4999999.9998964043</v>
      </c>
      <c r="K21" s="373">
        <v>0.24999999997410108</v>
      </c>
      <c r="L21" s="375">
        <v>24032152.745787345</v>
      </c>
      <c r="M21" s="374"/>
      <c r="N21" s="383">
        <v>5000000</v>
      </c>
      <c r="O21" s="373">
        <v>0.25</v>
      </c>
      <c r="P21" s="375">
        <v>24032152.746086098</v>
      </c>
      <c r="Q21" s="372"/>
      <c r="R21" s="383">
        <v>5000000</v>
      </c>
      <c r="S21" s="373">
        <v>0.25</v>
      </c>
      <c r="T21" s="375">
        <v>24032152.746086098</v>
      </c>
      <c r="U21" s="180"/>
      <c r="V21" s="185">
        <f>VAC_Optim_Scenario!$H64</f>
        <v>5000000</v>
      </c>
      <c r="W21" s="177">
        <f t="shared" si="0"/>
        <v>0.25</v>
      </c>
      <c r="X21" s="185">
        <f>VAC_Optim_Scenario!$J64</f>
        <v>24032152.746086098</v>
      </c>
      <c r="Y21" s="185">
        <f t="shared" si="1"/>
        <v>-1.0359566658735275E-4</v>
      </c>
      <c r="Z21" s="494">
        <f>$F21-'[2]Scenario deep dive'!$F12</f>
        <v>-6415.2453787680715</v>
      </c>
      <c r="AA21" s="497">
        <f>$J21-'[2]Scenario deep dive'!$J12</f>
        <v>-1.0359566658735275E-4</v>
      </c>
      <c r="AB21" s="497">
        <f>$N21-'[2]Scenario deep dive'!$N12</f>
        <v>0</v>
      </c>
    </row>
    <row r="22" spans="1:28" x14ac:dyDescent="0.25">
      <c r="A22" s="380" t="str">
        <f>VAC_Optim_Scenario!A65</f>
        <v>Gardasil Adults</v>
      </c>
      <c r="B22" s="380" t="str">
        <f>VAC_Optim_Scenario!B35</f>
        <v>HCC Paid Search</v>
      </c>
      <c r="C22" s="383">
        <f>VAC_Optim_Scenario!E35</f>
        <v>200000</v>
      </c>
      <c r="D22" s="375">
        <f>VAC_Optim_Scenario!G65</f>
        <v>17969341.094351832</v>
      </c>
      <c r="E22" s="372"/>
      <c r="F22" s="383">
        <v>200000</v>
      </c>
      <c r="G22" s="373">
        <v>0</v>
      </c>
      <c r="H22" s="375">
        <v>17969341.094351832</v>
      </c>
      <c r="I22" s="372"/>
      <c r="J22" s="383">
        <v>200000</v>
      </c>
      <c r="K22" s="373">
        <v>0</v>
      </c>
      <c r="L22" s="375">
        <v>17969341.094351832</v>
      </c>
      <c r="M22" s="374"/>
      <c r="N22" s="383">
        <v>200000</v>
      </c>
      <c r="O22" s="373">
        <v>0</v>
      </c>
      <c r="P22" s="375">
        <v>17969341.094351832</v>
      </c>
      <c r="Q22" s="372"/>
      <c r="R22" s="383">
        <v>200000</v>
      </c>
      <c r="S22" s="373">
        <v>0</v>
      </c>
      <c r="T22" s="375">
        <v>17969341.094351832</v>
      </c>
      <c r="U22" s="180"/>
      <c r="V22" s="185">
        <f>VAC_Optim_Scenario!$H65</f>
        <v>200000</v>
      </c>
      <c r="W22" s="177">
        <f t="shared" si="0"/>
        <v>0</v>
      </c>
      <c r="X22" s="185">
        <f>VAC_Optim_Scenario!$J65</f>
        <v>17969341.094351832</v>
      </c>
      <c r="Y22" s="185">
        <f t="shared" si="1"/>
        <v>0</v>
      </c>
      <c r="Z22" s="494">
        <f>$F22-'[2]Scenario deep dive'!$F13</f>
        <v>0</v>
      </c>
      <c r="AA22" s="497">
        <f>$J22-'[2]Scenario deep dive'!$J13</f>
        <v>0</v>
      </c>
      <c r="AB22" s="497">
        <f>$N22-'[2]Scenario deep dive'!$N13</f>
        <v>0</v>
      </c>
    </row>
    <row r="23" spans="1:28" x14ac:dyDescent="0.25">
      <c r="A23" s="380" t="str">
        <f>VAC_Optim_Scenario!A66</f>
        <v>Gardasil Adults</v>
      </c>
      <c r="B23" s="380" t="str">
        <f>VAC_Optim_Scenario!B36</f>
        <v>HCC Linear TV</v>
      </c>
      <c r="C23" s="383">
        <f>VAC_Optim_Scenario!E36</f>
        <v>28089211</v>
      </c>
      <c r="D23" s="375">
        <f>VAC_Optim_Scenario!G66</f>
        <v>40395109.654958591</v>
      </c>
      <c r="E23" s="372"/>
      <c r="F23" s="383">
        <v>28089211</v>
      </c>
      <c r="G23" s="373">
        <v>0</v>
      </c>
      <c r="H23" s="375">
        <v>40395109.654958591</v>
      </c>
      <c r="I23" s="372"/>
      <c r="J23" s="383">
        <v>28089211</v>
      </c>
      <c r="K23" s="373">
        <v>0</v>
      </c>
      <c r="L23" s="375">
        <v>40395109.654958591</v>
      </c>
      <c r="M23" s="374"/>
      <c r="N23" s="383">
        <v>28089211</v>
      </c>
      <c r="O23" s="373">
        <v>0</v>
      </c>
      <c r="P23" s="375">
        <v>40395109.654958591</v>
      </c>
      <c r="Q23" s="372"/>
      <c r="R23" s="383">
        <v>28089211</v>
      </c>
      <c r="S23" s="373">
        <v>0</v>
      </c>
      <c r="T23" s="375">
        <v>40395109.654958591</v>
      </c>
      <c r="U23" s="180"/>
      <c r="V23" s="185">
        <f>VAC_Optim_Scenario!$H66</f>
        <v>28089211</v>
      </c>
      <c r="W23" s="177">
        <f>(V23-$C23)/$C23</f>
        <v>0</v>
      </c>
      <c r="X23" s="185">
        <f>VAC_Optim_Scenario!$J66</f>
        <v>40395109.654958591</v>
      </c>
      <c r="Y23" s="185">
        <f t="shared" si="1"/>
        <v>0</v>
      </c>
      <c r="Z23" s="494">
        <f>$F23-'[2]Scenario deep dive'!$F15</f>
        <v>0</v>
      </c>
      <c r="AA23" s="497">
        <f>$J23-'[2]Scenario deep dive'!$J15</f>
        <v>0</v>
      </c>
      <c r="AB23" s="497">
        <f>$N23-'[2]Scenario deep dive'!$N15</f>
        <v>0</v>
      </c>
    </row>
    <row r="24" spans="1:28" x14ac:dyDescent="0.25">
      <c r="A24" s="437" t="str">
        <f>VAC_Optim_Scenario!A67</f>
        <v>Gardasil Adults</v>
      </c>
      <c r="B24" s="437" t="str">
        <f>VAC_Optim_Scenario!B37</f>
        <v>HCC Radio</v>
      </c>
      <c r="C24" s="383">
        <f>VAC_Optim_Scenario!E37</f>
        <v>1500000</v>
      </c>
      <c r="D24" s="375">
        <f>VAC_Optim_Scenario!G67</f>
        <v>7290309.9462908376</v>
      </c>
      <c r="E24" s="372"/>
      <c r="F24" s="383">
        <v>702362.44109018752</v>
      </c>
      <c r="G24" s="373">
        <v>-0.53175837260654168</v>
      </c>
      <c r="H24" s="375">
        <v>5381879.8862388413</v>
      </c>
      <c r="I24" s="372"/>
      <c r="J24" s="383">
        <v>1959114.2410225025</v>
      </c>
      <c r="K24" s="373">
        <v>0.30607616068166837</v>
      </c>
      <c r="L24" s="375">
        <v>8112101.8302757163</v>
      </c>
      <c r="M24" s="374"/>
      <c r="N24" s="383">
        <v>2310000</v>
      </c>
      <c r="O24" s="373">
        <v>0.54</v>
      </c>
      <c r="P24" s="375">
        <v>8664714.9708767254</v>
      </c>
      <c r="Q24" s="372"/>
      <c r="R24" s="383">
        <v>2200000</v>
      </c>
      <c r="S24" s="373">
        <v>0.46666666666666667</v>
      </c>
      <c r="T24" s="375">
        <v>8497253.2367697079</v>
      </c>
      <c r="U24" s="180"/>
      <c r="V24" s="185">
        <f>VAC_Optim_Scenario!$H67</f>
        <v>2200000</v>
      </c>
      <c r="W24" s="177">
        <f t="shared" ref="W24:W25" si="2">(V24-$C24)/$C24</f>
        <v>0.46666666666666667</v>
      </c>
      <c r="X24" s="491">
        <f>VAC_Optim_Scenario!$J67</f>
        <v>8497253.2367697079</v>
      </c>
      <c r="Y24" s="185">
        <f t="shared" si="1"/>
        <v>-240885.75897749746</v>
      </c>
      <c r="Z24" s="494">
        <f>$F24-'[2]Scenario deep dive'!$F14</f>
        <v>2236.2645860570483</v>
      </c>
      <c r="AA24" s="497">
        <f>$J24-'[2]Scenario deep dive'!$J14</f>
        <v>-240885.75897749746</v>
      </c>
      <c r="AB24" s="497">
        <f>$N24-'[2]Scenario deep dive'!$N14</f>
        <v>110000</v>
      </c>
    </row>
    <row r="25" spans="1:28" x14ac:dyDescent="0.25">
      <c r="A25" s="381" t="str">
        <f>VAC_Optim_Scenario!A68</f>
        <v>Gardasil Adults</v>
      </c>
      <c r="B25" s="437" t="str">
        <f>VAC_Optim_Scenario!B38</f>
        <v>HCC Pharmacy</v>
      </c>
      <c r="C25" s="384">
        <f>VAC_Optim_Scenario!E38</f>
        <v>3200000</v>
      </c>
      <c r="D25" s="378">
        <f>VAC_Optim_Scenario!G68</f>
        <v>5063837.1955307471</v>
      </c>
      <c r="E25" s="372"/>
      <c r="F25" s="383">
        <v>3200000</v>
      </c>
      <c r="G25" s="373">
        <v>0</v>
      </c>
      <c r="H25" s="375">
        <v>5063837.1955307471</v>
      </c>
      <c r="I25" s="372"/>
      <c r="J25" s="383">
        <v>3200000</v>
      </c>
      <c r="K25" s="373">
        <v>0</v>
      </c>
      <c r="L25" s="375">
        <v>5063837.1955307471</v>
      </c>
      <c r="M25" s="374"/>
      <c r="N25" s="383">
        <v>3200000</v>
      </c>
      <c r="O25" s="373">
        <v>0</v>
      </c>
      <c r="P25" s="375">
        <v>5063837.1955307471</v>
      </c>
      <c r="Q25" s="372"/>
      <c r="R25" s="383">
        <v>3200000</v>
      </c>
      <c r="S25" s="373">
        <v>0</v>
      </c>
      <c r="T25" s="375">
        <v>5063837.1955307471</v>
      </c>
      <c r="U25" s="180"/>
      <c r="V25" s="185">
        <f>VAC_Optim_Scenario!$H68</f>
        <v>3200000</v>
      </c>
      <c r="W25" s="177">
        <f t="shared" si="2"/>
        <v>0</v>
      </c>
      <c r="X25" s="185">
        <f>VAC_Optim_Scenario!$J68</f>
        <v>5063837.1955307471</v>
      </c>
      <c r="Y25" s="185">
        <f t="shared" si="1"/>
        <v>0</v>
      </c>
      <c r="Z25" s="495">
        <f>$F25-'[2]Scenario deep dive'!$F16</f>
        <v>0</v>
      </c>
      <c r="AA25" s="498">
        <f>$J25-'[2]Scenario deep dive'!$J16</f>
        <v>0</v>
      </c>
      <c r="AB25" s="498">
        <f>$N25-'[2]Scenario deep dive'!$N16</f>
        <v>0</v>
      </c>
    </row>
    <row r="26" spans="1:28" x14ac:dyDescent="0.25">
      <c r="A26" s="439"/>
      <c r="B26" s="440" t="s">
        <v>175</v>
      </c>
      <c r="C26" s="382">
        <f>SUM(C7:C15)</f>
        <v>38513576</v>
      </c>
      <c r="D26" s="371">
        <f>SUM(D7:D15)</f>
        <v>284160884.55212712</v>
      </c>
      <c r="E26" s="372"/>
      <c r="F26" s="382">
        <v>39702377.000000007</v>
      </c>
      <c r="G26" s="442">
        <v>1.8766081932383616E-16</v>
      </c>
      <c r="H26" s="371">
        <v>293472159.42546868</v>
      </c>
      <c r="I26" s="372"/>
      <c r="J26" s="382">
        <f>SUM(J7:J15)</f>
        <v>51000000.00593973</v>
      </c>
      <c r="K26" s="442">
        <f>(J26-$F$26)/$C$26</f>
        <v>0.29334131439624622</v>
      </c>
      <c r="L26" s="382">
        <f>SUM(L7:L15)</f>
        <v>339407619.45836365</v>
      </c>
      <c r="M26" s="374"/>
      <c r="N26" s="382">
        <f>SUM(N7:N15)</f>
        <v>51000000.005939737</v>
      </c>
      <c r="O26" s="442">
        <f>(N26-$F$26)/$C$26</f>
        <v>0.29334131439624639</v>
      </c>
      <c r="P26" s="371">
        <f>SUM(P7:P15)</f>
        <v>339407610.6458981</v>
      </c>
      <c r="Q26" s="372"/>
      <c r="R26" s="382">
        <f>SUM(R7:R15)</f>
        <v>51613090.101004384</v>
      </c>
      <c r="S26" s="442">
        <f>(R26-$F$26)/$C$26</f>
        <v>0.30926011910720463</v>
      </c>
      <c r="T26" s="371">
        <f>SUM(T7:T15)</f>
        <v>340705185.28556395</v>
      </c>
      <c r="U26" s="180">
        <f>L26-D26</f>
        <v>55246734.906236529</v>
      </c>
      <c r="V26" s="382">
        <f>SUM(V7:V15)</f>
        <v>51613090.101004384</v>
      </c>
      <c r="W26" s="442">
        <f>(V26-$C$26)/$C$26</f>
        <v>0.34012718271095843</v>
      </c>
      <c r="X26" s="371">
        <f>SUM(X7:X15)</f>
        <v>340705185.28556395</v>
      </c>
      <c r="Y26" s="185">
        <f>V26-F26</f>
        <v>11910713.101004377</v>
      </c>
      <c r="Z26" s="180"/>
    </row>
    <row r="27" spans="1:28" x14ac:dyDescent="0.25">
      <c r="A27" s="439"/>
      <c r="B27" s="441" t="s">
        <v>285</v>
      </c>
      <c r="C27" s="384">
        <f>SUM(C16:C25)</f>
        <v>68905663</v>
      </c>
      <c r="D27" s="378">
        <f>SUM(D16:D25)</f>
        <v>216673622.14828196</v>
      </c>
      <c r="E27" s="372"/>
      <c r="F27" s="384">
        <v>68905663</v>
      </c>
      <c r="G27" s="443">
        <v>0</v>
      </c>
      <c r="H27" s="378">
        <v>222412318.09155828</v>
      </c>
      <c r="I27" s="372"/>
      <c r="J27" s="382">
        <f>SUM(J16:J25)</f>
        <v>74090121.994060278</v>
      </c>
      <c r="K27" s="443">
        <f>(J27-$F$27)/$F$27</f>
        <v>7.5239955155213839E-2</v>
      </c>
      <c r="L27" s="382">
        <f>SUM(L16:L25)</f>
        <v>235489825.48175052</v>
      </c>
      <c r="M27" s="374"/>
      <c r="N27" s="384">
        <f>SUM(N16:N25)</f>
        <v>76479999.994060248</v>
      </c>
      <c r="O27" s="443">
        <f>(N27-$F$27)/$F$27</f>
        <v>0.10992328735100115</v>
      </c>
      <c r="P27" s="378">
        <f>SUM(P16:P25)</f>
        <v>239053510.16007113</v>
      </c>
      <c r="Q27" s="372"/>
      <c r="R27" s="384">
        <f>SUM(R16:R25)</f>
        <v>76994949.909322679</v>
      </c>
      <c r="S27" s="443">
        <f>(R27-$F$27)/$F$27</f>
        <v>0.11739654706352189</v>
      </c>
      <c r="T27" s="378">
        <f>SUM(T16:T25)</f>
        <v>238076413.5005905</v>
      </c>
      <c r="U27" s="180">
        <f>L27-D27</f>
        <v>18816203.333468556</v>
      </c>
      <c r="V27" s="384">
        <f>SUM(V16:V25)</f>
        <v>76994949.909322679</v>
      </c>
      <c r="W27" s="443">
        <f>(V27-$C$27)/$C$27</f>
        <v>0.11739654706352189</v>
      </c>
      <c r="X27" s="378">
        <f>SUM(X16:X25)</f>
        <v>238076413.5005905</v>
      </c>
      <c r="Y27" s="185">
        <f>V27-F27</f>
        <v>8089286.909322679</v>
      </c>
      <c r="Z27" s="180"/>
    </row>
    <row r="28" spans="1:28" ht="34.35" customHeight="1" x14ac:dyDescent="0.25">
      <c r="B28" s="444" t="s">
        <v>218</v>
      </c>
      <c r="C28" s="445">
        <f>SUM(C7:C25)</f>
        <v>107419239</v>
      </c>
      <c r="D28" s="446">
        <f>SUM(D7:D25)</f>
        <v>500834506.70040905</v>
      </c>
      <c r="E28" s="179"/>
      <c r="F28" s="445">
        <f>SUM(F7:F25)</f>
        <v>108608040</v>
      </c>
      <c r="G28" s="447">
        <f>(F28-$F$28)/$F$28</f>
        <v>0</v>
      </c>
      <c r="H28" s="446">
        <f>SUM(H7:H25)</f>
        <v>515884477.51702702</v>
      </c>
      <c r="I28" s="438"/>
      <c r="J28" s="445">
        <f>SUM(J7:J25)</f>
        <v>125090122</v>
      </c>
      <c r="K28" s="447">
        <f>(J28-$F$28)/$F$28</f>
        <v>0.1517574757817193</v>
      </c>
      <c r="L28" s="446">
        <f>SUM(L7:L25)</f>
        <v>574897444.94011426</v>
      </c>
      <c r="M28" s="374"/>
      <c r="N28" s="445">
        <f>SUM(N7:N25)</f>
        <v>127480000</v>
      </c>
      <c r="O28" s="447">
        <f>(N28-$F$28)/$F$28</f>
        <v>0.17376208980476951</v>
      </c>
      <c r="P28" s="446">
        <f>SUM(P7:P25)</f>
        <v>578461120.80596924</v>
      </c>
      <c r="Q28" s="508"/>
      <c r="R28" s="445">
        <f>SUM(R7:R25)</f>
        <v>128608040.01032709</v>
      </c>
      <c r="S28" s="447">
        <f>(R28-$F$28)/$F$28</f>
        <v>0.18414842962203429</v>
      </c>
      <c r="T28" s="446">
        <f>SUM(T7:T25)</f>
        <v>578781598.78615463</v>
      </c>
      <c r="V28" s="188">
        <f>SUM(V7:V25)</f>
        <v>128608040.01032709</v>
      </c>
      <c r="W28" s="189">
        <f>(V28-$C$28)/$C$28</f>
        <v>0.19725331521225062</v>
      </c>
      <c r="X28" s="188">
        <f>SUM(X7:X25)</f>
        <v>578781598.78615463</v>
      </c>
    </row>
    <row r="29" spans="1:28" x14ac:dyDescent="0.25">
      <c r="D29" s="385">
        <f>SUM(D7:D15)/D28</f>
        <v>0.56737481293817371</v>
      </c>
      <c r="E29" s="385"/>
      <c r="F29" s="385"/>
      <c r="G29" s="385"/>
      <c r="H29" s="385">
        <f>SUM(H7:H15)/H28</f>
        <v>0.56887185448564404</v>
      </c>
      <c r="I29" s="385"/>
      <c r="J29" s="385"/>
      <c r="K29" s="385"/>
      <c r="L29" s="385">
        <f>SUM(L7:L15)/L28</f>
        <v>0.59037941887829914</v>
      </c>
      <c r="P29" s="385">
        <f>SUM(P7:P15)/P28</f>
        <v>0.58674230374031333</v>
      </c>
      <c r="Q29" s="385"/>
      <c r="T29" s="385"/>
      <c r="U29" s="180"/>
      <c r="X29" s="502">
        <f>X28/VAC_Optim_Scenario!$E$46</f>
        <v>2561660.6124907262</v>
      </c>
    </row>
    <row r="30" spans="1:28" x14ac:dyDescent="0.25">
      <c r="D30" s="385">
        <f>SUM(D16:D25)/D28</f>
        <v>0.43262518706182629</v>
      </c>
      <c r="E30" s="385"/>
      <c r="F30" s="385"/>
      <c r="G30" s="385"/>
      <c r="H30" s="385">
        <f>SUM(H16:H25)/H28</f>
        <v>0.43112814551435585</v>
      </c>
      <c r="I30" s="385"/>
      <c r="J30" s="385"/>
      <c r="K30" s="385"/>
      <c r="L30" s="385">
        <f>SUM(L16:L25)/L28</f>
        <v>0.40962058112170069</v>
      </c>
      <c r="P30" s="385">
        <f>SUM(P16:P25)/P28</f>
        <v>0.41325769625968661</v>
      </c>
      <c r="Q30" s="385"/>
      <c r="T30" s="385"/>
    </row>
    <row r="31" spans="1:28" ht="15" customHeight="1" x14ac:dyDescent="0.25">
      <c r="A31" s="485"/>
      <c r="B31" s="485"/>
      <c r="C31" s="486"/>
      <c r="D31" s="486"/>
      <c r="E31" s="486"/>
      <c r="F31" s="575" t="str">
        <f>F4</f>
        <v>Optimal channel spend allowed to vary based on custom constraints of the 2024 channel spend</v>
      </c>
      <c r="G31" s="576"/>
      <c r="H31" s="576"/>
      <c r="I31" s="576"/>
      <c r="J31" s="576"/>
      <c r="K31" s="576"/>
      <c r="L31" s="576"/>
      <c r="M31" s="576"/>
      <c r="N31" s="576"/>
      <c r="O31" s="576"/>
      <c r="P31" s="576"/>
      <c r="Q31" s="576"/>
      <c r="R31" s="576"/>
      <c r="S31" s="576"/>
      <c r="T31" s="576"/>
    </row>
    <row r="32" spans="1:28" ht="30.4" customHeight="1" x14ac:dyDescent="0.25">
      <c r="A32" s="485"/>
      <c r="B32" s="485"/>
      <c r="C32" s="578" t="s">
        <v>341</v>
      </c>
      <c r="D32" s="579"/>
      <c r="E32" s="546"/>
      <c r="F32" s="580" t="str">
        <f>F5</f>
        <v>Current Optimal ($92MM)</v>
      </c>
      <c r="G32" s="581"/>
      <c r="H32" s="582"/>
      <c r="I32" s="547"/>
      <c r="J32" s="583" t="str">
        <f>J5</f>
        <v>Removed Agency Fees; 
Corrected Adol TV Spend; lowered Adult spend to $74MM</v>
      </c>
      <c r="K32" s="584"/>
      <c r="L32" s="585"/>
      <c r="M32" s="486"/>
      <c r="N32" s="583" t="str">
        <f>N5</f>
        <v>Removed Agency Fees; 
Corrected Adol TV Spend; increased max spend constraint by % for Adult HCP MCM and Adult HCC Radio</v>
      </c>
      <c r="O32" s="584"/>
      <c r="P32" s="585"/>
      <c r="Q32" s="548"/>
      <c r="R32" s="577" t="str">
        <f>R5</f>
        <v>20M increase in total budget ( Global Max 130%)</v>
      </c>
      <c r="S32" s="577"/>
      <c r="T32" s="577"/>
    </row>
    <row r="33" spans="1:20" ht="25.5" x14ac:dyDescent="0.25">
      <c r="A33" s="539" t="s">
        <v>338</v>
      </c>
      <c r="B33" s="539" t="s">
        <v>339</v>
      </c>
      <c r="C33" s="540" t="s">
        <v>219</v>
      </c>
      <c r="D33" s="541" t="s">
        <v>220</v>
      </c>
      <c r="E33" s="542"/>
      <c r="F33" s="543" t="s">
        <v>222</v>
      </c>
      <c r="G33" s="541" t="s">
        <v>215</v>
      </c>
      <c r="H33" s="544" t="s">
        <v>216</v>
      </c>
      <c r="I33" s="542"/>
      <c r="J33" s="543" t="s">
        <v>222</v>
      </c>
      <c r="K33" s="541" t="s">
        <v>215</v>
      </c>
      <c r="L33" s="544" t="s">
        <v>216</v>
      </c>
      <c r="M33" s="486"/>
      <c r="N33" s="543" t="s">
        <v>222</v>
      </c>
      <c r="O33" s="541" t="s">
        <v>215</v>
      </c>
      <c r="P33" s="544" t="s">
        <v>216</v>
      </c>
      <c r="Q33" s="545"/>
      <c r="R33" s="543" t="s">
        <v>222</v>
      </c>
      <c r="S33" s="541" t="s">
        <v>215</v>
      </c>
      <c r="T33" s="544" t="s">
        <v>216</v>
      </c>
    </row>
    <row r="34" spans="1:20" x14ac:dyDescent="0.25">
      <c r="A34" s="523" t="str">
        <f t="shared" ref="A34:B49" si="3">A7</f>
        <v>Gardasil Adolescents</v>
      </c>
      <c r="B34" s="523" t="str">
        <f t="shared" si="3"/>
        <v>HCC In Office</v>
      </c>
      <c r="C34" s="524">
        <f t="shared" ref="C34:D49" si="4">C7/1000000</f>
        <v>1</v>
      </c>
      <c r="D34" s="525">
        <f t="shared" si="4"/>
        <v>3.6083065090601982</v>
      </c>
      <c r="E34" s="526"/>
      <c r="F34" s="527">
        <f t="shared" ref="F34:F50" si="5">F7/1000000</f>
        <v>1</v>
      </c>
      <c r="G34" s="528">
        <f t="shared" ref="G34:G50" si="6">G7</f>
        <v>0</v>
      </c>
      <c r="H34" s="529">
        <f t="shared" ref="H34:H50" si="7">H7/1000000</f>
        <v>5.0407890644048416</v>
      </c>
      <c r="I34" s="526"/>
      <c r="J34" s="527">
        <f t="shared" ref="J34:J50" si="8">J7/1000000</f>
        <v>1.3120662114589978</v>
      </c>
      <c r="K34" s="528">
        <f t="shared" ref="K34:K50" si="9">K7</f>
        <v>0.31206621145899782</v>
      </c>
      <c r="L34" s="529">
        <f t="shared" ref="L34:L50" si="10">L7/1000000</f>
        <v>4.4657004117103121</v>
      </c>
      <c r="M34" s="530"/>
      <c r="N34" s="527">
        <f t="shared" ref="N34:N50" si="11">N7/1000000</f>
        <v>1.3120606814247446</v>
      </c>
      <c r="O34" s="528">
        <f t="shared" ref="O34:O50" si="12">O7</f>
        <v>0.31206068142474463</v>
      </c>
      <c r="P34" s="531">
        <f t="shared" ref="P34:P50" si="13">P7/1000000</f>
        <v>4.4656861616250287</v>
      </c>
      <c r="Q34" s="532"/>
      <c r="R34" s="527">
        <f t="shared" ref="R34:R50" si="14">R7/1000000</f>
        <v>1.2805538166407022</v>
      </c>
      <c r="S34" s="528">
        <f t="shared" ref="S34:S50" si="15">S7</f>
        <v>0.28055381664070234</v>
      </c>
      <c r="T34" s="531">
        <f t="shared" ref="T34:T50" si="16">T7/1000000</f>
        <v>4.3839751022611022</v>
      </c>
    </row>
    <row r="35" spans="1:20" x14ac:dyDescent="0.25">
      <c r="A35" s="523" t="str">
        <f t="shared" si="3"/>
        <v>Gardasil Adolescents</v>
      </c>
      <c r="B35" s="523" t="str">
        <f t="shared" si="3"/>
        <v>HCP MCM</v>
      </c>
      <c r="C35" s="533">
        <f t="shared" si="4"/>
        <v>7.7757779999999999</v>
      </c>
      <c r="D35" s="534">
        <f t="shared" si="4"/>
        <v>77.32256932085221</v>
      </c>
      <c r="E35" s="526"/>
      <c r="F35" s="535">
        <f t="shared" si="5"/>
        <v>7.9989998847845651</v>
      </c>
      <c r="G35" s="536">
        <f t="shared" si="6"/>
        <v>2.8707337681781207E-2</v>
      </c>
      <c r="H35" s="537">
        <f t="shared" si="7"/>
        <v>81.778277188084161</v>
      </c>
      <c r="I35" s="526"/>
      <c r="J35" s="535">
        <f t="shared" si="8"/>
        <v>11.179757928833689</v>
      </c>
      <c r="K35" s="528">
        <f t="shared" si="9"/>
        <v>0.4377671184585889</v>
      </c>
      <c r="L35" s="537">
        <f t="shared" si="10"/>
        <v>92.434455601042956</v>
      </c>
      <c r="M35" s="530"/>
      <c r="N35" s="535">
        <f t="shared" si="11"/>
        <v>11.179859254118364</v>
      </c>
      <c r="O35" s="528">
        <f t="shared" si="12"/>
        <v>0.43778014934561715</v>
      </c>
      <c r="P35" s="538">
        <f t="shared" si="13"/>
        <v>92.43480604500806</v>
      </c>
      <c r="Q35" s="532"/>
      <c r="R35" s="535">
        <f t="shared" si="14"/>
        <v>11.092068118553623</v>
      </c>
      <c r="S35" s="528">
        <f t="shared" si="15"/>
        <v>0.42648981472382874</v>
      </c>
      <c r="T35" s="538">
        <f t="shared" si="16"/>
        <v>92.129276914606038</v>
      </c>
    </row>
    <row r="36" spans="1:20" x14ac:dyDescent="0.25">
      <c r="A36" s="523" t="str">
        <f t="shared" si="3"/>
        <v>Gardasil Adolescents</v>
      </c>
      <c r="B36" s="523" t="str">
        <f t="shared" si="3"/>
        <v>HCC Social</v>
      </c>
      <c r="C36" s="533">
        <f t="shared" si="4"/>
        <v>1.84</v>
      </c>
      <c r="D36" s="534">
        <f t="shared" si="4"/>
        <v>15.925915704314221</v>
      </c>
      <c r="E36" s="526"/>
      <c r="F36" s="535">
        <f t="shared" si="5"/>
        <v>1.5994999999999999</v>
      </c>
      <c r="G36" s="536">
        <f t="shared" si="6"/>
        <v>-0.13070652173913044</v>
      </c>
      <c r="H36" s="537">
        <f t="shared" si="7"/>
        <v>14.642130239828273</v>
      </c>
      <c r="I36" s="526"/>
      <c r="J36" s="535">
        <f t="shared" si="8"/>
        <v>4.5932909936571518</v>
      </c>
      <c r="K36" s="528">
        <f t="shared" si="9"/>
        <v>1.4963538009006261</v>
      </c>
      <c r="L36" s="537">
        <f t="shared" si="10"/>
        <v>27.573258646637143</v>
      </c>
      <c r="M36" s="530"/>
      <c r="N36" s="535">
        <f t="shared" si="11"/>
        <v>4.5932135386903434</v>
      </c>
      <c r="O36" s="528">
        <f t="shared" si="12"/>
        <v>1.4963117058099693</v>
      </c>
      <c r="P36" s="538">
        <f t="shared" si="13"/>
        <v>27.572979671100132</v>
      </c>
      <c r="Q36" s="532"/>
      <c r="R36" s="535">
        <f t="shared" si="14"/>
        <v>4.4550475305201802</v>
      </c>
      <c r="S36" s="528">
        <f t="shared" si="15"/>
        <v>1.4212214839783588</v>
      </c>
      <c r="T36" s="538">
        <f t="shared" si="16"/>
        <v>27.072298129360568</v>
      </c>
    </row>
    <row r="37" spans="1:20" x14ac:dyDescent="0.25">
      <c r="A37" s="523" t="str">
        <f t="shared" si="3"/>
        <v>Gardasil Adolescents</v>
      </c>
      <c r="B37" s="523" t="str">
        <f t="shared" si="3"/>
        <v>HCC Online Video</v>
      </c>
      <c r="C37" s="533">
        <f t="shared" si="4"/>
        <v>1.22</v>
      </c>
      <c r="D37" s="534">
        <f t="shared" si="4"/>
        <v>3.3942467935979272</v>
      </c>
      <c r="E37" s="526"/>
      <c r="F37" s="535">
        <f t="shared" si="5"/>
        <v>1</v>
      </c>
      <c r="G37" s="536">
        <f t="shared" si="6"/>
        <v>-0.18032786885245902</v>
      </c>
      <c r="H37" s="537">
        <f t="shared" si="7"/>
        <v>3.3578328692201262</v>
      </c>
      <c r="I37" s="526"/>
      <c r="J37" s="535">
        <f t="shared" si="8"/>
        <v>1</v>
      </c>
      <c r="K37" s="528">
        <f t="shared" si="9"/>
        <v>-0.18032786885245902</v>
      </c>
      <c r="L37" s="537">
        <f t="shared" si="10"/>
        <v>3.3578328692201262</v>
      </c>
      <c r="M37" s="530"/>
      <c r="N37" s="535">
        <f t="shared" si="11"/>
        <v>1</v>
      </c>
      <c r="O37" s="528">
        <f t="shared" si="12"/>
        <v>-0.18032786885245902</v>
      </c>
      <c r="P37" s="538">
        <f t="shared" si="13"/>
        <v>3.3578328692201262</v>
      </c>
      <c r="Q37" s="532"/>
      <c r="R37" s="535">
        <f t="shared" si="14"/>
        <v>1</v>
      </c>
      <c r="S37" s="528">
        <f t="shared" si="15"/>
        <v>-0.18032786885245902</v>
      </c>
      <c r="T37" s="538">
        <f t="shared" si="16"/>
        <v>3.3578328692201262</v>
      </c>
    </row>
    <row r="38" spans="1:20" x14ac:dyDescent="0.25">
      <c r="A38" s="523" t="str">
        <f t="shared" si="3"/>
        <v>Gardasil Adolescents</v>
      </c>
      <c r="B38" s="523" t="str">
        <f t="shared" si="3"/>
        <v>HCC Streaming Video</v>
      </c>
      <c r="C38" s="533">
        <f t="shared" si="4"/>
        <v>4.8177979999999998</v>
      </c>
      <c r="D38" s="534">
        <f t="shared" si="4"/>
        <v>27.455486015820313</v>
      </c>
      <c r="E38" s="526"/>
      <c r="F38" s="535">
        <f t="shared" si="5"/>
        <v>4.8177979999999998</v>
      </c>
      <c r="G38" s="536">
        <f t="shared" si="6"/>
        <v>0</v>
      </c>
      <c r="H38" s="537">
        <f t="shared" si="7"/>
        <v>27.455486015820313</v>
      </c>
      <c r="I38" s="526"/>
      <c r="J38" s="535">
        <f t="shared" si="8"/>
        <v>6.7721751052560357</v>
      </c>
      <c r="K38" s="528">
        <f t="shared" si="9"/>
        <v>0.40565775178951791</v>
      </c>
      <c r="L38" s="537">
        <f t="shared" si="10"/>
        <v>34.845351543835868</v>
      </c>
      <c r="M38" s="530"/>
      <c r="N38" s="535">
        <f t="shared" si="11"/>
        <v>6.7720041322160078</v>
      </c>
      <c r="O38" s="528">
        <f t="shared" si="12"/>
        <v>0.40562226399197465</v>
      </c>
      <c r="P38" s="538">
        <f t="shared" si="13"/>
        <v>34.844735737731149</v>
      </c>
      <c r="Q38" s="532"/>
      <c r="R38" s="535">
        <f t="shared" si="14"/>
        <v>6.4940766811486696</v>
      </c>
      <c r="S38" s="528">
        <f t="shared" si="15"/>
        <v>0.3479346126900027</v>
      </c>
      <c r="T38" s="538">
        <f t="shared" si="16"/>
        <v>33.837425591033714</v>
      </c>
    </row>
    <row r="39" spans="1:20" x14ac:dyDescent="0.25">
      <c r="A39" s="523" t="str">
        <f t="shared" si="3"/>
        <v>Gardasil Adolescents</v>
      </c>
      <c r="B39" s="523" t="str">
        <f t="shared" si="3"/>
        <v>HCC Display</v>
      </c>
      <c r="C39" s="533">
        <f t="shared" si="4"/>
        <v>3.54</v>
      </c>
      <c r="D39" s="534">
        <f t="shared" si="4"/>
        <v>39.290778509746694</v>
      </c>
      <c r="E39" s="526"/>
      <c r="F39" s="535">
        <f t="shared" si="5"/>
        <v>3.8158668367254269</v>
      </c>
      <c r="G39" s="536">
        <f t="shared" si="6"/>
        <v>7.792848495068555E-2</v>
      </c>
      <c r="H39" s="537">
        <f t="shared" si="7"/>
        <v>40.911736873087769</v>
      </c>
      <c r="I39" s="526"/>
      <c r="J39" s="535">
        <f t="shared" si="8"/>
        <v>5.2427097667338556</v>
      </c>
      <c r="K39" s="528">
        <f t="shared" si="9"/>
        <v>0.48099145952933786</v>
      </c>
      <c r="L39" s="537">
        <f t="shared" si="10"/>
        <v>47.390542893941728</v>
      </c>
      <c r="M39" s="530"/>
      <c r="N39" s="535">
        <f t="shared" si="11"/>
        <v>5.2428623994902761</v>
      </c>
      <c r="O39" s="528">
        <f t="shared" si="12"/>
        <v>0.48103457612719669</v>
      </c>
      <c r="P39" s="538">
        <f t="shared" si="13"/>
        <v>47.391092669238077</v>
      </c>
      <c r="Q39" s="532"/>
      <c r="R39" s="535">
        <f t="shared" si="14"/>
        <v>5.202542954141208</v>
      </c>
      <c r="S39" s="528">
        <f t="shared" si="15"/>
        <v>0.46964490229977629</v>
      </c>
      <c r="T39" s="538">
        <f t="shared" si="16"/>
        <v>47.244945610501262</v>
      </c>
    </row>
    <row r="40" spans="1:20" x14ac:dyDescent="0.25">
      <c r="A40" s="523" t="str">
        <f t="shared" si="3"/>
        <v>Gardasil Adolescents</v>
      </c>
      <c r="B40" s="523" t="str">
        <f t="shared" si="3"/>
        <v>HCC Paid Search</v>
      </c>
      <c r="C40" s="533">
        <f t="shared" si="4"/>
        <v>0.4</v>
      </c>
      <c r="D40" s="534">
        <f t="shared" si="4"/>
        <v>32.769965884320236</v>
      </c>
      <c r="E40" s="526"/>
      <c r="F40" s="535">
        <f t="shared" si="5"/>
        <v>0.4</v>
      </c>
      <c r="G40" s="536">
        <f t="shared" si="6"/>
        <v>0</v>
      </c>
      <c r="H40" s="537">
        <f t="shared" si="7"/>
        <v>32.769965884320236</v>
      </c>
      <c r="I40" s="526"/>
      <c r="J40" s="535">
        <f t="shared" si="8"/>
        <v>0.4</v>
      </c>
      <c r="K40" s="528">
        <f t="shared" si="9"/>
        <v>0</v>
      </c>
      <c r="L40" s="537">
        <f t="shared" si="10"/>
        <v>32.769965884320236</v>
      </c>
      <c r="M40" s="530"/>
      <c r="N40" s="535">
        <f t="shared" si="11"/>
        <v>0.4</v>
      </c>
      <c r="O40" s="528">
        <f t="shared" si="12"/>
        <v>0</v>
      </c>
      <c r="P40" s="538">
        <f t="shared" si="13"/>
        <v>32.769965884320236</v>
      </c>
      <c r="Q40" s="532"/>
      <c r="R40" s="535">
        <f t="shared" si="14"/>
        <v>0.4</v>
      </c>
      <c r="S40" s="528">
        <f t="shared" si="15"/>
        <v>0</v>
      </c>
      <c r="T40" s="538">
        <f t="shared" si="16"/>
        <v>32.769965884320236</v>
      </c>
    </row>
    <row r="41" spans="1:20" x14ac:dyDescent="0.25">
      <c r="A41" s="523" t="str">
        <f t="shared" si="3"/>
        <v>Gardasil Adolescents</v>
      </c>
      <c r="B41" s="523" t="str">
        <f t="shared" si="3"/>
        <v>HCC Audio</v>
      </c>
      <c r="C41" s="533">
        <f t="shared" si="4"/>
        <v>2.2200000000000002</v>
      </c>
      <c r="D41" s="534">
        <f t="shared" si="4"/>
        <v>20.698391738152171</v>
      </c>
      <c r="E41" s="526"/>
      <c r="F41" s="535">
        <f t="shared" si="5"/>
        <v>2.181411278490013</v>
      </c>
      <c r="G41" s="536">
        <f t="shared" si="6"/>
        <v>-1.738230698648064E-2</v>
      </c>
      <c r="H41" s="537">
        <f t="shared" si="7"/>
        <v>20.481763637834263</v>
      </c>
      <c r="I41" s="526"/>
      <c r="J41" s="535">
        <f t="shared" si="8"/>
        <v>4.8</v>
      </c>
      <c r="K41" s="528">
        <f t="shared" si="9"/>
        <v>1.1621621621621621</v>
      </c>
      <c r="L41" s="537">
        <f t="shared" si="10"/>
        <v>32.875287531392161</v>
      </c>
      <c r="M41" s="530"/>
      <c r="N41" s="535">
        <f t="shared" si="11"/>
        <v>4.8</v>
      </c>
      <c r="O41" s="528">
        <f t="shared" si="12"/>
        <v>1.1621621621621621</v>
      </c>
      <c r="P41" s="538">
        <f t="shared" si="13"/>
        <v>32.875287531392161</v>
      </c>
      <c r="Q41" s="532"/>
      <c r="R41" s="535">
        <f t="shared" si="14"/>
        <v>4.8</v>
      </c>
      <c r="S41" s="528">
        <f t="shared" si="15"/>
        <v>1.1621621621621621</v>
      </c>
      <c r="T41" s="538">
        <f t="shared" si="16"/>
        <v>32.875287531392161</v>
      </c>
    </row>
    <row r="42" spans="1:20" x14ac:dyDescent="0.25">
      <c r="A42" s="523" t="str">
        <f t="shared" si="3"/>
        <v>Gardasil Adolescents</v>
      </c>
      <c r="B42" s="523" t="str">
        <f t="shared" si="3"/>
        <v>HCC TV</v>
      </c>
      <c r="C42" s="533">
        <f t="shared" si="4"/>
        <v>15.7</v>
      </c>
      <c r="D42" s="534">
        <f t="shared" si="4"/>
        <v>63.695224076263159</v>
      </c>
      <c r="E42" s="526"/>
      <c r="F42" s="535">
        <f t="shared" si="5"/>
        <v>16.888801000000001</v>
      </c>
      <c r="G42" s="536">
        <f t="shared" si="6"/>
        <v>0</v>
      </c>
      <c r="H42" s="537">
        <f t="shared" si="7"/>
        <v>67.034177652868721</v>
      </c>
      <c r="I42" s="526"/>
      <c r="J42" s="535">
        <f t="shared" si="8"/>
        <v>15.7</v>
      </c>
      <c r="K42" s="528">
        <f t="shared" si="9"/>
        <v>0</v>
      </c>
      <c r="L42" s="537">
        <f t="shared" si="10"/>
        <v>63.695224076263159</v>
      </c>
      <c r="M42" s="530"/>
      <c r="N42" s="535">
        <f t="shared" si="11"/>
        <v>15.7</v>
      </c>
      <c r="O42" s="528">
        <f t="shared" si="12"/>
        <v>0</v>
      </c>
      <c r="P42" s="538">
        <f t="shared" si="13"/>
        <v>63.695224076263159</v>
      </c>
      <c r="Q42" s="532"/>
      <c r="R42" s="535">
        <f t="shared" si="14"/>
        <v>16.888801000000001</v>
      </c>
      <c r="S42" s="528">
        <f t="shared" si="15"/>
        <v>7.5719808917197456E-2</v>
      </c>
      <c r="T42" s="538">
        <f t="shared" si="16"/>
        <v>67.034177652868721</v>
      </c>
    </row>
    <row r="43" spans="1:20" x14ac:dyDescent="0.25">
      <c r="A43" s="523" t="str">
        <f t="shared" si="3"/>
        <v>Gardasil Adults</v>
      </c>
      <c r="B43" s="523" t="str">
        <f t="shared" si="3"/>
        <v>HCC InOffice</v>
      </c>
      <c r="C43" s="533">
        <f t="shared" si="4"/>
        <v>1</v>
      </c>
      <c r="D43" s="534">
        <f t="shared" si="4"/>
        <v>1.5233706180381361</v>
      </c>
      <c r="E43" s="526"/>
      <c r="F43" s="535">
        <f t="shared" si="5"/>
        <v>0.9</v>
      </c>
      <c r="G43" s="536">
        <f t="shared" si="6"/>
        <v>-0.1</v>
      </c>
      <c r="H43" s="537">
        <f t="shared" si="7"/>
        <v>1.4104317445188572</v>
      </c>
      <c r="I43" s="526"/>
      <c r="J43" s="535">
        <f t="shared" si="8"/>
        <v>0.9</v>
      </c>
      <c r="K43" s="528">
        <f t="shared" si="9"/>
        <v>-0.1</v>
      </c>
      <c r="L43" s="537">
        <f t="shared" si="10"/>
        <v>1.4104317445188572</v>
      </c>
      <c r="M43" s="530"/>
      <c r="N43" s="535">
        <f t="shared" si="11"/>
        <v>0.9</v>
      </c>
      <c r="O43" s="528">
        <f t="shared" si="12"/>
        <v>-0.1</v>
      </c>
      <c r="P43" s="538">
        <f t="shared" si="13"/>
        <v>1.4104317445188572</v>
      </c>
      <c r="Q43" s="532"/>
      <c r="R43" s="535">
        <f t="shared" si="14"/>
        <v>0.9</v>
      </c>
      <c r="S43" s="528">
        <f t="shared" si="15"/>
        <v>-0.1</v>
      </c>
      <c r="T43" s="538">
        <f t="shared" si="16"/>
        <v>1.4104317445188572</v>
      </c>
    </row>
    <row r="44" spans="1:20" x14ac:dyDescent="0.25">
      <c r="A44" s="523" t="str">
        <f t="shared" si="3"/>
        <v>Gardasil Adults</v>
      </c>
      <c r="B44" s="523" t="str">
        <f t="shared" si="3"/>
        <v>HCP MCM</v>
      </c>
      <c r="C44" s="533">
        <f t="shared" si="4"/>
        <v>16.948</v>
      </c>
      <c r="D44" s="534">
        <f t="shared" si="4"/>
        <v>92.408087499027943</v>
      </c>
      <c r="E44" s="526"/>
      <c r="F44" s="535">
        <f t="shared" si="5"/>
        <v>20.333699638065696</v>
      </c>
      <c r="G44" s="536">
        <f t="shared" si="6"/>
        <v>0.19976986299655983</v>
      </c>
      <c r="H44" s="537">
        <f t="shared" si="7"/>
        <v>103.71186392886993</v>
      </c>
      <c r="I44" s="526"/>
      <c r="J44" s="535">
        <f t="shared" si="8"/>
        <v>22.05</v>
      </c>
      <c r="K44" s="528">
        <f t="shared" si="9"/>
        <v>0.30103847061600186</v>
      </c>
      <c r="L44" s="537">
        <f t="shared" si="10"/>
        <v>108.76564400671606</v>
      </c>
      <c r="M44" s="530"/>
      <c r="N44" s="535">
        <f t="shared" si="11"/>
        <v>22.05</v>
      </c>
      <c r="O44" s="528">
        <f t="shared" si="12"/>
        <v>0.30103847061600186</v>
      </c>
      <c r="P44" s="538">
        <f t="shared" si="13"/>
        <v>108.76564400671606</v>
      </c>
      <c r="Q44" s="532"/>
      <c r="R44" s="535">
        <f t="shared" si="14"/>
        <v>21.000000203315022</v>
      </c>
      <c r="S44" s="528">
        <f t="shared" si="15"/>
        <v>0.23908426972592775</v>
      </c>
      <c r="T44" s="538">
        <f t="shared" si="16"/>
        <v>105.72478732592278</v>
      </c>
    </row>
    <row r="45" spans="1:20" x14ac:dyDescent="0.25">
      <c r="A45" s="523" t="str">
        <f t="shared" si="3"/>
        <v>Gardasil Adults</v>
      </c>
      <c r="B45" s="523" t="str">
        <f t="shared" si="3"/>
        <v>HCC Social</v>
      </c>
      <c r="C45" s="533">
        <f t="shared" si="4"/>
        <v>2.2000000000000002</v>
      </c>
      <c r="D45" s="534">
        <f t="shared" si="4"/>
        <v>6.171975030653198</v>
      </c>
      <c r="E45" s="526"/>
      <c r="F45" s="535">
        <f t="shared" si="5"/>
        <v>1.8</v>
      </c>
      <c r="G45" s="536">
        <f t="shared" si="6"/>
        <v>-0.18181818181818182</v>
      </c>
      <c r="H45" s="537">
        <f t="shared" si="7"/>
        <v>5.4718483801533537</v>
      </c>
      <c r="I45" s="526"/>
      <c r="J45" s="535">
        <f t="shared" si="8"/>
        <v>2.290679647149426</v>
      </c>
      <c r="K45" s="528">
        <f t="shared" si="9"/>
        <v>4.1218021431557242E-2</v>
      </c>
      <c r="L45" s="537">
        <f t="shared" si="10"/>
        <v>6.3233783241345209</v>
      </c>
      <c r="M45" s="530"/>
      <c r="N45" s="535">
        <f t="shared" si="11"/>
        <v>3.7535327155753802</v>
      </c>
      <c r="O45" s="528">
        <f t="shared" si="12"/>
        <v>0.70615123435244553</v>
      </c>
      <c r="P45" s="538">
        <f t="shared" si="13"/>
        <v>8.5042236926426646</v>
      </c>
      <c r="Q45" s="532"/>
      <c r="R45" s="535">
        <f t="shared" si="14"/>
        <v>4.1545709220185207</v>
      </c>
      <c r="S45" s="528">
        <f t="shared" si="15"/>
        <v>0.88844132819023658</v>
      </c>
      <c r="T45" s="538">
        <f t="shared" si="16"/>
        <v>9.0382897156212092</v>
      </c>
    </row>
    <row r="46" spans="1:20" x14ac:dyDescent="0.25">
      <c r="A46" s="523" t="str">
        <f t="shared" si="3"/>
        <v>Gardasil Adults</v>
      </c>
      <c r="B46" s="523" t="str">
        <f t="shared" si="3"/>
        <v>HCC Online Video</v>
      </c>
      <c r="C46" s="533">
        <f t="shared" si="4"/>
        <v>1.5</v>
      </c>
      <c r="D46" s="534">
        <f t="shared" si="4"/>
        <v>5.944544957049497</v>
      </c>
      <c r="E46" s="526"/>
      <c r="F46" s="535">
        <f t="shared" si="5"/>
        <v>1.1068179535387797</v>
      </c>
      <c r="G46" s="536">
        <f t="shared" si="6"/>
        <v>-0.26212136430748023</v>
      </c>
      <c r="H46" s="537">
        <f t="shared" si="7"/>
        <v>4.875568571233055</v>
      </c>
      <c r="I46" s="526"/>
      <c r="J46" s="535">
        <f t="shared" si="8"/>
        <v>2.0942161059919484</v>
      </c>
      <c r="K46" s="528">
        <f t="shared" si="9"/>
        <v>0.39614407066129892</v>
      </c>
      <c r="L46" s="537">
        <f t="shared" si="10"/>
        <v>7.1360313906607056</v>
      </c>
      <c r="M46" s="530"/>
      <c r="N46" s="535">
        <f t="shared" si="11"/>
        <v>2.4103736146011601</v>
      </c>
      <c r="O46" s="528">
        <f t="shared" si="12"/>
        <v>0.60691574306744001</v>
      </c>
      <c r="P46" s="538">
        <f t="shared" si="13"/>
        <v>7.6112090114466726</v>
      </c>
      <c r="Q46" s="532"/>
      <c r="R46" s="535">
        <f t="shared" si="14"/>
        <v>2.4693387975853112</v>
      </c>
      <c r="S46" s="528">
        <f t="shared" si="15"/>
        <v>0.64622586505687418</v>
      </c>
      <c r="T46" s="538">
        <f t="shared" si="16"/>
        <v>7.6899067353378303</v>
      </c>
    </row>
    <row r="47" spans="1:20" x14ac:dyDescent="0.25">
      <c r="A47" s="523" t="str">
        <f t="shared" si="3"/>
        <v>Gardasil Adults</v>
      </c>
      <c r="B47" s="523" t="str">
        <f t="shared" si="3"/>
        <v>HCC Streaming Video</v>
      </c>
      <c r="C47" s="533">
        <f t="shared" si="4"/>
        <v>10.268452</v>
      </c>
      <c r="D47" s="534">
        <f t="shared" si="4"/>
        <v>18.886370658155332</v>
      </c>
      <c r="E47" s="526"/>
      <c r="F47" s="535">
        <f t="shared" si="5"/>
        <v>8.3069009999999999</v>
      </c>
      <c r="G47" s="536">
        <f t="shared" si="6"/>
        <v>-0.19102694349644914</v>
      </c>
      <c r="H47" s="537">
        <f t="shared" si="7"/>
        <v>16.281797494816164</v>
      </c>
      <c r="I47" s="526"/>
      <c r="J47" s="535">
        <f t="shared" si="8"/>
        <v>8.3069009999999999</v>
      </c>
      <c r="K47" s="528">
        <f t="shared" si="9"/>
        <v>-0.19102694349644914</v>
      </c>
      <c r="L47" s="537">
        <f t="shared" si="10"/>
        <v>16.281797494816164</v>
      </c>
      <c r="M47" s="530"/>
      <c r="N47" s="535">
        <f t="shared" si="11"/>
        <v>8.5668826638837139</v>
      </c>
      <c r="O47" s="528">
        <f t="shared" si="12"/>
        <v>-0.16570845694329447</v>
      </c>
      <c r="P47" s="538">
        <f t="shared" si="13"/>
        <v>16.636846042942892</v>
      </c>
      <c r="Q47" s="532"/>
      <c r="R47" s="535">
        <f t="shared" si="14"/>
        <v>9.7818289864038324</v>
      </c>
      <c r="S47" s="528">
        <f t="shared" si="15"/>
        <v>-4.7390104525605978E-2</v>
      </c>
      <c r="T47" s="538">
        <f t="shared" si="16"/>
        <v>18.255304051492907</v>
      </c>
    </row>
    <row r="48" spans="1:20" x14ac:dyDescent="0.25">
      <c r="A48" s="523" t="str">
        <f t="shared" si="3"/>
        <v>Gardasil Adults</v>
      </c>
      <c r="B48" s="523" t="str">
        <f t="shared" si="3"/>
        <v>HCC Display</v>
      </c>
      <c r="C48" s="533">
        <f t="shared" si="4"/>
        <v>4</v>
      </c>
      <c r="D48" s="534">
        <f t="shared" si="4"/>
        <v>21.02067549422587</v>
      </c>
      <c r="E48" s="526"/>
      <c r="F48" s="535">
        <f t="shared" si="5"/>
        <v>4.2666709673053305</v>
      </c>
      <c r="G48" s="536">
        <f t="shared" si="6"/>
        <v>6.6667741826332644E-2</v>
      </c>
      <c r="H48" s="537">
        <f t="shared" si="7"/>
        <v>21.850640140886878</v>
      </c>
      <c r="I48" s="526"/>
      <c r="J48" s="535">
        <f t="shared" si="8"/>
        <v>4.9999999998964046</v>
      </c>
      <c r="K48" s="528">
        <f t="shared" si="9"/>
        <v>0.24999999997410108</v>
      </c>
      <c r="L48" s="537">
        <f t="shared" si="10"/>
        <v>24.032152745787347</v>
      </c>
      <c r="M48" s="530"/>
      <c r="N48" s="535">
        <f t="shared" si="11"/>
        <v>5</v>
      </c>
      <c r="O48" s="528">
        <f t="shared" si="12"/>
        <v>0.25</v>
      </c>
      <c r="P48" s="538">
        <f t="shared" si="13"/>
        <v>24.032152746086098</v>
      </c>
      <c r="Q48" s="532"/>
      <c r="R48" s="535">
        <f t="shared" si="14"/>
        <v>5</v>
      </c>
      <c r="S48" s="528">
        <f t="shared" si="15"/>
        <v>0.25</v>
      </c>
      <c r="T48" s="538">
        <f t="shared" si="16"/>
        <v>24.032152746086098</v>
      </c>
    </row>
    <row r="49" spans="1:23" x14ac:dyDescent="0.25">
      <c r="A49" s="523" t="str">
        <f t="shared" si="3"/>
        <v>Gardasil Adults</v>
      </c>
      <c r="B49" s="523" t="str">
        <f t="shared" si="3"/>
        <v>HCC Paid Search</v>
      </c>
      <c r="C49" s="533">
        <f t="shared" si="4"/>
        <v>0.2</v>
      </c>
      <c r="D49" s="534">
        <f t="shared" si="4"/>
        <v>17.969341094351833</v>
      </c>
      <c r="E49" s="526"/>
      <c r="F49" s="535">
        <f t="shared" si="5"/>
        <v>0.2</v>
      </c>
      <c r="G49" s="536">
        <f t="shared" si="6"/>
        <v>0</v>
      </c>
      <c r="H49" s="537">
        <f t="shared" si="7"/>
        <v>17.969341094351833</v>
      </c>
      <c r="I49" s="526"/>
      <c r="J49" s="535">
        <f t="shared" si="8"/>
        <v>0.2</v>
      </c>
      <c r="K49" s="528">
        <f t="shared" si="9"/>
        <v>0</v>
      </c>
      <c r="L49" s="537">
        <f t="shared" si="10"/>
        <v>17.969341094351833</v>
      </c>
      <c r="M49" s="530"/>
      <c r="N49" s="535">
        <f t="shared" si="11"/>
        <v>0.2</v>
      </c>
      <c r="O49" s="528">
        <f t="shared" si="12"/>
        <v>0</v>
      </c>
      <c r="P49" s="538">
        <f t="shared" si="13"/>
        <v>17.969341094351833</v>
      </c>
      <c r="Q49" s="532"/>
      <c r="R49" s="535">
        <f t="shared" si="14"/>
        <v>0.2</v>
      </c>
      <c r="S49" s="528">
        <f t="shared" si="15"/>
        <v>0</v>
      </c>
      <c r="T49" s="538">
        <f t="shared" si="16"/>
        <v>17.969341094351833</v>
      </c>
    </row>
    <row r="50" spans="1:23" x14ac:dyDescent="0.25">
      <c r="A50" s="523" t="str">
        <f t="shared" ref="A50:B50" si="17">A23</f>
        <v>Gardasil Adults</v>
      </c>
      <c r="B50" s="523" t="str">
        <f t="shared" si="17"/>
        <v>HCC Linear TV</v>
      </c>
      <c r="C50" s="533">
        <f>C23/1000000</f>
        <v>28.089210999999999</v>
      </c>
      <c r="D50" s="534">
        <f>D23/1000000</f>
        <v>40.395109654958588</v>
      </c>
      <c r="E50" s="526"/>
      <c r="F50" s="535">
        <f t="shared" si="5"/>
        <v>28.089210999999999</v>
      </c>
      <c r="G50" s="536">
        <f t="shared" si="6"/>
        <v>0</v>
      </c>
      <c r="H50" s="537">
        <f t="shared" si="7"/>
        <v>40.395109654958588</v>
      </c>
      <c r="I50" s="526"/>
      <c r="J50" s="535">
        <f t="shared" si="8"/>
        <v>28.089210999999999</v>
      </c>
      <c r="K50" s="528">
        <f t="shared" si="9"/>
        <v>0</v>
      </c>
      <c r="L50" s="537">
        <f t="shared" si="10"/>
        <v>40.395109654958588</v>
      </c>
      <c r="M50" s="530"/>
      <c r="N50" s="535">
        <f t="shared" si="11"/>
        <v>28.089210999999999</v>
      </c>
      <c r="O50" s="528">
        <f t="shared" si="12"/>
        <v>0</v>
      </c>
      <c r="P50" s="538">
        <f t="shared" si="13"/>
        <v>40.395109654958588</v>
      </c>
      <c r="Q50" s="532"/>
      <c r="R50" s="535">
        <f t="shared" si="14"/>
        <v>28.089210999999999</v>
      </c>
      <c r="S50" s="528">
        <f t="shared" si="15"/>
        <v>0</v>
      </c>
      <c r="T50" s="538">
        <f t="shared" si="16"/>
        <v>40.395109654958588</v>
      </c>
    </row>
    <row r="51" spans="1:23" x14ac:dyDescent="0.25">
      <c r="A51" s="523" t="str">
        <f>A24</f>
        <v>Gardasil Adults</v>
      </c>
      <c r="B51" s="523" t="str">
        <f>B24</f>
        <v>HCC Radio</v>
      </c>
      <c r="C51" s="533">
        <f t="shared" ref="C51:D54" si="18">C24/1000000</f>
        <v>1.5</v>
      </c>
      <c r="D51" s="534">
        <f t="shared" si="18"/>
        <v>7.2903099462908374</v>
      </c>
      <c r="E51" s="526"/>
      <c r="F51" s="535">
        <f>F24/1000000</f>
        <v>0.70236244109018753</v>
      </c>
      <c r="G51" s="536">
        <f>G24</f>
        <v>-0.53175837260654168</v>
      </c>
      <c r="H51" s="537">
        <f>H24/1000000</f>
        <v>5.3818798862388411</v>
      </c>
      <c r="I51" s="526"/>
      <c r="J51" s="535">
        <f>J24/1000000</f>
        <v>1.9591142410225026</v>
      </c>
      <c r="K51" s="528">
        <f>K24</f>
        <v>0.30607616068166837</v>
      </c>
      <c r="L51" s="537">
        <f>L24/1000000</f>
        <v>8.1121018302757157</v>
      </c>
      <c r="M51" s="530"/>
      <c r="N51" s="535">
        <f>N24/1000000</f>
        <v>2.31</v>
      </c>
      <c r="O51" s="528">
        <f>O24</f>
        <v>0.54</v>
      </c>
      <c r="P51" s="538">
        <f>P24/1000000</f>
        <v>8.6647149708767248</v>
      </c>
      <c r="Q51" s="532"/>
      <c r="R51" s="535">
        <f>R24/1000000</f>
        <v>2.2000000000000002</v>
      </c>
      <c r="S51" s="528">
        <f>S24</f>
        <v>0.46666666666666667</v>
      </c>
      <c r="T51" s="538">
        <f>T24/1000000</f>
        <v>8.4972532367697085</v>
      </c>
    </row>
    <row r="52" spans="1:23" x14ac:dyDescent="0.25">
      <c r="A52" s="523" t="str">
        <f>A25</f>
        <v>Gardasil Adults</v>
      </c>
      <c r="B52" s="523" t="str">
        <f>B25</f>
        <v>HCC Pharmacy</v>
      </c>
      <c r="C52" s="533">
        <f t="shared" si="18"/>
        <v>3.2</v>
      </c>
      <c r="D52" s="534">
        <f t="shared" si="18"/>
        <v>5.0638371955307466</v>
      </c>
      <c r="E52" s="526"/>
      <c r="F52" s="535">
        <f>F25/1000000</f>
        <v>3.2</v>
      </c>
      <c r="G52" s="536">
        <f>G25</f>
        <v>0</v>
      </c>
      <c r="H52" s="537">
        <f>H25/1000000</f>
        <v>5.0638371955307466</v>
      </c>
      <c r="I52" s="526"/>
      <c r="J52" s="535">
        <f>J25/1000000</f>
        <v>3.2</v>
      </c>
      <c r="K52" s="528">
        <f>K25</f>
        <v>0</v>
      </c>
      <c r="L52" s="537">
        <f>L25/1000000</f>
        <v>5.0638371955307466</v>
      </c>
      <c r="M52" s="530"/>
      <c r="N52" s="535">
        <f>N25/1000000</f>
        <v>3.2</v>
      </c>
      <c r="O52" s="528">
        <f>O25</f>
        <v>0</v>
      </c>
      <c r="P52" s="538">
        <f>P25/1000000</f>
        <v>5.0638371955307466</v>
      </c>
      <c r="Q52" s="532"/>
      <c r="R52" s="535">
        <f>R25/1000000</f>
        <v>3.2</v>
      </c>
      <c r="S52" s="528">
        <f>S25</f>
        <v>0</v>
      </c>
      <c r="T52" s="538">
        <f>T25/1000000</f>
        <v>5.0638371955307466</v>
      </c>
    </row>
    <row r="53" spans="1:23" x14ac:dyDescent="0.25">
      <c r="A53" s="469"/>
      <c r="B53" s="510" t="str">
        <f>B26</f>
        <v>Gardasil Adolescents</v>
      </c>
      <c r="C53" s="511">
        <f t="shared" si="18"/>
        <v>38.513576</v>
      </c>
      <c r="D53" s="512">
        <f t="shared" si="18"/>
        <v>284.16088455212713</v>
      </c>
      <c r="E53" s="513"/>
      <c r="F53" s="514">
        <f t="shared" ref="F53:F54" si="19">F26/1000000</f>
        <v>39.702377000000006</v>
      </c>
      <c r="G53" s="487">
        <f t="shared" ref="G53:G54" si="20">G26</f>
        <v>1.8766081932383616E-16</v>
      </c>
      <c r="H53" s="515">
        <f t="shared" ref="H53:H54" si="21">H26/1000000</f>
        <v>293.4721594254687</v>
      </c>
      <c r="I53" s="513"/>
      <c r="J53" s="514">
        <f t="shared" ref="J53:J54" si="22">J26/1000000</f>
        <v>51.000000005939732</v>
      </c>
      <c r="K53" s="487">
        <f t="shared" ref="K53:K54" si="23">K26</f>
        <v>0.29334131439624622</v>
      </c>
      <c r="L53" s="550">
        <f t="shared" ref="L53:L54" si="24">L26/1000000</f>
        <v>339.40761945836363</v>
      </c>
      <c r="M53" s="486"/>
      <c r="N53" s="514">
        <f t="shared" ref="N53:N54" si="25">N26/1000000</f>
        <v>51.000000005939739</v>
      </c>
      <c r="O53" s="487">
        <f t="shared" ref="O53:O54" si="26">O26</f>
        <v>0.29334131439624639</v>
      </c>
      <c r="P53" s="550">
        <f t="shared" ref="P53:P54" si="27">P26/1000000</f>
        <v>339.4076106458981</v>
      </c>
      <c r="Q53" s="516"/>
      <c r="R53" s="655">
        <f t="shared" ref="R53:R54" si="28">R26/1000000</f>
        <v>51.613090101004381</v>
      </c>
      <c r="S53" s="536">
        <f t="shared" ref="S53:S54" si="29">S26</f>
        <v>0.30926011910720463</v>
      </c>
      <c r="T53" s="656">
        <f t="shared" ref="T53:T54" si="30">T26/1000000</f>
        <v>340.70518528556397</v>
      </c>
      <c r="U53" s="180">
        <f>L53-D53</f>
        <v>55.246734906236497</v>
      </c>
      <c r="V53" s="180">
        <f>P53-D53</f>
        <v>55.246726093770974</v>
      </c>
      <c r="W53" s="180">
        <f>T53-D53</f>
        <v>56.544300733436842</v>
      </c>
    </row>
    <row r="54" spans="1:23" x14ac:dyDescent="0.25">
      <c r="A54" s="469"/>
      <c r="B54" s="510" t="str">
        <f>B27</f>
        <v>Gardasil Adults</v>
      </c>
      <c r="C54" s="511">
        <f t="shared" si="18"/>
        <v>68.905663000000004</v>
      </c>
      <c r="D54" s="512">
        <f t="shared" si="18"/>
        <v>216.67362214828196</v>
      </c>
      <c r="E54" s="513"/>
      <c r="F54" s="514">
        <f t="shared" si="19"/>
        <v>68.905663000000004</v>
      </c>
      <c r="G54" s="487">
        <f t="shared" si="20"/>
        <v>0</v>
      </c>
      <c r="H54" s="515">
        <f t="shared" si="21"/>
        <v>222.41231809155829</v>
      </c>
      <c r="I54" s="513"/>
      <c r="J54" s="514">
        <f t="shared" si="22"/>
        <v>74.090121994060283</v>
      </c>
      <c r="K54" s="487">
        <f t="shared" si="23"/>
        <v>7.5239955155213839E-2</v>
      </c>
      <c r="L54" s="550">
        <f t="shared" si="24"/>
        <v>235.48982548175053</v>
      </c>
      <c r="M54" s="486"/>
      <c r="N54" s="514">
        <f t="shared" si="25"/>
        <v>76.47999999406025</v>
      </c>
      <c r="O54" s="487">
        <f t="shared" si="26"/>
        <v>0.10992328735100115</v>
      </c>
      <c r="P54" s="550">
        <f t="shared" si="27"/>
        <v>239.05351016007114</v>
      </c>
      <c r="Q54" s="516"/>
      <c r="R54" s="655">
        <f t="shared" si="28"/>
        <v>76.994949909322685</v>
      </c>
      <c r="S54" s="536">
        <f t="shared" si="29"/>
        <v>0.11739654706352189</v>
      </c>
      <c r="T54" s="656">
        <f t="shared" si="30"/>
        <v>238.07641350059049</v>
      </c>
      <c r="U54" s="180">
        <f>L54-D54</f>
        <v>18.816203333468565</v>
      </c>
      <c r="V54" s="180">
        <f>P54-D54</f>
        <v>22.379888011789177</v>
      </c>
      <c r="W54" s="180">
        <f>T54-D54</f>
        <v>21.402791352308526</v>
      </c>
    </row>
    <row r="55" spans="1:23" ht="29.65" customHeight="1" x14ac:dyDescent="0.25">
      <c r="A55" s="485"/>
      <c r="B55" s="510" t="s">
        <v>218</v>
      </c>
      <c r="C55" s="517">
        <f>C28/1000000</f>
        <v>107.419239</v>
      </c>
      <c r="D55" s="512">
        <f>D28/1000000</f>
        <v>500.83450670040907</v>
      </c>
      <c r="E55" s="513"/>
      <c r="F55" s="514">
        <f>F28/1000000</f>
        <v>108.60804</v>
      </c>
      <c r="G55" s="519">
        <f>G28</f>
        <v>0</v>
      </c>
      <c r="H55" s="514">
        <f>H28/1000000</f>
        <v>515.88447751702699</v>
      </c>
      <c r="I55" s="513"/>
      <c r="J55" s="514">
        <f>J28/1000000</f>
        <v>125.09012199999999</v>
      </c>
      <c r="K55" s="519">
        <f>K28</f>
        <v>0.1517574757817193</v>
      </c>
      <c r="L55" s="514">
        <f>L28/1000000</f>
        <v>574.89744494011427</v>
      </c>
      <c r="M55" s="486"/>
      <c r="N55" s="514">
        <f>N28/1000000</f>
        <v>127.48</v>
      </c>
      <c r="O55" s="519">
        <f>O28</f>
        <v>0.17376208980476951</v>
      </c>
      <c r="P55" s="514">
        <f>P28/1000000</f>
        <v>578.46112080596924</v>
      </c>
      <c r="Q55" s="516"/>
      <c r="R55" s="655">
        <f>R28/1000000</f>
        <v>128.60804001032707</v>
      </c>
      <c r="S55" s="657">
        <f>S28</f>
        <v>0.18414842962203429</v>
      </c>
      <c r="T55" s="655">
        <f>T28/1000000</f>
        <v>578.78159878615463</v>
      </c>
      <c r="U55" s="503">
        <f>U54*1.25</f>
        <v>23.520254166835706</v>
      </c>
      <c r="V55" s="503">
        <f>V54*1.25</f>
        <v>27.974860014736471</v>
      </c>
      <c r="W55" s="503">
        <f>W54*1.25</f>
        <v>26.753489190385658</v>
      </c>
    </row>
    <row r="56" spans="1:23" ht="25.5" x14ac:dyDescent="0.25">
      <c r="A56" s="485"/>
      <c r="B56" s="510" t="s">
        <v>356</v>
      </c>
      <c r="C56" s="514" t="str">
        <f>_xlfn.CONCAT("ROI"," ", ,C61)</f>
        <v>ROI 4.66</v>
      </c>
      <c r="D56" s="520"/>
      <c r="E56" s="513"/>
      <c r="F56" s="514" t="str">
        <f>_xlfn.CONCAT("ROI"," ", ,F61)</f>
        <v>ROI 4.75</v>
      </c>
      <c r="G56" s="519"/>
      <c r="H56" s="521" t="s">
        <v>364</v>
      </c>
      <c r="I56" s="513"/>
      <c r="J56" s="514" t="str">
        <f>_xlfn.CONCAT("ROI"," ", ,J61)</f>
        <v>ROI 4.6</v>
      </c>
      <c r="K56" s="519"/>
      <c r="L56" s="521" t="s">
        <v>361</v>
      </c>
      <c r="M56" s="486"/>
      <c r="N56" s="514" t="str">
        <f>_xlfn.CONCAT("ROI"," ", ,N61)</f>
        <v>ROI 4.54</v>
      </c>
      <c r="O56" s="519"/>
      <c r="P56" s="521" t="s">
        <v>362</v>
      </c>
      <c r="Q56" s="522"/>
      <c r="R56" s="514" t="str">
        <f>_xlfn.CONCAT("ROI"," ", ,R61)</f>
        <v>ROI 4.5</v>
      </c>
      <c r="S56" s="519"/>
      <c r="T56" s="521" t="s">
        <v>363</v>
      </c>
    </row>
    <row r="57" spans="1:23" ht="38.25" x14ac:dyDescent="0.25">
      <c r="A57" s="485"/>
      <c r="B57" s="510" t="s">
        <v>357</v>
      </c>
      <c r="C57" s="514" t="str">
        <f>_xlfn.CONCAT("ROI"," ", ,C63)</f>
        <v>ROI 7.38</v>
      </c>
      <c r="D57" s="520"/>
      <c r="E57" s="513"/>
      <c r="F57" s="514" t="str">
        <f>_xlfn.CONCAT("ROI"," ", ,F63)</f>
        <v>ROI 7.39</v>
      </c>
      <c r="G57" s="519"/>
      <c r="H57" s="521" t="s">
        <v>365</v>
      </c>
      <c r="I57" s="513"/>
      <c r="J57" s="514" t="str">
        <f>_xlfn.CONCAT("ROI"," ", ,J63)</f>
        <v>ROI 6.66</v>
      </c>
      <c r="K57" s="519"/>
      <c r="L57" s="521" t="s">
        <v>369</v>
      </c>
      <c r="M57" s="486"/>
      <c r="N57" s="514" t="str">
        <f>_xlfn.CONCAT("ROI"," ", ,N63)</f>
        <v>ROI 6.66</v>
      </c>
      <c r="O57" s="519"/>
      <c r="P57" s="521" t="s">
        <v>373</v>
      </c>
      <c r="Q57" s="522"/>
      <c r="R57" s="514" t="str">
        <f>_xlfn.CONCAT("ROI"," ", ,R63)</f>
        <v>ROI 6.6</v>
      </c>
      <c r="S57" s="519"/>
      <c r="T57" s="521" t="s">
        <v>377</v>
      </c>
    </row>
    <row r="58" spans="1:23" ht="51" x14ac:dyDescent="0.25">
      <c r="A58" s="485"/>
      <c r="B58" s="510" t="s">
        <v>360</v>
      </c>
      <c r="C58" s="514" t="str">
        <f>_xlfn.CONCAT("ROI"," ", ,C65)</f>
        <v>ROI 3.14</v>
      </c>
      <c r="D58" s="520"/>
      <c r="E58" s="513"/>
      <c r="F58" s="514" t="str">
        <f>_xlfn.CONCAT("ROI"," ", ,F65)</f>
        <v>ROI 3.23</v>
      </c>
      <c r="G58" s="519"/>
      <c r="H58" s="521" t="s">
        <v>366</v>
      </c>
      <c r="I58" s="513"/>
      <c r="J58" s="514" t="str">
        <f>_xlfn.CONCAT("ROI"," ", ,J65)</f>
        <v>ROI 3.18</v>
      </c>
      <c r="K58" s="519"/>
      <c r="L58" s="521" t="s">
        <v>370</v>
      </c>
      <c r="M58" s="486"/>
      <c r="N58" s="514" t="str">
        <f>_xlfn.CONCAT("ROI"," ", ,N65)</f>
        <v>ROI 3.13</v>
      </c>
      <c r="O58" s="519"/>
      <c r="P58" s="521" t="s">
        <v>374</v>
      </c>
      <c r="Q58" s="522"/>
      <c r="R58" s="514" t="str">
        <f>_xlfn.CONCAT("ROI"," ", ,R65)</f>
        <v>ROI 3.09</v>
      </c>
      <c r="S58" s="519"/>
      <c r="T58" s="521" t="s">
        <v>378</v>
      </c>
    </row>
    <row r="59" spans="1:23" ht="38.25" x14ac:dyDescent="0.25">
      <c r="A59" s="485"/>
      <c r="B59" s="510" t="s">
        <v>359</v>
      </c>
      <c r="C59" s="514" t="str">
        <f>_xlfn.CONCAT("ROI"," ", ,C67)</f>
        <v>ROI 3.93</v>
      </c>
      <c r="D59" s="520"/>
      <c r="E59" s="513"/>
      <c r="F59" s="514" t="str">
        <f>_xlfn.CONCAT("ROI"," ", ,F67)</f>
        <v>ROI 4.03</v>
      </c>
      <c r="G59" s="519"/>
      <c r="H59" s="521" t="s">
        <v>367</v>
      </c>
      <c r="I59" s="513"/>
      <c r="J59" s="514" t="str">
        <f>_xlfn.CONCAT("ROI"," ", ,J67)</f>
        <v>ROI 3.97</v>
      </c>
      <c r="K59" s="519"/>
      <c r="L59" s="521" t="s">
        <v>371</v>
      </c>
      <c r="M59" s="486"/>
      <c r="N59" s="514" t="str">
        <f>_xlfn.CONCAT("ROI"," ", ,N67)</f>
        <v>ROI 3.91</v>
      </c>
      <c r="O59" s="519"/>
      <c r="P59" s="521" t="s">
        <v>375</v>
      </c>
      <c r="Q59" s="522"/>
      <c r="R59" s="514" t="str">
        <f>_xlfn.CONCAT("ROI"," ", ,R67)</f>
        <v>ROI 3.87</v>
      </c>
      <c r="S59" s="519"/>
      <c r="T59" s="521" t="s">
        <v>379</v>
      </c>
    </row>
    <row r="60" spans="1:23" ht="38.25" x14ac:dyDescent="0.25">
      <c r="A60" s="485"/>
      <c r="B60" s="510" t="s">
        <v>358</v>
      </c>
      <c r="C60" s="514" t="str">
        <f>_xlfn.CONCAT("ROI"," ", ,C69)</f>
        <v>ROI 2.52</v>
      </c>
      <c r="D60" s="520"/>
      <c r="E60" s="513"/>
      <c r="F60" s="514" t="str">
        <f>_xlfn.CONCAT("ROI"," ", ,F69)</f>
        <v>ROI 2.58</v>
      </c>
      <c r="G60" s="519"/>
      <c r="H60" s="521" t="s">
        <v>368</v>
      </c>
      <c r="I60" s="513"/>
      <c r="J60" s="514" t="str">
        <f>_xlfn.CONCAT("ROI"," ", ,J69)</f>
        <v>ROI 2.54</v>
      </c>
      <c r="K60" s="519"/>
      <c r="L60" s="521" t="s">
        <v>372</v>
      </c>
      <c r="M60" s="486"/>
      <c r="N60" s="514" t="str">
        <f>_xlfn.CONCAT("ROI"," ", ,N69)</f>
        <v>ROI 2.5</v>
      </c>
      <c r="O60" s="519"/>
      <c r="P60" s="521" t="s">
        <v>376</v>
      </c>
      <c r="Q60" s="522"/>
      <c r="R60" s="514" t="str">
        <f>_xlfn.CONCAT("ROI"," ", ,R69)</f>
        <v>ROI 2.47</v>
      </c>
      <c r="S60" s="519"/>
      <c r="T60" s="521" t="s">
        <v>380</v>
      </c>
    </row>
    <row r="61" spans="1:23" x14ac:dyDescent="0.25">
      <c r="C61" s="97">
        <f>ROUND(D55/C55,2)</f>
        <v>4.66</v>
      </c>
      <c r="F61" s="97">
        <f>ROUND(H55/F55,2)</f>
        <v>4.75</v>
      </c>
      <c r="H61" s="216">
        <f>(H55-$D$55)</f>
        <v>15.049970816617929</v>
      </c>
      <c r="J61" s="97">
        <f>ROUND(L55/J55,2)</f>
        <v>4.5999999999999996</v>
      </c>
      <c r="L61" s="216">
        <f>(L55-$D$55)</f>
        <v>74.062938239705204</v>
      </c>
      <c r="N61" s="97">
        <f>ROUND(P55/N55,2)</f>
        <v>4.54</v>
      </c>
      <c r="P61" s="216">
        <f>(P55-$D$55)</f>
        <v>77.626614105560179</v>
      </c>
      <c r="Q61" s="509"/>
      <c r="R61" s="97">
        <f>ROUND(T55/R55,2)</f>
        <v>4.5</v>
      </c>
      <c r="T61" s="216">
        <f>(T55-$D$55)</f>
        <v>77.947092085745567</v>
      </c>
    </row>
    <row r="62" spans="1:23" x14ac:dyDescent="0.25">
      <c r="H62" s="280">
        <f>H61/$D$55</f>
        <v>3.0049788134148218E-2</v>
      </c>
      <c r="J62" s="248"/>
      <c r="K62" s="248"/>
      <c r="L62" s="331">
        <f>L61/$D$55</f>
        <v>0.14787906433932763</v>
      </c>
      <c r="M62" s="248"/>
      <c r="N62" s="248"/>
      <c r="O62" s="248"/>
      <c r="P62" s="331">
        <f>P61/$D$55</f>
        <v>0.15499454024639547</v>
      </c>
      <c r="Q62" s="331"/>
      <c r="R62" s="248"/>
      <c r="S62" s="248"/>
      <c r="T62" s="331">
        <f>T61/$D$55</f>
        <v>0.15563442822515469</v>
      </c>
    </row>
    <row r="63" spans="1:23" x14ac:dyDescent="0.25">
      <c r="C63" s="97">
        <f>ROUND(D53/C53,2)</f>
        <v>7.38</v>
      </c>
      <c r="F63" s="97">
        <f>ROUND(H53/F53,2)</f>
        <v>7.39</v>
      </c>
      <c r="H63" s="216">
        <f>H53-$D$53</f>
        <v>9.3112748733415742</v>
      </c>
      <c r="J63" s="97">
        <f>ROUND(L53/J53,2)</f>
        <v>6.66</v>
      </c>
      <c r="L63" s="216">
        <f>L53-$D$53</f>
        <v>55.246734906236497</v>
      </c>
      <c r="N63" s="97">
        <f>ROUND(P53/N53,2)</f>
        <v>6.66</v>
      </c>
      <c r="P63" s="216">
        <f>P53-$D$53</f>
        <v>55.246726093770974</v>
      </c>
      <c r="R63" s="97">
        <f>ROUND(T53/R53,2)</f>
        <v>6.6</v>
      </c>
      <c r="T63" s="216">
        <f>T53-$D$53</f>
        <v>56.544300733436842</v>
      </c>
    </row>
    <row r="64" spans="1:23" x14ac:dyDescent="0.25">
      <c r="H64" s="280">
        <f>H63/$D$53</f>
        <v>3.2767616443823012E-2</v>
      </c>
      <c r="L64" s="331">
        <f>L63/$D$53</f>
        <v>0.19442061842294803</v>
      </c>
      <c r="M64" s="248"/>
      <c r="P64" s="331">
        <f>P63/$D$53</f>
        <v>0.19442058741070814</v>
      </c>
      <c r="T64" s="331">
        <f>T63/$D$53</f>
        <v>0.19898692539107798</v>
      </c>
    </row>
    <row r="65" spans="3:20" x14ac:dyDescent="0.25">
      <c r="C65" s="97">
        <f>ROUND(D54/C54,2)</f>
        <v>3.14</v>
      </c>
      <c r="F65" s="97">
        <f>ROUND(H54/F54,2)</f>
        <v>3.23</v>
      </c>
      <c r="H65" s="216">
        <f>H54-$D$54</f>
        <v>5.7386959432763263</v>
      </c>
      <c r="J65" s="97">
        <f>ROUND(L54/J54,2)</f>
        <v>3.18</v>
      </c>
      <c r="L65" s="216">
        <f>L54-$D$54</f>
        <v>18.816203333468565</v>
      </c>
      <c r="N65" s="97">
        <f>ROUND(P54/N54,2)</f>
        <v>3.13</v>
      </c>
      <c r="P65" s="216">
        <f>P54-$D$54</f>
        <v>22.379888011789177</v>
      </c>
      <c r="R65" s="97">
        <f>ROUND(T54/R54,2)</f>
        <v>3.09</v>
      </c>
      <c r="T65" s="216">
        <f>T54-$D$54</f>
        <v>21.402791352308526</v>
      </c>
    </row>
    <row r="66" spans="3:20" x14ac:dyDescent="0.25">
      <c r="H66" s="280">
        <f>H65/$D$54</f>
        <v>2.6485438727511617E-2</v>
      </c>
      <c r="L66" s="331">
        <f>L65/$D$54</f>
        <v>8.6841227588799794E-2</v>
      </c>
      <c r="M66" s="248"/>
      <c r="P66" s="331">
        <f>P65/$D$54</f>
        <v>0.10328847503400003</v>
      </c>
      <c r="T66" s="331">
        <f>T65/$D$54</f>
        <v>9.877894291009448E-2</v>
      </c>
    </row>
    <row r="67" spans="3:20" x14ac:dyDescent="0.25">
      <c r="C67" s="97">
        <f>ROUND(D54*1.25/C54,2)</f>
        <v>3.93</v>
      </c>
      <c r="F67" s="97">
        <f>ROUND(H54*1.25/F54,2)</f>
        <v>4.03</v>
      </c>
      <c r="H67" s="216">
        <f>H65*1.25</f>
        <v>7.1733699290954078</v>
      </c>
      <c r="J67" s="97">
        <f>ROUND(L54*1.25/J54,2)</f>
        <v>3.97</v>
      </c>
      <c r="L67" s="216">
        <f>L65*1.25</f>
        <v>23.520254166835706</v>
      </c>
      <c r="N67" s="97">
        <f>ROUND(P54*1.25/N54,2)</f>
        <v>3.91</v>
      </c>
      <c r="P67" s="216">
        <f>P65*1.25</f>
        <v>27.974860014736471</v>
      </c>
      <c r="R67" s="97">
        <f>ROUND(T54*1.25/R54,2)</f>
        <v>3.87</v>
      </c>
      <c r="T67" s="216">
        <f>T65*1.25</f>
        <v>26.753489190385658</v>
      </c>
    </row>
    <row r="68" spans="3:20" x14ac:dyDescent="0.25">
      <c r="H68" s="280">
        <f>H67/($D$54*1.25)</f>
        <v>2.648543872751162E-2</v>
      </c>
      <c r="L68" s="331">
        <f>L67/($D$54*1.25)</f>
        <v>8.6841227588799794E-2</v>
      </c>
      <c r="M68" s="248"/>
      <c r="P68" s="331">
        <f>P67/($D$54*1.25)</f>
        <v>0.10328847503400003</v>
      </c>
      <c r="T68" s="331">
        <f>T67/($D$54*1.25)</f>
        <v>9.877894291009448E-2</v>
      </c>
    </row>
    <row r="69" spans="3:20" x14ac:dyDescent="0.25">
      <c r="C69" s="97">
        <f>ROUND(D54*0.8/C54,2)</f>
        <v>2.52</v>
      </c>
      <c r="F69" s="97">
        <f>ROUND(H54*0.8/F54,2)</f>
        <v>2.58</v>
      </c>
      <c r="H69" s="216">
        <f>H65*0.8</f>
        <v>4.590956754621061</v>
      </c>
      <c r="J69" s="97">
        <f>ROUND(L54*0.8/J54,2)</f>
        <v>2.54</v>
      </c>
      <c r="L69" s="216">
        <f>L65*0.8</f>
        <v>15.052962666774853</v>
      </c>
      <c r="N69" s="97">
        <f>ROUND(P54*0.8/N54,2)</f>
        <v>2.5</v>
      </c>
      <c r="P69" s="216">
        <f>P65*0.8</f>
        <v>17.903910409431344</v>
      </c>
      <c r="R69" s="97">
        <f>ROUND(T54*0.8/R54,2)</f>
        <v>2.4700000000000002</v>
      </c>
      <c r="T69" s="216">
        <f>T65*0.8</f>
        <v>17.122233081846822</v>
      </c>
    </row>
    <row r="70" spans="3:20" x14ac:dyDescent="0.25">
      <c r="H70" s="280">
        <f>H69/($D$54*0.8)</f>
        <v>2.6485438727511617E-2</v>
      </c>
      <c r="L70" s="331">
        <f>L69/($D$54*0.8)</f>
        <v>8.6841227588799794E-2</v>
      </c>
      <c r="M70" s="248"/>
      <c r="P70" s="331">
        <f>P69/($D$54*0.8)</f>
        <v>0.10328847503400003</v>
      </c>
      <c r="T70" s="331">
        <f>T69/($D$54*0.8)</f>
        <v>9.877894291009448E-2</v>
      </c>
    </row>
    <row r="81" ht="27.6" customHeight="1" x14ac:dyDescent="0.25"/>
  </sheetData>
  <mergeCells count="11">
    <mergeCell ref="C32:D32"/>
    <mergeCell ref="F32:H32"/>
    <mergeCell ref="J32:L32"/>
    <mergeCell ref="N32:P32"/>
    <mergeCell ref="R32:T32"/>
    <mergeCell ref="F31:T31"/>
    <mergeCell ref="F4:P4"/>
    <mergeCell ref="F5:H5"/>
    <mergeCell ref="J5:L5"/>
    <mergeCell ref="N5:P5"/>
    <mergeCell ref="R5:T5"/>
  </mergeCells>
  <conditionalFormatting sqref="G34:G52">
    <cfRule type="cellIs" dxfId="19" priority="15" operator="lessThan">
      <formula>0</formula>
    </cfRule>
    <cfRule type="cellIs" dxfId="18" priority="16" operator="greaterThan">
      <formula>0</formula>
    </cfRule>
  </conditionalFormatting>
  <conditionalFormatting sqref="O34:O52">
    <cfRule type="cellIs" dxfId="17" priority="13" operator="lessThan">
      <formula>0</formula>
    </cfRule>
    <cfRule type="cellIs" dxfId="16" priority="14" operator="greaterThan">
      <formula>0</formula>
    </cfRule>
  </conditionalFormatting>
  <conditionalFormatting sqref="K34:K52">
    <cfRule type="cellIs" dxfId="15" priority="11" operator="lessThan">
      <formula>0</formula>
    </cfRule>
    <cfRule type="cellIs" dxfId="14" priority="12" operator="greaterThan">
      <formula>0</formula>
    </cfRule>
  </conditionalFormatting>
  <conditionalFormatting sqref="G53:G54">
    <cfRule type="cellIs" dxfId="13" priority="9" operator="lessThan">
      <formula>0</formula>
    </cfRule>
    <cfRule type="cellIs" dxfId="12" priority="10" operator="greaterThan">
      <formula>0</formula>
    </cfRule>
  </conditionalFormatting>
  <conditionalFormatting sqref="K53:K54">
    <cfRule type="cellIs" dxfId="11" priority="7" operator="lessThan">
      <formula>0</formula>
    </cfRule>
    <cfRule type="cellIs" dxfId="10" priority="8" operator="greaterThan">
      <formula>0</formula>
    </cfRule>
  </conditionalFormatting>
  <conditionalFormatting sqref="O53:O54">
    <cfRule type="cellIs" dxfId="9" priority="5" operator="lessThan">
      <formula>0</formula>
    </cfRule>
    <cfRule type="cellIs" dxfId="8" priority="6" operator="greaterThan">
      <formula>0</formula>
    </cfRule>
  </conditionalFormatting>
  <conditionalFormatting sqref="S34:S52">
    <cfRule type="cellIs" dxfId="7" priority="3" operator="lessThan">
      <formula>0</formula>
    </cfRule>
    <cfRule type="cellIs" dxfId="6" priority="4" operator="greaterThan">
      <formula>0</formula>
    </cfRule>
  </conditionalFormatting>
  <conditionalFormatting sqref="S53:S54">
    <cfRule type="cellIs" dxfId="5" priority="1" operator="lessThan">
      <formula>0</formula>
    </cfRule>
    <cfRule type="cellIs" dxfId="4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81"/>
  <sheetViews>
    <sheetView topLeftCell="A16" zoomScale="90" zoomScaleNormal="90" workbookViewId="0">
      <selection activeCell="I29" sqref="I29:I38"/>
    </sheetView>
  </sheetViews>
  <sheetFormatPr defaultColWidth="8.85546875" defaultRowHeight="12.75" x14ac:dyDescent="0.2"/>
  <cols>
    <col min="1" max="1" width="24.5703125" style="1" customWidth="1"/>
    <col min="2" max="2" width="18.42578125" style="1" customWidth="1"/>
    <col min="3" max="3" width="16.28515625" style="1" customWidth="1"/>
    <col min="4" max="4" width="22.42578125" style="1" bestFit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9" width="15" style="1" bestFit="1" customWidth="1"/>
    <col min="10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194</v>
      </c>
    </row>
    <row r="2" spans="1:14" x14ac:dyDescent="0.2">
      <c r="A2" s="48" t="s">
        <v>76</v>
      </c>
      <c r="B2" s="1" t="s">
        <v>200</v>
      </c>
    </row>
    <row r="3" spans="1:14" x14ac:dyDescent="0.2">
      <c r="A3" s="48" t="s">
        <v>77</v>
      </c>
      <c r="B3" s="1" t="s">
        <v>340</v>
      </c>
    </row>
    <row r="4" spans="1:14" ht="28.9" customHeight="1" x14ac:dyDescent="0.2">
      <c r="A4" s="49" t="s">
        <v>78</v>
      </c>
      <c r="B4" s="591" t="s">
        <v>342</v>
      </c>
      <c r="C4" s="592"/>
      <c r="D4" s="592"/>
      <c r="E4" s="592"/>
      <c r="F4" s="592"/>
      <c r="G4" s="592"/>
      <c r="H4" s="592"/>
      <c r="I4" s="592"/>
      <c r="N4" s="1" t="s">
        <v>270</v>
      </c>
    </row>
    <row r="5" spans="1:14" x14ac:dyDescent="0.2">
      <c r="A5" s="48" t="s">
        <v>79</v>
      </c>
      <c r="B5" s="1" t="s">
        <v>127</v>
      </c>
      <c r="E5" s="593" t="s">
        <v>50</v>
      </c>
      <c r="F5" s="594"/>
      <c r="G5" s="594"/>
      <c r="H5" s="594"/>
      <c r="I5" s="595"/>
      <c r="N5" s="1" t="s">
        <v>271</v>
      </c>
    </row>
    <row r="6" spans="1:14" x14ac:dyDescent="0.2">
      <c r="A6" s="48" t="s">
        <v>80</v>
      </c>
      <c r="B6" s="1" t="s">
        <v>195</v>
      </c>
      <c r="E6" s="596" t="s">
        <v>51</v>
      </c>
      <c r="F6" s="597"/>
      <c r="G6" s="597"/>
      <c r="H6" s="597"/>
      <c r="I6" s="598"/>
    </row>
    <row r="7" spans="1:14" ht="13.5" thickBot="1" x14ac:dyDescent="0.25">
      <c r="D7" s="488" t="s">
        <v>348</v>
      </c>
      <c r="E7" s="490">
        <v>0</v>
      </c>
    </row>
    <row r="8" spans="1:14" ht="13.5" thickBot="1" x14ac:dyDescent="0.25">
      <c r="A8" s="51" t="s">
        <v>81</v>
      </c>
      <c r="D8" s="488" t="s">
        <v>349</v>
      </c>
      <c r="E8" s="490">
        <f>74090122-68905663</f>
        <v>5184459</v>
      </c>
    </row>
    <row r="9" spans="1:14" ht="13.5" thickBot="1" x14ac:dyDescent="0.25">
      <c r="A9" s="29" t="s">
        <v>83</v>
      </c>
      <c r="B9" s="57">
        <f>J40</f>
        <v>2561660.6124907257</v>
      </c>
      <c r="C9" s="492"/>
    </row>
    <row r="10" spans="1:14" ht="13.5" thickBot="1" x14ac:dyDescent="0.25">
      <c r="A10" s="50"/>
      <c r="E10" s="1" t="s">
        <v>94</v>
      </c>
    </row>
    <row r="11" spans="1:14" x14ac:dyDescent="0.2">
      <c r="A11" s="403" t="s">
        <v>82</v>
      </c>
      <c r="B11" s="398" t="s">
        <v>84</v>
      </c>
      <c r="C11" s="398" t="s">
        <v>97</v>
      </c>
      <c r="D11" s="398" t="s">
        <v>98</v>
      </c>
      <c r="E11" s="398" t="s">
        <v>160</v>
      </c>
      <c r="F11" s="398" t="s">
        <v>161</v>
      </c>
      <c r="G11" s="399" t="s">
        <v>302</v>
      </c>
    </row>
    <row r="12" spans="1:14" s="98" customFormat="1" x14ac:dyDescent="0.2">
      <c r="A12" s="404" t="s">
        <v>300</v>
      </c>
      <c r="B12" s="400">
        <f>SUM(E19:E27,E7)</f>
        <v>38513576</v>
      </c>
      <c r="C12" s="401">
        <f>SUM(E19:E27)*E12</f>
        <v>48141970</v>
      </c>
      <c r="D12" s="401">
        <f>B12*F12</f>
        <v>51000000.00593973</v>
      </c>
      <c r="E12" s="402">
        <v>1.25</v>
      </c>
      <c r="F12" s="402">
        <v>1.324208378</v>
      </c>
      <c r="G12" s="418">
        <f>I28</f>
        <v>51613090.101004384</v>
      </c>
      <c r="H12" s="504">
        <f>D12-C12</f>
        <v>2858030.0059397295</v>
      </c>
      <c r="I12" s="98">
        <f>(C12+5000000)/C12</f>
        <v>1.103859480615355</v>
      </c>
    </row>
    <row r="13" spans="1:14" s="98" customFormat="1" x14ac:dyDescent="0.2">
      <c r="A13" s="404" t="s">
        <v>301</v>
      </c>
      <c r="B13" s="400">
        <f>SUM(E29:E38,E8)</f>
        <v>74090122</v>
      </c>
      <c r="C13" s="401">
        <f>B13*E13</f>
        <v>70385615.899999991</v>
      </c>
      <c r="D13" s="401">
        <f>B13*F13</f>
        <v>74090122</v>
      </c>
      <c r="E13" s="402">
        <v>0.95</v>
      </c>
      <c r="F13" s="402">
        <v>1</v>
      </c>
      <c r="G13" s="418">
        <f>I39</f>
        <v>76994949.909322679</v>
      </c>
      <c r="H13" s="504">
        <f>D13-C13</f>
        <v>3704506.1000000089</v>
      </c>
      <c r="I13" s="98">
        <f>(C13+5000000)/C13</f>
        <v>1.0710372415736722</v>
      </c>
    </row>
    <row r="14" spans="1:14" s="251" customFormat="1" ht="13.5" thickBot="1" x14ac:dyDescent="0.25">
      <c r="A14" s="405" t="s">
        <v>159</v>
      </c>
      <c r="B14" s="95">
        <f>SUM(B12:B13)</f>
        <v>112603698</v>
      </c>
      <c r="C14" s="505">
        <f>51000000+74090122</f>
        <v>125090122</v>
      </c>
      <c r="D14" s="505">
        <f>C14</f>
        <v>125090122</v>
      </c>
      <c r="E14" s="406">
        <v>1</v>
      </c>
      <c r="F14" s="406">
        <v>1</v>
      </c>
      <c r="G14" s="419">
        <f>I40</f>
        <v>128608040.01032709</v>
      </c>
      <c r="I14" s="489">
        <f>E40+20000000</f>
        <v>127419239</v>
      </c>
      <c r="J14" s="251">
        <f>I14/E40</f>
        <v>1.1861863869655602</v>
      </c>
      <c r="K14" s="265"/>
      <c r="L14" s="265"/>
    </row>
    <row r="15" spans="1:14" ht="13.5" thickBot="1" x14ac:dyDescent="0.25">
      <c r="L15" s="143">
        <f>G70</f>
        <v>500834506.70040905</v>
      </c>
      <c r="M15" s="113">
        <f>J70</f>
        <v>578781598.78615463</v>
      </c>
    </row>
    <row r="16" spans="1:14" ht="60.6" customHeight="1" thickBot="1" x14ac:dyDescent="0.25">
      <c r="A16" s="52" t="s">
        <v>85</v>
      </c>
      <c r="D16" s="96" t="s">
        <v>95</v>
      </c>
      <c r="E16" s="96" t="s">
        <v>95</v>
      </c>
      <c r="F16" s="96" t="s">
        <v>96</v>
      </c>
      <c r="G16" s="274"/>
      <c r="H16" s="274"/>
      <c r="I16" s="56" t="s">
        <v>95</v>
      </c>
      <c r="J16" s="56" t="s">
        <v>96</v>
      </c>
    </row>
    <row r="17" spans="1:17" ht="27.75" customHeight="1" x14ac:dyDescent="0.2">
      <c r="A17" s="569" t="s">
        <v>2</v>
      </c>
      <c r="B17" s="571" t="s">
        <v>3</v>
      </c>
      <c r="C17" s="571" t="s">
        <v>38</v>
      </c>
      <c r="D17" s="571" t="s">
        <v>128</v>
      </c>
      <c r="E17" s="599" t="s">
        <v>86</v>
      </c>
      <c r="F17" s="601"/>
      <c r="G17" s="572" t="s">
        <v>131</v>
      </c>
      <c r="H17" s="573"/>
      <c r="I17" s="572" t="s">
        <v>89</v>
      </c>
      <c r="J17" s="573"/>
      <c r="K17" s="599" t="s">
        <v>90</v>
      </c>
      <c r="L17" s="600"/>
      <c r="M17" s="600"/>
      <c r="N17" s="601"/>
    </row>
    <row r="18" spans="1:17" ht="25.5" x14ac:dyDescent="0.2">
      <c r="A18" s="570"/>
      <c r="B18" s="570"/>
      <c r="C18" s="570"/>
      <c r="D18" s="570"/>
      <c r="E18" s="78" t="s">
        <v>149</v>
      </c>
      <c r="F18" s="78" t="s">
        <v>193</v>
      </c>
      <c r="G18" s="78" t="s">
        <v>87</v>
      </c>
      <c r="H18" s="78" t="s">
        <v>88</v>
      </c>
      <c r="I18" s="55" t="s">
        <v>148</v>
      </c>
      <c r="J18" s="55" t="s">
        <v>196</v>
      </c>
      <c r="K18" s="78" t="s">
        <v>130</v>
      </c>
      <c r="L18" s="78" t="s">
        <v>197</v>
      </c>
      <c r="M18" s="78" t="s">
        <v>91</v>
      </c>
      <c r="N18" s="78" t="s">
        <v>92</v>
      </c>
    </row>
    <row r="19" spans="1:17" x14ac:dyDescent="0.2">
      <c r="A19" s="267" t="s">
        <v>175</v>
      </c>
      <c r="B19" s="285" t="s">
        <v>225</v>
      </c>
      <c r="C19" s="53" t="s">
        <v>129</v>
      </c>
      <c r="D19" s="296">
        <v>1</v>
      </c>
      <c r="E19" s="342">
        <v>1000000</v>
      </c>
      <c r="F19" s="297">
        <f>GINOFF!I9</f>
        <v>15970.197880234569</v>
      </c>
      <c r="G19" s="342">
        <v>1000000</v>
      </c>
      <c r="H19" s="342">
        <v>7500000</v>
      </c>
      <c r="I19" s="306">
        <v>1280553.8166407023</v>
      </c>
      <c r="J19" s="298">
        <f>GINOFF!F9</f>
        <v>19403.271232455969</v>
      </c>
      <c r="K19" s="299">
        <f>I19-E19</f>
        <v>280553.81664070231</v>
      </c>
      <c r="L19" s="299">
        <f>J19-F19</f>
        <v>3433.0733522213995</v>
      </c>
      <c r="M19" s="300">
        <f>K19/E19</f>
        <v>0.28055381664070234</v>
      </c>
      <c r="N19" s="300">
        <f>L19/F19</f>
        <v>0.21496748994389886</v>
      </c>
      <c r="O19" s="325">
        <f>E19/F19</f>
        <v>62.616631772461922</v>
      </c>
      <c r="P19" s="287">
        <f>G19/1000000</f>
        <v>1</v>
      </c>
      <c r="Q19" s="287">
        <f>H19/1000000</f>
        <v>7.5</v>
      </c>
    </row>
    <row r="20" spans="1:17" x14ac:dyDescent="0.2">
      <c r="A20" s="268" t="s">
        <v>175</v>
      </c>
      <c r="B20" s="286" t="s">
        <v>226</v>
      </c>
      <c r="C20" s="54" t="s">
        <v>129</v>
      </c>
      <c r="D20" s="301">
        <v>1</v>
      </c>
      <c r="E20" s="307">
        <v>7775778</v>
      </c>
      <c r="F20" s="302">
        <f>GMCM!I9</f>
        <v>342226.11897340976</v>
      </c>
      <c r="G20" s="307">
        <v>5400000</v>
      </c>
      <c r="H20" s="307">
        <v>12000000</v>
      </c>
      <c r="I20" s="308">
        <v>11092068.118553624</v>
      </c>
      <c r="J20" s="303">
        <f>GMCM!F9</f>
        <v>407759.92261045426</v>
      </c>
      <c r="K20" s="304">
        <f>I20-E20</f>
        <v>3316290.1185536236</v>
      </c>
      <c r="L20" s="304">
        <f t="shared" ref="L20" si="0">J20-F20</f>
        <v>65533.803637044504</v>
      </c>
      <c r="M20" s="305">
        <f>K20/E20</f>
        <v>0.42648981472382874</v>
      </c>
      <c r="N20" s="305">
        <f t="shared" ref="N20:N38" si="1">L20/F20</f>
        <v>0.19149270030478399</v>
      </c>
      <c r="O20" s="325">
        <f t="shared" ref="O20:O36" si="2">E20/F20</f>
        <v>22.721170503658026</v>
      </c>
      <c r="P20" s="287">
        <f t="shared" ref="P20:Q28" si="3">G20/1000000</f>
        <v>5.4</v>
      </c>
      <c r="Q20" s="287">
        <f t="shared" si="3"/>
        <v>12</v>
      </c>
    </row>
    <row r="21" spans="1:17" s="98" customFormat="1" x14ac:dyDescent="0.2">
      <c r="A21" s="268" t="s">
        <v>175</v>
      </c>
      <c r="B21" s="286" t="s">
        <v>227</v>
      </c>
      <c r="C21" s="54" t="s">
        <v>169</v>
      </c>
      <c r="D21" s="301">
        <v>1</v>
      </c>
      <c r="E21" s="307">
        <v>1840000</v>
      </c>
      <c r="F21" s="302">
        <f>GSOC!I9</f>
        <v>70487.367019183061</v>
      </c>
      <c r="G21" s="307">
        <v>1599500</v>
      </c>
      <c r="H21" s="307">
        <v>6500000</v>
      </c>
      <c r="I21" s="308">
        <v>4455047.5305201802</v>
      </c>
      <c r="J21" s="303">
        <f>GSOC!F9</f>
        <v>119820.74059201809</v>
      </c>
      <c r="K21" s="304">
        <f t="shared" ref="K21:K38" si="4">I21-E21</f>
        <v>2615047.5305201802</v>
      </c>
      <c r="L21" s="304">
        <f t="shared" ref="L21:L38" si="5">J21-F21</f>
        <v>49333.373572835029</v>
      </c>
      <c r="M21" s="305">
        <f t="shared" ref="M21:M38" si="6">K21/E21</f>
        <v>1.4212214839783588</v>
      </c>
      <c r="N21" s="305">
        <f t="shared" si="1"/>
        <v>0.69988957821915809</v>
      </c>
      <c r="O21" s="325">
        <f t="shared" si="2"/>
        <v>26.103968382011573</v>
      </c>
      <c r="P21" s="287">
        <f t="shared" si="3"/>
        <v>1.5994999999999999</v>
      </c>
      <c r="Q21" s="287">
        <f t="shared" si="3"/>
        <v>6.5</v>
      </c>
    </row>
    <row r="22" spans="1:17" s="98" customFormat="1" x14ac:dyDescent="0.2">
      <c r="A22" s="268" t="s">
        <v>175</v>
      </c>
      <c r="B22" s="286" t="s">
        <v>245</v>
      </c>
      <c r="C22" s="54" t="s">
        <v>129</v>
      </c>
      <c r="D22" s="301">
        <v>1</v>
      </c>
      <c r="E22" s="307">
        <v>1220000</v>
      </c>
      <c r="F22" s="302">
        <f>GOLV!I9</f>
        <v>15022.779470646754</v>
      </c>
      <c r="G22" s="307">
        <v>1000000</v>
      </c>
      <c r="H22" s="307">
        <v>3500000</v>
      </c>
      <c r="I22" s="308">
        <v>1000000</v>
      </c>
      <c r="J22" s="303">
        <f>GOLV!F9</f>
        <v>14861.613123927265</v>
      </c>
      <c r="K22" s="304">
        <f t="shared" si="4"/>
        <v>-220000</v>
      </c>
      <c r="L22" s="304">
        <f t="shared" si="5"/>
        <v>-161.1663467194885</v>
      </c>
      <c r="M22" s="305">
        <f t="shared" si="6"/>
        <v>-0.18032786885245902</v>
      </c>
      <c r="N22" s="305">
        <f t="shared" si="1"/>
        <v>-1.0728131038227244E-2</v>
      </c>
      <c r="O22" s="325">
        <f t="shared" si="2"/>
        <v>81.210005271246729</v>
      </c>
      <c r="P22" s="287">
        <f t="shared" si="3"/>
        <v>1</v>
      </c>
      <c r="Q22" s="287">
        <f t="shared" si="3"/>
        <v>3.5</v>
      </c>
    </row>
    <row r="23" spans="1:17" s="98" customFormat="1" x14ac:dyDescent="0.2">
      <c r="A23" s="268" t="s">
        <v>175</v>
      </c>
      <c r="B23" s="286" t="s">
        <v>247</v>
      </c>
      <c r="C23" s="54" t="s">
        <v>169</v>
      </c>
      <c r="D23" s="301">
        <v>1</v>
      </c>
      <c r="E23" s="307">
        <v>4817798</v>
      </c>
      <c r="F23" s="302">
        <f>GSTRV!I9</f>
        <v>121516.7124715425</v>
      </c>
      <c r="G23" s="307">
        <v>4817798</v>
      </c>
      <c r="H23" s="307">
        <v>12070113</v>
      </c>
      <c r="I23" s="308">
        <v>6494076.6811486697</v>
      </c>
      <c r="J23" s="303">
        <f>GSTRV!F9</f>
        <v>149762.88214142565</v>
      </c>
      <c r="K23" s="304">
        <f t="shared" si="4"/>
        <v>1676278.6811486697</v>
      </c>
      <c r="L23" s="304">
        <f t="shared" si="5"/>
        <v>28246.169669883151</v>
      </c>
      <c r="M23" s="305">
        <f t="shared" si="6"/>
        <v>0.3479346126900027</v>
      </c>
      <c r="N23" s="305">
        <f t="shared" si="1"/>
        <v>0.23244678937885194</v>
      </c>
      <c r="O23" s="325">
        <f t="shared" si="2"/>
        <v>39.647204915358948</v>
      </c>
      <c r="P23" s="287">
        <f t="shared" si="3"/>
        <v>4.8177979999999998</v>
      </c>
      <c r="Q23" s="287">
        <f t="shared" si="3"/>
        <v>12.070112999999999</v>
      </c>
    </row>
    <row r="24" spans="1:17" s="98" customFormat="1" x14ac:dyDescent="0.2">
      <c r="A24" s="268" t="s">
        <v>175</v>
      </c>
      <c r="B24" s="286" t="s">
        <v>228</v>
      </c>
      <c r="C24" s="54" t="s">
        <v>169</v>
      </c>
      <c r="D24" s="301">
        <v>1</v>
      </c>
      <c r="E24" s="307">
        <v>3540000</v>
      </c>
      <c r="F24" s="302">
        <f>GDISP!I9</f>
        <v>173899.1701768022</v>
      </c>
      <c r="G24" s="307">
        <v>1600000</v>
      </c>
      <c r="H24" s="307">
        <v>7000000</v>
      </c>
      <c r="I24" s="308">
        <v>5202542.954141208</v>
      </c>
      <c r="J24" s="303">
        <f>GDISP!F9</f>
        <v>209103.94622687995</v>
      </c>
      <c r="K24" s="304">
        <f t="shared" si="4"/>
        <v>1662542.954141208</v>
      </c>
      <c r="L24" s="304">
        <f t="shared" si="5"/>
        <v>35204.776050077751</v>
      </c>
      <c r="M24" s="305">
        <f t="shared" si="6"/>
        <v>0.46964490229977629</v>
      </c>
      <c r="N24" s="305">
        <f t="shared" si="1"/>
        <v>0.20244361151513993</v>
      </c>
      <c r="O24" s="325">
        <f t="shared" si="2"/>
        <v>20.356623878083514</v>
      </c>
      <c r="P24" s="287">
        <f t="shared" si="3"/>
        <v>1.6</v>
      </c>
      <c r="Q24" s="287">
        <f t="shared" si="3"/>
        <v>7</v>
      </c>
    </row>
    <row r="25" spans="1:17" s="98" customFormat="1" x14ac:dyDescent="0.2">
      <c r="A25" s="268" t="s">
        <v>175</v>
      </c>
      <c r="B25" s="286" t="s">
        <v>229</v>
      </c>
      <c r="C25" s="54" t="s">
        <v>169</v>
      </c>
      <c r="D25" s="301">
        <v>1</v>
      </c>
      <c r="E25" s="307">
        <v>400000</v>
      </c>
      <c r="F25" s="302">
        <f>GSEARCH!I9</f>
        <v>145038.35480357721</v>
      </c>
      <c r="G25" s="307">
        <v>300000</v>
      </c>
      <c r="H25" s="307">
        <v>400000</v>
      </c>
      <c r="I25" s="308">
        <v>400000</v>
      </c>
      <c r="J25" s="303">
        <f>GSEARCH!F9</f>
        <v>145038.35480357721</v>
      </c>
      <c r="K25" s="304">
        <f t="shared" si="4"/>
        <v>0</v>
      </c>
      <c r="L25" s="304">
        <f t="shared" si="5"/>
        <v>0</v>
      </c>
      <c r="M25" s="305">
        <f t="shared" si="6"/>
        <v>0</v>
      </c>
      <c r="N25" s="305">
        <f t="shared" si="1"/>
        <v>0</v>
      </c>
      <c r="O25" s="325">
        <f t="shared" si="2"/>
        <v>2.7578911836232054</v>
      </c>
      <c r="P25" s="287">
        <f t="shared" si="3"/>
        <v>0.3</v>
      </c>
      <c r="Q25" s="287">
        <f t="shared" si="3"/>
        <v>0.4</v>
      </c>
    </row>
    <row r="26" spans="1:17" x14ac:dyDescent="0.2">
      <c r="A26" s="268" t="s">
        <v>175</v>
      </c>
      <c r="B26" s="286" t="s">
        <v>284</v>
      </c>
      <c r="C26" s="54" t="s">
        <v>169</v>
      </c>
      <c r="D26" s="301">
        <v>1</v>
      </c>
      <c r="E26" s="307">
        <v>2220000</v>
      </c>
      <c r="F26" s="302">
        <f>GRADIO!I9</f>
        <v>91610.125423352103</v>
      </c>
      <c r="G26" s="307">
        <v>1400000</v>
      </c>
      <c r="H26" s="307">
        <f>4800000</f>
        <v>4800000</v>
      </c>
      <c r="I26" s="308">
        <v>4800000</v>
      </c>
      <c r="J26" s="303">
        <f>GRADIO!F9</f>
        <v>145504.50354692468</v>
      </c>
      <c r="K26" s="304">
        <f t="shared" si="4"/>
        <v>2580000</v>
      </c>
      <c r="L26" s="304">
        <f t="shared" si="5"/>
        <v>53894.378123572576</v>
      </c>
      <c r="M26" s="305">
        <f t="shared" si="6"/>
        <v>1.1621621621621621</v>
      </c>
      <c r="N26" s="305">
        <f t="shared" si="1"/>
        <v>0.58830154280996649</v>
      </c>
      <c r="O26" s="325">
        <f t="shared" si="2"/>
        <v>24.233129140920326</v>
      </c>
      <c r="P26" s="287">
        <f t="shared" si="3"/>
        <v>1.4</v>
      </c>
      <c r="Q26" s="287">
        <f t="shared" si="3"/>
        <v>4.8</v>
      </c>
    </row>
    <row r="27" spans="1:17" s="98" customFormat="1" x14ac:dyDescent="0.2">
      <c r="A27" s="343" t="s">
        <v>175</v>
      </c>
      <c r="B27" s="344" t="s">
        <v>189</v>
      </c>
      <c r="C27" s="345" t="s">
        <v>169</v>
      </c>
      <c r="D27" s="346">
        <v>1</v>
      </c>
      <c r="E27" s="347">
        <v>15700000</v>
      </c>
      <c r="F27" s="355">
        <f>GTV!I9</f>
        <v>281912.11859902256</v>
      </c>
      <c r="G27" s="347">
        <v>15700000</v>
      </c>
      <c r="H27" s="347">
        <v>15700000</v>
      </c>
      <c r="I27" s="348">
        <v>16888801</v>
      </c>
      <c r="J27" s="356">
        <f>GTV!F9</f>
        <v>296690.17284619244</v>
      </c>
      <c r="K27" s="349">
        <f t="shared" si="4"/>
        <v>1188801</v>
      </c>
      <c r="L27" s="349">
        <f t="shared" si="5"/>
        <v>14778.054247169872</v>
      </c>
      <c r="M27" s="350">
        <f t="shared" si="6"/>
        <v>7.5719808917197456E-2</v>
      </c>
      <c r="N27" s="350">
        <f t="shared" si="1"/>
        <v>5.242078389751461E-2</v>
      </c>
      <c r="O27" s="325">
        <f t="shared" si="2"/>
        <v>55.691114230995083</v>
      </c>
      <c r="P27" s="287">
        <f t="shared" si="3"/>
        <v>15.7</v>
      </c>
      <c r="Q27" s="287">
        <f t="shared" si="3"/>
        <v>15.7</v>
      </c>
    </row>
    <row r="28" spans="1:17" s="98" customFormat="1" x14ac:dyDescent="0.2">
      <c r="A28" s="407" t="s">
        <v>175</v>
      </c>
      <c r="B28" s="408" t="s">
        <v>231</v>
      </c>
      <c r="C28" s="36"/>
      <c r="D28" s="409"/>
      <c r="E28" s="410">
        <f t="shared" ref="E28:L28" si="7">SUM(E19:E27)</f>
        <v>38513576</v>
      </c>
      <c r="F28" s="411">
        <f t="shared" si="7"/>
        <v>1257682.9448177707</v>
      </c>
      <c r="G28" s="412">
        <f t="shared" si="7"/>
        <v>32817298</v>
      </c>
      <c r="H28" s="412">
        <f t="shared" si="7"/>
        <v>69470113</v>
      </c>
      <c r="I28" s="410">
        <f t="shared" si="7"/>
        <v>51613090.101004384</v>
      </c>
      <c r="J28" s="411">
        <f t="shared" si="7"/>
        <v>1507945.4071238558</v>
      </c>
      <c r="K28" s="412">
        <f t="shared" si="7"/>
        <v>13099514.101004384</v>
      </c>
      <c r="L28" s="412">
        <f t="shared" si="7"/>
        <v>250262.46230608481</v>
      </c>
      <c r="M28" s="413">
        <f t="shared" si="6"/>
        <v>0.34012718271095843</v>
      </c>
      <c r="N28" s="413">
        <f t="shared" si="1"/>
        <v>0.19898692539107785</v>
      </c>
      <c r="O28" s="325"/>
      <c r="P28" s="287">
        <f t="shared" si="3"/>
        <v>32.817298000000001</v>
      </c>
      <c r="Q28" s="287"/>
    </row>
    <row r="29" spans="1:17" s="98" customFormat="1" x14ac:dyDescent="0.2">
      <c r="A29" s="341" t="s">
        <v>285</v>
      </c>
      <c r="B29" s="237" t="s">
        <v>286</v>
      </c>
      <c r="C29" s="54" t="s">
        <v>129</v>
      </c>
      <c r="D29" s="301">
        <v>1</v>
      </c>
      <c r="E29" s="307">
        <v>1000000</v>
      </c>
      <c r="F29" s="302">
        <f>GINOFF_adt!I9</f>
        <v>6742.3679651152343</v>
      </c>
      <c r="G29" s="307">
        <v>900000</v>
      </c>
      <c r="H29" s="307">
        <v>6500000</v>
      </c>
      <c r="I29" s="308">
        <v>900000</v>
      </c>
      <c r="J29" s="303">
        <f>GINOFF_adt!F9</f>
        <v>6242.5057294806466</v>
      </c>
      <c r="K29" s="304">
        <f t="shared" si="4"/>
        <v>-100000</v>
      </c>
      <c r="L29" s="304">
        <f t="shared" si="5"/>
        <v>-499.86223563458771</v>
      </c>
      <c r="M29" s="305">
        <f t="shared" si="6"/>
        <v>-0.1</v>
      </c>
      <c r="N29" s="305">
        <f t="shared" si="1"/>
        <v>-7.4137489709973803E-2</v>
      </c>
      <c r="O29" s="325">
        <f t="shared" si="2"/>
        <v>148.31584469639799</v>
      </c>
      <c r="P29" s="287">
        <f t="shared" ref="P29:P36" si="8">G29/1000000</f>
        <v>0.9</v>
      </c>
      <c r="Q29" s="287">
        <f t="shared" ref="Q29:Q36" si="9">H29/1000000</f>
        <v>6.5</v>
      </c>
    </row>
    <row r="30" spans="1:17" s="98" customFormat="1" x14ac:dyDescent="0.2">
      <c r="A30" s="341" t="s">
        <v>285</v>
      </c>
      <c r="B30" s="237" t="s">
        <v>226</v>
      </c>
      <c r="C30" s="54" t="s">
        <v>129</v>
      </c>
      <c r="D30" s="301">
        <v>1</v>
      </c>
      <c r="E30" s="307">
        <v>16948000</v>
      </c>
      <c r="F30" s="302">
        <f>GMCM_adt!I9</f>
        <v>408993.92537411675</v>
      </c>
      <c r="G30" s="307">
        <v>10500000</v>
      </c>
      <c r="H30" s="307">
        <f>1.05*21000000</f>
        <v>22050000</v>
      </c>
      <c r="I30" s="308">
        <v>21000000.203315023</v>
      </c>
      <c r="J30" s="303">
        <f>GMCM_adt!F9</f>
        <v>467933.02348376904</v>
      </c>
      <c r="K30" s="304">
        <f t="shared" si="4"/>
        <v>4052000.2033150233</v>
      </c>
      <c r="L30" s="304">
        <f t="shared" si="5"/>
        <v>58939.098109652288</v>
      </c>
      <c r="M30" s="305">
        <f t="shared" si="6"/>
        <v>0.23908426972592775</v>
      </c>
      <c r="N30" s="305">
        <f t="shared" si="1"/>
        <v>0.14410751469166505</v>
      </c>
      <c r="O30" s="325">
        <f t="shared" si="2"/>
        <v>41.438268268892379</v>
      </c>
      <c r="P30" s="287">
        <f t="shared" si="8"/>
        <v>10.5</v>
      </c>
      <c r="Q30" s="287">
        <f t="shared" si="9"/>
        <v>22.05</v>
      </c>
    </row>
    <row r="31" spans="1:17" s="98" customFormat="1" x14ac:dyDescent="0.2">
      <c r="A31" s="341" t="s">
        <v>285</v>
      </c>
      <c r="B31" s="237" t="s">
        <v>227</v>
      </c>
      <c r="C31" s="54" t="s">
        <v>170</v>
      </c>
      <c r="D31" s="301">
        <v>1</v>
      </c>
      <c r="E31" s="307">
        <v>2200000</v>
      </c>
      <c r="F31" s="302">
        <f>GSOCIAL_adt!I9</f>
        <v>27316.876297482511</v>
      </c>
      <c r="G31" s="307">
        <v>1800000</v>
      </c>
      <c r="H31" s="307">
        <v>7000000</v>
      </c>
      <c r="I31" s="308">
        <v>4154570.9220185205</v>
      </c>
      <c r="J31" s="303">
        <f>GSOCIAL_adt!F9</f>
        <v>40003.052649469806</v>
      </c>
      <c r="K31" s="304">
        <f t="shared" si="4"/>
        <v>1954570.9220185205</v>
      </c>
      <c r="L31" s="304">
        <f t="shared" si="5"/>
        <v>12686.176351987295</v>
      </c>
      <c r="M31" s="305">
        <f t="shared" si="6"/>
        <v>0.88844132819023658</v>
      </c>
      <c r="N31" s="305">
        <f t="shared" si="1"/>
        <v>0.4644080170014328</v>
      </c>
      <c r="O31" s="325">
        <f t="shared" si="2"/>
        <v>80.536294708145277</v>
      </c>
      <c r="P31" s="287">
        <f t="shared" si="8"/>
        <v>1.8</v>
      </c>
      <c r="Q31" s="287">
        <f t="shared" si="9"/>
        <v>7</v>
      </c>
    </row>
    <row r="32" spans="1:17" s="98" customFormat="1" x14ac:dyDescent="0.2">
      <c r="A32" s="341" t="s">
        <v>285</v>
      </c>
      <c r="B32" s="237" t="s">
        <v>245</v>
      </c>
      <c r="C32" s="54" t="s">
        <v>129</v>
      </c>
      <c r="D32" s="301">
        <v>1</v>
      </c>
      <c r="E32" s="307">
        <v>1500000</v>
      </c>
      <c r="F32" s="302">
        <f>GOLV_adt!I9</f>
        <v>26310.281300564297</v>
      </c>
      <c r="G32" s="307">
        <v>1100000</v>
      </c>
      <c r="H32" s="307">
        <v>3500000</v>
      </c>
      <c r="I32" s="308">
        <v>2469338.7975853113</v>
      </c>
      <c r="J32" s="303">
        <f>GOLV_adt!F9</f>
        <v>34035.171883410774</v>
      </c>
      <c r="K32" s="304">
        <f t="shared" si="4"/>
        <v>969338.79758531135</v>
      </c>
      <c r="L32" s="304">
        <f t="shared" si="5"/>
        <v>7724.8905828464776</v>
      </c>
      <c r="M32" s="305">
        <f t="shared" si="6"/>
        <v>0.64622586505687418</v>
      </c>
      <c r="N32" s="305">
        <f t="shared" si="1"/>
        <v>0.29360729726142443</v>
      </c>
      <c r="O32" s="325">
        <f t="shared" si="2"/>
        <v>57.011933200722879</v>
      </c>
      <c r="P32" s="287">
        <f t="shared" si="8"/>
        <v>1.1000000000000001</v>
      </c>
      <c r="Q32" s="287">
        <f t="shared" si="9"/>
        <v>3.5</v>
      </c>
    </row>
    <row r="33" spans="1:22" s="98" customFormat="1" x14ac:dyDescent="0.2">
      <c r="A33" s="341" t="s">
        <v>285</v>
      </c>
      <c r="B33" s="237" t="s">
        <v>247</v>
      </c>
      <c r="C33" s="54" t="s">
        <v>170</v>
      </c>
      <c r="D33" s="301">
        <v>1</v>
      </c>
      <c r="E33" s="307">
        <v>10268452</v>
      </c>
      <c r="F33" s="302">
        <f>GSTRTV_adt!I9</f>
        <v>83590.203851267303</v>
      </c>
      <c r="G33" s="307">
        <v>8306901</v>
      </c>
      <c r="H33" s="307">
        <v>27304858</v>
      </c>
      <c r="I33" s="308">
        <v>9781828.9864038322</v>
      </c>
      <c r="J33" s="303">
        <f>GSTRTV_adt!F9</f>
        <v>80797.132209847332</v>
      </c>
      <c r="K33" s="304">
        <f t="shared" si="4"/>
        <v>-486623.01359616779</v>
      </c>
      <c r="L33" s="304">
        <f t="shared" si="5"/>
        <v>-2793.0716414199705</v>
      </c>
      <c r="M33" s="305">
        <f t="shared" si="6"/>
        <v>-4.7390104525605978E-2</v>
      </c>
      <c r="N33" s="305">
        <f t="shared" si="1"/>
        <v>-3.3413863260696251E-2</v>
      </c>
      <c r="O33" s="325">
        <f t="shared" si="2"/>
        <v>122.84276777540508</v>
      </c>
      <c r="P33" s="287">
        <f t="shared" si="8"/>
        <v>8.3069009999999999</v>
      </c>
      <c r="Q33" s="287">
        <f t="shared" si="9"/>
        <v>27.304857999999999</v>
      </c>
    </row>
    <row r="34" spans="1:22" s="98" customFormat="1" x14ac:dyDescent="0.2">
      <c r="A34" s="341" t="s">
        <v>285</v>
      </c>
      <c r="B34" s="237" t="s">
        <v>228</v>
      </c>
      <c r="C34" s="54" t="s">
        <v>170</v>
      </c>
      <c r="D34" s="301">
        <v>1</v>
      </c>
      <c r="E34" s="307">
        <v>4000000</v>
      </c>
      <c r="F34" s="302">
        <f>GDISP_adt!I9</f>
        <v>93036.538435982438</v>
      </c>
      <c r="G34" s="307">
        <v>2900000</v>
      </c>
      <c r="H34" s="307">
        <v>5000000</v>
      </c>
      <c r="I34" s="308">
        <v>5000000</v>
      </c>
      <c r="J34" s="303">
        <f>GDISP_adt!F9</f>
        <v>106365.19760151411</v>
      </c>
      <c r="K34" s="304">
        <f t="shared" si="4"/>
        <v>1000000</v>
      </c>
      <c r="L34" s="304">
        <f t="shared" si="5"/>
        <v>13328.659165531673</v>
      </c>
      <c r="M34" s="305">
        <f t="shared" si="6"/>
        <v>0.25</v>
      </c>
      <c r="N34" s="305">
        <f t="shared" si="1"/>
        <v>0.14326262981831592</v>
      </c>
      <c r="O34" s="325">
        <f t="shared" si="2"/>
        <v>42.993860984546004</v>
      </c>
      <c r="P34" s="287">
        <f t="shared" si="8"/>
        <v>2.9</v>
      </c>
      <c r="Q34" s="287">
        <f t="shared" si="9"/>
        <v>5</v>
      </c>
    </row>
    <row r="35" spans="1:22" s="98" customFormat="1" x14ac:dyDescent="0.2">
      <c r="A35" s="341" t="s">
        <v>285</v>
      </c>
      <c r="B35" s="237" t="s">
        <v>229</v>
      </c>
      <c r="C35" s="54" t="s">
        <v>170</v>
      </c>
      <c r="D35" s="301">
        <v>1</v>
      </c>
      <c r="E35" s="307">
        <v>200000</v>
      </c>
      <c r="F35" s="302">
        <f>GPDSRCH_adt!I9</f>
        <v>79531.473375019181</v>
      </c>
      <c r="G35" s="307">
        <v>100000</v>
      </c>
      <c r="H35" s="307">
        <v>200000</v>
      </c>
      <c r="I35" s="308">
        <v>200000</v>
      </c>
      <c r="J35" s="303">
        <f>GPDSRCH_adt!F9</f>
        <v>79531.473375019181</v>
      </c>
      <c r="K35" s="304">
        <f t="shared" si="4"/>
        <v>0</v>
      </c>
      <c r="L35" s="304">
        <f t="shared" si="5"/>
        <v>0</v>
      </c>
      <c r="M35" s="305">
        <f t="shared" si="6"/>
        <v>0</v>
      </c>
      <c r="N35" s="305">
        <f t="shared" si="1"/>
        <v>0</v>
      </c>
      <c r="O35" s="325">
        <f t="shared" si="2"/>
        <v>2.5147277110902859</v>
      </c>
      <c r="P35" s="287">
        <f t="shared" si="8"/>
        <v>0.1</v>
      </c>
      <c r="Q35" s="287">
        <f t="shared" si="9"/>
        <v>0.2</v>
      </c>
    </row>
    <row r="36" spans="1:22" s="98" customFormat="1" x14ac:dyDescent="0.2">
      <c r="A36" s="341" t="s">
        <v>285</v>
      </c>
      <c r="B36" s="237" t="s">
        <v>287</v>
      </c>
      <c r="C36" s="54" t="s">
        <v>170</v>
      </c>
      <c r="D36" s="301">
        <v>1</v>
      </c>
      <c r="E36" s="307">
        <v>28089211</v>
      </c>
      <c r="F36" s="302">
        <f>GLINEARTV_adt!I9</f>
        <v>178786.88879772768</v>
      </c>
      <c r="G36" s="307">
        <v>28089211</v>
      </c>
      <c r="H36" s="307">
        <v>28089211</v>
      </c>
      <c r="I36" s="308">
        <v>28089211</v>
      </c>
      <c r="J36" s="303">
        <f>GLINEARTV_adt!F9</f>
        <v>178786.88879772768</v>
      </c>
      <c r="K36" s="304">
        <f t="shared" si="4"/>
        <v>0</v>
      </c>
      <c r="L36" s="304">
        <f t="shared" si="5"/>
        <v>0</v>
      </c>
      <c r="M36" s="305">
        <f t="shared" si="6"/>
        <v>0</v>
      </c>
      <c r="N36" s="305">
        <f t="shared" si="1"/>
        <v>0</v>
      </c>
      <c r="O36" s="325">
        <f t="shared" si="2"/>
        <v>157.11001622596055</v>
      </c>
      <c r="P36" s="287">
        <f t="shared" si="8"/>
        <v>28.089210999999999</v>
      </c>
      <c r="Q36" s="287">
        <f t="shared" si="9"/>
        <v>28.089210999999999</v>
      </c>
    </row>
    <row r="37" spans="1:22" s="98" customFormat="1" x14ac:dyDescent="0.2">
      <c r="A37" s="341" t="s">
        <v>285</v>
      </c>
      <c r="B37" s="237" t="s">
        <v>192</v>
      </c>
      <c r="C37" s="54" t="s">
        <v>170</v>
      </c>
      <c r="D37" s="301">
        <v>1</v>
      </c>
      <c r="E37" s="307">
        <v>1500000</v>
      </c>
      <c r="F37" s="302">
        <f>GAUDIO!I9</f>
        <v>32266.574959240672</v>
      </c>
      <c r="G37" s="307">
        <v>500000</v>
      </c>
      <c r="H37" s="307">
        <f>2200000</f>
        <v>2200000</v>
      </c>
      <c r="I37" s="308">
        <v>2200000</v>
      </c>
      <c r="J37" s="303">
        <f>GAUDIO!F9</f>
        <v>37608.450193722703</v>
      </c>
      <c r="K37" s="304">
        <f t="shared" si="4"/>
        <v>700000</v>
      </c>
      <c r="L37" s="304">
        <f t="shared" si="5"/>
        <v>5341.8752344820314</v>
      </c>
      <c r="M37" s="305">
        <f t="shared" si="6"/>
        <v>0.46666666666666667</v>
      </c>
      <c r="N37" s="305">
        <f t="shared" si="1"/>
        <v>0.16555445507401761</v>
      </c>
      <c r="O37" s="325"/>
      <c r="P37" s="287"/>
      <c r="Q37" s="287"/>
    </row>
    <row r="38" spans="1:22" s="98" customFormat="1" x14ac:dyDescent="0.2">
      <c r="A38" s="341" t="s">
        <v>285</v>
      </c>
      <c r="B38" s="237" t="s">
        <v>304</v>
      </c>
      <c r="C38" s="54" t="s">
        <v>129</v>
      </c>
      <c r="D38" s="301">
        <v>1</v>
      </c>
      <c r="E38" s="307">
        <v>3200000</v>
      </c>
      <c r="F38" s="302">
        <f>GPHRMCY_adt!I9</f>
        <v>22412.309442908503</v>
      </c>
      <c r="G38" s="307">
        <v>3200000</v>
      </c>
      <c r="H38" s="307">
        <f>3200000</f>
        <v>3200000</v>
      </c>
      <c r="I38" s="308">
        <v>3200000</v>
      </c>
      <c r="J38" s="303">
        <f>GPHRMCY_adt!F9</f>
        <v>22412.309442908503</v>
      </c>
      <c r="K38" s="304">
        <f t="shared" si="4"/>
        <v>0</v>
      </c>
      <c r="L38" s="304">
        <f t="shared" si="5"/>
        <v>0</v>
      </c>
      <c r="M38" s="305">
        <f t="shared" si="6"/>
        <v>0</v>
      </c>
      <c r="N38" s="305">
        <f t="shared" si="1"/>
        <v>0</v>
      </c>
      <c r="O38" s="325"/>
      <c r="P38" s="287"/>
      <c r="Q38" s="287"/>
    </row>
    <row r="39" spans="1:22" s="98" customFormat="1" x14ac:dyDescent="0.2">
      <c r="A39" s="407" t="s">
        <v>285</v>
      </c>
      <c r="B39" s="408" t="s">
        <v>231</v>
      </c>
      <c r="C39" s="36"/>
      <c r="D39" s="409"/>
      <c r="E39" s="412">
        <f t="shared" ref="E39:L39" si="10">SUM(E29:E38)</f>
        <v>68905663</v>
      </c>
      <c r="F39" s="412">
        <f t="shared" si="10"/>
        <v>958987.43979942449</v>
      </c>
      <c r="G39" s="412">
        <f t="shared" si="10"/>
        <v>57396112</v>
      </c>
      <c r="H39" s="412">
        <f t="shared" si="10"/>
        <v>105044069</v>
      </c>
      <c r="I39" s="412">
        <f t="shared" si="10"/>
        <v>76994949.909322679</v>
      </c>
      <c r="J39" s="411">
        <f t="shared" si="10"/>
        <v>1053715.2053668697</v>
      </c>
      <c r="K39" s="412">
        <f t="shared" si="10"/>
        <v>8089286.9093226874</v>
      </c>
      <c r="L39" s="412">
        <f t="shared" si="10"/>
        <v>94727.765567445196</v>
      </c>
      <c r="M39" s="413">
        <f t="shared" ref="M39" si="11">K39/E39</f>
        <v>0.11739654706352201</v>
      </c>
      <c r="N39" s="413">
        <f t="shared" ref="N39" si="12">L39/F39</f>
        <v>9.8778942910094661E-2</v>
      </c>
      <c r="O39" s="325"/>
      <c r="P39" s="287"/>
      <c r="Q39" s="287"/>
    </row>
    <row r="40" spans="1:22" s="98" customFormat="1" x14ac:dyDescent="0.2">
      <c r="A40" s="414" t="s">
        <v>154</v>
      </c>
      <c r="B40" s="414" t="s">
        <v>99</v>
      </c>
      <c r="C40" s="414"/>
      <c r="D40" s="415"/>
      <c r="E40" s="416">
        <f t="shared" ref="E40:L40" si="13">SUM(E19:E27,E29:E38)</f>
        <v>107419239</v>
      </c>
      <c r="F40" s="416">
        <f t="shared" si="13"/>
        <v>2216670.3846171955</v>
      </c>
      <c r="G40" s="416">
        <f t="shared" si="13"/>
        <v>90213410</v>
      </c>
      <c r="H40" s="416">
        <f t="shared" si="13"/>
        <v>174514182</v>
      </c>
      <c r="I40" s="416">
        <f t="shared" si="13"/>
        <v>128608040.01032709</v>
      </c>
      <c r="J40" s="420">
        <f t="shared" si="13"/>
        <v>2561660.6124907257</v>
      </c>
      <c r="K40" s="421">
        <f t="shared" si="13"/>
        <v>21188801.010327071</v>
      </c>
      <c r="L40" s="421">
        <f t="shared" si="13"/>
        <v>344990.22787353006</v>
      </c>
      <c r="M40" s="417">
        <f>K40/E40</f>
        <v>0.19725331521225048</v>
      </c>
      <c r="N40" s="417">
        <f>L40/F40</f>
        <v>0.1556344282251543</v>
      </c>
    </row>
    <row r="41" spans="1:22" x14ac:dyDescent="0.2">
      <c r="E41" s="113"/>
      <c r="I41" s="143">
        <f>I39-E39</f>
        <v>8089286.909322679</v>
      </c>
    </row>
    <row r="43" spans="1:22" x14ac:dyDescent="0.2">
      <c r="J43" s="315"/>
      <c r="K43" s="87"/>
    </row>
    <row r="44" spans="1:22" s="98" customFormat="1" x14ac:dyDescent="0.2">
      <c r="D44" s="606" t="s">
        <v>154</v>
      </c>
      <c r="E44" s="606"/>
      <c r="F44" s="606"/>
      <c r="G44" s="606"/>
      <c r="H44" s="606"/>
      <c r="I44" s="606"/>
      <c r="J44" s="605"/>
      <c r="K44" s="605"/>
      <c r="L44" s="605"/>
      <c r="M44" s="605"/>
      <c r="N44" s="605"/>
      <c r="O44" s="605"/>
      <c r="P44" s="128"/>
    </row>
    <row r="45" spans="1:22" ht="25.5" x14ac:dyDescent="0.2">
      <c r="A45" s="608" t="s">
        <v>132</v>
      </c>
      <c r="D45" s="140" t="s">
        <v>126</v>
      </c>
      <c r="E45" s="140" t="s">
        <v>141</v>
      </c>
      <c r="F45" s="140" t="s">
        <v>145</v>
      </c>
      <c r="G45" s="140" t="s">
        <v>142</v>
      </c>
      <c r="H45" s="140" t="s">
        <v>143</v>
      </c>
      <c r="I45" s="140" t="s">
        <v>144</v>
      </c>
      <c r="J45" s="82"/>
      <c r="K45" s="82"/>
      <c r="L45" s="82"/>
      <c r="M45" s="82"/>
      <c r="N45" s="82"/>
      <c r="O45" s="82"/>
      <c r="P45" s="128"/>
    </row>
    <row r="46" spans="1:22" x14ac:dyDescent="0.2">
      <c r="A46" s="608"/>
      <c r="D46" s="154">
        <v>1</v>
      </c>
      <c r="E46" s="126">
        <v>225.94</v>
      </c>
      <c r="F46" s="295">
        <f>E46</f>
        <v>225.94</v>
      </c>
      <c r="G46" s="126">
        <f>E46</f>
        <v>225.94</v>
      </c>
      <c r="H46" s="141"/>
      <c r="I46" s="126">
        <f>E46</f>
        <v>225.94</v>
      </c>
      <c r="J46" s="127"/>
      <c r="K46" s="129"/>
      <c r="L46" s="130"/>
      <c r="M46" s="129"/>
      <c r="N46" s="131"/>
      <c r="O46" s="129"/>
      <c r="P46" s="128"/>
    </row>
    <row r="47" spans="1:22" ht="13.9" customHeight="1" x14ac:dyDescent="0.2">
      <c r="A47" s="607" t="s">
        <v>2</v>
      </c>
      <c r="B47" s="571" t="s">
        <v>3</v>
      </c>
      <c r="C47" s="571" t="str">
        <f t="shared" ref="C47:C57" si="14">D17</f>
        <v>Response Scaling Factor for Sensitivity Analysis</v>
      </c>
      <c r="D47" s="602" t="s">
        <v>86</v>
      </c>
      <c r="E47" s="603"/>
      <c r="F47" s="603"/>
      <c r="G47" s="604"/>
      <c r="H47" s="589" t="s">
        <v>89</v>
      </c>
      <c r="I47" s="590"/>
      <c r="J47" s="590"/>
      <c r="K47" s="602" t="s">
        <v>136</v>
      </c>
      <c r="L47" s="603"/>
      <c r="M47" s="603"/>
      <c r="N47" s="604"/>
      <c r="P47" s="128"/>
      <c r="Q47" s="128"/>
      <c r="R47" s="128"/>
      <c r="S47" s="128"/>
      <c r="T47" s="128"/>
      <c r="U47" s="128"/>
      <c r="V47" s="128"/>
    </row>
    <row r="48" spans="1:22" ht="74.45" customHeight="1" x14ac:dyDescent="0.2">
      <c r="A48" s="570"/>
      <c r="B48" s="570"/>
      <c r="C48" s="570">
        <f t="shared" si="14"/>
        <v>0</v>
      </c>
      <c r="D48" s="93" t="s">
        <v>163</v>
      </c>
      <c r="E48" s="93" t="s">
        <v>133</v>
      </c>
      <c r="F48" s="93" t="s">
        <v>134</v>
      </c>
      <c r="G48" s="93" t="s">
        <v>146</v>
      </c>
      <c r="H48" s="55" t="s">
        <v>156</v>
      </c>
      <c r="I48" s="55" t="s">
        <v>135</v>
      </c>
      <c r="J48" s="55" t="s">
        <v>147</v>
      </c>
      <c r="K48" s="93" t="s">
        <v>137</v>
      </c>
      <c r="L48" s="93" t="s">
        <v>138</v>
      </c>
      <c r="M48" s="93" t="s">
        <v>139</v>
      </c>
      <c r="N48" s="93" t="s">
        <v>140</v>
      </c>
      <c r="P48" s="1" t="s">
        <v>208</v>
      </c>
    </row>
    <row r="49" spans="1:16" x14ac:dyDescent="0.2">
      <c r="A49" s="231" t="str">
        <f t="shared" ref="A49:B52" si="15">A19</f>
        <v>Gardasil Adolescents</v>
      </c>
      <c r="B49" s="231" t="str">
        <f t="shared" si="15"/>
        <v>HCC In Office</v>
      </c>
      <c r="C49" s="296">
        <f t="shared" si="14"/>
        <v>1</v>
      </c>
      <c r="D49" s="99">
        <f t="shared" ref="D49:D66" si="16">E19</f>
        <v>1000000</v>
      </c>
      <c r="E49" s="253" t="s">
        <v>168</v>
      </c>
      <c r="F49" s="101">
        <f t="shared" ref="F49:F66" si="17">F19/$D$46</f>
        <v>15970.197880234569</v>
      </c>
      <c r="G49" s="103">
        <f>F49*$F$46</f>
        <v>3608306.5090601984</v>
      </c>
      <c r="H49" s="105">
        <f t="shared" ref="H49:H66" si="18">I19</f>
        <v>1280553.8166407023</v>
      </c>
      <c r="I49" s="101">
        <f t="shared" ref="I49:I66" si="19">J19/$D$46</f>
        <v>19403.271232455969</v>
      </c>
      <c r="J49" s="107">
        <f>I49*$F$46</f>
        <v>4383975.1022611018</v>
      </c>
      <c r="K49" s="99">
        <f>H49-D49</f>
        <v>280553.81664070231</v>
      </c>
      <c r="L49" s="99">
        <f>J49-G49</f>
        <v>775668.59320090339</v>
      </c>
      <c r="M49" s="109">
        <f>K49/D49</f>
        <v>0.28055381664070234</v>
      </c>
      <c r="N49" s="110">
        <f>L49/G49</f>
        <v>0.21496748994389897</v>
      </c>
      <c r="O49" s="142"/>
      <c r="P49" s="309">
        <f>(J49-G49)/1000000</f>
        <v>0.77566859320090342</v>
      </c>
    </row>
    <row r="50" spans="1:16" x14ac:dyDescent="0.2">
      <c r="A50" s="237" t="str">
        <f t="shared" si="15"/>
        <v>Gardasil Adolescents</v>
      </c>
      <c r="B50" s="237" t="str">
        <f t="shared" si="15"/>
        <v>HCP MCM</v>
      </c>
      <c r="C50" s="301">
        <f t="shared" si="14"/>
        <v>1</v>
      </c>
      <c r="D50" s="100">
        <f t="shared" si="16"/>
        <v>7775778</v>
      </c>
      <c r="E50" s="254" t="s">
        <v>168</v>
      </c>
      <c r="F50" s="102">
        <f t="shared" si="17"/>
        <v>342226.11897340976</v>
      </c>
      <c r="G50" s="104">
        <f t="shared" ref="G50:G69" si="20">F50*$F$46</f>
        <v>77322569.320852205</v>
      </c>
      <c r="H50" s="106">
        <f t="shared" si="18"/>
        <v>11092068.118553624</v>
      </c>
      <c r="I50" s="102">
        <f t="shared" si="19"/>
        <v>407759.92261045426</v>
      </c>
      <c r="J50" s="108">
        <f t="shared" ref="J50" si="21">I50*$F$46</f>
        <v>92129276.914606035</v>
      </c>
      <c r="K50" s="100">
        <f t="shared" ref="K50" si="22">H50-D50</f>
        <v>3316290.1185536236</v>
      </c>
      <c r="L50" s="100">
        <f t="shared" ref="L50" si="23">J50-G50</f>
        <v>14806707.59375383</v>
      </c>
      <c r="M50" s="111">
        <f t="shared" ref="M50" si="24">K50/D50</f>
        <v>0.42648981472382874</v>
      </c>
      <c r="N50" s="112">
        <f t="shared" ref="N50" si="25">L50/G50</f>
        <v>0.19149270030478391</v>
      </c>
      <c r="O50" s="142"/>
      <c r="P50" s="309">
        <f t="shared" ref="P50:P57" si="26">(J50-G50)/1000000</f>
        <v>14.806707593753829</v>
      </c>
    </row>
    <row r="51" spans="1:16" s="98" customFormat="1" x14ac:dyDescent="0.2">
      <c r="A51" s="237" t="str">
        <f t="shared" si="15"/>
        <v>Gardasil Adolescents</v>
      </c>
      <c r="B51" s="237" t="str">
        <f t="shared" si="15"/>
        <v>HCC Social</v>
      </c>
      <c r="C51" s="301">
        <f t="shared" si="14"/>
        <v>1</v>
      </c>
      <c r="D51" s="100">
        <f t="shared" si="16"/>
        <v>1840000</v>
      </c>
      <c r="E51" s="254" t="s">
        <v>168</v>
      </c>
      <c r="F51" s="102">
        <f t="shared" si="17"/>
        <v>70487.367019183061</v>
      </c>
      <c r="G51" s="104">
        <f t="shared" si="20"/>
        <v>15925915.704314221</v>
      </c>
      <c r="H51" s="106">
        <f t="shared" si="18"/>
        <v>4455047.5305201802</v>
      </c>
      <c r="I51" s="102">
        <f t="shared" si="19"/>
        <v>119820.74059201809</v>
      </c>
      <c r="J51" s="108">
        <f t="shared" ref="J51:J69" si="27">I51*$F$46</f>
        <v>27072298.129360568</v>
      </c>
      <c r="K51" s="100">
        <f t="shared" ref="K51:K69" si="28">H51-D51</f>
        <v>2615047.5305201802</v>
      </c>
      <c r="L51" s="100">
        <f t="shared" ref="L51:L69" si="29">J51-G51</f>
        <v>11146382.425046347</v>
      </c>
      <c r="M51" s="111">
        <f t="shared" ref="M51:M66" si="30">K51/D51</f>
        <v>1.4212214839783588</v>
      </c>
      <c r="N51" s="112">
        <f t="shared" ref="N51:N66" si="31">L51/G51</f>
        <v>0.6998895782191582</v>
      </c>
      <c r="O51" s="142"/>
      <c r="P51" s="309">
        <f t="shared" si="26"/>
        <v>11.146382425046347</v>
      </c>
    </row>
    <row r="52" spans="1:16" s="98" customFormat="1" x14ac:dyDescent="0.2">
      <c r="A52" s="237" t="str">
        <f t="shared" si="15"/>
        <v>Gardasil Adolescents</v>
      </c>
      <c r="B52" s="237" t="str">
        <f t="shared" si="15"/>
        <v>HCC Online Video</v>
      </c>
      <c r="C52" s="301">
        <f t="shared" si="14"/>
        <v>1</v>
      </c>
      <c r="D52" s="100">
        <f t="shared" si="16"/>
        <v>1220000</v>
      </c>
      <c r="E52" s="254" t="s">
        <v>168</v>
      </c>
      <c r="F52" s="102">
        <f t="shared" si="17"/>
        <v>15022.779470646754</v>
      </c>
      <c r="G52" s="104">
        <f t="shared" si="20"/>
        <v>3394246.7935979273</v>
      </c>
      <c r="H52" s="106">
        <f t="shared" si="18"/>
        <v>1000000</v>
      </c>
      <c r="I52" s="102">
        <f t="shared" si="19"/>
        <v>14861.613123927265</v>
      </c>
      <c r="J52" s="108">
        <f t="shared" si="27"/>
        <v>3357832.8692201264</v>
      </c>
      <c r="K52" s="100">
        <f t="shared" si="28"/>
        <v>-220000</v>
      </c>
      <c r="L52" s="100">
        <f t="shared" si="29"/>
        <v>-36413.924377800897</v>
      </c>
      <c r="M52" s="111">
        <f t="shared" si="30"/>
        <v>-0.18032786885245902</v>
      </c>
      <c r="N52" s="112">
        <f t="shared" si="31"/>
        <v>-1.0728131038227147E-2</v>
      </c>
      <c r="O52" s="142"/>
      <c r="P52" s="309">
        <f t="shared" si="26"/>
        <v>-3.6413924377800895E-2</v>
      </c>
    </row>
    <row r="53" spans="1:16" s="98" customFormat="1" x14ac:dyDescent="0.2">
      <c r="A53" s="237" t="s">
        <v>175</v>
      </c>
      <c r="B53" s="237" t="str">
        <f>B23</f>
        <v>HCC Streaming Video</v>
      </c>
      <c r="C53" s="301">
        <f t="shared" si="14"/>
        <v>1</v>
      </c>
      <c r="D53" s="100">
        <f t="shared" si="16"/>
        <v>4817798</v>
      </c>
      <c r="E53" s="254" t="s">
        <v>168</v>
      </c>
      <c r="F53" s="102">
        <f t="shared" si="17"/>
        <v>121516.7124715425</v>
      </c>
      <c r="G53" s="104">
        <f t="shared" si="20"/>
        <v>27455486.015820313</v>
      </c>
      <c r="H53" s="106">
        <f t="shared" si="18"/>
        <v>6494076.6811486697</v>
      </c>
      <c r="I53" s="102">
        <f t="shared" si="19"/>
        <v>149762.88214142565</v>
      </c>
      <c r="J53" s="108">
        <f t="shared" si="27"/>
        <v>33837425.591033712</v>
      </c>
      <c r="K53" s="100">
        <f t="shared" si="28"/>
        <v>1676278.6811486697</v>
      </c>
      <c r="L53" s="100">
        <f t="shared" si="29"/>
        <v>6381939.5752133988</v>
      </c>
      <c r="M53" s="111">
        <f t="shared" si="30"/>
        <v>0.3479346126900027</v>
      </c>
      <c r="N53" s="112">
        <f t="shared" si="31"/>
        <v>0.23244678937885194</v>
      </c>
      <c r="O53" s="142"/>
      <c r="P53" s="309">
        <f t="shared" si="26"/>
        <v>6.3819395752133987</v>
      </c>
    </row>
    <row r="54" spans="1:16" s="98" customFormat="1" x14ac:dyDescent="0.2">
      <c r="A54" s="237" t="str">
        <f>A24</f>
        <v>Gardasil Adolescents</v>
      </c>
      <c r="B54" s="237" t="str">
        <f>B24</f>
        <v>HCC Display</v>
      </c>
      <c r="C54" s="301">
        <f t="shared" si="14"/>
        <v>1</v>
      </c>
      <c r="D54" s="100">
        <f t="shared" si="16"/>
        <v>3540000</v>
      </c>
      <c r="E54" s="254" t="s">
        <v>168</v>
      </c>
      <c r="F54" s="102">
        <f t="shared" si="17"/>
        <v>173899.1701768022</v>
      </c>
      <c r="G54" s="104">
        <f t="shared" si="20"/>
        <v>39290778.509746693</v>
      </c>
      <c r="H54" s="106">
        <f t="shared" si="18"/>
        <v>5202542.954141208</v>
      </c>
      <c r="I54" s="102">
        <f t="shared" si="19"/>
        <v>209103.94622687995</v>
      </c>
      <c r="J54" s="108">
        <f t="shared" si="27"/>
        <v>47244945.61050126</v>
      </c>
      <c r="K54" s="100">
        <f t="shared" si="28"/>
        <v>1662542.954141208</v>
      </c>
      <c r="L54" s="100">
        <f t="shared" si="29"/>
        <v>7954167.1007545665</v>
      </c>
      <c r="M54" s="111">
        <f t="shared" si="30"/>
        <v>0.46964490229977629</v>
      </c>
      <c r="N54" s="112">
        <f t="shared" si="31"/>
        <v>0.2024436115151399</v>
      </c>
      <c r="O54" s="142"/>
      <c r="P54" s="309">
        <f t="shared" si="26"/>
        <v>7.9541671007545665</v>
      </c>
    </row>
    <row r="55" spans="1:16" x14ac:dyDescent="0.2">
      <c r="A55" s="237" t="str">
        <f>A25</f>
        <v>Gardasil Adolescents</v>
      </c>
      <c r="B55" s="237" t="str">
        <f>B25</f>
        <v>HCC Paid Search</v>
      </c>
      <c r="C55" s="301">
        <f t="shared" si="14"/>
        <v>1</v>
      </c>
      <c r="D55" s="100">
        <f t="shared" si="16"/>
        <v>400000</v>
      </c>
      <c r="E55" s="254" t="s">
        <v>168</v>
      </c>
      <c r="F55" s="102">
        <f t="shared" si="17"/>
        <v>145038.35480357721</v>
      </c>
      <c r="G55" s="104">
        <f t="shared" si="20"/>
        <v>32769965.884320233</v>
      </c>
      <c r="H55" s="106">
        <f t="shared" si="18"/>
        <v>400000</v>
      </c>
      <c r="I55" s="102">
        <f t="shared" si="19"/>
        <v>145038.35480357721</v>
      </c>
      <c r="J55" s="108">
        <f t="shared" si="27"/>
        <v>32769965.884320233</v>
      </c>
      <c r="K55" s="100">
        <f t="shared" si="28"/>
        <v>0</v>
      </c>
      <c r="L55" s="100">
        <f t="shared" si="29"/>
        <v>0</v>
      </c>
      <c r="M55" s="111">
        <f t="shared" si="30"/>
        <v>0</v>
      </c>
      <c r="N55" s="112">
        <f t="shared" si="31"/>
        <v>0</v>
      </c>
      <c r="O55" s="142"/>
      <c r="P55" s="309">
        <f t="shared" si="26"/>
        <v>0</v>
      </c>
    </row>
    <row r="56" spans="1:16" s="98" customFormat="1" x14ac:dyDescent="0.2">
      <c r="A56" s="237" t="str">
        <f>A26</f>
        <v>Gardasil Adolescents</v>
      </c>
      <c r="B56" s="237" t="str">
        <f>B26</f>
        <v>HCC Audio</v>
      </c>
      <c r="C56" s="301">
        <f t="shared" si="14"/>
        <v>1</v>
      </c>
      <c r="D56" s="100">
        <f t="shared" si="16"/>
        <v>2220000</v>
      </c>
      <c r="E56" s="254" t="s">
        <v>168</v>
      </c>
      <c r="F56" s="102">
        <f t="shared" si="17"/>
        <v>91610.125423352103</v>
      </c>
      <c r="G56" s="104">
        <f t="shared" si="20"/>
        <v>20698391.738152172</v>
      </c>
      <c r="H56" s="106">
        <f t="shared" si="18"/>
        <v>4800000</v>
      </c>
      <c r="I56" s="102">
        <f t="shared" si="19"/>
        <v>145504.50354692468</v>
      </c>
      <c r="J56" s="108">
        <f t="shared" si="27"/>
        <v>32875287.531392161</v>
      </c>
      <c r="K56" s="100">
        <f t="shared" si="28"/>
        <v>2580000</v>
      </c>
      <c r="L56" s="100">
        <f t="shared" si="29"/>
        <v>12176895.793239988</v>
      </c>
      <c r="M56" s="111">
        <f t="shared" si="30"/>
        <v>1.1621621621621621</v>
      </c>
      <c r="N56" s="112">
        <f t="shared" si="31"/>
        <v>0.5883015428099666</v>
      </c>
      <c r="O56" s="142"/>
      <c r="P56" s="309">
        <f t="shared" si="26"/>
        <v>12.176895793239989</v>
      </c>
    </row>
    <row r="57" spans="1:16" s="98" customFormat="1" x14ac:dyDescent="0.2">
      <c r="A57" s="358" t="str">
        <f>A27</f>
        <v>Gardasil Adolescents</v>
      </c>
      <c r="B57" s="358" t="str">
        <f>B27</f>
        <v>HCC TV</v>
      </c>
      <c r="C57" s="346">
        <f t="shared" si="14"/>
        <v>1</v>
      </c>
      <c r="D57" s="359">
        <f t="shared" si="16"/>
        <v>15700000</v>
      </c>
      <c r="E57" s="360" t="s">
        <v>168</v>
      </c>
      <c r="F57" s="361">
        <f t="shared" si="17"/>
        <v>281912.11859902256</v>
      </c>
      <c r="G57" s="362">
        <f t="shared" si="20"/>
        <v>63695224.07626316</v>
      </c>
      <c r="H57" s="363">
        <f t="shared" si="18"/>
        <v>16888801</v>
      </c>
      <c r="I57" s="361">
        <f t="shared" si="19"/>
        <v>296690.17284619244</v>
      </c>
      <c r="J57" s="364">
        <f t="shared" si="27"/>
        <v>67034177.652868718</v>
      </c>
      <c r="K57" s="359">
        <f t="shared" si="28"/>
        <v>1188801</v>
      </c>
      <c r="L57" s="359">
        <f t="shared" si="29"/>
        <v>3338953.5766055584</v>
      </c>
      <c r="M57" s="365">
        <f t="shared" si="30"/>
        <v>7.5719808917197456E-2</v>
      </c>
      <c r="N57" s="366">
        <f t="shared" si="31"/>
        <v>5.2420783897514575E-2</v>
      </c>
      <c r="O57" s="142"/>
      <c r="P57" s="309">
        <f t="shared" si="26"/>
        <v>3.3389535766055585</v>
      </c>
    </row>
    <row r="58" spans="1:16" s="98" customFormat="1" x14ac:dyDescent="0.2">
      <c r="A58" s="408" t="str">
        <f>A28</f>
        <v>Gardasil Adolescents</v>
      </c>
      <c r="B58" s="408" t="s">
        <v>231</v>
      </c>
      <c r="C58" s="409"/>
      <c r="D58" s="427">
        <f t="shared" si="16"/>
        <v>38513576</v>
      </c>
      <c r="E58" s="411"/>
      <c r="F58" s="428">
        <f t="shared" si="17"/>
        <v>1257682.9448177707</v>
      </c>
      <c r="G58" s="429">
        <f t="shared" si="20"/>
        <v>284160884.55212712</v>
      </c>
      <c r="H58" s="430">
        <f t="shared" si="18"/>
        <v>51613090.101004384</v>
      </c>
      <c r="I58" s="428">
        <f t="shared" si="19"/>
        <v>1507945.4071238558</v>
      </c>
      <c r="J58" s="429">
        <f t="shared" si="27"/>
        <v>340705185.28556395</v>
      </c>
      <c r="K58" s="430">
        <f t="shared" si="28"/>
        <v>13099514.101004384</v>
      </c>
      <c r="L58" s="430">
        <f t="shared" si="29"/>
        <v>56544300.733436823</v>
      </c>
      <c r="M58" s="431">
        <f t="shared" si="30"/>
        <v>0.34012718271095843</v>
      </c>
      <c r="N58" s="432">
        <f t="shared" si="31"/>
        <v>0.1989869253910779</v>
      </c>
      <c r="O58" s="142"/>
      <c r="P58" s="309"/>
    </row>
    <row r="59" spans="1:16" s="98" customFormat="1" x14ac:dyDescent="0.2">
      <c r="A59" s="367" t="s">
        <v>285</v>
      </c>
      <c r="B59" s="237" t="str">
        <f>B29</f>
        <v>HCC InOffice</v>
      </c>
      <c r="C59" s="301">
        <f>D29</f>
        <v>1</v>
      </c>
      <c r="D59" s="100">
        <f t="shared" si="16"/>
        <v>1000000</v>
      </c>
      <c r="E59" s="254" t="s">
        <v>168</v>
      </c>
      <c r="F59" s="102">
        <f t="shared" si="17"/>
        <v>6742.3679651152343</v>
      </c>
      <c r="G59" s="104">
        <f t="shared" si="20"/>
        <v>1523370.618038136</v>
      </c>
      <c r="H59" s="106">
        <f t="shared" si="18"/>
        <v>900000</v>
      </c>
      <c r="I59" s="102">
        <f t="shared" si="19"/>
        <v>6242.5057294806466</v>
      </c>
      <c r="J59" s="108">
        <f t="shared" si="27"/>
        <v>1410431.7445188572</v>
      </c>
      <c r="K59" s="100">
        <f t="shared" si="28"/>
        <v>-100000</v>
      </c>
      <c r="L59" s="100">
        <f t="shared" si="29"/>
        <v>-112938.87351927883</v>
      </c>
      <c r="M59" s="111">
        <f t="shared" si="30"/>
        <v>-0.1</v>
      </c>
      <c r="N59" s="112">
        <f t="shared" si="31"/>
        <v>-7.4137489709973858E-2</v>
      </c>
      <c r="O59" s="142"/>
      <c r="P59" s="309"/>
    </row>
    <row r="60" spans="1:16" s="98" customFormat="1" x14ac:dyDescent="0.2">
      <c r="A60" s="367" t="s">
        <v>285</v>
      </c>
      <c r="B60" s="237" t="str">
        <f t="shared" ref="B60:B69" si="32">B30</f>
        <v>HCP MCM</v>
      </c>
      <c r="C60" s="301">
        <f t="shared" ref="C60:D68" si="33">D30</f>
        <v>1</v>
      </c>
      <c r="D60" s="100">
        <f t="shared" si="16"/>
        <v>16948000</v>
      </c>
      <c r="E60" s="254" t="s">
        <v>168</v>
      </c>
      <c r="F60" s="102">
        <f t="shared" si="17"/>
        <v>408993.92537411675</v>
      </c>
      <c r="G60" s="104">
        <f t="shared" si="20"/>
        <v>92408087.499027938</v>
      </c>
      <c r="H60" s="106">
        <f t="shared" si="18"/>
        <v>21000000.203315023</v>
      </c>
      <c r="I60" s="102">
        <f t="shared" si="19"/>
        <v>467933.02348376904</v>
      </c>
      <c r="J60" s="108">
        <f t="shared" si="27"/>
        <v>105724787.32592277</v>
      </c>
      <c r="K60" s="100">
        <f t="shared" si="28"/>
        <v>4052000.2033150233</v>
      </c>
      <c r="L60" s="100">
        <f t="shared" si="29"/>
        <v>13316699.826894835</v>
      </c>
      <c r="M60" s="111">
        <f t="shared" si="30"/>
        <v>0.23908426972592775</v>
      </c>
      <c r="N60" s="112">
        <f t="shared" si="31"/>
        <v>0.14410751469166502</v>
      </c>
      <c r="O60" s="142"/>
      <c r="P60" s="309"/>
    </row>
    <row r="61" spans="1:16" s="98" customFormat="1" x14ac:dyDescent="0.2">
      <c r="A61" s="367" t="s">
        <v>285</v>
      </c>
      <c r="B61" s="237" t="str">
        <f t="shared" si="32"/>
        <v>HCC Social</v>
      </c>
      <c r="C61" s="301">
        <f t="shared" si="33"/>
        <v>1</v>
      </c>
      <c r="D61" s="100">
        <f t="shared" si="16"/>
        <v>2200000</v>
      </c>
      <c r="E61" s="254" t="s">
        <v>168</v>
      </c>
      <c r="F61" s="102">
        <f t="shared" si="17"/>
        <v>27316.876297482511</v>
      </c>
      <c r="G61" s="104">
        <f t="shared" si="20"/>
        <v>6171975.0306531982</v>
      </c>
      <c r="H61" s="106">
        <f t="shared" si="18"/>
        <v>4154570.9220185205</v>
      </c>
      <c r="I61" s="102">
        <f t="shared" si="19"/>
        <v>40003.052649469806</v>
      </c>
      <c r="J61" s="108">
        <f t="shared" si="27"/>
        <v>9038289.7156212088</v>
      </c>
      <c r="K61" s="100">
        <f t="shared" si="28"/>
        <v>1954570.9220185205</v>
      </c>
      <c r="L61" s="100">
        <f t="shared" si="29"/>
        <v>2866314.6849680105</v>
      </c>
      <c r="M61" s="111">
        <f t="shared" si="30"/>
        <v>0.88844132819023658</v>
      </c>
      <c r="N61" s="112">
        <f t="shared" si="31"/>
        <v>0.46440801700143303</v>
      </c>
      <c r="O61" s="142"/>
      <c r="P61" s="309"/>
    </row>
    <row r="62" spans="1:16" s="98" customFormat="1" x14ac:dyDescent="0.2">
      <c r="A62" s="367" t="s">
        <v>285</v>
      </c>
      <c r="B62" s="237" t="str">
        <f t="shared" si="32"/>
        <v>HCC Online Video</v>
      </c>
      <c r="C62" s="301">
        <f t="shared" si="33"/>
        <v>1</v>
      </c>
      <c r="D62" s="100">
        <f t="shared" si="16"/>
        <v>1500000</v>
      </c>
      <c r="E62" s="254" t="s">
        <v>168</v>
      </c>
      <c r="F62" s="102">
        <f t="shared" si="17"/>
        <v>26310.281300564297</v>
      </c>
      <c r="G62" s="104">
        <f t="shared" si="20"/>
        <v>5944544.9570494974</v>
      </c>
      <c r="H62" s="106">
        <f t="shared" si="18"/>
        <v>2469338.7975853113</v>
      </c>
      <c r="I62" s="102">
        <f t="shared" si="19"/>
        <v>34035.171883410774</v>
      </c>
      <c r="J62" s="108">
        <f t="shared" si="27"/>
        <v>7689906.7353378301</v>
      </c>
      <c r="K62" s="100">
        <f t="shared" si="28"/>
        <v>969338.79758531135</v>
      </c>
      <c r="L62" s="100">
        <f t="shared" si="29"/>
        <v>1745361.7782883327</v>
      </c>
      <c r="M62" s="111">
        <f t="shared" si="30"/>
        <v>0.64622586505687418</v>
      </c>
      <c r="N62" s="112">
        <f t="shared" si="31"/>
        <v>0.29360729726142432</v>
      </c>
      <c r="O62" s="142"/>
      <c r="P62" s="309"/>
    </row>
    <row r="63" spans="1:16" s="98" customFormat="1" x14ac:dyDescent="0.2">
      <c r="A63" s="367" t="s">
        <v>285</v>
      </c>
      <c r="B63" s="237" t="str">
        <f t="shared" si="32"/>
        <v>HCC Streaming Video</v>
      </c>
      <c r="C63" s="301">
        <f t="shared" si="33"/>
        <v>1</v>
      </c>
      <c r="D63" s="100">
        <f t="shared" si="16"/>
        <v>10268452</v>
      </c>
      <c r="E63" s="254" t="s">
        <v>168</v>
      </c>
      <c r="F63" s="102">
        <f t="shared" si="17"/>
        <v>83590.203851267303</v>
      </c>
      <c r="G63" s="104">
        <f t="shared" si="20"/>
        <v>18886370.658155333</v>
      </c>
      <c r="H63" s="106">
        <f t="shared" si="18"/>
        <v>9781828.9864038322</v>
      </c>
      <c r="I63" s="102">
        <f t="shared" si="19"/>
        <v>80797.132209847332</v>
      </c>
      <c r="J63" s="108">
        <f t="shared" si="27"/>
        <v>18255304.051492907</v>
      </c>
      <c r="K63" s="100">
        <f t="shared" si="28"/>
        <v>-486623.01359616779</v>
      </c>
      <c r="L63" s="100">
        <f t="shared" si="29"/>
        <v>-631066.60666242614</v>
      </c>
      <c r="M63" s="111">
        <f t="shared" si="30"/>
        <v>-4.7390104525605978E-2</v>
      </c>
      <c r="N63" s="112">
        <f t="shared" si="31"/>
        <v>-3.3413863260696147E-2</v>
      </c>
      <c r="O63" s="142"/>
      <c r="P63" s="309"/>
    </row>
    <row r="64" spans="1:16" s="98" customFormat="1" x14ac:dyDescent="0.2">
      <c r="A64" s="367" t="s">
        <v>285</v>
      </c>
      <c r="B64" s="237" t="str">
        <f t="shared" si="32"/>
        <v>HCC Display</v>
      </c>
      <c r="C64" s="301">
        <f t="shared" si="33"/>
        <v>1</v>
      </c>
      <c r="D64" s="100">
        <f t="shared" si="16"/>
        <v>4000000</v>
      </c>
      <c r="E64" s="254" t="s">
        <v>168</v>
      </c>
      <c r="F64" s="102">
        <f t="shared" si="17"/>
        <v>93036.538435982438</v>
      </c>
      <c r="G64" s="104">
        <f t="shared" si="20"/>
        <v>21020675.494225871</v>
      </c>
      <c r="H64" s="106">
        <f t="shared" si="18"/>
        <v>5000000</v>
      </c>
      <c r="I64" s="102">
        <f t="shared" si="19"/>
        <v>106365.19760151411</v>
      </c>
      <c r="J64" s="108">
        <f t="shared" si="27"/>
        <v>24032152.746086098</v>
      </c>
      <c r="K64" s="100">
        <f t="shared" si="28"/>
        <v>1000000</v>
      </c>
      <c r="L64" s="100">
        <f t="shared" si="29"/>
        <v>3011477.2518602274</v>
      </c>
      <c r="M64" s="111">
        <f t="shared" si="30"/>
        <v>0.25</v>
      </c>
      <c r="N64" s="112">
        <f t="shared" si="31"/>
        <v>0.143262629818316</v>
      </c>
      <c r="O64" s="142"/>
      <c r="P64" s="309"/>
    </row>
    <row r="65" spans="1:16" s="98" customFormat="1" x14ac:dyDescent="0.2">
      <c r="A65" s="367" t="s">
        <v>285</v>
      </c>
      <c r="B65" s="237" t="str">
        <f t="shared" si="32"/>
        <v>HCC Paid Search</v>
      </c>
      <c r="C65" s="301">
        <f t="shared" si="33"/>
        <v>1</v>
      </c>
      <c r="D65" s="100">
        <f t="shared" si="16"/>
        <v>200000</v>
      </c>
      <c r="E65" s="254" t="s">
        <v>168</v>
      </c>
      <c r="F65" s="102">
        <f t="shared" si="17"/>
        <v>79531.473375019181</v>
      </c>
      <c r="G65" s="104">
        <f t="shared" si="20"/>
        <v>17969341.094351832</v>
      </c>
      <c r="H65" s="106">
        <f t="shared" si="18"/>
        <v>200000</v>
      </c>
      <c r="I65" s="102">
        <f t="shared" si="19"/>
        <v>79531.473375019181</v>
      </c>
      <c r="J65" s="108">
        <f t="shared" si="27"/>
        <v>17969341.094351832</v>
      </c>
      <c r="K65" s="100">
        <f t="shared" si="28"/>
        <v>0</v>
      </c>
      <c r="L65" s="100">
        <f t="shared" si="29"/>
        <v>0</v>
      </c>
      <c r="M65" s="111">
        <f t="shared" si="30"/>
        <v>0</v>
      </c>
      <c r="N65" s="112">
        <f t="shared" si="31"/>
        <v>0</v>
      </c>
      <c r="O65" s="142"/>
      <c r="P65" s="309"/>
    </row>
    <row r="66" spans="1:16" s="98" customFormat="1" x14ac:dyDescent="0.2">
      <c r="A66" s="367" t="s">
        <v>285</v>
      </c>
      <c r="B66" s="237" t="str">
        <f t="shared" si="32"/>
        <v>HCC Linear TV</v>
      </c>
      <c r="C66" s="301">
        <f t="shared" si="33"/>
        <v>1</v>
      </c>
      <c r="D66" s="100">
        <f t="shared" si="16"/>
        <v>28089211</v>
      </c>
      <c r="E66" s="254" t="s">
        <v>168</v>
      </c>
      <c r="F66" s="102">
        <f t="shared" si="17"/>
        <v>178786.88879772768</v>
      </c>
      <c r="G66" s="104">
        <f t="shared" si="20"/>
        <v>40395109.654958591</v>
      </c>
      <c r="H66" s="106">
        <f t="shared" si="18"/>
        <v>28089211</v>
      </c>
      <c r="I66" s="102">
        <f t="shared" si="19"/>
        <v>178786.88879772768</v>
      </c>
      <c r="J66" s="108">
        <f t="shared" si="27"/>
        <v>40395109.654958591</v>
      </c>
      <c r="K66" s="100">
        <f t="shared" si="28"/>
        <v>0</v>
      </c>
      <c r="L66" s="100">
        <f t="shared" si="29"/>
        <v>0</v>
      </c>
      <c r="M66" s="111">
        <f t="shared" si="30"/>
        <v>0</v>
      </c>
      <c r="N66" s="112">
        <f t="shared" si="31"/>
        <v>0</v>
      </c>
      <c r="O66" s="142"/>
      <c r="P66" s="309"/>
    </row>
    <row r="67" spans="1:16" s="98" customFormat="1" x14ac:dyDescent="0.2">
      <c r="A67" s="367" t="s">
        <v>285</v>
      </c>
      <c r="B67" s="237" t="str">
        <f t="shared" si="32"/>
        <v>HCC Radio</v>
      </c>
      <c r="C67" s="301">
        <f t="shared" si="33"/>
        <v>1</v>
      </c>
      <c r="D67" s="100">
        <f t="shared" si="33"/>
        <v>1500000</v>
      </c>
      <c r="E67" s="254" t="s">
        <v>168</v>
      </c>
      <c r="F67" s="102">
        <f t="shared" ref="F67:F69" si="34">F37/$D$46</f>
        <v>32266.574959240672</v>
      </c>
      <c r="G67" s="104">
        <f t="shared" si="20"/>
        <v>7290309.9462908376</v>
      </c>
      <c r="H67" s="106">
        <f t="shared" ref="H67:H69" si="35">I37</f>
        <v>2200000</v>
      </c>
      <c r="I67" s="102">
        <f t="shared" ref="I67:I69" si="36">J37/$D$46</f>
        <v>37608.450193722703</v>
      </c>
      <c r="J67" s="108">
        <f t="shared" si="27"/>
        <v>8497253.2367697079</v>
      </c>
      <c r="K67" s="100">
        <f t="shared" si="28"/>
        <v>700000</v>
      </c>
      <c r="L67" s="100">
        <f t="shared" si="29"/>
        <v>1206943.2904788703</v>
      </c>
      <c r="M67" s="111">
        <f t="shared" ref="M67:M69" si="37">K67/D67</f>
        <v>0.46666666666666667</v>
      </c>
      <c r="N67" s="112">
        <f t="shared" ref="N67:N69" si="38">L67/G67</f>
        <v>0.16555445507401761</v>
      </c>
      <c r="O67" s="142"/>
      <c r="P67" s="309"/>
    </row>
    <row r="68" spans="1:16" s="98" customFormat="1" x14ac:dyDescent="0.2">
      <c r="A68" s="367" t="s">
        <v>285</v>
      </c>
      <c r="B68" s="237" t="str">
        <f t="shared" si="32"/>
        <v>HCC Pharmacy</v>
      </c>
      <c r="C68" s="301">
        <f t="shared" si="33"/>
        <v>1</v>
      </c>
      <c r="D68" s="100">
        <f t="shared" si="33"/>
        <v>3200000</v>
      </c>
      <c r="E68" s="254" t="s">
        <v>168</v>
      </c>
      <c r="F68" s="102">
        <f t="shared" si="34"/>
        <v>22412.309442908503</v>
      </c>
      <c r="G68" s="104">
        <f t="shared" si="20"/>
        <v>5063837.1955307471</v>
      </c>
      <c r="H68" s="106">
        <f t="shared" si="35"/>
        <v>3200000</v>
      </c>
      <c r="I68" s="102">
        <f t="shared" si="36"/>
        <v>22412.309442908503</v>
      </c>
      <c r="J68" s="108">
        <f t="shared" si="27"/>
        <v>5063837.1955307471</v>
      </c>
      <c r="K68" s="100">
        <f t="shared" si="28"/>
        <v>0</v>
      </c>
      <c r="L68" s="100">
        <f t="shared" si="29"/>
        <v>0</v>
      </c>
      <c r="M68" s="111">
        <f t="shared" si="37"/>
        <v>0</v>
      </c>
      <c r="N68" s="112">
        <f t="shared" si="38"/>
        <v>0</v>
      </c>
      <c r="O68" s="142"/>
      <c r="P68" s="309"/>
    </row>
    <row r="69" spans="1:16" s="98" customFormat="1" x14ac:dyDescent="0.2">
      <c r="A69" s="408" t="s">
        <v>285</v>
      </c>
      <c r="B69" s="408" t="str">
        <f t="shared" si="32"/>
        <v>Total</v>
      </c>
      <c r="C69" s="36"/>
      <c r="D69" s="427">
        <f t="shared" ref="D69" si="39">E39</f>
        <v>68905663</v>
      </c>
      <c r="E69" s="411"/>
      <c r="F69" s="433">
        <f t="shared" si="34"/>
        <v>958987.43979942449</v>
      </c>
      <c r="G69" s="434">
        <f t="shared" si="20"/>
        <v>216673622.14828196</v>
      </c>
      <c r="H69" s="427">
        <f t="shared" si="35"/>
        <v>76994949.909322679</v>
      </c>
      <c r="I69" s="433">
        <f t="shared" si="36"/>
        <v>1053715.2053668697</v>
      </c>
      <c r="J69" s="434">
        <f t="shared" si="27"/>
        <v>238076413.50059053</v>
      </c>
      <c r="K69" s="427">
        <f t="shared" si="28"/>
        <v>8089286.909322679</v>
      </c>
      <c r="L69" s="427">
        <f t="shared" si="29"/>
        <v>21402791.352308571</v>
      </c>
      <c r="M69" s="435">
        <f t="shared" si="37"/>
        <v>0.11739654706352189</v>
      </c>
      <c r="N69" s="436">
        <f t="shared" si="38"/>
        <v>9.8778942910094689E-2</v>
      </c>
      <c r="O69" s="142"/>
      <c r="P69" s="309"/>
    </row>
    <row r="70" spans="1:16" s="98" customFormat="1" x14ac:dyDescent="0.2">
      <c r="A70" s="414" t="s">
        <v>154</v>
      </c>
      <c r="B70" s="414" t="s">
        <v>99</v>
      </c>
      <c r="C70" s="415"/>
      <c r="D70" s="422">
        <f>SUM(D49:D57,D59:D68)</f>
        <v>107419239</v>
      </c>
      <c r="E70" s="423"/>
      <c r="F70" s="424">
        <f>SUM(F49:F57,F59:F68)</f>
        <v>2216670.3846171955</v>
      </c>
      <c r="G70" s="422">
        <f>SUM(G49:G57,G59:G68)</f>
        <v>500834506.70040905</v>
      </c>
      <c r="H70" s="422">
        <f>SUM(H49:H57,H59:H68)</f>
        <v>128608040.01032709</v>
      </c>
      <c r="I70" s="424">
        <f>SUM(I49:I57,I59:I68)</f>
        <v>2561660.6124907257</v>
      </c>
      <c r="J70" s="422">
        <f>SUM(J49:J57,J59:J68)</f>
        <v>578781598.78615463</v>
      </c>
      <c r="K70" s="422">
        <f t="shared" ref="K70" si="40">H70-D70</f>
        <v>21188801.010327086</v>
      </c>
      <c r="L70" s="422">
        <f t="shared" ref="L70" si="41">J70-G70</f>
        <v>77947092.085745573</v>
      </c>
      <c r="M70" s="425">
        <f t="shared" ref="M70" si="42">K70/D70</f>
        <v>0.19725331521225062</v>
      </c>
      <c r="N70" s="426">
        <f t="shared" ref="N70" si="43">L70/G70</f>
        <v>0.15563442822515469</v>
      </c>
    </row>
    <row r="71" spans="1:16" x14ac:dyDescent="0.2">
      <c r="D71" s="150"/>
      <c r="E71" s="255"/>
      <c r="F71" s="151"/>
      <c r="G71" s="113"/>
      <c r="H71" s="98"/>
      <c r="I71" s="94"/>
      <c r="J71" s="113"/>
      <c r="K71" s="98"/>
      <c r="L71" s="113"/>
      <c r="M71" s="117"/>
      <c r="N71" s="114"/>
    </row>
    <row r="72" spans="1:16" x14ac:dyDescent="0.2">
      <c r="D72" s="150"/>
      <c r="E72" s="255"/>
      <c r="F72" s="151"/>
      <c r="G72" s="113"/>
      <c r="H72" s="98"/>
      <c r="I72" s="94"/>
      <c r="J72" s="113"/>
      <c r="K72" s="98"/>
      <c r="L72" s="113"/>
      <c r="M72" s="117"/>
      <c r="N72" s="114"/>
    </row>
    <row r="73" spans="1:16" x14ac:dyDescent="0.2">
      <c r="D73" s="150"/>
      <c r="E73" s="255"/>
      <c r="F73" s="151"/>
      <c r="G73" s="113"/>
      <c r="H73" s="98"/>
      <c r="I73" s="94"/>
      <c r="J73" s="113"/>
      <c r="K73" s="98"/>
      <c r="L73" s="113"/>
      <c r="M73" s="117"/>
      <c r="N73" s="114"/>
    </row>
    <row r="74" spans="1:16" x14ac:dyDescent="0.2">
      <c r="D74" s="128"/>
      <c r="E74" s="256"/>
      <c r="F74" s="128"/>
      <c r="G74" s="98"/>
      <c r="H74" s="98"/>
      <c r="I74" s="98"/>
      <c r="J74" s="98"/>
      <c r="K74" s="98"/>
      <c r="L74" s="98"/>
      <c r="M74" s="98"/>
      <c r="N74" s="98"/>
    </row>
    <row r="75" spans="1:16" x14ac:dyDescent="0.2">
      <c r="D75" s="152"/>
      <c r="E75" s="256"/>
      <c r="F75" s="128"/>
      <c r="G75" s="98"/>
      <c r="H75" s="98"/>
      <c r="I75" s="98"/>
      <c r="J75" s="98"/>
      <c r="K75" s="98"/>
      <c r="L75" s="98"/>
      <c r="M75" s="98"/>
      <c r="N75" s="98"/>
    </row>
    <row r="76" spans="1:16" x14ac:dyDescent="0.2">
      <c r="D76" s="128"/>
      <c r="E76" s="256"/>
      <c r="F76" s="128"/>
    </row>
    <row r="77" spans="1:16" x14ac:dyDescent="0.2">
      <c r="E77" s="257"/>
    </row>
    <row r="78" spans="1:16" x14ac:dyDescent="0.2">
      <c r="E78" s="257"/>
    </row>
    <row r="79" spans="1:16" x14ac:dyDescent="0.2">
      <c r="E79" s="257"/>
    </row>
    <row r="80" spans="1:16" x14ac:dyDescent="0.2">
      <c r="E80" s="257"/>
    </row>
    <row r="81" spans="5:5" x14ac:dyDescent="0.2">
      <c r="E81" s="257"/>
    </row>
  </sheetData>
  <mergeCells count="20">
    <mergeCell ref="A47:A48"/>
    <mergeCell ref="B47:B48"/>
    <mergeCell ref="A45:A46"/>
    <mergeCell ref="A17:A18"/>
    <mergeCell ref="B17:B18"/>
    <mergeCell ref="H47:J47"/>
    <mergeCell ref="B4:I4"/>
    <mergeCell ref="E5:I5"/>
    <mergeCell ref="E6:I6"/>
    <mergeCell ref="K17:N17"/>
    <mergeCell ref="K47:N47"/>
    <mergeCell ref="J44:O44"/>
    <mergeCell ref="C17:C18"/>
    <mergeCell ref="D17:D18"/>
    <mergeCell ref="E17:F17"/>
    <mergeCell ref="G17:H17"/>
    <mergeCell ref="I17:J17"/>
    <mergeCell ref="D44:I44"/>
    <mergeCell ref="C47:C48"/>
    <mergeCell ref="D47:G4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28:H28 K28:L28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D9" sqref="D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15" customHeight="1" x14ac:dyDescent="0.2">
      <c r="A8" s="61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13"/>
      <c r="B9" s="95">
        <f>VAC_Optim_Scenario!G19</f>
        <v>1000000</v>
      </c>
      <c r="C9" s="95">
        <f>VAC_Optim_Scenario!H19</f>
        <v>7500000</v>
      </c>
      <c r="D9" s="68">
        <f>VAC_Optim_Scenario!I19</f>
        <v>1280553.8166407023</v>
      </c>
      <c r="E9" s="84">
        <f>((($R$12/(1+EXP($P$12+$Q$12*D9)))-1) - ($F$12-$C$12))*$I$12</f>
        <v>19403.271232455969</v>
      </c>
      <c r="F9" s="89">
        <f>E9*$G$12</f>
        <v>19403.271232455969</v>
      </c>
      <c r="G9" s="95">
        <f>VAC_Optim_Scenario!E19</f>
        <v>1000000</v>
      </c>
      <c r="H9" s="85">
        <f>((($R$12/(1+EXP($P$12+$Q$12*G9)))-1) - ($F$12-$C$12))*$I$12</f>
        <v>15970.197880234569</v>
      </c>
      <c r="I9" s="90">
        <f>H9*$G$12</f>
        <v>15970.197880234569</v>
      </c>
      <c r="J9" s="87">
        <f>G9/I9</f>
        <v>62.616631772461922</v>
      </c>
      <c r="K9" s="98" t="s">
        <v>180</v>
      </c>
    </row>
    <row r="10" spans="1:18" ht="13.5" thickBot="1" x14ac:dyDescent="0.25"/>
    <row r="11" spans="1:18" ht="51.6" customHeight="1" x14ac:dyDescent="0.2">
      <c r="A11" s="61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2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13"/>
      <c r="B12" s="95">
        <f>'[3]HCC Inoffice Curve'!$B$12</f>
        <v>1700000</v>
      </c>
      <c r="C12" s="153">
        <f>'[3]HCC Inoffice Curve'!$C$12</f>
        <v>23857.888119863572</v>
      </c>
      <c r="D12" s="153">
        <f>'[3]HCC Inoffice Curve'!$D$12</f>
        <v>0</v>
      </c>
      <c r="E12" s="153">
        <f>'[3]HCC Inoffice Curve'!$E$12</f>
        <v>47715.776239727144</v>
      </c>
      <c r="F12" s="153">
        <f>'[3]HCC Inoffice Curve'!$F$12</f>
        <v>8649234</v>
      </c>
      <c r="G12" s="155">
        <f>VAC_Optim_Scenario!$D$46</f>
        <v>1</v>
      </c>
      <c r="H12" s="71">
        <f>C12*G12</f>
        <v>23857.888119863572</v>
      </c>
      <c r="I12" s="115">
        <f>VAC_Optim_Scenario!D19</f>
        <v>1</v>
      </c>
      <c r="K12" s="621"/>
      <c r="L12" s="71">
        <f>F12-C12</f>
        <v>8625376.1118801367</v>
      </c>
      <c r="M12" s="71">
        <f>L12+E12</f>
        <v>8673091.8881198633</v>
      </c>
      <c r="N12" s="72">
        <f>B12</f>
        <v>1700000</v>
      </c>
      <c r="O12" s="71">
        <f>F12</f>
        <v>8649234</v>
      </c>
      <c r="P12" s="24">
        <f>LN((($M$12+1)/($L$12+1))-1)</f>
        <v>-5.1972018820696562</v>
      </c>
      <c r="Q12" s="73">
        <f>(LN((($M$12+1)/($O$12+1))-1)-$P$12)/$N$12</f>
        <v>-4.0935845482839045E-7</v>
      </c>
      <c r="R12" s="74">
        <f>M12+1</f>
        <v>8673092.8881198633</v>
      </c>
    </row>
    <row r="13" spans="1:18" ht="34.15" customHeight="1" x14ac:dyDescent="0.2">
      <c r="A13" s="622" t="s">
        <v>182</v>
      </c>
      <c r="B13" s="623"/>
      <c r="C13" s="623"/>
      <c r="D13" s="623"/>
      <c r="E13" s="623"/>
      <c r="F13" s="624"/>
      <c r="G13" s="119" t="s">
        <v>150</v>
      </c>
      <c r="H13" s="119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2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3.5" thickBot="1" x14ac:dyDescent="0.25"/>
    <row r="17" spans="1:8" ht="42.6" customHeight="1" x14ac:dyDescent="0.2">
      <c r="A17" s="62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21"/>
      <c r="B18" s="75">
        <v>0</v>
      </c>
      <c r="C18" s="76">
        <v>4000000</v>
      </c>
      <c r="D18" s="26">
        <v>20</v>
      </c>
    </row>
    <row r="20" spans="1:8" x14ac:dyDescent="0.2">
      <c r="A20" s="608" t="s">
        <v>37</v>
      </c>
      <c r="B20" s="608"/>
      <c r="C20" s="608"/>
    </row>
    <row r="21" spans="1:8" ht="25.5" x14ac:dyDescent="0.2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3731.9067859649658</v>
      </c>
      <c r="C23" s="79">
        <f t="shared" ref="C23:C42" si="1">B23*$G$12</f>
        <v>3731.9067859649658</v>
      </c>
      <c r="D23" s="98">
        <f>(B23-B22)/A23</f>
        <v>1.8659533929824831E-2</v>
      </c>
      <c r="E23" s="116">
        <f t="shared" ref="E23:E42" si="2">B23*$H$14</f>
        <v>843187.01922092435</v>
      </c>
    </row>
    <row r="24" spans="1:8" x14ac:dyDescent="0.2">
      <c r="A24" s="86">
        <f t="shared" ref="A24:A42" si="3">A23+(($C$18-$B$18)/$D$18)</f>
        <v>400000</v>
      </c>
      <c r="B24" s="79">
        <f t="shared" si="0"/>
        <v>7173.3086972367018</v>
      </c>
      <c r="C24" s="79">
        <f t="shared" si="1"/>
        <v>7173.3086972367018</v>
      </c>
      <c r="D24" s="98">
        <f t="shared" ref="D24:D42" si="4">(B24-B23)/A24</f>
        <v>8.6035047781793401E-3</v>
      </c>
      <c r="E24" s="116">
        <f t="shared" si="2"/>
        <v>1620737.3670536603</v>
      </c>
    </row>
    <row r="25" spans="1:8" x14ac:dyDescent="0.2">
      <c r="A25" s="86">
        <f t="shared" si="3"/>
        <v>600000</v>
      </c>
      <c r="B25" s="79">
        <f t="shared" si="0"/>
        <v>10346.61325889267</v>
      </c>
      <c r="C25" s="79">
        <f t="shared" si="1"/>
        <v>10346.61325889267</v>
      </c>
      <c r="D25" s="98">
        <f t="shared" si="4"/>
        <v>5.2888409360932805E-3</v>
      </c>
      <c r="E25" s="116">
        <f t="shared" si="2"/>
        <v>2337713.79971421</v>
      </c>
    </row>
    <row r="26" spans="1:8" x14ac:dyDescent="0.2">
      <c r="A26" s="86">
        <f t="shared" si="3"/>
        <v>800000</v>
      </c>
      <c r="B26" s="79">
        <f t="shared" si="0"/>
        <v>13272.530711770058</v>
      </c>
      <c r="C26" s="79">
        <f t="shared" si="1"/>
        <v>13272.530711770058</v>
      </c>
      <c r="D26" s="98">
        <f t="shared" si="4"/>
        <v>3.6573968160967343E-3</v>
      </c>
      <c r="E26" s="116">
        <f t="shared" si="2"/>
        <v>2998795.5890173269</v>
      </c>
    </row>
    <row r="27" spans="1:8" x14ac:dyDescent="0.2">
      <c r="A27" s="86">
        <f t="shared" si="3"/>
        <v>1000000</v>
      </c>
      <c r="B27" s="79">
        <f t="shared" si="0"/>
        <v>15970.197880234569</v>
      </c>
      <c r="C27" s="79">
        <f t="shared" si="1"/>
        <v>15970.197880234569</v>
      </c>
      <c r="D27" s="98">
        <f t="shared" si="4"/>
        <v>2.6976671684645118E-3</v>
      </c>
      <c r="E27" s="116">
        <f t="shared" si="2"/>
        <v>3608306.5090601984</v>
      </c>
    </row>
    <row r="28" spans="1:8" x14ac:dyDescent="0.2">
      <c r="A28" s="86">
        <f t="shared" si="3"/>
        <v>1200000</v>
      </c>
      <c r="B28" s="79">
        <f t="shared" si="0"/>
        <v>18457.293716503307</v>
      </c>
      <c r="C28" s="79">
        <f t="shared" si="1"/>
        <v>18457.293716503307</v>
      </c>
      <c r="D28" s="98">
        <f t="shared" si="4"/>
        <v>2.0725798635572814E-3</v>
      </c>
      <c r="E28" s="116">
        <f t="shared" si="2"/>
        <v>4170240.942306757</v>
      </c>
    </row>
    <row r="29" spans="1:8" x14ac:dyDescent="0.2">
      <c r="A29" s="86">
        <f t="shared" si="3"/>
        <v>1400000</v>
      </c>
      <c r="B29" s="79">
        <f t="shared" si="0"/>
        <v>20750.14696871303</v>
      </c>
      <c r="C29" s="79">
        <f t="shared" si="1"/>
        <v>20750.14696871303</v>
      </c>
      <c r="D29" s="98">
        <f t="shared" si="4"/>
        <v>1.6377523230069449E-3</v>
      </c>
      <c r="E29" s="116">
        <f t="shared" si="2"/>
        <v>4688288.2061110223</v>
      </c>
    </row>
    <row r="30" spans="1:8" x14ac:dyDescent="0.2">
      <c r="A30" s="86">
        <f t="shared" si="3"/>
        <v>1600000</v>
      </c>
      <c r="B30" s="79">
        <f t="shared" si="0"/>
        <v>22863.836414532736</v>
      </c>
      <c r="C30" s="79">
        <f t="shared" si="1"/>
        <v>22863.836414532736</v>
      </c>
      <c r="D30" s="98">
        <f t="shared" si="4"/>
        <v>1.321055903637316E-3</v>
      </c>
      <c r="E30" s="116">
        <f t="shared" si="2"/>
        <v>5165855.1994995261</v>
      </c>
    </row>
    <row r="31" spans="1:8" x14ac:dyDescent="0.2">
      <c r="A31" s="86">
        <f t="shared" si="3"/>
        <v>1800000</v>
      </c>
      <c r="B31" s="79">
        <f t="shared" si="0"/>
        <v>24812.284093238413</v>
      </c>
      <c r="C31" s="79">
        <f t="shared" si="1"/>
        <v>24812.284093238413</v>
      </c>
      <c r="D31" s="98">
        <f t="shared" si="4"/>
        <v>1.0824709326142652E-3</v>
      </c>
      <c r="E31" s="116">
        <f t="shared" si="2"/>
        <v>5606087.4680262869</v>
      </c>
    </row>
    <row r="32" spans="1:8" x14ac:dyDescent="0.2">
      <c r="A32" s="86">
        <f t="shared" si="3"/>
        <v>2000000</v>
      </c>
      <c r="B32" s="79">
        <f t="shared" si="0"/>
        <v>26608.341957086697</v>
      </c>
      <c r="C32" s="79">
        <f t="shared" si="1"/>
        <v>26608.341957086697</v>
      </c>
      <c r="D32" s="98">
        <f t="shared" si="4"/>
        <v>8.9802893192414196E-4</v>
      </c>
      <c r="E32" s="116">
        <f t="shared" si="2"/>
        <v>6011888.7817841684</v>
      </c>
    </row>
    <row r="33" spans="1:5" x14ac:dyDescent="0.2">
      <c r="A33" s="86">
        <f t="shared" si="3"/>
        <v>2200000</v>
      </c>
      <c r="B33" s="79">
        <f t="shared" si="0"/>
        <v>28263.872348684818</v>
      </c>
      <c r="C33" s="79">
        <f t="shared" si="1"/>
        <v>28263.872348684818</v>
      </c>
      <c r="D33" s="98">
        <f t="shared" si="4"/>
        <v>7.5251381436278197E-4</v>
      </c>
      <c r="E33" s="116">
        <f t="shared" si="2"/>
        <v>6385939.3184618475</v>
      </c>
    </row>
    <row r="34" spans="1:5" x14ac:dyDescent="0.2">
      <c r="A34" s="86">
        <f>A33+(($C$18-$B$18)/$D$18)</f>
        <v>2400000</v>
      </c>
      <c r="B34" s="79">
        <f t="shared" si="0"/>
        <v>29789.822695303708</v>
      </c>
      <c r="C34" s="79">
        <f t="shared" si="1"/>
        <v>29789.822695303708</v>
      </c>
      <c r="D34" s="98">
        <f t="shared" si="4"/>
        <v>6.3581264442453785E-4</v>
      </c>
      <c r="E34" s="116">
        <f t="shared" si="2"/>
        <v>6730712.5397769194</v>
      </c>
    </row>
    <row r="35" spans="1:5" x14ac:dyDescent="0.2">
      <c r="A35" s="86">
        <f t="shared" si="3"/>
        <v>2600000</v>
      </c>
      <c r="B35" s="79">
        <f t="shared" si="0"/>
        <v>31196.294794134796</v>
      </c>
      <c r="C35" s="79">
        <f t="shared" si="1"/>
        <v>31196.294794134796</v>
      </c>
      <c r="D35" s="98">
        <f t="shared" si="4"/>
        <v>5.409508072427259E-4</v>
      </c>
      <c r="E35" s="116">
        <f t="shared" si="2"/>
        <v>7048490.8457868155</v>
      </c>
    </row>
    <row r="36" spans="1:5" x14ac:dyDescent="0.2">
      <c r="A36" s="86">
        <f t="shared" si="3"/>
        <v>2800000</v>
      </c>
      <c r="B36" s="79">
        <f t="shared" si="0"/>
        <v>32492.609044991434</v>
      </c>
      <c r="C36" s="79">
        <f t="shared" si="1"/>
        <v>32492.609044991434</v>
      </c>
      <c r="D36" s="98">
        <f t="shared" si="4"/>
        <v>4.6296937530594212E-4</v>
      </c>
      <c r="E36" s="116">
        <f t="shared" si="2"/>
        <v>7341380.0876253648</v>
      </c>
    </row>
    <row r="37" spans="1:5" x14ac:dyDescent="0.2">
      <c r="A37" s="86">
        <f t="shared" si="3"/>
        <v>3000000</v>
      </c>
      <c r="B37" s="79">
        <f t="shared" si="0"/>
        <v>33687.363969050348</v>
      </c>
      <c r="C37" s="79">
        <f t="shared" si="1"/>
        <v>33687.363969050348</v>
      </c>
      <c r="D37" s="98">
        <f t="shared" si="4"/>
        <v>3.982516413529714E-4</v>
      </c>
      <c r="E37" s="116">
        <f t="shared" si="2"/>
        <v>7611323.0151672354</v>
      </c>
    </row>
    <row r="38" spans="1:5" x14ac:dyDescent="0.2">
      <c r="A38" s="86">
        <f t="shared" si="3"/>
        <v>3200000</v>
      </c>
      <c r="B38" s="79">
        <f t="shared" si="0"/>
        <v>34788.491334240884</v>
      </c>
      <c r="C38" s="79">
        <f t="shared" si="1"/>
        <v>34788.491334240884</v>
      </c>
      <c r="D38" s="98">
        <f t="shared" si="4"/>
        <v>3.4410230162204244E-4</v>
      </c>
      <c r="E38" s="116">
        <f t="shared" si="2"/>
        <v>7860111.7320583854</v>
      </c>
    </row>
    <row r="39" spans="1:5" x14ac:dyDescent="0.2">
      <c r="A39" s="86">
        <f t="shared" si="3"/>
        <v>3400000</v>
      </c>
      <c r="B39" s="79">
        <f t="shared" si="0"/>
        <v>35803.30719011277</v>
      </c>
      <c r="C39" s="79">
        <f t="shared" si="1"/>
        <v>35803.30719011277</v>
      </c>
      <c r="D39" s="98">
        <f t="shared" si="4"/>
        <v>2.9847525172702532E-4</v>
      </c>
      <c r="E39" s="116">
        <f t="shared" si="2"/>
        <v>8089399.2265340788</v>
      </c>
    </row>
    <row r="40" spans="1:5" x14ac:dyDescent="0.2">
      <c r="A40" s="86">
        <f t="shared" si="3"/>
        <v>3600000</v>
      </c>
      <c r="B40" s="79">
        <f t="shared" si="0"/>
        <v>36738.559097478166</v>
      </c>
      <c r="C40" s="79">
        <f t="shared" si="1"/>
        <v>36738.559097478166</v>
      </c>
      <c r="D40" s="98">
        <f t="shared" si="4"/>
        <v>2.5979219649038793E-4</v>
      </c>
      <c r="E40" s="116">
        <f t="shared" si="2"/>
        <v>8300710.0424842164</v>
      </c>
    </row>
    <row r="41" spans="1:5" x14ac:dyDescent="0.2">
      <c r="A41" s="86">
        <f>A40+(($C$18-$B$18)/$D$18)</f>
        <v>3800000</v>
      </c>
      <c r="B41" s="79">
        <f t="shared" si="0"/>
        <v>37600.469821108505</v>
      </c>
      <c r="C41" s="79">
        <f t="shared" si="1"/>
        <v>37600.469821108505</v>
      </c>
      <c r="D41" s="98">
        <f t="shared" si="4"/>
        <v>2.2681861148166814E-4</v>
      </c>
      <c r="E41" s="116">
        <f t="shared" si="2"/>
        <v>8495450.1513812561</v>
      </c>
    </row>
    <row r="42" spans="1:5" x14ac:dyDescent="0.2">
      <c r="A42" s="86">
        <f t="shared" si="3"/>
        <v>4000000</v>
      </c>
      <c r="B42" s="79">
        <f t="shared" si="0"/>
        <v>38394.777737218887</v>
      </c>
      <c r="C42" s="79">
        <f t="shared" si="1"/>
        <v>38394.777737218887</v>
      </c>
      <c r="D42" s="98">
        <f t="shared" si="4"/>
        <v>1.9857697902759538E-4</v>
      </c>
      <c r="E42" s="116">
        <f t="shared" si="2"/>
        <v>8674916.0819472354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35" customHeight="1" x14ac:dyDescent="0.2">
      <c r="A8" s="612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5" customHeight="1" thickBot="1" x14ac:dyDescent="0.25">
      <c r="A9" s="613"/>
      <c r="B9" s="95">
        <f>VAC_Optim_Scenario!G29</f>
        <v>900000</v>
      </c>
      <c r="C9" s="95">
        <f>VAC_Optim_Scenario!H29</f>
        <v>6500000</v>
      </c>
      <c r="D9" s="68">
        <f>VAC_Optim_Scenario!I29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5">
        <f>VAC_Optim_Scenario!E29</f>
        <v>1000000</v>
      </c>
      <c r="H9" s="85">
        <f>((($R$12/(1+EXP($P$12+$Q$12*G9)))-1) - ($F$12-$C$12))*$I$12</f>
        <v>6742.3679651152343</v>
      </c>
      <c r="I9" s="90">
        <f>H9*$G$12</f>
        <v>6742.3679651152343</v>
      </c>
      <c r="J9" s="87">
        <f>G9/I9</f>
        <v>148.31584469639799</v>
      </c>
      <c r="K9" s="98" t="s">
        <v>180</v>
      </c>
    </row>
    <row r="10" spans="1:18" ht="13.5" thickBot="1" x14ac:dyDescent="0.25"/>
    <row r="11" spans="1:18" ht="51.6" customHeight="1" x14ac:dyDescent="0.2">
      <c r="A11" s="611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20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25">
      <c r="A12" s="613"/>
      <c r="B12" s="351">
        <f>'[5]HCC Inoffice Curve'!$B$12</f>
        <v>1100000</v>
      </c>
      <c r="C12" s="351">
        <f>'[5]HCC Inoffice Curve'!$C$12</f>
        <v>7211.735697901333</v>
      </c>
      <c r="D12" s="351">
        <f>'[5]HCC Inoffice Curve'!$D$12</f>
        <v>0</v>
      </c>
      <c r="E12" s="351">
        <f>'[5]HCC Inoffice Curve'!$E$12</f>
        <v>14423.471395802664</v>
      </c>
      <c r="F12" s="351">
        <f>'[5]HCC Inoffice Curve'!$F$12</f>
        <v>4647854</v>
      </c>
      <c r="G12" s="357">
        <f>VAC_Optim_Scenario!$D$46</f>
        <v>1</v>
      </c>
      <c r="H12" s="71">
        <f>C12*G12</f>
        <v>7211.735697901333</v>
      </c>
      <c r="I12" s="353">
        <f>VAC_Optim_Scenario!D29</f>
        <v>1</v>
      </c>
      <c r="K12" s="621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24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622" t="s">
        <v>182</v>
      </c>
      <c r="B13" s="623"/>
      <c r="C13" s="623"/>
      <c r="D13" s="623"/>
      <c r="E13" s="623"/>
      <c r="F13" s="624"/>
      <c r="G13" s="333" t="s">
        <v>150</v>
      </c>
      <c r="H13" s="333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2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3.5" thickBot="1" x14ac:dyDescent="0.25"/>
    <row r="17" spans="1:8" ht="42.6" customHeight="1" x14ac:dyDescent="0.2">
      <c r="A17" s="620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5" customHeight="1" thickBot="1" x14ac:dyDescent="0.25">
      <c r="A18" s="621"/>
      <c r="B18" s="75">
        <v>0</v>
      </c>
      <c r="C18" s="76">
        <v>4000000</v>
      </c>
      <c r="D18" s="26">
        <v>20</v>
      </c>
    </row>
    <row r="20" spans="1:8" x14ac:dyDescent="0.2">
      <c r="A20" s="608" t="s">
        <v>37</v>
      </c>
      <c r="B20" s="608"/>
      <c r="C20" s="608"/>
    </row>
    <row r="21" spans="1:8" ht="25.5" x14ac:dyDescent="0.2">
      <c r="A21" s="333" t="s">
        <v>35</v>
      </c>
      <c r="B21" s="333" t="s">
        <v>183</v>
      </c>
      <c r="C21" s="333" t="s">
        <v>184</v>
      </c>
      <c r="D21" s="98" t="s">
        <v>185</v>
      </c>
      <c r="E21" s="33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15" customHeight="1" x14ac:dyDescent="0.2">
      <c r="A8" s="61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13"/>
      <c r="B9" s="95">
        <f>VAC_Optim_Scenario!G20</f>
        <v>5400000</v>
      </c>
      <c r="C9" s="95">
        <f>VAC_Optim_Scenario!H20</f>
        <v>12000000</v>
      </c>
      <c r="D9" s="68">
        <f>VAC_Optim_Scenario!I20</f>
        <v>11092068.118553624</v>
      </c>
      <c r="E9" s="84">
        <f>((($R$12/(1+EXP($P$12+$Q$12*D9)))-1) - ($F$12-$C$12))*$I$12</f>
        <v>407759.92261045426</v>
      </c>
      <c r="F9" s="89">
        <f>E9*$G$12</f>
        <v>407759.92261045426</v>
      </c>
      <c r="G9" s="95">
        <f>VAC_Optim_Scenario!E20</f>
        <v>7775778</v>
      </c>
      <c r="H9" s="85">
        <f>((($R$12/(1+EXP($P$12+$Q$12*G9)))-1) - ($F$12-$C$12))*$I$12</f>
        <v>342226.11897340976</v>
      </c>
      <c r="I9" s="90">
        <f>H9*$G$12</f>
        <v>342226.11897340976</v>
      </c>
      <c r="J9" s="87">
        <f>G9/I9</f>
        <v>22.721170503658026</v>
      </c>
      <c r="K9" s="98" t="s">
        <v>180</v>
      </c>
    </row>
    <row r="10" spans="1:18" ht="13.5" thickBot="1" x14ac:dyDescent="0.25"/>
    <row r="11" spans="1:18" ht="51.6" customHeight="1" x14ac:dyDescent="0.2">
      <c r="A11" s="61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2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13"/>
      <c r="B12" s="95">
        <f>'[6]HCP MCM SCurve'!$B$12</f>
        <v>5365372.8900000006</v>
      </c>
      <c r="C12" s="95">
        <f>'[6]HCP MCM SCurve'!$C$12</f>
        <v>271478.24772726599</v>
      </c>
      <c r="D12" s="95">
        <f>'[6]HCP MCM SCurve'!$D$12</f>
        <v>0</v>
      </c>
      <c r="E12" s="95">
        <f>'[6]HCP MCM SCurve'!$E$12</f>
        <v>515808.67068180529</v>
      </c>
      <c r="F12" s="95">
        <f>'[6]HCP MCM SCurve'!$F$12</f>
        <v>8649234</v>
      </c>
      <c r="G12" s="91">
        <f>VAC_Optim_Scenario!$D$46</f>
        <v>1</v>
      </c>
      <c r="H12" s="71">
        <f>C12*G12</f>
        <v>271478.24772726599</v>
      </c>
      <c r="I12" s="115">
        <f>VAC_Optim_Scenario!D20</f>
        <v>1</v>
      </c>
      <c r="K12" s="621"/>
      <c r="L12" s="71">
        <f>F12-C12</f>
        <v>8377755.7522727344</v>
      </c>
      <c r="M12" s="71">
        <f>L12+E12</f>
        <v>8893564.4229545388</v>
      </c>
      <c r="N12" s="72">
        <f>B12</f>
        <v>5365372.8900000006</v>
      </c>
      <c r="O12" s="71">
        <f>F12</f>
        <v>8649234</v>
      </c>
      <c r="P12" s="24">
        <f>LN((($M$12+1)/($L$12+1))-1)</f>
        <v>-2.7875995635125794</v>
      </c>
      <c r="Q12" s="73">
        <f>(LN((($M$12+1)/($O$12+1))-1)-$P$12)/$N$12</f>
        <v>-1.4520986845292592E-7</v>
      </c>
      <c r="R12" s="74">
        <f>M12+1</f>
        <v>8893565.4229545388</v>
      </c>
    </row>
    <row r="13" spans="1:18" ht="34.15" customHeight="1" x14ac:dyDescent="0.2">
      <c r="A13" s="622" t="s">
        <v>187</v>
      </c>
      <c r="B13" s="623"/>
      <c r="C13" s="623"/>
      <c r="D13" s="623"/>
      <c r="E13" s="623"/>
      <c r="F13" s="624"/>
      <c r="G13" s="119" t="s">
        <v>150</v>
      </c>
      <c r="H13" s="119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2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3.5" thickBot="1" x14ac:dyDescent="0.25"/>
    <row r="17" spans="1:8" ht="42.6" customHeight="1" x14ac:dyDescent="0.2">
      <c r="A17" s="62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21"/>
      <c r="B18" s="75">
        <v>0</v>
      </c>
      <c r="C18" s="76">
        <v>12000000</v>
      </c>
      <c r="D18" s="26">
        <v>20</v>
      </c>
    </row>
    <row r="20" spans="1:8" x14ac:dyDescent="0.2">
      <c r="A20" s="608" t="s">
        <v>37</v>
      </c>
      <c r="B20" s="608"/>
      <c r="C20" s="608"/>
    </row>
    <row r="21" spans="1:8" ht="25.5" x14ac:dyDescent="0.2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-9.3132257461547852E-10</v>
      </c>
      <c r="C22" s="79">
        <f>B22*$G$12</f>
        <v>-9.3132257461547852E-10</v>
      </c>
      <c r="E22" s="116">
        <f>B22*$H$14</f>
        <v>-2.1042302250862121E-7</v>
      </c>
    </row>
    <row r="23" spans="1:8" x14ac:dyDescent="0.2">
      <c r="A23" s="86">
        <f>A22+(($C$18-$B$18)/$D$18)</f>
        <v>600000</v>
      </c>
      <c r="B23" s="79">
        <f t="shared" si="0"/>
        <v>40739.230897238478</v>
      </c>
      <c r="C23" s="79">
        <f t="shared" ref="C23:C42" si="1">B23*$G$12</f>
        <v>40739.230897238478</v>
      </c>
      <c r="D23" s="98">
        <f>(B23-B22)/A23</f>
        <v>6.7898718162065677E-2</v>
      </c>
      <c r="E23" s="116">
        <f t="shared" ref="E23:E42" si="2">B23*$H$14</f>
        <v>9204621.8289220612</v>
      </c>
    </row>
    <row r="24" spans="1:8" x14ac:dyDescent="0.2">
      <c r="A24" s="86">
        <f t="shared" ref="A24:A42" si="3">A23+(($C$18-$B$18)/$D$18)</f>
        <v>1200000</v>
      </c>
      <c r="B24" s="79">
        <f t="shared" si="0"/>
        <v>78428.809096541256</v>
      </c>
      <c r="C24" s="79">
        <f t="shared" si="1"/>
        <v>78428.809096541256</v>
      </c>
      <c r="D24" s="98">
        <f t="shared" ref="D24:D42" si="4">(B24-B23)/A24</f>
        <v>3.1407981832752313E-2</v>
      </c>
      <c r="E24" s="116">
        <f t="shared" si="2"/>
        <v>17720205.127272531</v>
      </c>
    </row>
    <row r="25" spans="1:8" x14ac:dyDescent="0.2">
      <c r="A25" s="86">
        <f t="shared" si="3"/>
        <v>1800000</v>
      </c>
      <c r="B25" s="79">
        <f t="shared" si="0"/>
        <v>113271.26307916827</v>
      </c>
      <c r="C25" s="79">
        <f t="shared" si="1"/>
        <v>113271.26307916827</v>
      </c>
      <c r="D25" s="98">
        <f t="shared" si="4"/>
        <v>1.9356918879237232E-2</v>
      </c>
      <c r="E25" s="116">
        <f t="shared" si="2"/>
        <v>25592509.180107281</v>
      </c>
    </row>
    <row r="26" spans="1:8" x14ac:dyDescent="0.2">
      <c r="A26" s="86">
        <f t="shared" si="3"/>
        <v>2400000</v>
      </c>
      <c r="B26" s="79">
        <f t="shared" si="0"/>
        <v>145459.66681052744</v>
      </c>
      <c r="C26" s="79">
        <f t="shared" si="1"/>
        <v>145459.66681052744</v>
      </c>
      <c r="D26" s="98">
        <f t="shared" si="4"/>
        <v>1.3411834888066321E-2</v>
      </c>
      <c r="E26" s="116">
        <f t="shared" si="2"/>
        <v>32865157.119170569</v>
      </c>
    </row>
    <row r="27" spans="1:8" x14ac:dyDescent="0.2">
      <c r="A27" s="86">
        <f t="shared" si="3"/>
        <v>3000000</v>
      </c>
      <c r="B27" s="79">
        <f t="shared" si="0"/>
        <v>175177.42119361833</v>
      </c>
      <c r="C27" s="79">
        <f t="shared" si="1"/>
        <v>175177.42119361833</v>
      </c>
      <c r="D27" s="98">
        <f t="shared" si="4"/>
        <v>9.9059181276969603E-3</v>
      </c>
      <c r="E27" s="116">
        <f t="shared" si="2"/>
        <v>39579586.544486128</v>
      </c>
    </row>
    <row r="28" spans="1:8" x14ac:dyDescent="0.2">
      <c r="A28" s="86">
        <f t="shared" si="3"/>
        <v>3600000</v>
      </c>
      <c r="B28" s="79">
        <f t="shared" si="0"/>
        <v>202598.17686557397</v>
      </c>
      <c r="C28" s="79">
        <f t="shared" si="1"/>
        <v>202598.17686557397</v>
      </c>
      <c r="D28" s="98">
        <f t="shared" si="4"/>
        <v>7.6168765755432345E-3</v>
      </c>
      <c r="E28" s="116">
        <f t="shared" si="2"/>
        <v>45775032.081007786</v>
      </c>
    </row>
    <row r="29" spans="1:8" x14ac:dyDescent="0.2">
      <c r="A29" s="86">
        <f t="shared" si="3"/>
        <v>4200000</v>
      </c>
      <c r="B29" s="79">
        <f t="shared" si="0"/>
        <v>227885.87447749265</v>
      </c>
      <c r="C29" s="79">
        <f t="shared" si="1"/>
        <v>227885.87447749265</v>
      </c>
      <c r="D29" s="98">
        <f t="shared" si="4"/>
        <v>6.0208803837901604E-3</v>
      </c>
      <c r="E29" s="116">
        <f t="shared" si="2"/>
        <v>51488534.47944469</v>
      </c>
    </row>
    <row r="30" spans="1:8" x14ac:dyDescent="0.2">
      <c r="A30" s="86">
        <f t="shared" si="3"/>
        <v>4800000</v>
      </c>
      <c r="B30" s="79">
        <f t="shared" si="0"/>
        <v>251194.88106508367</v>
      </c>
      <c r="C30" s="79">
        <f t="shared" si="1"/>
        <v>251194.88106508367</v>
      </c>
      <c r="D30" s="98">
        <f t="shared" si="4"/>
        <v>4.8560430390814629E-3</v>
      </c>
      <c r="E30" s="116">
        <f t="shared" si="2"/>
        <v>56754971.427845001</v>
      </c>
    </row>
    <row r="31" spans="1:8" x14ac:dyDescent="0.2">
      <c r="A31" s="86">
        <f t="shared" si="3"/>
        <v>5400000</v>
      </c>
      <c r="B31" s="79">
        <f t="shared" si="0"/>
        <v>272670.20355859026</v>
      </c>
      <c r="C31" s="79">
        <f t="shared" si="1"/>
        <v>272670.20355859026</v>
      </c>
      <c r="D31" s="98">
        <f t="shared" si="4"/>
        <v>3.9769115728715918E-3</v>
      </c>
      <c r="E31" s="116">
        <f t="shared" si="2"/>
        <v>61607105.792027883</v>
      </c>
    </row>
    <row r="32" spans="1:8" x14ac:dyDescent="0.2">
      <c r="A32" s="86">
        <f t="shared" si="3"/>
        <v>6000000</v>
      </c>
      <c r="B32" s="79">
        <f t="shared" si="0"/>
        <v>292447.76282965764</v>
      </c>
      <c r="C32" s="79">
        <f t="shared" si="1"/>
        <v>292447.76282965764</v>
      </c>
      <c r="D32" s="98">
        <f t="shared" si="4"/>
        <v>3.2962598785112301E-3</v>
      </c>
      <c r="E32" s="116">
        <f t="shared" si="2"/>
        <v>66075647.533732846</v>
      </c>
    </row>
    <row r="33" spans="1:5" x14ac:dyDescent="0.2">
      <c r="A33" s="86">
        <f t="shared" si="3"/>
        <v>6600000</v>
      </c>
      <c r="B33" s="79">
        <f t="shared" si="0"/>
        <v>310654.7138853576</v>
      </c>
      <c r="C33" s="79">
        <f t="shared" si="1"/>
        <v>310654.7138853576</v>
      </c>
      <c r="D33" s="98">
        <f t="shared" si="4"/>
        <v>2.7586289478333274E-3</v>
      </c>
      <c r="E33" s="116">
        <f t="shared" si="2"/>
        <v>70189326.055257693</v>
      </c>
    </row>
    <row r="34" spans="1:5" x14ac:dyDescent="0.2">
      <c r="A34" s="86">
        <f>A33+(($C$18-$B$18)/$D$18)</f>
        <v>7200000</v>
      </c>
      <c r="B34" s="79">
        <f t="shared" si="0"/>
        <v>327409.79986672848</v>
      </c>
      <c r="C34" s="79">
        <f t="shared" si="1"/>
        <v>327409.79986672848</v>
      </c>
      <c r="D34" s="98">
        <f t="shared" si="4"/>
        <v>2.3270952751904004E-3</v>
      </c>
      <c r="E34" s="116">
        <f t="shared" si="2"/>
        <v>73974970.18188864</v>
      </c>
    </row>
    <row r="35" spans="1:5" x14ac:dyDescent="0.2">
      <c r="A35" s="86">
        <f t="shared" si="3"/>
        <v>7800000</v>
      </c>
      <c r="B35" s="79">
        <f t="shared" si="0"/>
        <v>342823.72937526181</v>
      </c>
      <c r="C35" s="79">
        <f t="shared" si="1"/>
        <v>342823.72937526181</v>
      </c>
      <c r="D35" s="98">
        <f t="shared" si="4"/>
        <v>1.9761448087863244E-3</v>
      </c>
      <c r="E35" s="116">
        <f t="shared" si="2"/>
        <v>77457593.415046647</v>
      </c>
    </row>
    <row r="36" spans="1:5" x14ac:dyDescent="0.2">
      <c r="A36" s="86">
        <f t="shared" si="3"/>
        <v>8400000</v>
      </c>
      <c r="B36" s="79">
        <f t="shared" si="0"/>
        <v>356999.56833022274</v>
      </c>
      <c r="C36" s="79">
        <f t="shared" si="1"/>
        <v>356999.56833022274</v>
      </c>
      <c r="D36" s="98">
        <f t="shared" si="4"/>
        <v>1.6875998755905865E-3</v>
      </c>
      <c r="E36" s="116">
        <f t="shared" si="2"/>
        <v>80660482.468530521</v>
      </c>
    </row>
    <row r="37" spans="1:5" x14ac:dyDescent="0.2">
      <c r="A37" s="86">
        <f t="shared" si="3"/>
        <v>9000000</v>
      </c>
      <c r="B37" s="79">
        <f t="shared" si="0"/>
        <v>370033.139053775</v>
      </c>
      <c r="C37" s="79">
        <f t="shared" si="1"/>
        <v>370033.139053775</v>
      </c>
      <c r="D37" s="98">
        <f t="shared" si="4"/>
        <v>1.4481745248391396E-3</v>
      </c>
      <c r="E37" s="116">
        <f t="shared" si="2"/>
        <v>83605287.437809929</v>
      </c>
    </row>
    <row r="38" spans="1:5" x14ac:dyDescent="0.2">
      <c r="A38" s="86">
        <f t="shared" si="3"/>
        <v>9600000</v>
      </c>
      <c r="B38" s="79">
        <f t="shared" si="0"/>
        <v>382013.42059681378</v>
      </c>
      <c r="C38" s="79">
        <f t="shared" si="1"/>
        <v>382013.42059681378</v>
      </c>
      <c r="D38" s="98">
        <f t="shared" si="4"/>
        <v>1.2479459940665401E-3</v>
      </c>
      <c r="E38" s="116">
        <f t="shared" si="2"/>
        <v>86312112.249644101</v>
      </c>
    </row>
    <row r="39" spans="1:5" x14ac:dyDescent="0.2">
      <c r="A39" s="86">
        <f t="shared" si="3"/>
        <v>10200000</v>
      </c>
      <c r="B39" s="79">
        <f t="shared" si="0"/>
        <v>393022.94546622783</v>
      </c>
      <c r="C39" s="79">
        <f t="shared" si="1"/>
        <v>393022.94546622783</v>
      </c>
      <c r="D39" s="98">
        <f t="shared" si="4"/>
        <v>1.079365183275887E-3</v>
      </c>
      <c r="E39" s="116">
        <f t="shared" si="2"/>
        <v>88799604.298639521</v>
      </c>
    </row>
    <row r="40" spans="1:5" x14ac:dyDescent="0.2">
      <c r="A40" s="86">
        <f t="shared" si="3"/>
        <v>10800000</v>
      </c>
      <c r="B40" s="79">
        <f t="shared" si="0"/>
        <v>403138.18890681118</v>
      </c>
      <c r="C40" s="79">
        <f t="shared" si="1"/>
        <v>403138.18890681118</v>
      </c>
      <c r="D40" s="98">
        <f t="shared" si="4"/>
        <v>9.3659661486882853E-4</v>
      </c>
      <c r="E40" s="116">
        <f t="shared" si="2"/>
        <v>91085042.401604921</v>
      </c>
    </row>
    <row r="41" spans="1:5" x14ac:dyDescent="0.2">
      <c r="A41" s="86">
        <f>A40+(($C$18-$B$18)/$D$18)</f>
        <v>11400000</v>
      </c>
      <c r="B41" s="79">
        <f t="shared" si="0"/>
        <v>412429.94774184003</v>
      </c>
      <c r="C41" s="79">
        <f t="shared" si="1"/>
        <v>412429.94774184003</v>
      </c>
      <c r="D41" s="98">
        <f t="shared" si="4"/>
        <v>8.1506656447621548E-4</v>
      </c>
      <c r="E41" s="116">
        <f t="shared" si="2"/>
        <v>93184422.392791331</v>
      </c>
    </row>
    <row r="42" spans="1:5" x14ac:dyDescent="0.2">
      <c r="A42" s="86">
        <f t="shared" si="3"/>
        <v>12000000</v>
      </c>
      <c r="B42" s="79">
        <f t="shared" si="0"/>
        <v>420963.7064994704</v>
      </c>
      <c r="C42" s="79">
        <f t="shared" si="1"/>
        <v>420963.7064994704</v>
      </c>
      <c r="D42" s="98">
        <f t="shared" si="4"/>
        <v>7.1114656313586364E-4</v>
      </c>
      <c r="E42" s="116">
        <f t="shared" si="2"/>
        <v>95112539.846490338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35" customHeight="1" x14ac:dyDescent="0.2">
      <c r="A8" s="612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5" customHeight="1" thickBot="1" x14ac:dyDescent="0.25">
      <c r="A9" s="613"/>
      <c r="B9" s="95">
        <f>VAC_Optim_Scenario!G30</f>
        <v>10500000</v>
      </c>
      <c r="C9" s="95">
        <f>VAC_Optim_Scenario!H30</f>
        <v>22050000</v>
      </c>
      <c r="D9" s="68">
        <f>VAC_Optim_Scenario!I30</f>
        <v>21000000.203315023</v>
      </c>
      <c r="E9" s="84">
        <f>((($R$12/(1+EXP($P$12+$Q$12*D9)))-1) - ($F$12-$C$12))*$I$12</f>
        <v>467933.02348376904</v>
      </c>
      <c r="F9" s="89">
        <f>E9*$G$12</f>
        <v>467933.02348376904</v>
      </c>
      <c r="G9" s="95">
        <f>VAC_Optim_Scenario!E30</f>
        <v>16948000</v>
      </c>
      <c r="H9" s="85">
        <f>((($R$12/(1+EXP($P$12+$Q$12*G9)))-1) - ($F$12-$C$12))*$I$12</f>
        <v>408993.92537411675</v>
      </c>
      <c r="I9" s="90">
        <f>H9*$G$12</f>
        <v>408993.92537411675</v>
      </c>
      <c r="J9" s="87">
        <f>G9/I9</f>
        <v>41.438268268892379</v>
      </c>
      <c r="K9" s="98" t="s">
        <v>180</v>
      </c>
    </row>
    <row r="10" spans="1:18" ht="13.5" thickBot="1" x14ac:dyDescent="0.25"/>
    <row r="11" spans="1:18" ht="51.6" customHeight="1" x14ac:dyDescent="0.2">
      <c r="A11" s="611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20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25">
      <c r="A12" s="613"/>
      <c r="B12" s="351">
        <f>'[7]HCP MCM SCurve'!$B$12</f>
        <v>10503728.719999999</v>
      </c>
      <c r="C12" s="351">
        <f>'[7]HCP MCM SCurve'!$C$12</f>
        <v>288339.09761974245</v>
      </c>
      <c r="D12" s="351">
        <f>'[7]HCP MCM SCurve'!$D$12</f>
        <v>0</v>
      </c>
      <c r="E12" s="351">
        <f>'[7]HCP MCM SCurve'!$E$12</f>
        <v>720847.7440493562</v>
      </c>
      <c r="F12" s="351">
        <f>'[7]HCP MCM SCurve'!$F$12</f>
        <v>4647854</v>
      </c>
      <c r="G12" s="352">
        <f>VAC_Optim_Scenario!$D$46</f>
        <v>1</v>
      </c>
      <c r="H12" s="71">
        <f>C12*G12</f>
        <v>288339.09761974245</v>
      </c>
      <c r="I12" s="353">
        <f>VAC_Optim_Scenario!D30</f>
        <v>1</v>
      </c>
      <c r="K12" s="621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24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622" t="s">
        <v>187</v>
      </c>
      <c r="B13" s="623"/>
      <c r="C13" s="623"/>
      <c r="D13" s="623"/>
      <c r="E13" s="623"/>
      <c r="F13" s="624"/>
      <c r="G13" s="333" t="s">
        <v>150</v>
      </c>
      <c r="H13" s="333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2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3.5" thickBot="1" x14ac:dyDescent="0.25"/>
    <row r="17" spans="1:8" ht="42.6" customHeight="1" x14ac:dyDescent="0.2">
      <c r="A17" s="620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5" customHeight="1" thickBot="1" x14ac:dyDescent="0.25">
      <c r="A18" s="621"/>
      <c r="B18" s="75">
        <v>0</v>
      </c>
      <c r="C18" s="76">
        <v>12500000</v>
      </c>
      <c r="D18" s="26">
        <v>20</v>
      </c>
    </row>
    <row r="20" spans="1:8" x14ac:dyDescent="0.2">
      <c r="A20" s="608" t="s">
        <v>37</v>
      </c>
      <c r="B20" s="608"/>
      <c r="C20" s="608"/>
    </row>
    <row r="21" spans="1:8" ht="25.5" x14ac:dyDescent="0.2">
      <c r="A21" s="333" t="s">
        <v>35</v>
      </c>
      <c r="B21" s="333" t="s">
        <v>177</v>
      </c>
      <c r="C21" s="333" t="s">
        <v>184</v>
      </c>
      <c r="D21" s="98" t="s">
        <v>188</v>
      </c>
      <c r="E21" s="333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topLeftCell="A4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25">
      <c r="A8" s="612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.75" thickBot="1" x14ac:dyDescent="0.3">
      <c r="A9" s="613"/>
      <c r="B9" s="157">
        <f>VAC_Optim_Scenario!G$21</f>
        <v>1599500</v>
      </c>
      <c r="C9" s="157">
        <f>VAC_Optim_Scenario!H$21</f>
        <v>6500000</v>
      </c>
      <c r="D9" s="158">
        <f>VAC_Optim_Scenario!I$21</f>
        <v>4455047.5305201802</v>
      </c>
      <c r="E9" s="84">
        <f>((GSOC!D9/$B$12)^$D$12)*$C$12*$F$12</f>
        <v>119820.74059201809</v>
      </c>
      <c r="F9" s="84">
        <f>E9*F11</f>
        <v>119820.74059201809</v>
      </c>
      <c r="G9" s="76">
        <f>VAC_Optim_Scenario!E21</f>
        <v>1840000</v>
      </c>
      <c r="H9" s="159">
        <f>((GSOC!G9/$B$12)^$D$12)*$C$12*$F$12</f>
        <v>70487.367019183061</v>
      </c>
      <c r="I9" s="160">
        <f>H9*F11</f>
        <v>70487.367019183061</v>
      </c>
    </row>
    <row r="10" spans="1:9" ht="15.75" thickBot="1" x14ac:dyDescent="0.3"/>
    <row r="11" spans="1:9" ht="48.95" customHeight="1" x14ac:dyDescent="0.25">
      <c r="A11" s="608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">
      <c r="A12" s="608"/>
      <c r="B12" s="162">
        <f>'[8]HCC Social - Power'!$B$12</f>
        <v>1873000</v>
      </c>
      <c r="C12" s="162">
        <f>'[8]HCC Social - Power'!$C$12</f>
        <v>71243.17418511775</v>
      </c>
      <c r="D12" s="314">
        <f>'[8]HCC Social - Power'!$D$12</f>
        <v>0.6</v>
      </c>
      <c r="E12" s="262" t="s">
        <v>122</v>
      </c>
      <c r="F12" s="163">
        <f>VAC_Optim_Scenario!D21</f>
        <v>1</v>
      </c>
      <c r="G12" s="266">
        <f>B12*2</f>
        <v>3746000</v>
      </c>
    </row>
    <row r="13" spans="1:9" ht="18.75" customHeight="1" x14ac:dyDescent="0.25">
      <c r="A13" s="622" t="s">
        <v>171</v>
      </c>
      <c r="B13" s="623"/>
      <c r="C13" s="623"/>
      <c r="D13" s="623"/>
      <c r="E13" s="262" t="s">
        <v>172</v>
      </c>
      <c r="F13" s="262" t="s">
        <v>173</v>
      </c>
    </row>
    <row r="14" spans="1:9" ht="15.75" thickBot="1" x14ac:dyDescent="0.3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0" t="s">
        <v>34</v>
      </c>
      <c r="B16" s="263" t="s">
        <v>32</v>
      </c>
      <c r="C16" s="263" t="s">
        <v>31</v>
      </c>
      <c r="D16" s="264" t="s">
        <v>33</v>
      </c>
    </row>
    <row r="17" spans="1:4" ht="15.75" thickBot="1" x14ac:dyDescent="0.3">
      <c r="A17" s="62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8" t="s">
        <v>37</v>
      </c>
      <c r="B19" s="608"/>
      <c r="C19" s="608"/>
      <c r="D19" s="98"/>
    </row>
    <row r="20" spans="1:4" ht="25.5" x14ac:dyDescent="0.25">
      <c r="A20" s="262" t="s">
        <v>35</v>
      </c>
      <c r="B20" s="262" t="s">
        <v>177</v>
      </c>
      <c r="C20" s="262" t="s">
        <v>174</v>
      </c>
    </row>
    <row r="21" spans="1:4" x14ac:dyDescent="0.25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>((GSOC!A22/$B$12)^$D$12)*$C$12*$F$12</f>
        <v>21280.635822412063</v>
      </c>
      <c r="C22" s="165">
        <f t="shared" ref="C22:C41" si="0">B22*$F$14</f>
        <v>4808146.8577157818</v>
      </c>
    </row>
    <row r="23" spans="1:4" x14ac:dyDescent="0.25">
      <c r="A23" s="164">
        <f t="shared" ref="A23:A41" si="1">A22+(($C$17-$B$17)/$D$17)</f>
        <v>500000</v>
      </c>
      <c r="B23" s="159">
        <f>((GSOC!A23/$B$12)^$D$12)*$C$12*$F$12</f>
        <v>32255.412261904592</v>
      </c>
      <c r="C23" s="165">
        <f t="shared" si="0"/>
        <v>7287787.8464547237</v>
      </c>
    </row>
    <row r="24" spans="1:4" x14ac:dyDescent="0.25">
      <c r="A24" s="164">
        <f t="shared" si="1"/>
        <v>750000</v>
      </c>
      <c r="B24" s="159">
        <f>((GSOC!A24/$B$12)^$D$12)*$C$12*$F$12</f>
        <v>41139.343076618679</v>
      </c>
      <c r="C24" s="165">
        <f t="shared" si="0"/>
        <v>9295023.1747312248</v>
      </c>
    </row>
    <row r="25" spans="1:4" x14ac:dyDescent="0.25">
      <c r="A25" s="164">
        <f t="shared" si="1"/>
        <v>1000000</v>
      </c>
      <c r="B25" s="159">
        <f>((GSOC!A25/$B$12)^$D$12)*$C$12*$F$12</f>
        <v>48890.062724991418</v>
      </c>
      <c r="C25" s="165">
        <f t="shared" si="0"/>
        <v>11046220.77208456</v>
      </c>
    </row>
    <row r="26" spans="1:4" x14ac:dyDescent="0.25">
      <c r="A26" s="164">
        <f t="shared" si="1"/>
        <v>1250000</v>
      </c>
      <c r="B26" s="159">
        <f>((GSOC!A26/$B$12)^$D$12)*$C$12*$F$12</f>
        <v>55894.181682956114</v>
      </c>
      <c r="C26" s="165">
        <f t="shared" si="0"/>
        <v>12628731.409447104</v>
      </c>
    </row>
    <row r="27" spans="1:4" x14ac:dyDescent="0.25">
      <c r="A27" s="164">
        <f t="shared" si="1"/>
        <v>1500000</v>
      </c>
      <c r="B27" s="159">
        <f>((GSOC!A27/$B$12)^$D$12)*$C$12*$F$12</f>
        <v>62355.583836585771</v>
      </c>
      <c r="C27" s="165">
        <f t="shared" si="0"/>
        <v>14088620.61203819</v>
      </c>
    </row>
    <row r="28" spans="1:4" x14ac:dyDescent="0.25">
      <c r="A28" s="164">
        <f t="shared" si="1"/>
        <v>1750000</v>
      </c>
      <c r="B28" s="159">
        <f>((GSOC!A28/$B$12)^$D$12)*$C$12*$F$12</f>
        <v>68398.003276133066</v>
      </c>
      <c r="C28" s="165">
        <f t="shared" si="0"/>
        <v>15453844.860209504</v>
      </c>
    </row>
    <row r="29" spans="1:4" x14ac:dyDescent="0.25">
      <c r="A29" s="164">
        <f t="shared" si="1"/>
        <v>2000000</v>
      </c>
      <c r="B29" s="159">
        <f>((GSOC!A29/$B$12)^$D$12)*$C$12*$F$12</f>
        <v>74103.478010002</v>
      </c>
      <c r="C29" s="165">
        <f t="shared" si="0"/>
        <v>16742939.821579851</v>
      </c>
    </row>
    <row r="30" spans="1:4" x14ac:dyDescent="0.25">
      <c r="A30" s="164">
        <f t="shared" si="1"/>
        <v>2250000</v>
      </c>
      <c r="B30" s="159">
        <f>((GSOC!A30/$B$12)^$D$12)*$C$12*$F$12</f>
        <v>79529.839376007047</v>
      </c>
      <c r="C30" s="165">
        <f t="shared" si="0"/>
        <v>17968971.90861503</v>
      </c>
    </row>
    <row r="31" spans="1:4" x14ac:dyDescent="0.25">
      <c r="A31" s="164">
        <f t="shared" si="1"/>
        <v>2500000</v>
      </c>
      <c r="B31" s="159">
        <f>((GSOC!A31/$B$12)^$D$12)*$C$12*$F$12</f>
        <v>84719.737148398606</v>
      </c>
      <c r="C31" s="165">
        <f t="shared" si="0"/>
        <v>19141577.411309183</v>
      </c>
    </row>
    <row r="32" spans="1:4" x14ac:dyDescent="0.25">
      <c r="A32" s="164">
        <f t="shared" si="1"/>
        <v>2750000</v>
      </c>
      <c r="B32" s="159">
        <f>((GSOC!A32/$B$12)^$D$12)*$C$12*$F$12</f>
        <v>89705.735378365556</v>
      </c>
      <c r="C32" s="165">
        <f t="shared" si="0"/>
        <v>20268113.851387914</v>
      </c>
    </row>
    <row r="33" spans="1:3" x14ac:dyDescent="0.25">
      <c r="A33" s="164">
        <f t="shared" si="1"/>
        <v>3000000</v>
      </c>
      <c r="B33" s="159">
        <f>((GSOC!A33/$B$12)^$D$12)*$C$12*$F$12</f>
        <v>94513.391435541067</v>
      </c>
      <c r="C33" s="165">
        <f t="shared" si="0"/>
        <v>21354355.660946149</v>
      </c>
    </row>
    <row r="34" spans="1:3" x14ac:dyDescent="0.25">
      <c r="A34" s="164">
        <f t="shared" si="1"/>
        <v>3250000</v>
      </c>
      <c r="B34" s="159">
        <f>((GSOC!A34/$B$12)^$D$12)*$C$12*$F$12</f>
        <v>99163.217815008757</v>
      </c>
      <c r="C34" s="165">
        <f t="shared" si="0"/>
        <v>22404937.433123078</v>
      </c>
    </row>
    <row r="35" spans="1:3" x14ac:dyDescent="0.25">
      <c r="A35" s="164">
        <f t="shared" si="1"/>
        <v>3500000</v>
      </c>
      <c r="B35" s="159">
        <f>((GSOC!A35/$B$12)^$D$12)*$C$12*$F$12</f>
        <v>103671.98668186736</v>
      </c>
      <c r="C35" s="165">
        <f t="shared" si="0"/>
        <v>23423648.670901112</v>
      </c>
    </row>
    <row r="36" spans="1:3" x14ac:dyDescent="0.25">
      <c r="A36" s="164">
        <f t="shared" si="1"/>
        <v>3750000</v>
      </c>
      <c r="B36" s="159">
        <f>((GSOC!A36/$B$12)^$D$12)*$C$12*$F$12</f>
        <v>108053.62844564456</v>
      </c>
      <c r="C36" s="165">
        <f t="shared" si="0"/>
        <v>24413636.81100893</v>
      </c>
    </row>
    <row r="37" spans="1:3" x14ac:dyDescent="0.25">
      <c r="A37" s="164">
        <f t="shared" si="1"/>
        <v>4000000</v>
      </c>
      <c r="B37" s="159">
        <f>((GSOC!A37/$B$12)^$D$12)*$C$12*$F$12</f>
        <v>112319.869255799</v>
      </c>
      <c r="C37" s="165">
        <f t="shared" si="0"/>
        <v>25377551.259655226</v>
      </c>
    </row>
    <row r="38" spans="1:3" x14ac:dyDescent="0.25">
      <c r="A38" s="164">
        <f t="shared" si="1"/>
        <v>4250000</v>
      </c>
      <c r="B38" s="159">
        <f>((GSOC!A38/$B$12)^$D$12)*$C$12*$F$12</f>
        <v>116480.69479189794</v>
      </c>
      <c r="C38" s="165">
        <f t="shared" si="0"/>
        <v>26317648.181281421</v>
      </c>
    </row>
    <row r="39" spans="1:3" x14ac:dyDescent="0.25">
      <c r="A39" s="164">
        <f t="shared" si="1"/>
        <v>4500000</v>
      </c>
      <c r="B39" s="159">
        <f>((GSOC!A39/$B$12)^$D$12)*$C$12*$F$12</f>
        <v>120544.69507412486</v>
      </c>
      <c r="C39" s="165">
        <f t="shared" si="0"/>
        <v>27235868.405047771</v>
      </c>
    </row>
    <row r="40" spans="1:3" x14ac:dyDescent="0.25">
      <c r="A40" s="164">
        <f t="shared" si="1"/>
        <v>4750000</v>
      </c>
      <c r="B40" s="159">
        <f>((GSOC!A40/$B$12)^$D$12)*$C$12*$F$12</f>
        <v>124519.32570439449</v>
      </c>
      <c r="C40" s="165">
        <f t="shared" si="0"/>
        <v>28133896.449650891</v>
      </c>
    </row>
    <row r="41" spans="1:3" x14ac:dyDescent="0.25">
      <c r="A41" s="164">
        <f t="shared" si="1"/>
        <v>5000000</v>
      </c>
      <c r="B41" s="159">
        <f>((GSOC!A41/$B$12)^$D$12)*$C$12*$F$12</f>
        <v>128411.10910623417</v>
      </c>
      <c r="C41" s="165">
        <f t="shared" si="0"/>
        <v>29013205.991462547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25">
      <c r="A8" s="612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3"/>
      <c r="B9" s="157">
        <f>VAC_Optim_Scenario!G31</f>
        <v>1800000</v>
      </c>
      <c r="C9" s="157">
        <f>VAC_Optim_Scenario!H31</f>
        <v>7000000</v>
      </c>
      <c r="D9" s="158">
        <f>VAC_Optim_Scenario!I31</f>
        <v>4154570.9220185205</v>
      </c>
      <c r="E9" s="84">
        <f>((GSOCIAL_adt!D9/$B$12)^$D$12)*$C$12*$F$12</f>
        <v>40003.052649469806</v>
      </c>
      <c r="F9" s="84">
        <f>E9*F11</f>
        <v>40003.052649469806</v>
      </c>
      <c r="G9" s="76">
        <f>VAC_Optim_Scenario!E31</f>
        <v>2200000</v>
      </c>
      <c r="H9" s="159">
        <f>((GSOCIAL_adt!G9/$B$12)^$D$12)*$C$12*$F$12</f>
        <v>27316.876297482511</v>
      </c>
      <c r="I9" s="160">
        <f>H9*F11</f>
        <v>27316.876297482511</v>
      </c>
    </row>
    <row r="10" spans="1:9" ht="15.75" thickBot="1" x14ac:dyDescent="0.3"/>
    <row r="11" spans="1:9" ht="48.95" customHeight="1" x14ac:dyDescent="0.25">
      <c r="A11" s="60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608"/>
      <c r="B12" s="162">
        <f>'[9]HCC Social - Power'!$B$12</f>
        <v>1751000</v>
      </c>
      <c r="C12" s="162">
        <f>'[9]HCC Social - Power'!$C$12</f>
        <v>23820.403572058858</v>
      </c>
      <c r="D12" s="329">
        <f>'[9]HCC Social - Power'!$D$12</f>
        <v>0.6</v>
      </c>
      <c r="E12" s="333" t="s">
        <v>122</v>
      </c>
      <c r="F12" s="163">
        <f>VAC_Optim_Scenario!D31</f>
        <v>1</v>
      </c>
      <c r="G12" s="266">
        <f>B12*2</f>
        <v>3502000</v>
      </c>
    </row>
    <row r="13" spans="1:9" ht="18.75" customHeight="1" x14ac:dyDescent="0.25">
      <c r="A13" s="622" t="s">
        <v>171</v>
      </c>
      <c r="B13" s="623"/>
      <c r="C13" s="623"/>
      <c r="D13" s="623"/>
      <c r="E13" s="333" t="s">
        <v>172</v>
      </c>
      <c r="F13" s="333" t="s">
        <v>173</v>
      </c>
    </row>
    <row r="14" spans="1:9" ht="15.75" thickBot="1" x14ac:dyDescent="0.3">
      <c r="A14" s="625"/>
      <c r="B14" s="626"/>
      <c r="C14" s="626"/>
      <c r="D14" s="626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620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2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8" t="s">
        <v>37</v>
      </c>
      <c r="B19" s="608"/>
      <c r="C19" s="608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7408.6901640745618</v>
      </c>
      <c r="C22" s="165">
        <f t="shared" ref="C22:C41" si="1">B22*$F$14</f>
        <v>1673919.4556710066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11229.474417830452</v>
      </c>
      <c r="C23" s="165">
        <f t="shared" si="1"/>
        <v>2537187.4499646123</v>
      </c>
    </row>
    <row r="24" spans="1:4" x14ac:dyDescent="0.25">
      <c r="A24" s="164">
        <f t="shared" si="2"/>
        <v>750000</v>
      </c>
      <c r="B24" s="159">
        <f t="shared" si="0"/>
        <v>14322.346801651498</v>
      </c>
      <c r="C24" s="165">
        <f t="shared" si="1"/>
        <v>3235991.0363651393</v>
      </c>
    </row>
    <row r="25" spans="1:4" x14ac:dyDescent="0.25">
      <c r="A25" s="164">
        <f t="shared" si="2"/>
        <v>1000000</v>
      </c>
      <c r="B25" s="159">
        <f t="shared" si="0"/>
        <v>17020.700408310324</v>
      </c>
      <c r="C25" s="165">
        <f t="shared" si="1"/>
        <v>3845657.0502536343</v>
      </c>
    </row>
    <row r="26" spans="1:4" x14ac:dyDescent="0.25">
      <c r="A26" s="164">
        <f t="shared" si="2"/>
        <v>1250000</v>
      </c>
      <c r="B26" s="159">
        <f t="shared" si="0"/>
        <v>19459.130710154546</v>
      </c>
      <c r="C26" s="165">
        <f t="shared" si="1"/>
        <v>4396595.9926523184</v>
      </c>
    </row>
    <row r="27" spans="1:4" x14ac:dyDescent="0.25">
      <c r="A27" s="164">
        <f t="shared" si="2"/>
        <v>1500000</v>
      </c>
      <c r="B27" s="159">
        <f t="shared" si="0"/>
        <v>21708.618318570392</v>
      </c>
      <c r="C27" s="165">
        <f t="shared" si="1"/>
        <v>4904845.2228977941</v>
      </c>
    </row>
    <row r="28" spans="1:4" x14ac:dyDescent="0.25">
      <c r="A28" s="164">
        <f t="shared" si="2"/>
        <v>1750000</v>
      </c>
      <c r="B28" s="159">
        <f t="shared" si="0"/>
        <v>23812.240308184086</v>
      </c>
      <c r="C28" s="165">
        <f t="shared" si="1"/>
        <v>5380137.5752311125</v>
      </c>
    </row>
    <row r="29" spans="1:4" x14ac:dyDescent="0.25">
      <c r="A29" s="164">
        <f t="shared" si="2"/>
        <v>2000000</v>
      </c>
      <c r="B29" s="159">
        <f t="shared" si="0"/>
        <v>25798.557582486257</v>
      </c>
      <c r="C29" s="165">
        <f t="shared" si="1"/>
        <v>5828926.1001869449</v>
      </c>
    </row>
    <row r="30" spans="1:4" x14ac:dyDescent="0.25">
      <c r="A30" s="164">
        <f t="shared" si="2"/>
        <v>2250000</v>
      </c>
      <c r="B30" s="159">
        <f t="shared" si="0"/>
        <v>27687.703678238533</v>
      </c>
      <c r="C30" s="165">
        <f t="shared" si="1"/>
        <v>6255759.7690612143</v>
      </c>
    </row>
    <row r="31" spans="1:4" x14ac:dyDescent="0.25">
      <c r="A31" s="164">
        <f t="shared" si="2"/>
        <v>2500000</v>
      </c>
      <c r="B31" s="159">
        <f t="shared" si="0"/>
        <v>29494.526787272491</v>
      </c>
      <c r="C31" s="165">
        <f t="shared" si="1"/>
        <v>6663993.3823163463</v>
      </c>
    </row>
    <row r="32" spans="1:4" x14ac:dyDescent="0.25">
      <c r="A32" s="164">
        <f t="shared" si="2"/>
        <v>2750000</v>
      </c>
      <c r="B32" s="159">
        <f t="shared" si="0"/>
        <v>31230.363834281474</v>
      </c>
      <c r="C32" s="165">
        <f t="shared" si="1"/>
        <v>7056188.4047175562</v>
      </c>
    </row>
    <row r="33" spans="1:3" x14ac:dyDescent="0.25">
      <c r="A33" s="164">
        <f t="shared" si="2"/>
        <v>3000000</v>
      </c>
      <c r="B33" s="159">
        <f t="shared" si="0"/>
        <v>32904.112421508238</v>
      </c>
      <c r="C33" s="165">
        <f t="shared" si="1"/>
        <v>7434355.160515571</v>
      </c>
    </row>
    <row r="34" spans="1:3" x14ac:dyDescent="0.25">
      <c r="A34" s="164">
        <f t="shared" si="2"/>
        <v>3250000</v>
      </c>
      <c r="B34" s="159">
        <f t="shared" si="0"/>
        <v>34522.913816809414</v>
      </c>
      <c r="C34" s="165">
        <f t="shared" si="1"/>
        <v>7800107.1477699187</v>
      </c>
    </row>
    <row r="35" spans="1:3" x14ac:dyDescent="0.25">
      <c r="A35" s="164">
        <f t="shared" si="2"/>
        <v>3500000</v>
      </c>
      <c r="B35" s="159">
        <f t="shared" si="0"/>
        <v>36092.607120841283</v>
      </c>
      <c r="C35" s="165">
        <f t="shared" si="1"/>
        <v>8154763.6528828796</v>
      </c>
    </row>
    <row r="36" spans="1:3" x14ac:dyDescent="0.25">
      <c r="A36" s="164">
        <f t="shared" si="2"/>
        <v>3750000</v>
      </c>
      <c r="B36" s="159">
        <f t="shared" si="0"/>
        <v>37618.042098851023</v>
      </c>
      <c r="C36" s="165">
        <f t="shared" si="1"/>
        <v>8499420.4318144005</v>
      </c>
    </row>
    <row r="37" spans="1:3" x14ac:dyDescent="0.25">
      <c r="A37" s="164">
        <f t="shared" si="2"/>
        <v>4000000</v>
      </c>
      <c r="B37" s="159">
        <f t="shared" si="0"/>
        <v>39103.301119846867</v>
      </c>
      <c r="C37" s="165">
        <f t="shared" si="1"/>
        <v>8834999.8550182004</v>
      </c>
    </row>
    <row r="38" spans="1:3" x14ac:dyDescent="0.25">
      <c r="A38" s="164">
        <f t="shared" si="2"/>
        <v>4250000</v>
      </c>
      <c r="B38" s="159">
        <f t="shared" si="0"/>
        <v>40551.860621591703</v>
      </c>
      <c r="C38" s="165">
        <f t="shared" si="1"/>
        <v>9162287.38884243</v>
      </c>
    </row>
    <row r="39" spans="1:3" x14ac:dyDescent="0.25">
      <c r="A39" s="164">
        <f t="shared" si="2"/>
        <v>4500000</v>
      </c>
      <c r="B39" s="159">
        <f t="shared" si="0"/>
        <v>41966.711153737037</v>
      </c>
      <c r="C39" s="165">
        <f t="shared" si="1"/>
        <v>9481958.7180753462</v>
      </c>
    </row>
    <row r="40" spans="1:3" x14ac:dyDescent="0.25">
      <c r="A40" s="164">
        <f t="shared" si="2"/>
        <v>4750000</v>
      </c>
      <c r="B40" s="159">
        <f t="shared" si="0"/>
        <v>43350.448326913778</v>
      </c>
      <c r="C40" s="165">
        <f t="shared" si="1"/>
        <v>9794600.294982899</v>
      </c>
    </row>
    <row r="41" spans="1:3" x14ac:dyDescent="0.25">
      <c r="A41" s="164">
        <f t="shared" si="2"/>
        <v>5000000</v>
      </c>
      <c r="B41" s="159">
        <f t="shared" si="0"/>
        <v>44705.342872853616</v>
      </c>
      <c r="C41" s="165">
        <f t="shared" si="1"/>
        <v>10100725.168692546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158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15" customHeight="1" x14ac:dyDescent="0.2">
      <c r="A8" s="612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65" customHeight="1" thickBot="1" x14ac:dyDescent="0.25">
      <c r="A9" s="613"/>
      <c r="B9" s="95">
        <f>VAC_Optim_Scenario!G22</f>
        <v>1000000</v>
      </c>
      <c r="C9" s="95">
        <f>VAC_Optim_Scenario!H22</f>
        <v>3500000</v>
      </c>
      <c r="D9" s="68">
        <f>VAC_Optim_Scenario!I22</f>
        <v>1000000</v>
      </c>
      <c r="E9" s="84">
        <f>((($R$12/(1+EXP($P$12+$Q$12*D9)))-1) - ($F$12-$C$12))*$I$12</f>
        <v>14861.613123927265</v>
      </c>
      <c r="F9" s="89">
        <f>E9*$G$12</f>
        <v>14861.613123927265</v>
      </c>
      <c r="G9" s="95">
        <f>VAC_Optim_Scenario!E22</f>
        <v>1220000</v>
      </c>
      <c r="H9" s="85">
        <f>((($R$12/(1+EXP($P$12+$Q$12*G9)))-1) - ($F$12-$C$12))*$I$12</f>
        <v>15022.779470646754</v>
      </c>
      <c r="I9" s="90">
        <f>H9*$G$12</f>
        <v>15022.779470646754</v>
      </c>
      <c r="J9" s="87">
        <f>G9/I9</f>
        <v>81.210005271246729</v>
      </c>
      <c r="K9" s="98" t="s">
        <v>198</v>
      </c>
    </row>
    <row r="10" spans="1:18" ht="13.5" thickBot="1" x14ac:dyDescent="0.25"/>
    <row r="11" spans="1:18" ht="51.6" customHeight="1" x14ac:dyDescent="0.2">
      <c r="A11" s="611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620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25">
      <c r="A12" s="613"/>
      <c r="B12" s="95">
        <f>'[10]HCC Online Video Curve'!$B$12</f>
        <v>173076.94</v>
      </c>
      <c r="C12" s="95">
        <f>'[10]HCC Online Video Curve'!$C$12</f>
        <v>7568.2941111774026</v>
      </c>
      <c r="D12" s="95">
        <f>'[10]HCC Online Video Curve'!$D$12</f>
        <v>0</v>
      </c>
      <c r="E12" s="95">
        <f>'[10]HCC Online Video Curve'!$E$12</f>
        <v>15136.588222354803</v>
      </c>
      <c r="F12" s="95">
        <f>'[10]HCC Online Video Curve'!$F$12</f>
        <v>8649234</v>
      </c>
      <c r="G12" s="91">
        <f>VAC_Optim_Scenario!$D$46</f>
        <v>1</v>
      </c>
      <c r="H12" s="71">
        <f>C12*G12</f>
        <v>7568.2941111774026</v>
      </c>
      <c r="I12" s="115">
        <f>VAC_Optim_Scenario!D22</f>
        <v>1</v>
      </c>
      <c r="K12" s="621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622" t="s">
        <v>114</v>
      </c>
      <c r="B13" s="623"/>
      <c r="C13" s="623"/>
      <c r="D13" s="623"/>
      <c r="E13" s="623"/>
      <c r="F13" s="624"/>
      <c r="G13" s="133" t="s">
        <v>150</v>
      </c>
      <c r="H13" s="133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2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3.5" thickBot="1" x14ac:dyDescent="0.25"/>
    <row r="17" spans="1:8" ht="42.6" customHeight="1" x14ac:dyDescent="0.2">
      <c r="A17" s="620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65" customHeight="1" thickBot="1" x14ac:dyDescent="0.25">
      <c r="A18" s="621"/>
      <c r="B18" s="75">
        <v>0</v>
      </c>
      <c r="C18" s="76">
        <v>2000000</v>
      </c>
      <c r="D18" s="26">
        <v>20</v>
      </c>
    </row>
    <row r="20" spans="1:8" x14ac:dyDescent="0.2">
      <c r="A20" s="608" t="s">
        <v>37</v>
      </c>
      <c r="B20" s="608"/>
      <c r="C20" s="608"/>
    </row>
    <row r="21" spans="1:8" ht="25.5" x14ac:dyDescent="0.2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290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35" customHeight="1" x14ac:dyDescent="0.2">
      <c r="A8" s="612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5" customHeight="1" thickBot="1" x14ac:dyDescent="0.25">
      <c r="A9" s="613"/>
      <c r="B9" s="95">
        <f>VAC_Optim_Scenario!G32</f>
        <v>1100000</v>
      </c>
      <c r="C9" s="95">
        <f>VAC_Optim_Scenario!H32</f>
        <v>3500000</v>
      </c>
      <c r="D9" s="68">
        <f>VAC_Optim_Scenario!I32</f>
        <v>2469338.7975853113</v>
      </c>
      <c r="E9" s="84">
        <f>((($R$12/(1+EXP($P$12+$Q$12*D9)))-1) - ($F$12-$C$12))*$I$12</f>
        <v>34035.171883410774</v>
      </c>
      <c r="F9" s="89">
        <f>E9*$G$12</f>
        <v>34035.171883410774</v>
      </c>
      <c r="G9" s="95">
        <f>VAC_Optim_Scenario!E32</f>
        <v>1500000</v>
      </c>
      <c r="H9" s="85">
        <f>((($R$12/(1+EXP($P$12+$Q$12*G9)))-1) - ($F$12-$C$12))*$I$12</f>
        <v>26310.281300564297</v>
      </c>
      <c r="I9" s="90">
        <f>H9*$G$12</f>
        <v>26310.281300564297</v>
      </c>
      <c r="J9" s="87">
        <f>G9/I9</f>
        <v>57.011933200722879</v>
      </c>
      <c r="K9" s="98" t="s">
        <v>180</v>
      </c>
    </row>
    <row r="10" spans="1:18" ht="13.5" thickBot="1" x14ac:dyDescent="0.25"/>
    <row r="11" spans="1:18" ht="51.6" customHeight="1" x14ac:dyDescent="0.2">
      <c r="A11" s="611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20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25">
      <c r="A12" s="613"/>
      <c r="B12" s="351">
        <f>'[11]HCC Online Video Curve'!$B$12</f>
        <v>1111779.04</v>
      </c>
      <c r="C12" s="351">
        <f>'[11]HCC Online Video Curve'!$C$12</f>
        <v>21646.235649615326</v>
      </c>
      <c r="D12" s="351">
        <f>'[11]HCC Online Video Curve'!$D$12</f>
        <v>0</v>
      </c>
      <c r="E12" s="351">
        <f>'[11]HCC Online Video Curve'!$E$12</f>
        <v>43292.471299230652</v>
      </c>
      <c r="F12" s="351">
        <f>'[11]HCC Online Video Curve'!$F$12</f>
        <v>4647854</v>
      </c>
      <c r="G12" s="352">
        <f>VAC_Optim_Scenario!$D$46</f>
        <v>1</v>
      </c>
      <c r="H12" s="71">
        <f>C12*G12</f>
        <v>21646.235649615326</v>
      </c>
      <c r="I12" s="353">
        <f>VAC_Optim_Scenario!D32</f>
        <v>1</v>
      </c>
      <c r="K12" s="621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24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622" t="s">
        <v>182</v>
      </c>
      <c r="B13" s="623"/>
      <c r="C13" s="623"/>
      <c r="D13" s="623"/>
      <c r="E13" s="623"/>
      <c r="F13" s="624"/>
      <c r="G13" s="333" t="s">
        <v>150</v>
      </c>
      <c r="H13" s="333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2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3.5" thickBot="1" x14ac:dyDescent="0.25"/>
    <row r="17" spans="1:8" ht="42.6" customHeight="1" x14ac:dyDescent="0.2">
      <c r="A17" s="620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5" customHeight="1" thickBot="1" x14ac:dyDescent="0.25">
      <c r="A18" s="621"/>
      <c r="B18" s="75">
        <v>0</v>
      </c>
      <c r="C18" s="76">
        <v>4000000</v>
      </c>
      <c r="D18" s="26">
        <v>20</v>
      </c>
    </row>
    <row r="20" spans="1:8" x14ac:dyDescent="0.2">
      <c r="A20" s="608" t="s">
        <v>37</v>
      </c>
      <c r="B20" s="608"/>
      <c r="C20" s="608"/>
    </row>
    <row r="21" spans="1:8" ht="25.5" x14ac:dyDescent="0.2">
      <c r="A21" s="333" t="s">
        <v>35</v>
      </c>
      <c r="B21" s="333" t="s">
        <v>183</v>
      </c>
      <c r="C21" s="333" t="s">
        <v>184</v>
      </c>
      <c r="D21" s="98" t="s">
        <v>185</v>
      </c>
      <c r="E21" s="33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topLeftCell="A10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25">
      <c r="A8" s="612"/>
      <c r="B8" s="269" t="s">
        <v>10</v>
      </c>
      <c r="C8" s="269" t="s">
        <v>11</v>
      </c>
      <c r="D8" s="269" t="s">
        <v>20</v>
      </c>
      <c r="E8" s="269" t="s">
        <v>21</v>
      </c>
      <c r="F8" s="269" t="s">
        <v>117</v>
      </c>
      <c r="G8" s="269" t="s">
        <v>22</v>
      </c>
      <c r="H8" s="269" t="s">
        <v>23</v>
      </c>
      <c r="I8" s="4" t="s">
        <v>123</v>
      </c>
    </row>
    <row r="9" spans="1:9" ht="15.75" thickBot="1" x14ac:dyDescent="0.3">
      <c r="A9" s="613"/>
      <c r="B9" s="157">
        <f>VAC_Optim_Scenario!G23</f>
        <v>4817798</v>
      </c>
      <c r="C9" s="157">
        <f>VAC_Optim_Scenario!H23</f>
        <v>12070113</v>
      </c>
      <c r="D9" s="158">
        <f>VAC_Optim_Scenario!I23</f>
        <v>6494076.6811486697</v>
      </c>
      <c r="E9" s="84">
        <f>((GSTRV!D9/$B$12)^$D$12)*$C$12*$F$12</f>
        <v>149762.88214142565</v>
      </c>
      <c r="F9" s="84">
        <f>E9*F11</f>
        <v>149762.88214142565</v>
      </c>
      <c r="G9" s="76">
        <f>VAC_Optim_Scenario!E23</f>
        <v>4817798</v>
      </c>
      <c r="H9" s="159">
        <f>((GSTRV!G9/$B$12)^$D$12)*$C$12*$F$12</f>
        <v>121516.7124715425</v>
      </c>
      <c r="I9" s="160">
        <f>H9*F11</f>
        <v>121516.7124715425</v>
      </c>
    </row>
    <row r="10" spans="1:9" ht="15.75" thickBot="1" x14ac:dyDescent="0.3"/>
    <row r="11" spans="1:9" ht="48.95" customHeight="1" x14ac:dyDescent="0.25">
      <c r="A11" s="608" t="s">
        <v>15</v>
      </c>
      <c r="B11" s="270" t="s">
        <v>16</v>
      </c>
      <c r="C11" s="270" t="s">
        <v>17</v>
      </c>
      <c r="D11" s="270" t="s">
        <v>170</v>
      </c>
      <c r="E11" s="269" t="s">
        <v>126</v>
      </c>
      <c r="F11" s="161">
        <v>1</v>
      </c>
    </row>
    <row r="12" spans="1:9" ht="40.5" customHeight="1" thickBot="1" x14ac:dyDescent="0.3">
      <c r="A12" s="608"/>
      <c r="B12" s="162">
        <f>'[12]Streaming Video - Power'!$B$12</f>
        <v>5935125</v>
      </c>
      <c r="C12" s="162">
        <f>'[12]Streaming Video - Power'!$C$12</f>
        <v>140618.64530883348</v>
      </c>
      <c r="D12" s="314">
        <f>'[12]Streaming Video - Power'!$D$12</f>
        <v>0.7</v>
      </c>
      <c r="E12" s="269" t="s">
        <v>122</v>
      </c>
      <c r="F12" s="163">
        <f>VAC_Optim_Scenario!D23</f>
        <v>1</v>
      </c>
      <c r="H12" s="266"/>
    </row>
    <row r="13" spans="1:9" ht="18.75" customHeight="1" x14ac:dyDescent="0.25">
      <c r="A13" s="622" t="s">
        <v>171</v>
      </c>
      <c r="B13" s="623"/>
      <c r="C13" s="623"/>
      <c r="D13" s="623"/>
      <c r="E13" s="269" t="s">
        <v>172</v>
      </c>
      <c r="F13" s="269" t="s">
        <v>173</v>
      </c>
    </row>
    <row r="14" spans="1:9" ht="15.75" thickBot="1" x14ac:dyDescent="0.3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0" t="s">
        <v>34</v>
      </c>
      <c r="B16" s="270" t="s">
        <v>32</v>
      </c>
      <c r="C16" s="270" t="s">
        <v>31</v>
      </c>
      <c r="D16" s="271" t="s">
        <v>33</v>
      </c>
    </row>
    <row r="17" spans="1:4" ht="15.75" thickBot="1" x14ac:dyDescent="0.3">
      <c r="A17" s="621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8" t="s">
        <v>37</v>
      </c>
      <c r="B19" s="608"/>
      <c r="C19" s="608"/>
      <c r="D19" s="98"/>
    </row>
    <row r="20" spans="1:4" ht="25.5" x14ac:dyDescent="0.25">
      <c r="A20" s="269" t="s">
        <v>35</v>
      </c>
      <c r="B20" s="269" t="s">
        <v>177</v>
      </c>
      <c r="C20" s="269" t="s">
        <v>174</v>
      </c>
    </row>
    <row r="21" spans="1:4" x14ac:dyDescent="0.25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500000</v>
      </c>
      <c r="B22" s="159">
        <f>((GSTRV!A22/$B$12)^$D$12)*$C$12*$F$12</f>
        <v>24884.046469428908</v>
      </c>
      <c r="C22" s="165">
        <f t="shared" ref="C22:C41" si="0">B22*$F$14</f>
        <v>5622301.4593027672</v>
      </c>
    </row>
    <row r="23" spans="1:4" x14ac:dyDescent="0.25">
      <c r="A23" s="164">
        <f t="shared" ref="A23:A41" si="1">A22+(($C$17-$B$17)/$D$17)</f>
        <v>1000000</v>
      </c>
      <c r="B23" s="159">
        <f>((GSTRV!A23/$B$12)^$D$12)*$C$12*$F$12</f>
        <v>40424.252751667111</v>
      </c>
      <c r="C23" s="165">
        <f t="shared" si="0"/>
        <v>9133455.6667116676</v>
      </c>
    </row>
    <row r="24" spans="1:4" x14ac:dyDescent="0.25">
      <c r="A24" s="164">
        <f t="shared" si="1"/>
        <v>1500000</v>
      </c>
      <c r="B24" s="159">
        <f>((GSTRV!A24/$B$12)^$D$12)*$C$12*$F$12</f>
        <v>53691.542628546988</v>
      </c>
      <c r="C24" s="165">
        <f t="shared" si="0"/>
        <v>12131067.141493905</v>
      </c>
    </row>
    <row r="25" spans="1:4" x14ac:dyDescent="0.25">
      <c r="A25" s="164">
        <f t="shared" si="1"/>
        <v>2000000</v>
      </c>
      <c r="B25" s="159">
        <f>((GSTRV!A25/$B$12)^$D$12)*$C$12*$F$12</f>
        <v>65669.392336903504</v>
      </c>
      <c r="C25" s="165">
        <f t="shared" si="0"/>
        <v>14837342.504599977</v>
      </c>
    </row>
    <row r="26" spans="1:4" x14ac:dyDescent="0.25">
      <c r="A26" s="164">
        <f t="shared" si="1"/>
        <v>2500000</v>
      </c>
      <c r="B26" s="159">
        <f>((GSTRV!A26/$B$12)^$D$12)*$C$12*$F$12</f>
        <v>76771.496565679685</v>
      </c>
      <c r="C26" s="165">
        <f t="shared" si="0"/>
        <v>17345751.93404967</v>
      </c>
    </row>
    <row r="27" spans="1:4" x14ac:dyDescent="0.25">
      <c r="A27" s="164">
        <f t="shared" si="1"/>
        <v>3000000</v>
      </c>
      <c r="B27" s="159">
        <f>((GSTRV!A27/$B$12)^$D$12)*$C$12*$F$12</f>
        <v>87222.168328200525</v>
      </c>
      <c r="C27" s="165">
        <f t="shared" si="0"/>
        <v>19706976.712073628</v>
      </c>
    </row>
    <row r="28" spans="1:4" x14ac:dyDescent="0.25">
      <c r="A28" s="164">
        <f t="shared" si="1"/>
        <v>3500000</v>
      </c>
      <c r="B28" s="159">
        <f>((GSTRV!A28/$B$12)^$D$12)*$C$12*$F$12</f>
        <v>97160.475531144242</v>
      </c>
      <c r="C28" s="165">
        <f t="shared" si="0"/>
        <v>21952437.841506731</v>
      </c>
    </row>
    <row r="29" spans="1:4" x14ac:dyDescent="0.25">
      <c r="A29" s="164">
        <f t="shared" si="1"/>
        <v>4000000</v>
      </c>
      <c r="B29" s="159">
        <f>((GSTRV!A29/$B$12)^$D$12)*$C$12*$F$12</f>
        <v>106680.24258581536</v>
      </c>
      <c r="C29" s="165">
        <f t="shared" si="0"/>
        <v>24103334.009839121</v>
      </c>
    </row>
    <row r="30" spans="1:4" x14ac:dyDescent="0.25">
      <c r="A30" s="164">
        <f t="shared" si="1"/>
        <v>4500000</v>
      </c>
      <c r="B30" s="159">
        <f>((GSTRV!A30/$B$12)^$D$12)*$C$12*$F$12</f>
        <v>115848.59212406214</v>
      </c>
      <c r="C30" s="165">
        <f t="shared" si="0"/>
        <v>26174830.904510599</v>
      </c>
    </row>
    <row r="31" spans="1:4" x14ac:dyDescent="0.25">
      <c r="A31" s="164">
        <f t="shared" si="1"/>
        <v>5000000</v>
      </c>
      <c r="B31" s="159">
        <f>((GSTRV!A31/$B$12)^$D$12)*$C$12*$F$12</f>
        <v>124715.66411465566</v>
      </c>
      <c r="C31" s="165">
        <f t="shared" si="0"/>
        <v>28178257.150065299</v>
      </c>
    </row>
    <row r="32" spans="1:4" x14ac:dyDescent="0.25">
      <c r="A32" s="164">
        <f t="shared" si="1"/>
        <v>5500000</v>
      </c>
      <c r="B32" s="159">
        <f>((GSTRV!A32/$B$12)^$D$12)*$C$12*$F$12</f>
        <v>133320.17753068838</v>
      </c>
      <c r="C32" s="165">
        <f t="shared" si="0"/>
        <v>30122360.911283731</v>
      </c>
    </row>
    <row r="33" spans="1:3" x14ac:dyDescent="0.25">
      <c r="A33" s="164">
        <f t="shared" si="1"/>
        <v>6000000</v>
      </c>
      <c r="B33" s="159">
        <f>((GSTRV!A33/$B$12)^$D$12)*$C$12*$F$12</f>
        <v>141692.83047993566</v>
      </c>
      <c r="C33" s="165">
        <f t="shared" si="0"/>
        <v>32014078.11863666</v>
      </c>
    </row>
    <row r="34" spans="1:3" x14ac:dyDescent="0.25">
      <c r="A34" s="164">
        <f t="shared" si="1"/>
        <v>6500000</v>
      </c>
      <c r="B34" s="159">
        <f>((GSTRV!A34/$B$12)^$D$12)*$C$12*$F$12</f>
        <v>149858.48932590534</v>
      </c>
      <c r="C34" s="165">
        <f t="shared" si="0"/>
        <v>33859027.078295052</v>
      </c>
    </row>
    <row r="35" spans="1:3" x14ac:dyDescent="0.25">
      <c r="A35" s="164">
        <f t="shared" si="1"/>
        <v>7000000</v>
      </c>
      <c r="B35" s="159">
        <f>((GSTRV!A35/$B$12)^$D$12)*$C$12*$F$12</f>
        <v>157837.6581625666</v>
      </c>
      <c r="C35" s="165">
        <f t="shared" si="0"/>
        <v>35661840.485250294</v>
      </c>
    </row>
    <row r="36" spans="1:3" x14ac:dyDescent="0.25">
      <c r="A36" s="164">
        <f t="shared" si="1"/>
        <v>7500000</v>
      </c>
      <c r="B36" s="159">
        <f>((GSTRV!A36/$B$12)^$D$12)*$C$12*$F$12</f>
        <v>165647.49971744206</v>
      </c>
      <c r="C36" s="165">
        <f t="shared" si="0"/>
        <v>37426396.086158857</v>
      </c>
    </row>
    <row r="37" spans="1:3" x14ac:dyDescent="0.25">
      <c r="A37" s="164">
        <f t="shared" si="1"/>
        <v>8000000</v>
      </c>
      <c r="B37" s="159">
        <f>((GSTRV!A37/$B$12)^$D$12)*$C$12*$F$12</f>
        <v>173302.56536838613</v>
      </c>
      <c r="C37" s="165">
        <f t="shared" si="0"/>
        <v>39155981.619333163</v>
      </c>
    </row>
    <row r="38" spans="1:3" x14ac:dyDescent="0.25">
      <c r="A38" s="164">
        <f t="shared" si="1"/>
        <v>8500000</v>
      </c>
      <c r="B38" s="159">
        <f>((GSTRV!A38/$B$12)^$D$12)*$C$12*$F$12</f>
        <v>180815.33013485884</v>
      </c>
      <c r="C38" s="165">
        <f t="shared" si="0"/>
        <v>40853415.690670006</v>
      </c>
    </row>
    <row r="39" spans="1:3" x14ac:dyDescent="0.25">
      <c r="A39" s="164">
        <f t="shared" si="1"/>
        <v>9000000</v>
      </c>
      <c r="B39" s="159">
        <f>((GSTRV!A39/$B$12)^$D$12)*$C$12*$F$12</f>
        <v>188196.59313453117</v>
      </c>
      <c r="C39" s="165">
        <f t="shared" si="0"/>
        <v>42521138.252815969</v>
      </c>
    </row>
    <row r="40" spans="1:3" x14ac:dyDescent="0.25">
      <c r="A40" s="164">
        <f t="shared" si="1"/>
        <v>9500000</v>
      </c>
      <c r="B40" s="159">
        <f>((GSTRV!A40/$B$12)^$D$12)*$C$12*$F$12</f>
        <v>195455.78291760079</v>
      </c>
      <c r="C40" s="165">
        <f t="shared" si="0"/>
        <v>44161279.592402726</v>
      </c>
    </row>
    <row r="41" spans="1:3" x14ac:dyDescent="0.25">
      <c r="A41" s="164">
        <f t="shared" si="1"/>
        <v>10000000</v>
      </c>
      <c r="B41" s="159">
        <f>((GSTRV!A41/$B$12)^$D$12)*$C$12*$F$12</f>
        <v>202601.19408057688</v>
      </c>
      <c r="C41" s="165">
        <f t="shared" si="0"/>
        <v>45775713.790565543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291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25">
      <c r="A8" s="612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3"/>
      <c r="B9" s="157">
        <f>VAC_Optim_Scenario!G33</f>
        <v>8306901</v>
      </c>
      <c r="C9" s="157">
        <f>VAC_Optim_Scenario!H33</f>
        <v>27304858</v>
      </c>
      <c r="D9" s="158">
        <f>VAC_Optim_Scenario!I33</f>
        <v>9781828.9864038322</v>
      </c>
      <c r="E9" s="84">
        <f>((GSTRTV_adt!D9/$B$12)^$D$12)*$C$12*$F$12</f>
        <v>80797.132209847332</v>
      </c>
      <c r="F9" s="84">
        <f>E9*F11</f>
        <v>80797.132209847332</v>
      </c>
      <c r="G9" s="76">
        <f>VAC_Optim_Scenario!E33</f>
        <v>10268452</v>
      </c>
      <c r="H9" s="159">
        <f>((GSTRTV_adt!G9/$B$12)^$D$12)*$C$12*$F$12</f>
        <v>83590.203851267303</v>
      </c>
      <c r="I9" s="160">
        <f>H9*F11</f>
        <v>83590.203851267303</v>
      </c>
    </row>
    <row r="10" spans="1:9" ht="15.75" thickBot="1" x14ac:dyDescent="0.3"/>
    <row r="11" spans="1:9" ht="48.95" customHeight="1" x14ac:dyDescent="0.25">
      <c r="A11" s="60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608"/>
      <c r="B12" s="162">
        <f>'[13]Streaming Video - Power'!$B$12</f>
        <v>13418576</v>
      </c>
      <c r="C12" s="162">
        <f>'[13]Streaming Video - Power'!$C$12</f>
        <v>100808.3256282994</v>
      </c>
      <c r="D12" s="329">
        <f>'[13]Streaming Video - Power'!$D$12</f>
        <v>0.7</v>
      </c>
      <c r="E12" s="333" t="s">
        <v>122</v>
      </c>
      <c r="F12" s="163">
        <f>VAC_Optim_Scenario!D33</f>
        <v>1</v>
      </c>
      <c r="G12" s="266">
        <f>B12*2</f>
        <v>26837152</v>
      </c>
    </row>
    <row r="13" spans="1:9" ht="18.75" customHeight="1" x14ac:dyDescent="0.25">
      <c r="A13" s="622" t="s">
        <v>171</v>
      </c>
      <c r="B13" s="623"/>
      <c r="C13" s="623"/>
      <c r="D13" s="623"/>
      <c r="E13" s="333" t="s">
        <v>172</v>
      </c>
      <c r="F13" s="333" t="s">
        <v>173</v>
      </c>
    </row>
    <row r="14" spans="1:9" ht="15.75" thickBot="1" x14ac:dyDescent="0.3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0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21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8" t="s">
        <v>37</v>
      </c>
      <c r="B19" s="608"/>
      <c r="C19" s="608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750000</v>
      </c>
      <c r="B22" s="159">
        <f t="shared" ref="B22:B41" si="0">((A22/$B$12)^$D$12)*$C$12</f>
        <v>13385.813954759049</v>
      </c>
      <c r="C22" s="165">
        <f t="shared" ref="C22:C41" si="1">B22*$F$14</f>
        <v>3024390.8049382595</v>
      </c>
    </row>
    <row r="23" spans="1:4" x14ac:dyDescent="0.25">
      <c r="A23" s="164">
        <f t="shared" ref="A23:A41" si="2">A22+(($C$17-$B$17)/$D$17)</f>
        <v>1500000</v>
      </c>
      <c r="B23" s="159">
        <f t="shared" si="0"/>
        <v>21745.318923863546</v>
      </c>
      <c r="C23" s="165">
        <f t="shared" si="1"/>
        <v>4913137.3576577296</v>
      </c>
    </row>
    <row r="24" spans="1:4" x14ac:dyDescent="0.25">
      <c r="A24" s="164">
        <f t="shared" si="2"/>
        <v>2250000</v>
      </c>
      <c r="B24" s="159">
        <f t="shared" si="0"/>
        <v>28882.159557638814</v>
      </c>
      <c r="C24" s="165">
        <f t="shared" si="1"/>
        <v>6525635.1304529132</v>
      </c>
    </row>
    <row r="25" spans="1:4" x14ac:dyDescent="0.25">
      <c r="A25" s="164">
        <f t="shared" si="2"/>
        <v>3000000</v>
      </c>
      <c r="B25" s="159">
        <f t="shared" si="0"/>
        <v>35325.374810877525</v>
      </c>
      <c r="C25" s="165">
        <f t="shared" si="1"/>
        <v>7981415.1847696677</v>
      </c>
    </row>
    <row r="26" spans="1:4" x14ac:dyDescent="0.25">
      <c r="A26" s="164">
        <f t="shared" si="2"/>
        <v>3750000</v>
      </c>
      <c r="B26" s="159">
        <f t="shared" si="0"/>
        <v>41297.502450781918</v>
      </c>
      <c r="C26" s="165">
        <f t="shared" si="1"/>
        <v>9330757.7037296668</v>
      </c>
    </row>
    <row r="27" spans="1:4" x14ac:dyDescent="0.25">
      <c r="A27" s="164">
        <f t="shared" si="2"/>
        <v>4500000</v>
      </c>
      <c r="B27" s="159">
        <f t="shared" si="0"/>
        <v>46919.206625270555</v>
      </c>
      <c r="C27" s="165">
        <f t="shared" si="1"/>
        <v>10600925.544913629</v>
      </c>
    </row>
    <row r="28" spans="1:4" x14ac:dyDescent="0.25">
      <c r="A28" s="164">
        <f t="shared" si="2"/>
        <v>5250000</v>
      </c>
      <c r="B28" s="159">
        <f t="shared" si="0"/>
        <v>52265.295791567616</v>
      </c>
      <c r="C28" s="165">
        <f t="shared" si="1"/>
        <v>11808820.931146787</v>
      </c>
    </row>
    <row r="29" spans="1:4" x14ac:dyDescent="0.25">
      <c r="A29" s="164">
        <f t="shared" si="2"/>
        <v>6000000</v>
      </c>
      <c r="B29" s="159">
        <f t="shared" si="0"/>
        <v>57386.24068463494</v>
      </c>
      <c r="C29" s="165">
        <f t="shared" si="1"/>
        <v>12965847.220286418</v>
      </c>
    </row>
    <row r="30" spans="1:4" x14ac:dyDescent="0.25">
      <c r="A30" s="164">
        <f t="shared" si="2"/>
        <v>6750000</v>
      </c>
      <c r="B30" s="159">
        <f t="shared" si="0"/>
        <v>62318.148416841854</v>
      </c>
      <c r="C30" s="165">
        <f t="shared" si="1"/>
        <v>14080162.453301249</v>
      </c>
    </row>
    <row r="31" spans="1:4" x14ac:dyDescent="0.25">
      <c r="A31" s="164">
        <f t="shared" si="2"/>
        <v>7500000</v>
      </c>
      <c r="B31" s="159">
        <f t="shared" si="0"/>
        <v>67087.990658350245</v>
      </c>
      <c r="C31" s="165">
        <f t="shared" si="1"/>
        <v>15157860.609347655</v>
      </c>
    </row>
    <row r="32" spans="1:4" x14ac:dyDescent="0.25">
      <c r="A32" s="164">
        <f t="shared" si="2"/>
        <v>8250000</v>
      </c>
      <c r="B32" s="159">
        <f t="shared" si="0"/>
        <v>71716.595411188333</v>
      </c>
      <c r="C32" s="165">
        <f t="shared" si="1"/>
        <v>16203647.567203892</v>
      </c>
    </row>
    <row r="33" spans="1:3" x14ac:dyDescent="0.25">
      <c r="A33" s="164">
        <f t="shared" si="2"/>
        <v>9000000</v>
      </c>
      <c r="B33" s="159">
        <f t="shared" si="0"/>
        <v>76220.476033018742</v>
      </c>
      <c r="C33" s="165">
        <f t="shared" si="1"/>
        <v>17221254.354900256</v>
      </c>
    </row>
    <row r="34" spans="1:3" x14ac:dyDescent="0.25">
      <c r="A34" s="164">
        <f t="shared" si="2"/>
        <v>9750000</v>
      </c>
      <c r="B34" s="159">
        <f t="shared" si="0"/>
        <v>80613.00882564421</v>
      </c>
      <c r="C34" s="165">
        <f t="shared" si="1"/>
        <v>18213703.214066051</v>
      </c>
    </row>
    <row r="35" spans="1:3" x14ac:dyDescent="0.25">
      <c r="A35" s="164">
        <f t="shared" si="2"/>
        <v>10500000</v>
      </c>
      <c r="B35" s="159">
        <f t="shared" si="0"/>
        <v>84905.223505936534</v>
      </c>
      <c r="C35" s="165">
        <f t="shared" si="1"/>
        <v>19183486.198931299</v>
      </c>
    </row>
    <row r="36" spans="1:3" x14ac:dyDescent="0.25">
      <c r="A36" s="164">
        <f t="shared" si="2"/>
        <v>11250000</v>
      </c>
      <c r="B36" s="159">
        <f t="shared" si="0"/>
        <v>89106.352377727613</v>
      </c>
      <c r="C36" s="165">
        <f t="shared" si="1"/>
        <v>20132689.256223775</v>
      </c>
    </row>
    <row r="37" spans="1:3" x14ac:dyDescent="0.25">
      <c r="A37" s="164">
        <f t="shared" si="2"/>
        <v>12000000</v>
      </c>
      <c r="B37" s="159">
        <f t="shared" si="0"/>
        <v>93224.223027940854</v>
      </c>
      <c r="C37" s="165">
        <f t="shared" si="1"/>
        <v>21063080.950932957</v>
      </c>
    </row>
    <row r="38" spans="1:3" x14ac:dyDescent="0.25">
      <c r="A38" s="164">
        <f t="shared" si="2"/>
        <v>12750000</v>
      </c>
      <c r="B38" s="159">
        <f t="shared" si="0"/>
        <v>97265.546113132033</v>
      </c>
      <c r="C38" s="165">
        <f t="shared" si="1"/>
        <v>21976177.488801051</v>
      </c>
    </row>
    <row r="39" spans="1:3" x14ac:dyDescent="0.25">
      <c r="A39" s="164">
        <f t="shared" si="2"/>
        <v>13500000</v>
      </c>
      <c r="B39" s="159">
        <f t="shared" si="0"/>
        <v>101236.13077612668</v>
      </c>
      <c r="C39" s="165">
        <f t="shared" si="1"/>
        <v>22873291.387558062</v>
      </c>
    </row>
    <row r="40" spans="1:3" x14ac:dyDescent="0.25">
      <c r="A40" s="164">
        <f t="shared" si="2"/>
        <v>14250000</v>
      </c>
      <c r="B40" s="159">
        <f t="shared" si="0"/>
        <v>105141.04889375818</v>
      </c>
      <c r="C40" s="165">
        <f t="shared" si="1"/>
        <v>23755568.587055724</v>
      </c>
    </row>
    <row r="41" spans="1:3" x14ac:dyDescent="0.25">
      <c r="A41" s="164">
        <f t="shared" si="2"/>
        <v>15000000</v>
      </c>
      <c r="B41" s="159">
        <f t="shared" si="0"/>
        <v>108984.76235793946</v>
      </c>
      <c r="C41" s="165">
        <f t="shared" si="1"/>
        <v>24624017.20715284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topLeftCell="A7" workbookViewId="0">
      <selection activeCell="A23" sqref="A23:A4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265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6" t="s">
        <v>102</v>
      </c>
      <c r="I2" s="317"/>
      <c r="J2" s="317"/>
      <c r="K2" s="317"/>
      <c r="L2" s="318"/>
    </row>
    <row r="3" spans="1:18" ht="13.5" thickBot="1" x14ac:dyDescent="0.2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15" customHeight="1" x14ac:dyDescent="0.2">
      <c r="A8" s="612"/>
      <c r="B8" s="320" t="s">
        <v>10</v>
      </c>
      <c r="C8" s="17" t="s">
        <v>11</v>
      </c>
      <c r="D8" s="19" t="s">
        <v>20</v>
      </c>
      <c r="E8" s="320" t="s">
        <v>21</v>
      </c>
      <c r="F8" s="81" t="s">
        <v>117</v>
      </c>
      <c r="G8" s="319" t="s">
        <v>22</v>
      </c>
      <c r="H8" s="320" t="s">
        <v>23</v>
      </c>
      <c r="I8" s="88" t="s">
        <v>123</v>
      </c>
    </row>
    <row r="9" spans="1:18" ht="14.65" customHeight="1" thickBot="1" x14ac:dyDescent="0.25">
      <c r="A9" s="613"/>
      <c r="B9" s="95">
        <f>VAC_Optim_Scenario!G24</f>
        <v>1600000</v>
      </c>
      <c r="C9" s="95">
        <f>VAC_Optim_Scenario!H24</f>
        <v>7000000</v>
      </c>
      <c r="D9" s="68">
        <f>VAC_Optim_Scenario!I24</f>
        <v>5202542.954141208</v>
      </c>
      <c r="E9" s="84">
        <f>((($R$12/(1+EXP($P$12+$Q$12*D9)))-1) - ($F$12-$C$12))*$I$12</f>
        <v>209103.94622687995</v>
      </c>
      <c r="F9" s="89">
        <f>E9*$G$12</f>
        <v>209103.94622687995</v>
      </c>
      <c r="G9" s="95">
        <f>VAC_Optim_Scenario!E24</f>
        <v>3540000</v>
      </c>
      <c r="H9" s="85">
        <f>((($R$12/(1+EXP($P$12+$Q$12*G9)))-1) - ($F$12-$C$12))*$I$12</f>
        <v>173899.1701768022</v>
      </c>
      <c r="I9" s="90">
        <f>H9*$G$12</f>
        <v>173899.1701768022</v>
      </c>
      <c r="J9" s="87">
        <f>G9/I9</f>
        <v>20.356623878083514</v>
      </c>
      <c r="K9" s="98" t="s">
        <v>198</v>
      </c>
    </row>
    <row r="10" spans="1:18" ht="13.5" thickBot="1" x14ac:dyDescent="0.25"/>
    <row r="11" spans="1:18" ht="51.6" customHeight="1" x14ac:dyDescent="0.2">
      <c r="A11" s="611" t="s">
        <v>15</v>
      </c>
      <c r="B11" s="322" t="s">
        <v>16</v>
      </c>
      <c r="C11" s="322" t="s">
        <v>17</v>
      </c>
      <c r="D11" s="322" t="s">
        <v>18</v>
      </c>
      <c r="E11" s="322" t="s">
        <v>19</v>
      </c>
      <c r="F11" s="323" t="s">
        <v>109</v>
      </c>
      <c r="G11" s="321" t="s">
        <v>118</v>
      </c>
      <c r="H11" s="322" t="s">
        <v>119</v>
      </c>
      <c r="I11" s="92" t="s">
        <v>122</v>
      </c>
      <c r="K11" s="620" t="s">
        <v>25</v>
      </c>
      <c r="L11" s="322" t="s">
        <v>110</v>
      </c>
      <c r="M11" s="322" t="s">
        <v>111</v>
      </c>
      <c r="N11" s="322" t="s">
        <v>112</v>
      </c>
      <c r="O11" s="322" t="s">
        <v>113</v>
      </c>
      <c r="P11" s="322" t="s">
        <v>26</v>
      </c>
      <c r="Q11" s="322" t="s">
        <v>27</v>
      </c>
      <c r="R11" s="323" t="s">
        <v>28</v>
      </c>
    </row>
    <row r="12" spans="1:18" ht="15" customHeight="1" thickBot="1" x14ac:dyDescent="0.25">
      <c r="A12" s="613"/>
      <c r="B12" s="95">
        <f>'[14]HCC Display'!$B$12</f>
        <v>1648357.37</v>
      </c>
      <c r="C12" s="95">
        <f>'[14]HCC Display'!$C$12</f>
        <v>104116.3698638577</v>
      </c>
      <c r="D12" s="95">
        <f>'[14]HCC Display'!$D$12</f>
        <v>0</v>
      </c>
      <c r="E12" s="95">
        <f>'[14]HCC Display'!$E$12</f>
        <v>260290.92465964428</v>
      </c>
      <c r="F12" s="95">
        <f>'[14]HCC Display'!$F$12</f>
        <v>8649234</v>
      </c>
      <c r="G12" s="91">
        <f>VAC_Optim_Scenario!$D$46</f>
        <v>1</v>
      </c>
      <c r="H12" s="71">
        <f>C12*G12</f>
        <v>104116.3698638577</v>
      </c>
      <c r="I12" s="115">
        <f>VAC_Optim_Scenario!D22</f>
        <v>1</v>
      </c>
      <c r="K12" s="621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622" t="s">
        <v>114</v>
      </c>
      <c r="B13" s="623"/>
      <c r="C13" s="623"/>
      <c r="D13" s="623"/>
      <c r="E13" s="623"/>
      <c r="F13" s="624"/>
      <c r="G13" s="320" t="s">
        <v>150</v>
      </c>
      <c r="H13" s="320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2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3.5" thickBot="1" x14ac:dyDescent="0.25"/>
    <row r="17" spans="1:8" ht="42.6" customHeight="1" x14ac:dyDescent="0.2">
      <c r="A17" s="620" t="s">
        <v>34</v>
      </c>
      <c r="B17" s="322" t="s">
        <v>32</v>
      </c>
      <c r="C17" s="322" t="s">
        <v>31</v>
      </c>
      <c r="D17" s="323" t="s">
        <v>33</v>
      </c>
      <c r="F17" s="82"/>
      <c r="G17" s="82"/>
      <c r="H17" s="83"/>
    </row>
    <row r="18" spans="1:8" ht="23.65" customHeight="1" thickBot="1" x14ac:dyDescent="0.25">
      <c r="A18" s="621"/>
      <c r="B18" s="75">
        <v>0</v>
      </c>
      <c r="C18" s="76">
        <v>4000000</v>
      </c>
      <c r="D18" s="26">
        <v>20</v>
      </c>
    </row>
    <row r="20" spans="1:8" x14ac:dyDescent="0.2">
      <c r="A20" s="608" t="s">
        <v>37</v>
      </c>
      <c r="B20" s="608"/>
      <c r="C20" s="608"/>
    </row>
    <row r="21" spans="1:8" ht="25.5" x14ac:dyDescent="0.2">
      <c r="A21" s="320" t="s">
        <v>35</v>
      </c>
      <c r="B21" s="320" t="s">
        <v>120</v>
      </c>
      <c r="C21" s="320" t="s">
        <v>199</v>
      </c>
      <c r="D21" s="98" t="s">
        <v>121</v>
      </c>
      <c r="E21" s="320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D9" sqref="D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294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25">
      <c r="A8" s="612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3"/>
      <c r="B9" s="157">
        <f>VAC_Optim_Scenario!G34</f>
        <v>2900000</v>
      </c>
      <c r="C9" s="157">
        <f>VAC_Optim_Scenario!H34</f>
        <v>5000000</v>
      </c>
      <c r="D9" s="158">
        <f>VAC_Optim_Scenario!I34</f>
        <v>5000000</v>
      </c>
      <c r="E9" s="84">
        <f>((GDISP_adt!D9/$B$12)^$D$12)*$C$12*$F$12</f>
        <v>106365.19760151411</v>
      </c>
      <c r="F9" s="84">
        <f>E9*F11</f>
        <v>106365.19760151411</v>
      </c>
      <c r="G9" s="76">
        <f>VAC_Optim_Scenario!E34</f>
        <v>4000000</v>
      </c>
      <c r="H9" s="159">
        <f>((GDISP_adt!G9/$B$12)^$D$12)*$C$12*$F$12</f>
        <v>93036.538435982438</v>
      </c>
      <c r="I9" s="160">
        <f>H9*F11</f>
        <v>93036.538435982438</v>
      </c>
    </row>
    <row r="10" spans="1:9" ht="15.75" thickBot="1" x14ac:dyDescent="0.3"/>
    <row r="11" spans="1:9" ht="48.95" customHeight="1" x14ac:dyDescent="0.25">
      <c r="A11" s="60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608"/>
      <c r="B12" s="162">
        <f>'[15]HCC Display - Power'!$B$12</f>
        <v>2859426.82</v>
      </c>
      <c r="C12" s="162">
        <f>'[15]HCC Display - Power'!$C$12</f>
        <v>76065.012406995462</v>
      </c>
      <c r="D12" s="329">
        <f>'[15]HCC Display - Power'!$D$12</f>
        <v>0.6</v>
      </c>
      <c r="E12" s="333" t="s">
        <v>122</v>
      </c>
      <c r="F12" s="163">
        <f>VAC_Optim_Scenario!D34</f>
        <v>1</v>
      </c>
      <c r="G12" s="266">
        <f>B12*2</f>
        <v>5718853.6399999997</v>
      </c>
    </row>
    <row r="13" spans="1:9" ht="18.75" customHeight="1" x14ac:dyDescent="0.25">
      <c r="A13" s="622" t="s">
        <v>171</v>
      </c>
      <c r="B13" s="623"/>
      <c r="C13" s="623"/>
      <c r="D13" s="623"/>
      <c r="E13" s="333" t="s">
        <v>172</v>
      </c>
      <c r="F13" s="333" t="s">
        <v>173</v>
      </c>
    </row>
    <row r="14" spans="1:9" ht="15.75" thickBot="1" x14ac:dyDescent="0.3">
      <c r="A14" s="625"/>
      <c r="B14" s="626"/>
      <c r="C14" s="626"/>
      <c r="D14" s="626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620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2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8" t="s">
        <v>37</v>
      </c>
      <c r="B19" s="608"/>
      <c r="C19" s="608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17627.127824775001</v>
      </c>
      <c r="C22" s="165">
        <f t="shared" ref="C22:C41" si="1">B22*$F$14</f>
        <v>3982673.260729664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26717.729664007864</v>
      </c>
      <c r="C23" s="165">
        <f t="shared" si="1"/>
        <v>6036603.8402859364</v>
      </c>
    </row>
    <row r="24" spans="1:4" x14ac:dyDescent="0.25">
      <c r="A24" s="164">
        <f t="shared" si="2"/>
        <v>750000</v>
      </c>
      <c r="B24" s="159">
        <f t="shared" si="0"/>
        <v>34076.447014572113</v>
      </c>
      <c r="C24" s="165">
        <f t="shared" si="1"/>
        <v>7699232.4384724228</v>
      </c>
    </row>
    <row r="25" spans="1:4" x14ac:dyDescent="0.25">
      <c r="A25" s="164">
        <f t="shared" si="2"/>
        <v>1000000</v>
      </c>
      <c r="B25" s="159">
        <f t="shared" si="0"/>
        <v>40496.50547128301</v>
      </c>
      <c r="C25" s="165">
        <f t="shared" si="1"/>
        <v>9149780.4461816829</v>
      </c>
    </row>
    <row r="26" spans="1:4" x14ac:dyDescent="0.25">
      <c r="A26" s="164">
        <f t="shared" si="2"/>
        <v>1250000</v>
      </c>
      <c r="B26" s="159">
        <f t="shared" si="0"/>
        <v>46298.141343550837</v>
      </c>
      <c r="C26" s="165">
        <f t="shared" si="1"/>
        <v>10460602.055161877</v>
      </c>
    </row>
    <row r="27" spans="1:4" x14ac:dyDescent="0.25">
      <c r="A27" s="164">
        <f t="shared" si="2"/>
        <v>1500000</v>
      </c>
      <c r="B27" s="159">
        <f t="shared" si="0"/>
        <v>51650.235267800737</v>
      </c>
      <c r="C27" s="165">
        <f t="shared" si="1"/>
        <v>11669854.156406898</v>
      </c>
    </row>
    <row r="28" spans="1:4" x14ac:dyDescent="0.25">
      <c r="A28" s="164">
        <f t="shared" si="2"/>
        <v>1750000</v>
      </c>
      <c r="B28" s="159">
        <f t="shared" si="0"/>
        <v>56655.278384023426</v>
      </c>
      <c r="C28" s="165">
        <f t="shared" si="1"/>
        <v>12800693.598086253</v>
      </c>
    </row>
    <row r="29" spans="1:4" x14ac:dyDescent="0.25">
      <c r="A29" s="164">
        <f t="shared" si="2"/>
        <v>2000000</v>
      </c>
      <c r="B29" s="159">
        <f t="shared" si="0"/>
        <v>61381.22422860263</v>
      </c>
      <c r="C29" s="165">
        <f t="shared" si="1"/>
        <v>13868473.802210478</v>
      </c>
    </row>
    <row r="30" spans="1:4" x14ac:dyDescent="0.25">
      <c r="A30" s="164">
        <f t="shared" si="2"/>
        <v>2250000</v>
      </c>
      <c r="B30" s="159">
        <f t="shared" si="0"/>
        <v>65875.975523639368</v>
      </c>
      <c r="C30" s="165">
        <f t="shared" si="1"/>
        <v>14884017.90981108</v>
      </c>
    </row>
    <row r="31" spans="1:4" x14ac:dyDescent="0.25">
      <c r="A31" s="164">
        <f t="shared" si="2"/>
        <v>2500000</v>
      </c>
      <c r="B31" s="159">
        <f t="shared" si="0"/>
        <v>70174.859833059978</v>
      </c>
      <c r="C31" s="165">
        <f t="shared" si="1"/>
        <v>15855307.830681572</v>
      </c>
    </row>
    <row r="32" spans="1:4" x14ac:dyDescent="0.25">
      <c r="A32" s="164">
        <f t="shared" si="2"/>
        <v>2750000</v>
      </c>
      <c r="B32" s="159">
        <f t="shared" si="0"/>
        <v>74304.850537621896</v>
      </c>
      <c r="C32" s="165">
        <f t="shared" si="1"/>
        <v>16788437.930470292</v>
      </c>
    </row>
    <row r="33" spans="1:3" x14ac:dyDescent="0.25">
      <c r="A33" s="164">
        <f t="shared" si="2"/>
        <v>3000000</v>
      </c>
      <c r="B33" s="159">
        <f t="shared" si="0"/>
        <v>78287.117259565202</v>
      </c>
      <c r="C33" s="165">
        <f t="shared" si="1"/>
        <v>17688191.27362616</v>
      </c>
    </row>
    <row r="34" spans="1:3" x14ac:dyDescent="0.25">
      <c r="A34" s="164">
        <f t="shared" si="2"/>
        <v>3250000</v>
      </c>
      <c r="B34" s="159">
        <f t="shared" si="0"/>
        <v>82138.650862126422</v>
      </c>
      <c r="C34" s="165">
        <f t="shared" si="1"/>
        <v>18558406.775788844</v>
      </c>
    </row>
    <row r="35" spans="1:3" x14ac:dyDescent="0.25">
      <c r="A35" s="164">
        <f t="shared" si="2"/>
        <v>3500000</v>
      </c>
      <c r="B35" s="159">
        <f t="shared" si="0"/>
        <v>85873.344026922772</v>
      </c>
      <c r="C35" s="165">
        <f t="shared" si="1"/>
        <v>19402223.349442933</v>
      </c>
    </row>
    <row r="36" spans="1:3" x14ac:dyDescent="0.25">
      <c r="A36" s="164">
        <f t="shared" si="2"/>
        <v>3750000</v>
      </c>
      <c r="B36" s="159">
        <f t="shared" si="0"/>
        <v>89502.735559065375</v>
      </c>
      <c r="C36" s="165">
        <f t="shared" si="1"/>
        <v>20222248.072215229</v>
      </c>
    </row>
    <row r="37" spans="1:3" x14ac:dyDescent="0.25">
      <c r="A37" s="164">
        <f t="shared" si="2"/>
        <v>4000000</v>
      </c>
      <c r="B37" s="159">
        <f t="shared" si="0"/>
        <v>93036.538435982438</v>
      </c>
      <c r="C37" s="165">
        <f t="shared" si="1"/>
        <v>21020675.494225871</v>
      </c>
    </row>
    <row r="38" spans="1:3" x14ac:dyDescent="0.25">
      <c r="A38" s="164">
        <f t="shared" si="2"/>
        <v>4250000</v>
      </c>
      <c r="B38" s="159">
        <f t="shared" si="0"/>
        <v>96483.023973043382</v>
      </c>
      <c r="C38" s="165">
        <f t="shared" si="1"/>
        <v>21799374.436469421</v>
      </c>
    </row>
    <row r="39" spans="1:3" x14ac:dyDescent="0.25">
      <c r="A39" s="164">
        <f t="shared" si="2"/>
        <v>4500000</v>
      </c>
      <c r="B39" s="159">
        <f t="shared" si="0"/>
        <v>99849.307436213683</v>
      </c>
      <c r="C39" s="165">
        <f t="shared" si="1"/>
        <v>22559952.522138119</v>
      </c>
    </row>
    <row r="40" spans="1:3" x14ac:dyDescent="0.25">
      <c r="A40" s="164">
        <f t="shared" si="2"/>
        <v>4750000</v>
      </c>
      <c r="B40" s="159">
        <f t="shared" si="0"/>
        <v>103141.56443270072</v>
      </c>
      <c r="C40" s="165">
        <f t="shared" si="1"/>
        <v>23303805.067924399</v>
      </c>
    </row>
    <row r="41" spans="1:3" x14ac:dyDescent="0.25">
      <c r="A41" s="164">
        <f t="shared" si="2"/>
        <v>5000000</v>
      </c>
      <c r="B41" s="159">
        <f t="shared" si="0"/>
        <v>106365.19760151411</v>
      </c>
      <c r="C41" s="165">
        <f t="shared" si="1"/>
        <v>24032152.746086098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303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25">
      <c r="A8" s="612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.75" thickBot="1" x14ac:dyDescent="0.3">
      <c r="A9" s="613"/>
      <c r="B9" s="157">
        <f>VAC_Optim_Scenario!G25</f>
        <v>300000</v>
      </c>
      <c r="C9" s="157">
        <f>VAC_Optim_Scenario!H25</f>
        <v>400000</v>
      </c>
      <c r="D9" s="158">
        <f>VAC_Optim_Scenario!I25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VAC_Optim_Scenario!E25</f>
        <v>400000</v>
      </c>
      <c r="H9" s="159">
        <f>((GSEARCH!G9/$B$12)^$D$12)*$C$12*$F$12</f>
        <v>145038.35480357721</v>
      </c>
      <c r="I9" s="160">
        <f>H9*F11</f>
        <v>145038.35480357721</v>
      </c>
    </row>
    <row r="10" spans="1:9" ht="15.75" thickBot="1" x14ac:dyDescent="0.3"/>
    <row r="11" spans="1:9" ht="48.95" customHeight="1" x14ac:dyDescent="0.25">
      <c r="A11" s="608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">
      <c r="A12" s="608"/>
      <c r="B12" s="162">
        <f>'[16]HCC Paid Search - Power'!$B$12</f>
        <v>344707</v>
      </c>
      <c r="C12" s="162">
        <f>'[16]HCC Paid Search - Power'!$C$12</f>
        <v>130694.08808973072</v>
      </c>
      <c r="D12" s="314">
        <f>'[16]HCC Paid Search - Power'!$D$12</f>
        <v>0.7</v>
      </c>
      <c r="E12" s="147" t="s">
        <v>122</v>
      </c>
      <c r="F12" s="163">
        <f>VAC_Optim_Scenario!D25</f>
        <v>1</v>
      </c>
    </row>
    <row r="13" spans="1:9" ht="18.75" customHeight="1" x14ac:dyDescent="0.25">
      <c r="A13" s="622" t="s">
        <v>171</v>
      </c>
      <c r="B13" s="623"/>
      <c r="C13" s="623"/>
      <c r="D13" s="623"/>
      <c r="E13" s="147" t="s">
        <v>172</v>
      </c>
      <c r="F13" s="147" t="s">
        <v>173</v>
      </c>
    </row>
    <row r="14" spans="1:9" ht="15.75" thickBot="1" x14ac:dyDescent="0.3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0" t="s">
        <v>34</v>
      </c>
      <c r="B16" s="148" t="s">
        <v>32</v>
      </c>
      <c r="C16" s="148" t="s">
        <v>31</v>
      </c>
      <c r="D16" s="149" t="s">
        <v>33</v>
      </c>
    </row>
    <row r="17" spans="1:4" ht="15.75" thickBot="1" x14ac:dyDescent="0.3">
      <c r="A17" s="621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8" t="s">
        <v>37</v>
      </c>
      <c r="B19" s="608"/>
      <c r="C19" s="608"/>
      <c r="D19" s="98"/>
    </row>
    <row r="20" spans="1:4" ht="25.5" x14ac:dyDescent="0.25">
      <c r="A20" s="147" t="s">
        <v>35</v>
      </c>
      <c r="B20" s="147" t="s">
        <v>177</v>
      </c>
      <c r="C20" s="147" t="s">
        <v>174</v>
      </c>
    </row>
    <row r="21" spans="1:4" x14ac:dyDescent="0.25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25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25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25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25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25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25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25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25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25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25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25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25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25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25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25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25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25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25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25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25">
      <c r="A8" s="612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3"/>
      <c r="B9" s="157">
        <f>VAC_Optim_Scenario!G35</f>
        <v>100000</v>
      </c>
      <c r="C9" s="157">
        <f>VAC_Optim_Scenario!H35</f>
        <v>200000</v>
      </c>
      <c r="D9" s="158">
        <f>VAC_Optim_Scenario!I35</f>
        <v>200000</v>
      </c>
      <c r="E9" s="84">
        <f>((GPDSRCH_adt!D9/$B$12)^$D$12)*$C$12*$F$12</f>
        <v>79531.473375019181</v>
      </c>
      <c r="F9" s="84">
        <f>E9*F11</f>
        <v>79531.473375019181</v>
      </c>
      <c r="G9" s="76">
        <f>VAC_Optim_Scenario!E35</f>
        <v>200000</v>
      </c>
      <c r="H9" s="159">
        <f>((GPDSRCH_adt!G9/$B$12)^$D$12)*$C$12*$F$12</f>
        <v>79531.473375019181</v>
      </c>
      <c r="I9" s="160">
        <f>H9*F11</f>
        <v>79531.473375019181</v>
      </c>
    </row>
    <row r="10" spans="1:9" ht="15.75" thickBot="1" x14ac:dyDescent="0.3"/>
    <row r="11" spans="1:9" ht="48.95" customHeight="1" x14ac:dyDescent="0.25">
      <c r="A11" s="60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608"/>
      <c r="B12" s="162">
        <f>'[17]HCC Paid Search - Power'!$B$12</f>
        <v>50000</v>
      </c>
      <c r="C12" s="162">
        <f>'[17]HCC Paid Search - Power'!$C$12</f>
        <v>30136.792938374307</v>
      </c>
      <c r="D12" s="329">
        <f>'[17]HCC Paid Search - Power'!$D$12</f>
        <v>0.7</v>
      </c>
      <c r="E12" s="333" t="s">
        <v>122</v>
      </c>
      <c r="F12" s="163">
        <f>VAC_Optim_Scenario!D35</f>
        <v>1</v>
      </c>
      <c r="G12" s="266">
        <f>B12*2</f>
        <v>100000</v>
      </c>
    </row>
    <row r="13" spans="1:9" ht="18.75" customHeight="1" x14ac:dyDescent="0.25">
      <c r="A13" s="622" t="s">
        <v>171</v>
      </c>
      <c r="B13" s="623"/>
      <c r="C13" s="623"/>
      <c r="D13" s="623"/>
      <c r="E13" s="333" t="s">
        <v>172</v>
      </c>
      <c r="F13" s="333" t="s">
        <v>173</v>
      </c>
    </row>
    <row r="14" spans="1:9" ht="15.75" thickBot="1" x14ac:dyDescent="0.3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0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2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8" t="s">
        <v>37</v>
      </c>
      <c r="B19" s="608"/>
      <c r="C19" s="608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25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25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25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25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25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25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25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25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25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25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25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25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25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25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25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25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25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25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25">
      <c r="A8" s="612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13"/>
      <c r="B9" s="157">
        <f>VAC_Optim_Scenario!G26</f>
        <v>1400000</v>
      </c>
      <c r="C9" s="157">
        <f>VAC_Optim_Scenario!H26</f>
        <v>4800000</v>
      </c>
      <c r="D9" s="158">
        <f>VAC_Optim_Scenario!I26</f>
        <v>4800000</v>
      </c>
      <c r="E9" s="159">
        <f>((GRADIO!D9/$B$12)^$D$12)*$C$12*$F$12</f>
        <v>145504.50354692468</v>
      </c>
      <c r="F9" s="84">
        <f>E9*F11</f>
        <v>145504.50354692468</v>
      </c>
      <c r="G9" s="76">
        <f>VAC_Optim_Scenario!E26</f>
        <v>2220000</v>
      </c>
      <c r="H9" s="159">
        <f>((GRADIO!G9/$B$12)^$D$12)*$C$12*$F$12</f>
        <v>91610.125423352103</v>
      </c>
      <c r="I9" s="160">
        <f>H9*F11</f>
        <v>91610.125423352103</v>
      </c>
    </row>
    <row r="10" spans="1:9" ht="15.75" thickBot="1" x14ac:dyDescent="0.3"/>
    <row r="11" spans="1:9" ht="48.95" customHeight="1" x14ac:dyDescent="0.25">
      <c r="A11" s="608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608"/>
      <c r="B12" s="162">
        <f>'[18]Radio - Power'!$B$12</f>
        <v>1437048.41</v>
      </c>
      <c r="C12" s="162">
        <f>'[18]Radio - Power'!$C$12</f>
        <v>70569.092436493243</v>
      </c>
      <c r="D12" s="314">
        <f>'[18]Radio - Power'!$D$12</f>
        <v>0.6</v>
      </c>
      <c r="E12" s="144" t="s">
        <v>122</v>
      </c>
      <c r="F12" s="163">
        <f>VAC_Optim_Scenario!D26</f>
        <v>1</v>
      </c>
    </row>
    <row r="13" spans="1:9" ht="18.75" customHeight="1" x14ac:dyDescent="0.25">
      <c r="A13" s="622" t="s">
        <v>171</v>
      </c>
      <c r="B13" s="623"/>
      <c r="C13" s="623"/>
      <c r="D13" s="623"/>
      <c r="E13" s="144" t="s">
        <v>172</v>
      </c>
      <c r="F13" s="144" t="s">
        <v>173</v>
      </c>
    </row>
    <row r="14" spans="1:9" ht="15.75" thickBot="1" x14ac:dyDescent="0.3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0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21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8" t="s">
        <v>37</v>
      </c>
      <c r="B19" s="608"/>
      <c r="C19" s="608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25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25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25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25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25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25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25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25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25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25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25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25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25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25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25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25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25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25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25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zoomScaleNormal="100" workbookViewId="0">
      <selection activeCell="E9" sqref="E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25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25">
      <c r="A8" s="612"/>
      <c r="B8" s="326" t="s">
        <v>10</v>
      </c>
      <c r="C8" s="326" t="s">
        <v>11</v>
      </c>
      <c r="D8" s="326" t="s">
        <v>20</v>
      </c>
      <c r="E8" s="326" t="s">
        <v>21</v>
      </c>
      <c r="F8" s="326" t="s">
        <v>117</v>
      </c>
      <c r="G8" s="326" t="s">
        <v>22</v>
      </c>
      <c r="H8" s="326" t="s">
        <v>23</v>
      </c>
      <c r="I8" s="4" t="s">
        <v>123</v>
      </c>
    </row>
    <row r="9" spans="1:9" ht="15.75" thickBot="1" x14ac:dyDescent="0.3">
      <c r="A9" s="613"/>
      <c r="B9" s="157">
        <f>VAC_Optim_Scenario!G37</f>
        <v>500000</v>
      </c>
      <c r="C9" s="157">
        <f>VAC_Optim_Scenario!H37</f>
        <v>2200000</v>
      </c>
      <c r="D9" s="158">
        <f>VAC_Optim_Scenario!I37</f>
        <v>2200000</v>
      </c>
      <c r="E9" s="84">
        <f>((GAUDIO!D9/$B$12)^$D$12)*$C$12*$F$12</f>
        <v>37608.450193722703</v>
      </c>
      <c r="F9" s="84">
        <f>E9*F11</f>
        <v>37608.450193722703</v>
      </c>
      <c r="G9" s="76">
        <f>VAC_Optim_Scenario!E37</f>
        <v>1500000</v>
      </c>
      <c r="H9" s="159">
        <f>((GAUDIO!G9/$B$12)^$D$12)*$C$12*$F$12</f>
        <v>32266.574959240672</v>
      </c>
      <c r="I9" s="160">
        <f>H9*F11</f>
        <v>32266.574959240672</v>
      </c>
    </row>
    <row r="10" spans="1:9" ht="15.75" thickBot="1" x14ac:dyDescent="0.3"/>
    <row r="11" spans="1:9" ht="48.95" customHeight="1" x14ac:dyDescent="0.25">
      <c r="A11" s="608" t="s">
        <v>15</v>
      </c>
      <c r="B11" s="327" t="s">
        <v>16</v>
      </c>
      <c r="C11" s="327" t="s">
        <v>17</v>
      </c>
      <c r="D11" s="327" t="s">
        <v>170</v>
      </c>
      <c r="E11" s="326" t="s">
        <v>126</v>
      </c>
      <c r="F11" s="161">
        <v>1</v>
      </c>
    </row>
    <row r="12" spans="1:9" ht="40.5" customHeight="1" thickBot="1" x14ac:dyDescent="0.3">
      <c r="A12" s="608"/>
      <c r="B12" s="162">
        <f>'[19]Radio - Power'!$B$12</f>
        <v>923975</v>
      </c>
      <c r="C12" s="162">
        <f>'[19]Radio - Power'!$C$12</f>
        <v>26581.559263521289</v>
      </c>
      <c r="D12" s="329">
        <f>'[19]Radio - Power'!$D$12</f>
        <v>0.4</v>
      </c>
      <c r="E12" s="326" t="s">
        <v>122</v>
      </c>
      <c r="F12" s="163">
        <f>[20]VAC_Optim_Scenario!D24</f>
        <v>1</v>
      </c>
      <c r="G12" s="266">
        <f>B12*2</f>
        <v>1847950</v>
      </c>
    </row>
    <row r="13" spans="1:9" ht="18.75" customHeight="1" x14ac:dyDescent="0.25">
      <c r="A13" s="622" t="s">
        <v>171</v>
      </c>
      <c r="B13" s="623"/>
      <c r="C13" s="623"/>
      <c r="D13" s="623"/>
      <c r="E13" s="326" t="s">
        <v>172</v>
      </c>
      <c r="F13" s="326" t="s">
        <v>173</v>
      </c>
    </row>
    <row r="14" spans="1:9" ht="15.75" thickBot="1" x14ac:dyDescent="0.3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0" t="s">
        <v>34</v>
      </c>
      <c r="B16" s="327" t="s">
        <v>32</v>
      </c>
      <c r="C16" s="327" t="s">
        <v>31</v>
      </c>
      <c r="D16" s="328" t="s">
        <v>33</v>
      </c>
    </row>
    <row r="17" spans="1:4" ht="15.75" thickBot="1" x14ac:dyDescent="0.3">
      <c r="A17" s="62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8" t="s">
        <v>37</v>
      </c>
      <c r="B19" s="608"/>
      <c r="C19" s="608"/>
      <c r="D19" s="98"/>
    </row>
    <row r="20" spans="1:4" ht="25.5" x14ac:dyDescent="0.25">
      <c r="A20" s="326" t="s">
        <v>35</v>
      </c>
      <c r="B20" s="326" t="s">
        <v>177</v>
      </c>
      <c r="C20" s="326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25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25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25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25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25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25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25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25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25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25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25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25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25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25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25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25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25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25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25">
      <c r="A8" s="612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13"/>
      <c r="B9" s="157">
        <f>VAC_Optim_Scenario!G27</f>
        <v>15700000</v>
      </c>
      <c r="C9" s="157">
        <f>VAC_Optim_Scenario!H27</f>
        <v>15700000</v>
      </c>
      <c r="D9" s="158">
        <f>VAC_Optim_Scenario!I27</f>
        <v>16888801</v>
      </c>
      <c r="E9" s="84">
        <f>((GTV!D9/$B$12)^$D$12)*$C$12*$F$12</f>
        <v>296690.17284619244</v>
      </c>
      <c r="F9" s="84">
        <f>E9*F11</f>
        <v>296690.17284619244</v>
      </c>
      <c r="G9" s="76">
        <f>VAC_Optim_Scenario!E27</f>
        <v>15700000</v>
      </c>
      <c r="H9" s="159">
        <f>((GTV!G9/$B$12)^$D$12)*$C$12*$F$12</f>
        <v>281912.11859902256</v>
      </c>
      <c r="I9" s="160">
        <f>H9*F11</f>
        <v>281912.11859902256</v>
      </c>
    </row>
    <row r="10" spans="1:9" ht="15.75" thickBot="1" x14ac:dyDescent="0.3"/>
    <row r="11" spans="1:9" ht="48.95" customHeight="1" x14ac:dyDescent="0.25">
      <c r="A11" s="608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608"/>
      <c r="B12" s="162">
        <f>'[21]TV - Power'!$B$12</f>
        <v>13503524.99</v>
      </c>
      <c r="C12" s="162">
        <f>'[21]TV - Power'!$C$12</f>
        <v>253686.28893952153</v>
      </c>
      <c r="D12" s="314">
        <f>'[21]TV - Power'!$D$12</f>
        <v>0.7</v>
      </c>
      <c r="E12" s="144" t="s">
        <v>122</v>
      </c>
      <c r="F12" s="163">
        <f>VAC_Optim_Scenario!D27</f>
        <v>1</v>
      </c>
    </row>
    <row r="13" spans="1:9" ht="18.75" customHeight="1" x14ac:dyDescent="0.25">
      <c r="A13" s="622" t="s">
        <v>171</v>
      </c>
      <c r="B13" s="623"/>
      <c r="C13" s="623"/>
      <c r="D13" s="623"/>
      <c r="E13" s="144" t="s">
        <v>172</v>
      </c>
      <c r="F13" s="144" t="s">
        <v>173</v>
      </c>
    </row>
    <row r="14" spans="1:9" ht="15.75" thickBot="1" x14ac:dyDescent="0.3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0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21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8" t="s">
        <v>37</v>
      </c>
      <c r="B19" s="608"/>
      <c r="C19" s="608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1250000</v>
      </c>
      <c r="B22" s="159">
        <f>((GTV!A22/$B$12)^$D$12)*$C$12*$F$12</f>
        <v>47953.575867360239</v>
      </c>
      <c r="C22" s="165">
        <f t="shared" ref="C22:C41" si="0">B22*$F$14</f>
        <v>10834630.931471372</v>
      </c>
    </row>
    <row r="23" spans="1:4" x14ac:dyDescent="0.25">
      <c r="A23" s="164">
        <f t="shared" ref="A23:A41" si="1">A22+(($C$17-$B$17)/$D$17)</f>
        <v>2500000</v>
      </c>
      <c r="B23" s="159">
        <f>((GTV!A23/$B$12)^$D$12)*$C$12*$F$12</f>
        <v>77900.813824227807</v>
      </c>
      <c r="C23" s="165">
        <f t="shared" si="0"/>
        <v>17600909.875446029</v>
      </c>
    </row>
    <row r="24" spans="1:4" x14ac:dyDescent="0.25">
      <c r="A24" s="164">
        <f t="shared" si="1"/>
        <v>3750000</v>
      </c>
      <c r="B24" s="159">
        <f>((GTV!A24/$B$12)^$D$12)*$C$12*$F$12</f>
        <v>103467.95751393421</v>
      </c>
      <c r="C24" s="165">
        <f t="shared" si="0"/>
        <v>23377550.320698295</v>
      </c>
    </row>
    <row r="25" spans="1:4" x14ac:dyDescent="0.25">
      <c r="A25" s="164">
        <f t="shared" si="1"/>
        <v>5000000</v>
      </c>
      <c r="B25" s="159">
        <f>((GTV!A25/$B$12)^$D$12)*$C$12*$F$12</f>
        <v>126550.24541365997</v>
      </c>
      <c r="C25" s="165">
        <f t="shared" si="0"/>
        <v>28592762.448762335</v>
      </c>
    </row>
    <row r="26" spans="1:4" x14ac:dyDescent="0.25">
      <c r="A26" s="164">
        <f t="shared" si="1"/>
        <v>6250000</v>
      </c>
      <c r="B26" s="159">
        <f>((GTV!A26/$B$12)^$D$12)*$C$12*$F$12</f>
        <v>147944.9007433716</v>
      </c>
      <c r="C26" s="165">
        <f t="shared" si="0"/>
        <v>33426670.873957381</v>
      </c>
    </row>
    <row r="27" spans="1:4" x14ac:dyDescent="0.25">
      <c r="A27" s="164">
        <f t="shared" si="1"/>
        <v>7500000</v>
      </c>
      <c r="B27" s="159">
        <f>((GTV!A27/$B$12)^$D$12)*$C$12*$F$12</f>
        <v>168084.19287355643</v>
      </c>
      <c r="C27" s="165">
        <f t="shared" si="0"/>
        <v>37976942.537851341</v>
      </c>
    </row>
    <row r="28" spans="1:4" x14ac:dyDescent="0.25">
      <c r="A28" s="164">
        <f t="shared" si="1"/>
        <v>8750000</v>
      </c>
      <c r="B28" s="159">
        <f>((GTV!A28/$B$12)^$D$12)*$C$12*$F$12</f>
        <v>187236.11694004576</v>
      </c>
      <c r="C28" s="165">
        <f t="shared" si="0"/>
        <v>42304128.261433937</v>
      </c>
    </row>
    <row r="29" spans="1:4" x14ac:dyDescent="0.25">
      <c r="A29" s="164">
        <f t="shared" si="1"/>
        <v>10000000</v>
      </c>
      <c r="B29" s="159">
        <f>((GTV!A29/$B$12)^$D$12)*$C$12*$F$12</f>
        <v>205581.48019343003</v>
      </c>
      <c r="C29" s="165">
        <f t="shared" si="0"/>
        <v>46449079.63490358</v>
      </c>
    </row>
    <row r="30" spans="1:4" x14ac:dyDescent="0.25">
      <c r="A30" s="164">
        <f t="shared" si="1"/>
        <v>11250000</v>
      </c>
      <c r="B30" s="159">
        <f>((GTV!A30/$B$12)^$D$12)*$C$12*$F$12</f>
        <v>223249.63338953216</v>
      </c>
      <c r="C30" s="165">
        <f t="shared" si="0"/>
        <v>50441022.168030895</v>
      </c>
    </row>
    <row r="31" spans="1:4" x14ac:dyDescent="0.25">
      <c r="A31" s="164">
        <f t="shared" si="1"/>
        <v>12500000</v>
      </c>
      <c r="B31" s="159">
        <f>((GTV!A31/$B$12)^$D$12)*$C$12*$F$12</f>
        <v>240337.20031497802</v>
      </c>
      <c r="C31" s="165">
        <f t="shared" si="0"/>
        <v>54301787.03916613</v>
      </c>
    </row>
    <row r="32" spans="1:4" x14ac:dyDescent="0.25">
      <c r="A32" s="164">
        <f t="shared" si="1"/>
        <v>13750000</v>
      </c>
      <c r="B32" s="159">
        <f>((GTV!A32/$B$12)^$D$12)*$C$12*$F$12</f>
        <v>256918.795571375</v>
      </c>
      <c r="C32" s="165">
        <f t="shared" si="0"/>
        <v>58048232.671396464</v>
      </c>
    </row>
    <row r="33" spans="1:3" x14ac:dyDescent="0.25">
      <c r="A33" s="164">
        <f t="shared" si="1"/>
        <v>15000000</v>
      </c>
      <c r="B33" s="159">
        <f>((GTV!A33/$B$12)^$D$12)*$C$12*$F$12</f>
        <v>273053.57690229977</v>
      </c>
      <c r="C33" s="165">
        <f t="shared" si="0"/>
        <v>61693725.165305607</v>
      </c>
    </row>
    <row r="34" spans="1:3" x14ac:dyDescent="0.25">
      <c r="A34" s="164">
        <f t="shared" si="1"/>
        <v>16250000</v>
      </c>
      <c r="B34" s="159">
        <f>((GTV!A34/$B$12)^$D$12)*$C$12*$F$12</f>
        <v>288789.46380711853</v>
      </c>
      <c r="C34" s="165">
        <f t="shared" si="0"/>
        <v>65249091.452580363</v>
      </c>
    </row>
    <row r="35" spans="1:3" x14ac:dyDescent="0.25">
      <c r="A35" s="164">
        <f t="shared" si="1"/>
        <v>17500000</v>
      </c>
      <c r="B35" s="159">
        <f>((GTV!A35/$B$12)^$D$12)*$C$12*$F$12</f>
        <v>304165.969337977</v>
      </c>
      <c r="C35" s="165">
        <f t="shared" si="0"/>
        <v>68723259.112222522</v>
      </c>
    </row>
    <row r="36" spans="1:3" x14ac:dyDescent="0.25">
      <c r="A36" s="164">
        <f t="shared" si="1"/>
        <v>18750000</v>
      </c>
      <c r="B36" s="159">
        <f>((GTV!A36/$B$12)^$D$12)*$C$12*$F$12</f>
        <v>319216.16746286326</v>
      </c>
      <c r="C36" s="165">
        <f t="shared" si="0"/>
        <v>72123700.876559317</v>
      </c>
    </row>
    <row r="37" spans="1:3" x14ac:dyDescent="0.25">
      <c r="A37" s="164">
        <f t="shared" si="1"/>
        <v>20000000</v>
      </c>
      <c r="B37" s="159">
        <f>((GTV!A37/$B$12)^$D$12)*$C$12*$F$12</f>
        <v>333968.099867151</v>
      </c>
      <c r="C37" s="165">
        <f t="shared" si="0"/>
        <v>75456752.483984098</v>
      </c>
    </row>
    <row r="38" spans="1:3" x14ac:dyDescent="0.25">
      <c r="A38" s="164">
        <f t="shared" si="1"/>
        <v>21250000</v>
      </c>
      <c r="B38" s="159">
        <f>((GTV!A38/$B$12)^$D$12)*$C$12*$F$12</f>
        <v>348445.80692517635</v>
      </c>
      <c r="C38" s="165">
        <f t="shared" si="0"/>
        <v>78727845.616674349</v>
      </c>
    </row>
    <row r="39" spans="1:3" x14ac:dyDescent="0.25">
      <c r="A39" s="164">
        <f t="shared" si="1"/>
        <v>22500000</v>
      </c>
      <c r="B39" s="159">
        <f>((GTV!A39/$B$12)^$D$12)*$C$12*$F$12</f>
        <v>362670.09941259713</v>
      </c>
      <c r="C39" s="165">
        <f t="shared" si="0"/>
        <v>81941682.261282191</v>
      </c>
    </row>
    <row r="40" spans="1:3" x14ac:dyDescent="0.25">
      <c r="A40" s="164">
        <f t="shared" si="1"/>
        <v>23750000</v>
      </c>
      <c r="B40" s="159">
        <f>((GTV!A40/$B$12)^$D$12)*$C$12*$F$12</f>
        <v>376659.1469103847</v>
      </c>
      <c r="C40" s="165">
        <f t="shared" si="0"/>
        <v>85102367.652932316</v>
      </c>
    </row>
    <row r="41" spans="1:3" x14ac:dyDescent="0.25">
      <c r="A41" s="164">
        <f t="shared" si="1"/>
        <v>25000000</v>
      </c>
      <c r="B41" s="159">
        <f>((GTV!A41/$B$12)^$D$12)*$C$12*$F$12</f>
        <v>390428.93377877894</v>
      </c>
      <c r="C41" s="165">
        <f t="shared" si="0"/>
        <v>88213513.297977313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15" customHeight="1" x14ac:dyDescent="0.2">
      <c r="A8" s="61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13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3.5" thickBot="1" x14ac:dyDescent="0.25"/>
    <row r="11" spans="1:18" ht="51.6" customHeight="1" x14ac:dyDescent="0.2">
      <c r="A11" s="61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62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13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VAC_Optim_Scenario!$D$46</f>
        <v>1</v>
      </c>
      <c r="H12" s="71">
        <f>C12*G12</f>
        <v>54924.559200000003</v>
      </c>
      <c r="I12" s="115" t="e">
        <f>VAC_Optim_Scenario!#REF!</f>
        <v>#REF!</v>
      </c>
      <c r="K12" s="621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622" t="s">
        <v>114</v>
      </c>
      <c r="B13" s="623"/>
      <c r="C13" s="623"/>
      <c r="D13" s="623"/>
      <c r="E13" s="623"/>
      <c r="F13" s="624"/>
      <c r="G13" s="119" t="s">
        <v>150</v>
      </c>
      <c r="H13" s="119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25">
      <c r="A14" s="625"/>
      <c r="B14" s="626"/>
      <c r="C14" s="626"/>
      <c r="D14" s="626"/>
      <c r="E14" s="626"/>
      <c r="F14" s="627"/>
      <c r="G14" s="95">
        <f>VAC_Optim_Scenario!I46</f>
        <v>225.94</v>
      </c>
      <c r="H14" s="95">
        <f>VAC_Optim_Scenario!G46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3.5" thickBot="1" x14ac:dyDescent="0.25"/>
    <row r="17" spans="1:8" ht="42.6" customHeight="1" x14ac:dyDescent="0.2">
      <c r="A17" s="62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21"/>
      <c r="B18" s="75">
        <v>0</v>
      </c>
      <c r="C18" s="76">
        <v>4000000</v>
      </c>
      <c r="D18" s="26">
        <v>20</v>
      </c>
    </row>
    <row r="20" spans="1:8" x14ac:dyDescent="0.2">
      <c r="A20" s="608" t="s">
        <v>37</v>
      </c>
      <c r="B20" s="608"/>
      <c r="C20" s="608"/>
    </row>
    <row r="21" spans="1:8" ht="25.5" x14ac:dyDescent="0.2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E14" sqref="E14:F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297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25">
      <c r="A8" s="612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3"/>
      <c r="B9" s="157">
        <f>VAC_Optim_Scenario!G36</f>
        <v>28089211</v>
      </c>
      <c r="C9" s="157">
        <f>VAC_Optim_Scenario!H36</f>
        <v>28089211</v>
      </c>
      <c r="D9" s="158">
        <f>VAC_Optim_Scenario!I36</f>
        <v>28089211</v>
      </c>
      <c r="E9" s="84">
        <f>((GLINEARTV_adt!D9/$B$12)^$D$12)*$C$12*$F$12</f>
        <v>178786.88879772768</v>
      </c>
      <c r="F9" s="84">
        <f>E9*F11</f>
        <v>178786.88879772768</v>
      </c>
      <c r="G9" s="76">
        <f>VAC_Optim_Scenario!E36</f>
        <v>28089211</v>
      </c>
      <c r="H9" s="159">
        <f>((GLINEARTV_adt!G9/$B$12)^$D$12)*$C$12*$F$12</f>
        <v>178786.88879772768</v>
      </c>
      <c r="I9" s="160">
        <f>H9*F11</f>
        <v>178786.88879772768</v>
      </c>
    </row>
    <row r="10" spans="1:9" ht="15.75" thickBot="1" x14ac:dyDescent="0.3"/>
    <row r="11" spans="1:9" ht="48.95" customHeight="1" x14ac:dyDescent="0.25">
      <c r="A11" s="60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608"/>
      <c r="B12" s="162">
        <f>'[22]TV - Power'!$B$12</f>
        <v>25810928.600000001</v>
      </c>
      <c r="C12" s="162">
        <f>'[22]TV - Power'!$C$12</f>
        <v>168508.00202805389</v>
      </c>
      <c r="D12" s="329">
        <f>'[22]TV - Power'!$D$12</f>
        <v>0.7</v>
      </c>
      <c r="E12" s="333" t="s">
        <v>122</v>
      </c>
      <c r="F12" s="163">
        <f>VAC_Optim_Scenario!D36</f>
        <v>1</v>
      </c>
      <c r="G12" s="266">
        <f>B12*2</f>
        <v>51621857.200000003</v>
      </c>
    </row>
    <row r="13" spans="1:9" ht="18.75" customHeight="1" x14ac:dyDescent="0.25">
      <c r="A13" s="622" t="s">
        <v>171</v>
      </c>
      <c r="B13" s="623"/>
      <c r="C13" s="623"/>
      <c r="D13" s="623"/>
      <c r="E13" s="333" t="s">
        <v>172</v>
      </c>
      <c r="F13" s="333" t="s">
        <v>173</v>
      </c>
    </row>
    <row r="14" spans="1:9" ht="15.75" thickBot="1" x14ac:dyDescent="0.3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0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21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8" t="s">
        <v>37</v>
      </c>
      <c r="B19" s="608"/>
      <c r="C19" s="608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1500000</v>
      </c>
      <c r="B22" s="159">
        <f t="shared" ref="B22:B42" si="0">((A22/$B$12)^$D$12)*$C$12</f>
        <v>22994.388781683774</v>
      </c>
      <c r="C22" s="165">
        <f t="shared" ref="C22:C41" si="1">B22*$F$14</f>
        <v>5195352.2013336318</v>
      </c>
    </row>
    <row r="23" spans="1:4" x14ac:dyDescent="0.25">
      <c r="A23" s="164">
        <f t="shared" ref="A23:A42" si="2">A22+(($C$17-$B$17)/$D$17)</f>
        <v>3000000</v>
      </c>
      <c r="B23" s="159">
        <f t="shared" si="0"/>
        <v>37354.494781339148</v>
      </c>
      <c r="C23" s="165">
        <f t="shared" si="1"/>
        <v>8439874.5508957673</v>
      </c>
    </row>
    <row r="24" spans="1:4" x14ac:dyDescent="0.25">
      <c r="A24" s="164">
        <f t="shared" si="2"/>
        <v>4500000</v>
      </c>
      <c r="B24" s="159">
        <f t="shared" si="0"/>
        <v>49614.286286031464</v>
      </c>
      <c r="C24" s="165">
        <f t="shared" si="1"/>
        <v>11209851.843465948</v>
      </c>
    </row>
    <row r="25" spans="1:4" x14ac:dyDescent="0.25">
      <c r="A25" s="164">
        <f t="shared" si="2"/>
        <v>6000000</v>
      </c>
      <c r="B25" s="159">
        <f t="shared" si="0"/>
        <v>60682.555801638446</v>
      </c>
      <c r="C25" s="165">
        <f t="shared" si="1"/>
        <v>13710616.65782219</v>
      </c>
    </row>
    <row r="26" spans="1:4" x14ac:dyDescent="0.25">
      <c r="A26" s="164">
        <f t="shared" si="2"/>
        <v>7500000</v>
      </c>
      <c r="B26" s="159">
        <f t="shared" si="0"/>
        <v>70941.582654239959</v>
      </c>
      <c r="C26" s="165">
        <f t="shared" si="1"/>
        <v>16028541.184898976</v>
      </c>
    </row>
    <row r="27" spans="1:4" x14ac:dyDescent="0.25">
      <c r="A27" s="164">
        <f t="shared" si="2"/>
        <v>9000000</v>
      </c>
      <c r="B27" s="159">
        <f t="shared" si="0"/>
        <v>80598.645858666729</v>
      </c>
      <c r="C27" s="165">
        <f t="shared" si="1"/>
        <v>18210458.045307159</v>
      </c>
    </row>
    <row r="28" spans="1:4" x14ac:dyDescent="0.25">
      <c r="A28" s="164">
        <f t="shared" si="2"/>
        <v>10500000</v>
      </c>
      <c r="B28" s="159">
        <f t="shared" si="0"/>
        <v>89782.252710432149</v>
      </c>
      <c r="C28" s="165">
        <f t="shared" si="1"/>
        <v>20285402.177395038</v>
      </c>
    </row>
    <row r="29" spans="1:4" x14ac:dyDescent="0.25">
      <c r="A29" s="164">
        <f t="shared" si="2"/>
        <v>12000000</v>
      </c>
      <c r="B29" s="159">
        <f t="shared" si="0"/>
        <v>98579.102733803622</v>
      </c>
      <c r="C29" s="165">
        <f t="shared" si="1"/>
        <v>22272962.47167559</v>
      </c>
    </row>
    <row r="30" spans="1:4" x14ac:dyDescent="0.25">
      <c r="A30" s="164">
        <f t="shared" si="2"/>
        <v>13500000</v>
      </c>
      <c r="B30" s="159">
        <f t="shared" si="0"/>
        <v>107051.22136723484</v>
      </c>
      <c r="C30" s="165">
        <f t="shared" si="1"/>
        <v>24187152.955713041</v>
      </c>
    </row>
    <row r="31" spans="1:4" x14ac:dyDescent="0.25">
      <c r="A31" s="164">
        <f t="shared" si="2"/>
        <v>15000000</v>
      </c>
      <c r="B31" s="159">
        <f t="shared" si="0"/>
        <v>115244.9410244207</v>
      </c>
      <c r="C31" s="165">
        <f t="shared" si="1"/>
        <v>26038441.975057613</v>
      </c>
    </row>
    <row r="32" spans="1:4" x14ac:dyDescent="0.25">
      <c r="A32" s="164">
        <f t="shared" si="2"/>
        <v>16500000</v>
      </c>
      <c r="B32" s="159">
        <f t="shared" si="0"/>
        <v>123196.0404168987</v>
      </c>
      <c r="C32" s="165">
        <f t="shared" si="1"/>
        <v>27834913.371794093</v>
      </c>
    </row>
    <row r="33" spans="1:3" x14ac:dyDescent="0.25">
      <c r="A33" s="164">
        <f t="shared" si="2"/>
        <v>18000000</v>
      </c>
      <c r="B33" s="159">
        <f t="shared" si="0"/>
        <v>130932.88648353927</v>
      </c>
      <c r="C33" s="165">
        <f t="shared" si="1"/>
        <v>29582976.372090865</v>
      </c>
    </row>
    <row r="34" spans="1:3" x14ac:dyDescent="0.25">
      <c r="A34" s="164">
        <f t="shared" si="2"/>
        <v>19500000</v>
      </c>
      <c r="B34" s="159">
        <f t="shared" si="0"/>
        <v>138478.45727298054</v>
      </c>
      <c r="C34" s="165">
        <f t="shared" si="1"/>
        <v>31287822.636257224</v>
      </c>
    </row>
    <row r="35" spans="1:3" x14ac:dyDescent="0.25">
      <c r="A35" s="164">
        <f t="shared" si="2"/>
        <v>21000000</v>
      </c>
      <c r="B35" s="159">
        <f t="shared" si="0"/>
        <v>145851.69982861925</v>
      </c>
      <c r="C35" s="165">
        <f t="shared" si="1"/>
        <v>32953733.059278235</v>
      </c>
    </row>
    <row r="36" spans="1:3" x14ac:dyDescent="0.25">
      <c r="A36" s="164">
        <f t="shared" si="2"/>
        <v>22500000</v>
      </c>
      <c r="B36" s="159">
        <f t="shared" si="0"/>
        <v>153068.47356583198</v>
      </c>
      <c r="C36" s="165">
        <f t="shared" si="1"/>
        <v>34584290.917464077</v>
      </c>
    </row>
    <row r="37" spans="1:3" x14ac:dyDescent="0.25">
      <c r="A37" s="164">
        <f t="shared" si="2"/>
        <v>24000000</v>
      </c>
      <c r="B37" s="159">
        <f t="shared" si="0"/>
        <v>160142.22485235901</v>
      </c>
      <c r="C37" s="165">
        <f t="shared" si="1"/>
        <v>36182534.283141993</v>
      </c>
    </row>
    <row r="38" spans="1:3" x14ac:dyDescent="0.25">
      <c r="A38" s="164">
        <f t="shared" si="2"/>
        <v>25500000</v>
      </c>
      <c r="B38" s="159">
        <f t="shared" si="0"/>
        <v>167084.48137313194</v>
      </c>
      <c r="C38" s="165">
        <f t="shared" si="1"/>
        <v>37751067.721445434</v>
      </c>
    </row>
    <row r="39" spans="1:3" x14ac:dyDescent="0.25">
      <c r="A39" s="164">
        <f t="shared" si="2"/>
        <v>27000000</v>
      </c>
      <c r="B39" s="159">
        <f t="shared" si="0"/>
        <v>173905.2221767967</v>
      </c>
      <c r="C39" s="165">
        <f t="shared" si="1"/>
        <v>39292145.898625448</v>
      </c>
    </row>
    <row r="40" spans="1:3" x14ac:dyDescent="0.25">
      <c r="A40" s="164">
        <f t="shared" si="2"/>
        <v>28500000</v>
      </c>
      <c r="B40" s="159">
        <f t="shared" si="0"/>
        <v>180613.15982339281</v>
      </c>
      <c r="C40" s="165">
        <f t="shared" si="1"/>
        <v>40807737.330497369</v>
      </c>
    </row>
    <row r="41" spans="1:3" x14ac:dyDescent="0.25">
      <c r="A41" s="164">
        <f t="shared" si="2"/>
        <v>30000000</v>
      </c>
      <c r="B41" s="159">
        <f t="shared" si="0"/>
        <v>187215.95903003748</v>
      </c>
      <c r="C41" s="165">
        <f t="shared" si="1"/>
        <v>42299573.783246666</v>
      </c>
    </row>
    <row r="42" spans="1:3" x14ac:dyDescent="0.25">
      <c r="A42" s="164">
        <f t="shared" si="2"/>
        <v>31500000</v>
      </c>
      <c r="B42" s="159">
        <f t="shared" si="0"/>
        <v>193720.40856021506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topLeftCell="A2" zoomScaleNormal="100" workbookViewId="0">
      <selection activeCell="G14" sqref="G14:H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305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93" t="s">
        <v>102</v>
      </c>
      <c r="I2" s="394"/>
      <c r="J2" s="394"/>
      <c r="K2" s="394"/>
      <c r="L2" s="395"/>
    </row>
    <row r="3" spans="1:18" ht="13.5" thickBot="1" x14ac:dyDescent="0.25">
      <c r="A3" s="11" t="s">
        <v>3</v>
      </c>
      <c r="B3" s="12" t="s">
        <v>306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[23]VAC_Optim_Scenario!$G$14</f>
        <v>0.5</v>
      </c>
      <c r="C6" s="94">
        <f>[23]VAC_Optim_Scenario!$H$14</f>
        <v>2</v>
      </c>
    </row>
    <row r="7" spans="1:18" ht="27.75" customHeight="1" x14ac:dyDescent="0.2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35" customHeight="1" x14ac:dyDescent="0.2">
      <c r="A8" s="612"/>
      <c r="B8" s="392" t="s">
        <v>10</v>
      </c>
      <c r="C8" s="17" t="s">
        <v>11</v>
      </c>
      <c r="D8" s="19" t="s">
        <v>20</v>
      </c>
      <c r="E8" s="392" t="s">
        <v>21</v>
      </c>
      <c r="F8" s="81" t="s">
        <v>117</v>
      </c>
      <c r="G8" s="396" t="s">
        <v>22</v>
      </c>
      <c r="H8" s="392" t="s">
        <v>23</v>
      </c>
      <c r="I8" s="88" t="s">
        <v>123</v>
      </c>
    </row>
    <row r="9" spans="1:18" ht="14.45" customHeight="1" thickBot="1" x14ac:dyDescent="0.25">
      <c r="A9" s="613"/>
      <c r="B9" s="95">
        <f>VAC_Optim_Scenario!G38</f>
        <v>3200000</v>
      </c>
      <c r="C9" s="95">
        <f>VAC_Optim_Scenario!H38</f>
        <v>3200000</v>
      </c>
      <c r="D9" s="95">
        <f>VAC_Optim_Scenario!I38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VAC_Optim_Scenario!E38</f>
        <v>3200000</v>
      </c>
      <c r="H9" s="85">
        <f>((($R$12/(1+EXP($P$12+$Q$12*G9)))-1) - ($F$12-$C$12))*$I$12</f>
        <v>22412.309442908503</v>
      </c>
      <c r="I9" s="90">
        <f>H9*$G$12</f>
        <v>22412.309442908503</v>
      </c>
      <c r="J9" s="87">
        <f>G9/I9</f>
        <v>142.77868187352351</v>
      </c>
      <c r="K9" s="98" t="s">
        <v>180</v>
      </c>
    </row>
    <row r="10" spans="1:18" ht="13.5" thickBot="1" x14ac:dyDescent="0.25"/>
    <row r="11" spans="1:18" ht="51.6" customHeight="1" x14ac:dyDescent="0.2">
      <c r="A11" s="611" t="s">
        <v>15</v>
      </c>
      <c r="B11" s="398" t="s">
        <v>16</v>
      </c>
      <c r="C11" s="398" t="s">
        <v>17</v>
      </c>
      <c r="D11" s="398" t="s">
        <v>18</v>
      </c>
      <c r="E11" s="398" t="s">
        <v>19</v>
      </c>
      <c r="F11" s="399" t="s">
        <v>109</v>
      </c>
      <c r="G11" s="397" t="s">
        <v>181</v>
      </c>
      <c r="H11" s="398" t="s">
        <v>119</v>
      </c>
      <c r="I11" s="92" t="s">
        <v>122</v>
      </c>
      <c r="K11" s="620" t="s">
        <v>25</v>
      </c>
      <c r="L11" s="398" t="s">
        <v>110</v>
      </c>
      <c r="M11" s="398" t="s">
        <v>111</v>
      </c>
      <c r="N11" s="398" t="s">
        <v>112</v>
      </c>
      <c r="O11" s="398" t="s">
        <v>113</v>
      </c>
      <c r="P11" s="398" t="s">
        <v>26</v>
      </c>
      <c r="Q11" s="398" t="s">
        <v>27</v>
      </c>
      <c r="R11" s="399" t="s">
        <v>28</v>
      </c>
    </row>
    <row r="12" spans="1:18" ht="15" customHeight="1" thickBot="1" x14ac:dyDescent="0.25">
      <c r="A12" s="613"/>
      <c r="B12" s="351">
        <f>'[24]HCC PHARMACY SCurve'!$B$12</f>
        <v>2411882</v>
      </c>
      <c r="C12" s="153">
        <f>'[24]HCC PHARMACY SCurve'!$C$12</f>
        <v>18205.431530494821</v>
      </c>
      <c r="D12" s="153">
        <f>'[24]HCC PHARMACY SCurve'!$D$12</f>
        <v>0</v>
      </c>
      <c r="E12" s="153">
        <f>'[24]HCC PHARMACY SCurve'!$E$12</f>
        <v>45513.578826237055</v>
      </c>
      <c r="F12" s="153">
        <f>'[24]HCC PHARMACY SCurve'!$F$12</f>
        <v>4647854</v>
      </c>
      <c r="G12" s="352">
        <f>[23]VAC_Optim_Scenario!$D$33</f>
        <v>1</v>
      </c>
      <c r="H12" s="71">
        <f>C12*G12</f>
        <v>18205.431530494821</v>
      </c>
      <c r="I12" s="353">
        <f>[23]VAC_Optim_Scenario!D26</f>
        <v>1</v>
      </c>
      <c r="K12" s="621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622" t="s">
        <v>182</v>
      </c>
      <c r="B13" s="623"/>
      <c r="C13" s="623"/>
      <c r="D13" s="623"/>
      <c r="E13" s="623"/>
      <c r="F13" s="624"/>
      <c r="G13" s="392" t="s">
        <v>150</v>
      </c>
      <c r="H13" s="392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25">
      <c r="A14" s="625"/>
      <c r="B14" s="626"/>
      <c r="C14" s="626"/>
      <c r="D14" s="626"/>
      <c r="E14" s="626"/>
      <c r="F14" s="627"/>
      <c r="G14" s="95">
        <f>VAC_Optim_Scenario!I46</f>
        <v>225.94</v>
      </c>
      <c r="H14" s="95">
        <f>VAC_Optim_Scenario!G46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3.5" thickBot="1" x14ac:dyDescent="0.25"/>
    <row r="17" spans="1:8" ht="42.6" customHeight="1" x14ac:dyDescent="0.2">
      <c r="A17" s="620" t="s">
        <v>34</v>
      </c>
      <c r="B17" s="398" t="s">
        <v>32</v>
      </c>
      <c r="C17" s="398" t="s">
        <v>31</v>
      </c>
      <c r="D17" s="399" t="s">
        <v>33</v>
      </c>
      <c r="F17" s="96"/>
      <c r="G17" s="96"/>
      <c r="H17" s="354"/>
    </row>
    <row r="18" spans="1:8" ht="23.45" customHeight="1" thickBot="1" x14ac:dyDescent="0.25">
      <c r="A18" s="621"/>
      <c r="B18" s="75">
        <v>0</v>
      </c>
      <c r="C18" s="76">
        <v>4000000</v>
      </c>
      <c r="D18" s="26">
        <v>20</v>
      </c>
    </row>
    <row r="20" spans="1:8" x14ac:dyDescent="0.2">
      <c r="A20" s="608" t="s">
        <v>37</v>
      </c>
      <c r="B20" s="608"/>
      <c r="C20" s="608"/>
    </row>
    <row r="21" spans="1:8" ht="25.5" x14ac:dyDescent="0.2">
      <c r="A21" s="392" t="s">
        <v>35</v>
      </c>
      <c r="B21" s="392" t="s">
        <v>183</v>
      </c>
      <c r="C21" s="392" t="s">
        <v>184</v>
      </c>
      <c r="D21" s="98" t="s">
        <v>185</v>
      </c>
      <c r="E21" s="392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93" t="s">
        <v>100</v>
      </c>
      <c r="G2" s="594"/>
      <c r="H2" s="594"/>
      <c r="I2" s="594"/>
      <c r="J2" s="594"/>
      <c r="K2" s="594"/>
      <c r="L2" s="595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596" t="s">
        <v>72</v>
      </c>
      <c r="G3" s="597"/>
      <c r="H3" s="597"/>
      <c r="I3" s="597"/>
      <c r="J3" s="597"/>
      <c r="K3" s="597"/>
      <c r="L3" s="598"/>
    </row>
    <row r="4" spans="1:12" ht="13.5" thickBot="1" x14ac:dyDescent="0.25">
      <c r="A4" s="29" t="s">
        <v>38</v>
      </c>
      <c r="B4" s="631" t="s">
        <v>39</v>
      </c>
      <c r="C4" s="631"/>
      <c r="D4" s="632"/>
    </row>
    <row r="6" spans="1:12" ht="13.5" thickBot="1" x14ac:dyDescent="0.25"/>
    <row r="7" spans="1:12" ht="27.75" customHeight="1" x14ac:dyDescent="0.2">
      <c r="A7" s="611" t="s">
        <v>8</v>
      </c>
      <c r="B7" s="614" t="s">
        <v>9</v>
      </c>
      <c r="C7" s="615"/>
      <c r="D7" s="616" t="s">
        <v>12</v>
      </c>
      <c r="E7" s="618"/>
      <c r="F7" s="617" t="s">
        <v>24</v>
      </c>
      <c r="G7" s="639"/>
    </row>
    <row r="8" spans="1:12" ht="25.5" x14ac:dyDescent="0.2">
      <c r="A8" s="61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1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611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611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613"/>
      <c r="B12" s="12">
        <v>20</v>
      </c>
      <c r="C12" s="12">
        <v>30</v>
      </c>
      <c r="D12" s="12">
        <v>0</v>
      </c>
      <c r="E12" s="14">
        <v>70</v>
      </c>
      <c r="G12" s="61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622" t="s">
        <v>30</v>
      </c>
      <c r="B13" s="623"/>
      <c r="C13" s="623"/>
      <c r="D13" s="623"/>
      <c r="E13" s="624"/>
      <c r="G13" s="633" t="s">
        <v>29</v>
      </c>
      <c r="H13" s="634"/>
      <c r="I13" s="634"/>
      <c r="J13" s="635"/>
    </row>
    <row r="14" spans="1:12" ht="33.6" customHeight="1" x14ac:dyDescent="0.2">
      <c r="A14" s="625"/>
      <c r="B14" s="626"/>
      <c r="C14" s="626"/>
      <c r="D14" s="626"/>
      <c r="E14" s="627"/>
      <c r="G14" s="636"/>
      <c r="H14" s="637"/>
      <c r="I14" s="637"/>
      <c r="J14" s="638"/>
    </row>
    <row r="16" spans="1:12" ht="13.5" thickBot="1" x14ac:dyDescent="0.25"/>
    <row r="17" spans="1:4" ht="16.899999999999999" customHeight="1" x14ac:dyDescent="0.2">
      <c r="A17" s="620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621"/>
      <c r="B18" s="12">
        <v>0</v>
      </c>
      <c r="C18" s="12">
        <v>100</v>
      </c>
      <c r="D18" s="26">
        <v>20</v>
      </c>
    </row>
    <row r="20" spans="1:4" x14ac:dyDescent="0.2">
      <c r="A20" s="608" t="s">
        <v>37</v>
      </c>
      <c r="B20" s="608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93" t="s">
        <v>100</v>
      </c>
      <c r="G2" s="594"/>
      <c r="H2" s="594"/>
      <c r="I2" s="594"/>
      <c r="J2" s="594"/>
      <c r="K2" s="594"/>
      <c r="L2" s="595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596" t="s">
        <v>72</v>
      </c>
      <c r="G3" s="597"/>
      <c r="H3" s="597"/>
      <c r="I3" s="597"/>
      <c r="J3" s="597"/>
      <c r="K3" s="597"/>
      <c r="L3" s="598"/>
    </row>
    <row r="4" spans="1:12" ht="31.9" customHeight="1" thickBot="1" x14ac:dyDescent="0.25">
      <c r="A4" s="29" t="s">
        <v>38</v>
      </c>
      <c r="B4" s="644" t="s">
        <v>41</v>
      </c>
      <c r="C4" s="645"/>
      <c r="D4" s="646"/>
    </row>
    <row r="6" spans="1:12" ht="13.5" thickBot="1" x14ac:dyDescent="0.25"/>
    <row r="7" spans="1:12" ht="27.75" customHeight="1" x14ac:dyDescent="0.2">
      <c r="A7" s="611" t="s">
        <v>8</v>
      </c>
      <c r="B7" s="614" t="s">
        <v>9</v>
      </c>
      <c r="C7" s="615"/>
      <c r="D7" s="616" t="s">
        <v>12</v>
      </c>
      <c r="E7" s="618"/>
      <c r="F7" s="617" t="s">
        <v>24</v>
      </c>
      <c r="G7" s="639"/>
      <c r="H7" s="1" t="s">
        <v>54</v>
      </c>
    </row>
    <row r="8" spans="1:12" ht="25.5" x14ac:dyDescent="0.2">
      <c r="A8" s="61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1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611" t="s">
        <v>42</v>
      </c>
      <c r="B11" s="569" t="s">
        <v>47</v>
      </c>
      <c r="C11" s="641" t="s">
        <v>46</v>
      </c>
      <c r="D11" s="617"/>
      <c r="E11" s="617"/>
      <c r="F11" s="3" t="s">
        <v>48</v>
      </c>
      <c r="G11" s="33"/>
      <c r="H11" s="32"/>
      <c r="I11" s="32"/>
      <c r="J11" s="32"/>
    </row>
    <row r="12" spans="1:12" x14ac:dyDescent="0.2">
      <c r="A12" s="642"/>
      <c r="B12" s="570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64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640" t="s">
        <v>52</v>
      </c>
      <c r="B14" s="640"/>
      <c r="C14" s="640"/>
      <c r="D14" s="640"/>
      <c r="E14" s="640"/>
      <c r="F14" s="640"/>
      <c r="G14" s="38"/>
      <c r="H14" s="39"/>
      <c r="I14" s="39"/>
      <c r="J14" s="39"/>
    </row>
    <row r="15" spans="1:12" ht="30.6" customHeight="1" x14ac:dyDescent="0.2">
      <c r="A15" s="640"/>
      <c r="B15" s="640"/>
      <c r="C15" s="640"/>
      <c r="D15" s="640"/>
      <c r="E15" s="640"/>
      <c r="F15" s="640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620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621"/>
      <c r="B19" s="12">
        <v>0</v>
      </c>
      <c r="C19" s="12">
        <v>20000000</v>
      </c>
      <c r="D19" s="26">
        <v>20</v>
      </c>
    </row>
    <row r="21" spans="1:4" x14ac:dyDescent="0.2">
      <c r="A21" s="608" t="s">
        <v>37</v>
      </c>
      <c r="B21" s="608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647" t="s">
        <v>106</v>
      </c>
      <c r="C4" s="647"/>
      <c r="D4" s="647"/>
      <c r="E4" s="647"/>
      <c r="F4" s="648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611" t="s">
        <v>8</v>
      </c>
      <c r="B7" s="614" t="s">
        <v>9</v>
      </c>
      <c r="C7" s="615"/>
      <c r="D7" s="616" t="s">
        <v>12</v>
      </c>
      <c r="E7" s="618"/>
      <c r="F7" s="617" t="s">
        <v>24</v>
      </c>
      <c r="G7" s="639"/>
    </row>
    <row r="8" spans="1:15" ht="25.5" x14ac:dyDescent="0.2">
      <c r="A8" s="612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613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611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620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613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621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622" t="s">
        <v>114</v>
      </c>
      <c r="B13" s="623"/>
      <c r="C13" s="623"/>
      <c r="D13" s="623"/>
      <c r="E13" s="623"/>
      <c r="F13" s="624"/>
      <c r="H13" s="622" t="s">
        <v>115</v>
      </c>
      <c r="I13" s="623"/>
      <c r="J13" s="623"/>
      <c r="K13" s="623"/>
      <c r="L13" s="623"/>
      <c r="M13" s="623"/>
      <c r="N13" s="623"/>
      <c r="O13" s="624"/>
    </row>
    <row r="14" spans="1:15" ht="33.6" customHeight="1" x14ac:dyDescent="0.2">
      <c r="A14" s="625"/>
      <c r="B14" s="626"/>
      <c r="C14" s="626"/>
      <c r="D14" s="626"/>
      <c r="E14" s="626"/>
      <c r="F14" s="627"/>
      <c r="H14" s="625"/>
      <c r="I14" s="626"/>
      <c r="J14" s="626"/>
      <c r="K14" s="626"/>
      <c r="L14" s="626"/>
      <c r="M14" s="626"/>
      <c r="N14" s="626"/>
      <c r="O14" s="627"/>
    </row>
    <row r="16" spans="1:15" ht="13.5" thickBot="1" x14ac:dyDescent="0.25"/>
    <row r="17" spans="1:4" ht="16.899999999999999" customHeight="1" x14ac:dyDescent="0.2">
      <c r="A17" s="620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621"/>
      <c r="B18" s="75">
        <v>0</v>
      </c>
      <c r="C18" s="76">
        <v>200000000</v>
      </c>
      <c r="D18" s="26">
        <v>20</v>
      </c>
    </row>
    <row r="20" spans="1:4" x14ac:dyDescent="0.2">
      <c r="A20" s="608" t="s">
        <v>37</v>
      </c>
      <c r="B20" s="608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593" t="s">
        <v>100</v>
      </c>
      <c r="G2" s="594"/>
      <c r="H2" s="594"/>
      <c r="I2" s="594"/>
      <c r="J2" s="594"/>
      <c r="K2" s="594"/>
      <c r="L2" s="595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596" t="s">
        <v>72</v>
      </c>
      <c r="G3" s="597"/>
      <c r="H3" s="597"/>
      <c r="I3" s="597"/>
      <c r="J3" s="597"/>
      <c r="K3" s="597"/>
      <c r="L3" s="598"/>
    </row>
    <row r="4" spans="1:14" ht="13.5" thickBot="1" x14ac:dyDescent="0.25">
      <c r="A4" s="29" t="s">
        <v>38</v>
      </c>
      <c r="B4" s="631" t="s">
        <v>57</v>
      </c>
      <c r="C4" s="631"/>
      <c r="D4" s="632"/>
    </row>
    <row r="6" spans="1:14" ht="13.5" thickBot="1" x14ac:dyDescent="0.25"/>
    <row r="7" spans="1:14" ht="27.75" customHeight="1" x14ac:dyDescent="0.2">
      <c r="A7" s="611" t="s">
        <v>8</v>
      </c>
      <c r="B7" s="614" t="s">
        <v>9</v>
      </c>
      <c r="C7" s="615"/>
      <c r="D7" s="616" t="s">
        <v>12</v>
      </c>
      <c r="E7" s="618"/>
      <c r="F7" s="617" t="s">
        <v>24</v>
      </c>
      <c r="G7" s="639"/>
      <c r="I7" s="654" t="s">
        <v>73</v>
      </c>
      <c r="J7" s="654"/>
      <c r="K7" s="654"/>
      <c r="L7" s="654"/>
      <c r="N7" s="47" t="s">
        <v>58</v>
      </c>
    </row>
    <row r="8" spans="1:14" ht="25.5" x14ac:dyDescent="0.2">
      <c r="A8" s="61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654"/>
      <c r="J8" s="654"/>
      <c r="K8" s="654"/>
      <c r="L8" s="654"/>
      <c r="N8" s="47" t="s">
        <v>59</v>
      </c>
    </row>
    <row r="9" spans="1:14" ht="13.5" thickBot="1" x14ac:dyDescent="0.25">
      <c r="A9" s="61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608" t="s">
        <v>60</v>
      </c>
      <c r="B11" s="3" t="s">
        <v>61</v>
      </c>
      <c r="C11" s="3" t="s">
        <v>62</v>
      </c>
      <c r="D11" s="32"/>
      <c r="E11" s="65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608"/>
      <c r="B12" s="41">
        <v>0</v>
      </c>
      <c r="C12" s="41">
        <v>0</v>
      </c>
      <c r="D12" s="32"/>
      <c r="E12" s="65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608"/>
      <c r="B13" s="41">
        <v>1</v>
      </c>
      <c r="C13" s="41">
        <v>0.75</v>
      </c>
      <c r="D13" s="32"/>
      <c r="E13" s="65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608"/>
      <c r="B14" s="41">
        <v>2</v>
      </c>
      <c r="C14" s="41">
        <v>0</v>
      </c>
      <c r="D14" s="32"/>
      <c r="E14" s="65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608"/>
      <c r="B15" s="41">
        <v>3</v>
      </c>
      <c r="C15" s="41">
        <v>-1</v>
      </c>
      <c r="D15" s="32"/>
      <c r="E15" s="65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608"/>
      <c r="B16" s="41">
        <v>4</v>
      </c>
      <c r="C16" s="41">
        <v>3</v>
      </c>
      <c r="D16" s="32"/>
      <c r="E16" s="65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608"/>
      <c r="B17" s="42">
        <v>5</v>
      </c>
      <c r="C17" s="42">
        <v>3</v>
      </c>
      <c r="D17" s="40"/>
      <c r="E17" s="65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649" t="s">
        <v>74</v>
      </c>
      <c r="B18" s="650"/>
      <c r="C18" s="651"/>
      <c r="D18" s="33"/>
      <c r="E18" s="640" t="s">
        <v>75</v>
      </c>
      <c r="F18" s="640"/>
      <c r="G18" s="640"/>
      <c r="H18" s="640"/>
      <c r="I18" s="640"/>
      <c r="J18" s="640"/>
      <c r="K18" s="640"/>
      <c r="L18" s="640"/>
      <c r="M18" s="640"/>
    </row>
    <row r="19" spans="1:13" ht="35.65" customHeight="1" x14ac:dyDescent="0.2">
      <c r="A19" s="625"/>
      <c r="B19" s="626"/>
      <c r="C19" s="627"/>
      <c r="D19" s="33"/>
      <c r="E19" s="640"/>
      <c r="F19" s="640"/>
      <c r="G19" s="640"/>
      <c r="H19" s="640"/>
      <c r="I19" s="640"/>
      <c r="J19" s="640"/>
      <c r="K19" s="640"/>
      <c r="L19" s="640"/>
      <c r="M19" s="640"/>
    </row>
    <row r="21" spans="1:13" ht="13.5" thickBot="1" x14ac:dyDescent="0.25"/>
    <row r="22" spans="1:13" ht="16.899999999999999" customHeight="1" x14ac:dyDescent="0.2">
      <c r="A22" s="620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621"/>
      <c r="B23" s="12">
        <v>0</v>
      </c>
      <c r="C23" s="12">
        <v>5</v>
      </c>
      <c r="D23" s="26">
        <v>20</v>
      </c>
    </row>
    <row r="25" spans="1:13" x14ac:dyDescent="0.2">
      <c r="A25" s="608" t="s">
        <v>37</v>
      </c>
      <c r="B25" s="608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dive_24_10M</vt:lpstr>
      <vt:lpstr>Scenario deep dive_24_20M</vt:lpstr>
      <vt:lpstr>Scenario deep dive_24_20M_rm_mc</vt:lpstr>
      <vt:lpstr>VAC_Optim_Scenario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2023-11-07T14:36:00Z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  <property fmtid="{D5CDD505-2E9C-101B-9397-08002B2CF9AE}" pid="18" name="_AdHocReviewCycleID">
    <vt:i4>-1161248034</vt:i4>
  </property>
  <property fmtid="{D5CDD505-2E9C-101B-9397-08002B2CF9AE}" pid="19" name="_NewReviewCycle">
    <vt:lpwstr/>
  </property>
  <property fmtid="{D5CDD505-2E9C-101B-9397-08002B2CF9AE}" pid="20" name="_EmailSubject">
    <vt:lpwstr>PFA</vt:lpwstr>
  </property>
  <property fmtid="{D5CDD505-2E9C-101B-9397-08002B2CF9AE}" pid="21" name="_AuthorEmail">
    <vt:lpwstr>sarath.a@merck.com</vt:lpwstr>
  </property>
  <property fmtid="{D5CDD505-2E9C-101B-9397-08002B2CF9AE}" pid="22" name="_AuthorEmailDisplayName">
    <vt:lpwstr>A, Sarath</vt:lpwstr>
  </property>
  <property fmtid="{D5CDD505-2E9C-101B-9397-08002B2CF9AE}" pid="23" name="_PreviousAdHocReviewCycleID">
    <vt:i4>-2059472871</vt:i4>
  </property>
  <property fmtid="{D5CDD505-2E9C-101B-9397-08002B2CF9AE}" pid="24" name="_ReviewingToolsShownOnce">
    <vt:lpwstr/>
  </property>
</Properties>
</file>