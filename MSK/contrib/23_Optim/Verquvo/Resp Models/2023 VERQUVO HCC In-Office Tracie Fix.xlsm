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filterPrivacy="1" defaultThemeVersion="124226"/>
  <xr:revisionPtr revIDLastSave="0" documentId="13_ncr:1_{EC887919-E173-46AF-8E7D-88DBF7FDE3B5}" xr6:coauthVersionLast="47" xr6:coauthVersionMax="47" xr10:uidLastSave="{00000000-0000-0000-0000-000000000000}"/>
  <bookViews>
    <workbookView xWindow="-108" yWindow="-108" windowWidth="23256" windowHeight="12576" tabRatio="424" activeTab="1" xr2:uid="{00000000-000D-0000-FFFF-FFFF00000000}"/>
  </bookViews>
  <sheets>
    <sheet name="Sheet2" sheetId="11" r:id="rId1"/>
    <sheet name="in office" sheetId="9" r:id="rId2"/>
    <sheet name="Media Plan" sheetId="10" r:id="rId3"/>
    <sheet name="Data" sheetId="6" r:id="rId4"/>
    <sheet name="HCC in office Curve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PRASupplier">'[1]Drop Down Allowed Values'!$B$7:$B$41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9" l="1"/>
  <c r="G11" i="9" l="1"/>
  <c r="H11" i="9" s="1"/>
  <c r="E11" i="9"/>
  <c r="G10" i="9"/>
  <c r="E10" i="9"/>
  <c r="D10" i="9"/>
  <c r="I10" i="9"/>
  <c r="F10" i="9"/>
  <c r="F11" i="9" s="1"/>
  <c r="I11" i="9" l="1"/>
  <c r="H9" i="9"/>
  <c r="G9" i="9"/>
  <c r="E9" i="9"/>
  <c r="C9" i="9"/>
  <c r="D9" i="9" s="1"/>
  <c r="B9" i="9"/>
  <c r="E8" i="9"/>
  <c r="F7" i="9"/>
  <c r="H7" i="9"/>
  <c r="G7" i="9"/>
  <c r="F5" i="9"/>
  <c r="I7" i="9" l="1"/>
  <c r="F8" i="9"/>
  <c r="F9" i="9" s="1"/>
  <c r="I9" i="9" s="1"/>
  <c r="C7" i="9" l="1"/>
  <c r="D7" i="9" s="1"/>
  <c r="B7" i="9"/>
  <c r="C6" i="9"/>
  <c r="D6" i="9" s="1"/>
  <c r="C5" i="9"/>
  <c r="D5" i="9" s="1"/>
  <c r="F5" i="6" l="1"/>
  <c r="F12" i="9"/>
  <c r="F12" i="7" l="1"/>
  <c r="A21" i="7"/>
  <c r="A22" i="7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L12" i="7" l="1"/>
  <c r="A45" i="7"/>
  <c r="A46" i="7" l="1"/>
  <c r="A47" i="7" l="1"/>
  <c r="A48" i="7" l="1"/>
  <c r="A49" i="7" l="1"/>
  <c r="A50" i="7" l="1"/>
  <c r="A51" i="7" l="1"/>
  <c r="H5" i="9" l="1"/>
  <c r="I5" i="9" l="1"/>
  <c r="E6" i="9" l="1"/>
  <c r="E5" i="9"/>
  <c r="G5" i="9" l="1"/>
  <c r="E7" i="9" l="1"/>
  <c r="E12" i="9" s="1"/>
  <c r="H5" i="6" l="1"/>
  <c r="B12" i="7" l="1"/>
  <c r="B9" i="7" l="1"/>
  <c r="F9" i="7"/>
  <c r="D9" i="7" s="1"/>
  <c r="K12" i="7"/>
  <c r="C9" i="7"/>
  <c r="G8" i="9" l="1"/>
  <c r="H8" i="9"/>
  <c r="H12" i="9" l="1"/>
  <c r="G12" i="9" s="1"/>
  <c r="I8" i="9"/>
  <c r="I12" i="9" s="1"/>
  <c r="J5" i="6" s="1"/>
  <c r="C12" i="7" l="1"/>
  <c r="K5" i="6"/>
  <c r="M5" i="6" s="1"/>
  <c r="N5" i="6" s="1"/>
  <c r="E12" i="7" s="1"/>
  <c r="L5" i="6"/>
  <c r="G9" i="7" l="1"/>
  <c r="I12" i="7"/>
  <c r="J12" i="7" s="1"/>
  <c r="M12" i="7" l="1"/>
  <c r="N12" i="7" s="1"/>
  <c r="O12" i="7"/>
  <c r="B51" i="7" l="1"/>
  <c r="C51" i="7" s="1"/>
  <c r="B34" i="7"/>
  <c r="C34" i="7" s="1"/>
  <c r="B28" i="7"/>
  <c r="C28" i="7" s="1"/>
  <c r="B29" i="7"/>
  <c r="C29" i="7" s="1"/>
  <c r="B46" i="7"/>
  <c r="C46" i="7" s="1"/>
  <c r="B41" i="7"/>
  <c r="C41" i="7" s="1"/>
  <c r="B35" i="7"/>
  <c r="C35" i="7" s="1"/>
  <c r="B27" i="7"/>
  <c r="C27" i="7" s="1"/>
  <c r="B50" i="7"/>
  <c r="C50" i="7" s="1"/>
  <c r="B43" i="7"/>
  <c r="C43" i="7" s="1"/>
  <c r="B42" i="7"/>
  <c r="C42" i="7" s="1"/>
  <c r="B22" i="7"/>
  <c r="C22" i="7" s="1"/>
  <c r="B45" i="7"/>
  <c r="C45" i="7" s="1"/>
  <c r="B26" i="7"/>
  <c r="C26" i="7" s="1"/>
  <c r="B38" i="7"/>
  <c r="C38" i="7" s="1"/>
  <c r="B48" i="7"/>
  <c r="C48" i="7" s="1"/>
  <c r="B31" i="7"/>
  <c r="C31" i="7" s="1"/>
  <c r="B32" i="7"/>
  <c r="C32" i="7" s="1"/>
  <c r="B25" i="7"/>
  <c r="C25" i="7" s="1"/>
  <c r="B33" i="7"/>
  <c r="C33" i="7" s="1"/>
  <c r="B23" i="7"/>
  <c r="C23" i="7" s="1"/>
  <c r="B30" i="7"/>
  <c r="C30" i="7" s="1"/>
  <c r="B24" i="7"/>
  <c r="C24" i="7" s="1"/>
  <c r="B40" i="7"/>
  <c r="C40" i="7" s="1"/>
  <c r="B44" i="7"/>
  <c r="C44" i="7" s="1"/>
  <c r="B39" i="7"/>
  <c r="C39" i="7" s="1"/>
  <c r="B21" i="7"/>
  <c r="C21" i="7" s="1"/>
  <c r="B49" i="7"/>
  <c r="C49" i="7" s="1"/>
  <c r="E9" i="7"/>
  <c r="B37" i="7"/>
  <c r="C37" i="7" s="1"/>
  <c r="B36" i="7"/>
  <c r="C36" i="7" s="1"/>
  <c r="B47" i="7"/>
  <c r="C47" i="7" s="1"/>
  <c r="D47" i="7" l="1"/>
  <c r="E47" i="7"/>
  <c r="E40" i="7"/>
  <c r="D40" i="7"/>
  <c r="E48" i="7"/>
  <c r="D48" i="7"/>
  <c r="E27" i="7"/>
  <c r="D27" i="7"/>
  <c r="E36" i="7"/>
  <c r="D36" i="7"/>
  <c r="D24" i="7"/>
  <c r="E24" i="7"/>
  <c r="D38" i="7"/>
  <c r="E38" i="7"/>
  <c r="D35" i="7"/>
  <c r="E35" i="7"/>
  <c r="D37" i="7"/>
  <c r="E37" i="7"/>
  <c r="E30" i="7"/>
  <c r="D30" i="7"/>
  <c r="D26" i="7"/>
  <c r="E26" i="7"/>
  <c r="D41" i="7"/>
  <c r="E41" i="7"/>
  <c r="E23" i="7"/>
  <c r="D23" i="7"/>
  <c r="E45" i="7"/>
  <c r="D45" i="7"/>
  <c r="D46" i="7"/>
  <c r="E46" i="7"/>
  <c r="E49" i="7"/>
  <c r="D49" i="7"/>
  <c r="E33" i="7"/>
  <c r="D33" i="7"/>
  <c r="D22" i="7"/>
  <c r="E22" i="7"/>
  <c r="D29" i="7"/>
  <c r="E29" i="7"/>
  <c r="E25" i="7"/>
  <c r="D25" i="7"/>
  <c r="E42" i="7"/>
  <c r="D42" i="7"/>
  <c r="E28" i="7"/>
  <c r="D28" i="7"/>
  <c r="D39" i="7"/>
  <c r="E39" i="7"/>
  <c r="E32" i="7"/>
  <c r="D32" i="7"/>
  <c r="D43" i="7"/>
  <c r="E43" i="7"/>
  <c r="D34" i="7"/>
  <c r="E34" i="7"/>
  <c r="D44" i="7"/>
  <c r="E44" i="7"/>
  <c r="E31" i="7"/>
  <c r="D31" i="7"/>
  <c r="D50" i="7"/>
  <c r="E50" i="7"/>
  <c r="E51" i="7"/>
  <c r="D51" i="7"/>
</calcChain>
</file>

<file path=xl/sharedStrings.xml><?xml version="1.0" encoding="utf-8"?>
<sst xmlns="http://schemas.openxmlformats.org/spreadsheetml/2006/main" count="154" uniqueCount="112">
  <si>
    <t>Product</t>
  </si>
  <si>
    <t>Parameters for back-calculation of Incremental NRx</t>
  </si>
  <si>
    <t>Max Y Assumptions</t>
  </si>
  <si>
    <t>Pre-Tax Spend</t>
  </si>
  <si>
    <t>Estimated Incr. NRx</t>
  </si>
  <si>
    <t>Estimated Incr. NRx (as % of NPA NRx)</t>
  </si>
  <si>
    <t>Anticipated Max Incr. NRx (in %) when HCC spend is increased to infinity</t>
  </si>
  <si>
    <t>Anticipated Max Incr. NRx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</si>
  <si>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</si>
  <si>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</si>
  <si>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</si>
  <si>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</si>
  <si>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</si>
  <si>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</si>
  <si>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</si>
  <si>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</si>
  <si>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Incr. NRx</t>
  </si>
  <si>
    <t>Ybase</t>
  </si>
  <si>
    <t xml:space="preserve"> NRx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</si>
  <si>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</si>
  <si>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</si>
  <si>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</si>
  <si>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</si>
  <si>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</si>
  <si>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</si>
  <si>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</si>
  <si>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</si>
  <si>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</si>
  <si>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</si>
  <si>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</si>
  <si>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</si>
  <si>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</si>
  <si>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</si>
  <si>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</si>
  <si>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</si>
  <si>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</si>
  <si>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</si>
  <si>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</si>
  <si>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</si>
  <si>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</si>
  <si>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</si>
  <si>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</si>
  <si>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</si>
  <si>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</si>
  <si>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</si>
  <si>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</si>
  <si>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</si>
  <si>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</si>
  <si>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</si>
  <si>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</si>
  <si>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</si>
  <si>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</si>
  <si>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</si>
  <si>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</si>
  <si>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Spend per NRx</t>
  </si>
  <si>
    <t>incr. NRx</t>
  </si>
  <si>
    <t xml:space="preserve">Spend </t>
  </si>
  <si>
    <t>ROI:</t>
  </si>
  <si>
    <t>Merck Diabetes Franchise MCM Programs: Incremental NRx per Tactic with ROI, Spend and Incremental Revenue</t>
  </si>
  <si>
    <t>MCM</t>
  </si>
  <si>
    <t>AT Revenue</t>
  </si>
  <si>
    <t>Pre-tax Rev</t>
  </si>
  <si>
    <t xml:space="preserve">Downweighting factor </t>
  </si>
  <si>
    <t>Pre-tax cost</t>
  </si>
  <si>
    <t>Pre-tax ROI</t>
  </si>
  <si>
    <t>Pre-tax Revenue/Return</t>
  </si>
  <si>
    <t># Incr. NRxs</t>
  </si>
  <si>
    <t>Total</t>
  </si>
  <si>
    <t>Comments</t>
  </si>
  <si>
    <t>Vendor</t>
  </si>
  <si>
    <t>Program</t>
  </si>
  <si>
    <t>Time Pd</t>
  </si>
  <si>
    <t>POC</t>
  </si>
  <si>
    <t>2021 tax rate on revenue</t>
  </si>
  <si>
    <t>2021 Pre-tax 3-year NPV/new patient</t>
  </si>
  <si>
    <t>2022 Projection</t>
  </si>
  <si>
    <t>Verquvo</t>
  </si>
  <si>
    <t>PATIENT POINT NETWORK SOLUTION</t>
  </si>
  <si>
    <t>Row Labels</t>
  </si>
  <si>
    <t>Sum of Planned cost ($)</t>
  </si>
  <si>
    <t>PHYSICIANS WEEKLY LLC</t>
  </si>
  <si>
    <t>Local Product</t>
  </si>
  <si>
    <t>Period Type</t>
  </si>
  <si>
    <t>Period Ending</t>
  </si>
  <si>
    <t>Units</t>
  </si>
  <si>
    <t>Value</t>
  </si>
  <si>
    <t>VERQUVO</t>
  </si>
  <si>
    <t>Month</t>
  </si>
  <si>
    <t>Dispensed NRx</t>
  </si>
  <si>
    <t>Patient Point Digital Wallboard</t>
  </si>
  <si>
    <t>Patient Point Waiting Room Video</t>
  </si>
  <si>
    <t>Health Monitor Custom Magazine</t>
  </si>
  <si>
    <t>Mesmorize Static Wallboard</t>
  </si>
  <si>
    <t>Physicans Weekly Static Wallboard</t>
  </si>
  <si>
    <t>Coverwrap Commuications Good Housekeeping</t>
  </si>
  <si>
    <t>Targeted Health Media People en Espanol</t>
  </si>
  <si>
    <t>Planned in 2023</t>
  </si>
  <si>
    <t>NPV</t>
  </si>
  <si>
    <t>Measured in MMx</t>
  </si>
  <si>
    <t>Phys Weekly</t>
  </si>
  <si>
    <t>Exam Room Wallboard</t>
  </si>
  <si>
    <t>May22-Apr23</t>
  </si>
  <si>
    <t>Indep Measure</t>
  </si>
  <si>
    <t>PatientPoint</t>
  </si>
  <si>
    <t>TMH</t>
  </si>
  <si>
    <t>People en Espanol</t>
  </si>
  <si>
    <t>Measured in MMx last year</t>
  </si>
  <si>
    <t>Mesmerize</t>
  </si>
  <si>
    <t>Static Wallboard</t>
  </si>
  <si>
    <t>no measurements yet, based on Belsomra</t>
  </si>
  <si>
    <t>JAN22-DEC22</t>
  </si>
  <si>
    <r>
      <t xml:space="preserve">Total </t>
    </r>
    <r>
      <rPr>
        <b/>
        <sz val="10"/>
        <color rgb="FF0000FF"/>
        <rFont val="Arial Narrow"/>
        <family val="2"/>
      </rPr>
      <t>NPA</t>
    </r>
    <r>
      <rPr>
        <b/>
        <sz val="10"/>
        <color theme="1"/>
        <rFont val="Arial Narrow"/>
        <family val="2"/>
      </rPr>
      <t xml:space="preserve"> NRx in 2022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</si>
</sst>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\$#,###,###"/>
    <numFmt numFmtId="168" formatCode="\$###,###"/>
    <numFmt numFmtId="169" formatCode="&quot;$&quot;#,##0.00"/>
    <numFmt numFmtId="170" formatCode="\$##,###"/>
    <numFmt numFmtId="171" formatCode="0.0"/>
    <numFmt numFmtId="172" formatCode="0.0%"/>
    <numFmt numFmtId="173" formatCode="#,##0.0_);\(#,##0.0\)"/>
    <numFmt numFmtId="174" formatCode="\$###,###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rgb="FFFF0000"/>
      <name val="Arial"/>
      <family val="2"/>
    </font>
    <font>
      <b/>
      <u/>
      <sz val="12"/>
      <color indexed="8"/>
      <name val="Arial"/>
      <family val="2"/>
    </font>
    <font>
      <sz val="12"/>
      <color indexed="9"/>
      <name val="Arial"/>
      <family val="2"/>
    </font>
    <font>
      <sz val="12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9" fontId="8" fillId="0" borderId="0" applyFont="0" applyFill="0" applyBorder="0" applyAlignment="0" applyProtection="0"/>
    <xf numFmtId="0" fontId="17" fillId="0" borderId="0"/>
  </cellStyleXfs>
  <cellXfs count="168">
    <xf numFmtId="0" fontId="0" fillId="0" borderId="0" xfId="0"/>
    <xf numFmtId="0" fontId="4" fillId="7" borderId="2" xfId="0" applyFont="1" applyFill="1" applyBorder="1"/>
    <xf numFmtId="0" fontId="5" fillId="0" borderId="0" xfId="0" applyFont="1"/>
    <xf numFmtId="0" fontId="4" fillId="7" borderId="3" xfId="0" applyFont="1" applyFill="1" applyBorder="1"/>
    <xf numFmtId="0" fontId="5" fillId="8" borderId="4" xfId="0" applyFont="1" applyFill="1" applyBorder="1"/>
    <xf numFmtId="0" fontId="4" fillId="7" borderId="4" xfId="0" applyFont="1" applyFill="1" applyBorder="1"/>
    <xf numFmtId="0" fontId="5" fillId="8" borderId="5" xfId="0" applyFont="1" applyFill="1" applyBorder="1"/>
    <xf numFmtId="0" fontId="5" fillId="8" borderId="6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8" xfId="0" applyFont="1" applyFill="1" applyBorder="1" applyAlignment="1">
      <alignment horizontal="left"/>
    </xf>
    <xf numFmtId="0" fontId="4" fillId="7" borderId="9" xfId="0" applyFont="1" applyFill="1" applyBorder="1"/>
    <xf numFmtId="0" fontId="5" fillId="8" borderId="2" xfId="0" applyFont="1" applyFill="1" applyBorder="1"/>
    <xf numFmtId="0" fontId="5" fillId="8" borderId="10" xfId="0" applyFont="1" applyFill="1" applyBorder="1"/>
    <xf numFmtId="0" fontId="4" fillId="7" borderId="11" xfId="0" applyFont="1" applyFill="1" applyBorder="1"/>
    <xf numFmtId="9" fontId="5" fillId="0" borderId="0" xfId="0" applyNumberFormat="1" applyFont="1"/>
    <xf numFmtId="0" fontId="4" fillId="7" borderId="1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165" fontId="5" fillId="8" borderId="24" xfId="2" applyNumberFormat="1" applyFont="1" applyFill="1" applyBorder="1"/>
    <xf numFmtId="165" fontId="6" fillId="9" borderId="25" xfId="2" applyNumberFormat="1" applyFont="1" applyFill="1" applyBorder="1"/>
    <xf numFmtId="3" fontId="6" fillId="9" borderId="26" xfId="0" applyNumberFormat="1" applyFont="1" applyFill="1" applyBorder="1"/>
    <xf numFmtId="3" fontId="5" fillId="8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8" borderId="24" xfId="0" applyFont="1" applyFill="1" applyBorder="1"/>
    <xf numFmtId="166" fontId="5" fillId="8" borderId="28" xfId="1" applyNumberFormat="1" applyFont="1" applyFill="1" applyBorder="1"/>
    <xf numFmtId="166" fontId="5" fillId="10" borderId="24" xfId="0" applyNumberFormat="1" applyFont="1" applyFill="1" applyBorder="1" applyAlignment="1">
      <alignment horizontal="center" vertical="center" wrapText="1"/>
    </xf>
    <xf numFmtId="165" fontId="5" fillId="10" borderId="24" xfId="2" applyNumberFormat="1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5" fillId="10" borderId="24" xfId="0" applyNumberFormat="1" applyFont="1" applyFill="1" applyBorder="1" applyAlignment="1">
      <alignment horizontal="center" vertical="center" wrapText="1"/>
    </xf>
    <xf numFmtId="166" fontId="5" fillId="10" borderId="28" xfId="0" applyNumberFormat="1" applyFont="1" applyFill="1" applyBorder="1" applyAlignment="1">
      <alignment horizontal="center" vertical="center" wrapText="1"/>
    </xf>
    <xf numFmtId="164" fontId="5" fillId="8" borderId="24" xfId="2" applyNumberFormat="1" applyFont="1" applyFill="1" applyBorder="1"/>
    <xf numFmtId="164" fontId="5" fillId="8" borderId="24" xfId="0" applyNumberFormat="1" applyFont="1" applyFill="1" applyBorder="1"/>
    <xf numFmtId="0" fontId="5" fillId="10" borderId="28" xfId="0" applyFont="1" applyFill="1" applyBorder="1"/>
    <xf numFmtId="3" fontId="5" fillId="0" borderId="1" xfId="0" applyNumberFormat="1" applyFont="1" applyBorder="1"/>
    <xf numFmtId="164" fontId="5" fillId="0" borderId="1" xfId="0" applyNumberFormat="1" applyFont="1" applyBorder="1"/>
    <xf numFmtId="5" fontId="5" fillId="0" borderId="0" xfId="0" applyNumberFormat="1" applyFont="1"/>
    <xf numFmtId="164" fontId="5" fillId="11" borderId="1" xfId="0" applyNumberFormat="1" applyFont="1" applyFill="1" applyBorder="1"/>
    <xf numFmtId="3" fontId="5" fillId="11" borderId="1" xfId="0" applyNumberFormat="1" applyFont="1" applyFill="1" applyBorder="1"/>
    <xf numFmtId="5" fontId="5" fillId="11" borderId="0" xfId="0" applyNumberFormat="1" applyFont="1" applyFill="1"/>
    <xf numFmtId="0" fontId="5" fillId="0" borderId="0" xfId="0" applyNumberFormat="1" applyFont="1"/>
    <xf numFmtId="0" fontId="5" fillId="11" borderId="0" xfId="0" applyNumberFormat="1" applyFont="1" applyFill="1"/>
    <xf numFmtId="0" fontId="5" fillId="0" borderId="0" xfId="0" applyFont="1" applyAlignment="1">
      <alignment horizontal="center"/>
    </xf>
    <xf numFmtId="0" fontId="12" fillId="0" borderId="0" xfId="0" applyFont="1"/>
    <xf numFmtId="0" fontId="13" fillId="2" borderId="0" xfId="4" applyFont="1"/>
    <xf numFmtId="0" fontId="10" fillId="6" borderId="1" xfId="0" applyFont="1" applyFill="1" applyBorder="1" applyAlignment="1">
      <alignment wrapText="1"/>
    </xf>
    <xf numFmtId="0" fontId="12" fillId="5" borderId="1" xfId="0" applyFont="1" applyFill="1" applyBorder="1" applyAlignment="1">
      <alignment horizontal="center" vertical="center" wrapText="1"/>
    </xf>
    <xf numFmtId="44" fontId="12" fillId="5" borderId="1" xfId="2" applyFont="1" applyFill="1" applyBorder="1" applyAlignment="1">
      <alignment horizontal="center" vertical="center" wrapText="1"/>
    </xf>
    <xf numFmtId="0" fontId="12" fillId="0" borderId="0" xfId="0" applyFont="1" applyFill="1"/>
    <xf numFmtId="5" fontId="13" fillId="2" borderId="0" xfId="4" applyNumberFormat="1" applyFont="1"/>
    <xf numFmtId="165" fontId="15" fillId="5" borderId="1" xfId="0" applyNumberFormat="1" applyFont="1" applyFill="1" applyBorder="1" applyAlignment="1">
      <alignment horizontal="center" vertical="center"/>
    </xf>
    <xf numFmtId="10" fontId="9" fillId="5" borderId="1" xfId="3" applyNumberFormat="1" applyFont="1" applyFill="1" applyBorder="1" applyAlignment="1">
      <alignment horizontal="center" vertical="center"/>
    </xf>
    <xf numFmtId="9" fontId="15" fillId="5" borderId="1" xfId="0" applyNumberFormat="1" applyFont="1" applyFill="1" applyBorder="1" applyAlignment="1">
      <alignment horizontal="center" vertical="center"/>
    </xf>
    <xf numFmtId="166" fontId="15" fillId="5" borderId="1" xfId="1" applyNumberFormat="1" applyFont="1" applyFill="1" applyBorder="1" applyAlignment="1">
      <alignment horizontal="center" vertical="center"/>
    </xf>
    <xf numFmtId="0" fontId="13" fillId="0" borderId="0" xfId="4" applyFont="1" applyFill="1"/>
    <xf numFmtId="5" fontId="13" fillId="0" borderId="0" xfId="4" applyNumberFormat="1" applyFont="1" applyFill="1"/>
    <xf numFmtId="0" fontId="16" fillId="0" borderId="0" xfId="0" applyFont="1" applyFill="1"/>
    <xf numFmtId="164" fontId="5" fillId="12" borderId="1" xfId="0" applyNumberFormat="1" applyFont="1" applyFill="1" applyBorder="1"/>
    <xf numFmtId="3" fontId="5" fillId="12" borderId="1" xfId="0" applyNumberFormat="1" applyFont="1" applyFill="1" applyBorder="1"/>
    <xf numFmtId="5" fontId="5" fillId="12" borderId="0" xfId="0" applyNumberFormat="1" applyFont="1" applyFill="1"/>
    <xf numFmtId="0" fontId="5" fillId="12" borderId="0" xfId="0" applyNumberFormat="1" applyFont="1" applyFill="1"/>
    <xf numFmtId="9" fontId="15" fillId="5" borderId="1" xfId="3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37" fontId="15" fillId="5" borderId="1" xfId="0" applyNumberFormat="1" applyFont="1" applyFill="1" applyBorder="1" applyAlignment="1">
      <alignment horizontal="center" vertical="center"/>
    </xf>
    <xf numFmtId="42" fontId="9" fillId="5" borderId="1" xfId="2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/>
    <xf numFmtId="3" fontId="5" fillId="0" borderId="1" xfId="0" applyNumberFormat="1" applyFont="1" applyFill="1" applyBorder="1"/>
    <xf numFmtId="5" fontId="5" fillId="0" borderId="0" xfId="0" applyNumberFormat="1" applyFont="1" applyFill="1"/>
    <xf numFmtId="0" fontId="5" fillId="0" borderId="0" xfId="0" applyNumberFormat="1" applyFont="1" applyFill="1"/>
    <xf numFmtId="3" fontId="0" fillId="0" borderId="1" xfId="0" applyNumberFormat="1" applyBorder="1" applyAlignment="1">
      <alignment horizontal="center"/>
    </xf>
    <xf numFmtId="0" fontId="1" fillId="0" borderId="0" xfId="0" applyFont="1"/>
    <xf numFmtId="9" fontId="13" fillId="2" borderId="0" xfId="3" applyFont="1" applyFill="1"/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Fill="1"/>
    <xf numFmtId="169" fontId="20" fillId="0" borderId="0" xfId="0" applyNumberFormat="1" applyFont="1" applyFill="1"/>
    <xf numFmtId="169" fontId="20" fillId="0" borderId="0" xfId="2" applyNumberFormat="1" applyFont="1" applyFill="1"/>
    <xf numFmtId="164" fontId="20" fillId="0" borderId="0" xfId="2" applyNumberFormat="1" applyFont="1" applyFill="1"/>
    <xf numFmtId="2" fontId="21" fillId="0" borderId="0" xfId="0" applyNumberFormat="1" applyFont="1" applyFill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19" fillId="0" borderId="1" xfId="0" applyFont="1" applyFill="1" applyBorder="1"/>
    <xf numFmtId="164" fontId="19" fillId="0" borderId="0" xfId="0" applyNumberFormat="1" applyFont="1"/>
    <xf numFmtId="37" fontId="19" fillId="0" borderId="1" xfId="0" applyNumberFormat="1" applyFont="1" applyFill="1" applyBorder="1"/>
    <xf numFmtId="42" fontId="19" fillId="0" borderId="1" xfId="0" applyNumberFormat="1" applyFont="1" applyFill="1" applyBorder="1"/>
    <xf numFmtId="173" fontId="19" fillId="0" borderId="1" xfId="0" applyNumberFormat="1" applyFont="1" applyFill="1" applyBorder="1"/>
    <xf numFmtId="172" fontId="19" fillId="0" borderId="1" xfId="3" applyNumberFormat="1" applyFont="1" applyFill="1" applyBorder="1"/>
    <xf numFmtId="172" fontId="19" fillId="0" borderId="1" xfId="0" applyNumberFormat="1" applyFont="1" applyFill="1" applyBorder="1"/>
    <xf numFmtId="171" fontId="19" fillId="0" borderId="1" xfId="0" applyNumberFormat="1" applyFont="1" applyFill="1" applyBorder="1"/>
    <xf numFmtId="0" fontId="23" fillId="0" borderId="36" xfId="0" applyFont="1" applyBorder="1" applyAlignment="1">
      <alignment horizontal="right"/>
    </xf>
    <xf numFmtId="0" fontId="26" fillId="0" borderId="36" xfId="0" applyFont="1" applyBorder="1" applyAlignment="1">
      <alignment horizontal="left"/>
    </xf>
    <xf numFmtId="0" fontId="20" fillId="11" borderId="0" xfId="0" applyFont="1" applyFill="1" applyAlignment="1">
      <alignment horizontal="left"/>
    </xf>
    <xf numFmtId="0" fontId="27" fillId="0" borderId="36" xfId="0" applyFont="1" applyBorder="1" applyAlignment="1">
      <alignment horizontal="right"/>
    </xf>
    <xf numFmtId="0" fontId="23" fillId="0" borderId="0" xfId="0" applyNumberFormat="1" applyFont="1" applyBorder="1" applyAlignment="1">
      <alignment horizontal="left" vertical="center" indent="1"/>
    </xf>
    <xf numFmtId="165" fontId="19" fillId="11" borderId="0" xfId="2" applyNumberFormat="1" applyFont="1" applyFill="1"/>
    <xf numFmtId="165" fontId="19" fillId="0" borderId="0" xfId="0" applyNumberFormat="1" applyFont="1"/>
    <xf numFmtId="2" fontId="19" fillId="11" borderId="0" xfId="0" applyNumberFormat="1" applyFont="1" applyFill="1"/>
    <xf numFmtId="168" fontId="23" fillId="0" borderId="36" xfId="0" applyNumberFormat="1" applyFont="1" applyBorder="1" applyAlignment="1">
      <alignment horizontal="right"/>
    </xf>
    <xf numFmtId="0" fontId="23" fillId="7" borderId="0" xfId="0" applyNumberFormat="1" applyFont="1" applyFill="1" applyBorder="1" applyAlignment="1">
      <alignment horizontal="left" vertical="center" indent="1"/>
    </xf>
    <xf numFmtId="0" fontId="23" fillId="11" borderId="36" xfId="0" applyFont="1" applyFill="1" applyBorder="1" applyAlignment="1">
      <alignment horizontal="right"/>
    </xf>
    <xf numFmtId="170" fontId="23" fillId="0" borderId="36" xfId="0" applyNumberFormat="1" applyFont="1" applyBorder="1" applyAlignment="1">
      <alignment horizontal="right"/>
    </xf>
    <xf numFmtId="167" fontId="24" fillId="11" borderId="36" xfId="0" applyNumberFormat="1" applyFont="1" applyFill="1" applyBorder="1" applyAlignment="1">
      <alignment horizontal="right"/>
    </xf>
    <xf numFmtId="167" fontId="19" fillId="0" borderId="0" xfId="0" applyNumberFormat="1" applyFont="1"/>
    <xf numFmtId="0" fontId="19" fillId="0" borderId="1" xfId="0" applyFont="1" applyBorder="1" applyAlignment="1">
      <alignment horizontal="center" vertical="center"/>
    </xf>
    <xf numFmtId="168" fontId="19" fillId="0" borderId="1" xfId="0" applyNumberFormat="1" applyFont="1" applyBorder="1" applyAlignment="1">
      <alignment horizontal="center" vertical="center"/>
    </xf>
    <xf numFmtId="171" fontId="19" fillId="0" borderId="1" xfId="1" applyNumberFormat="1" applyFont="1" applyBorder="1" applyAlignment="1">
      <alignment horizontal="center" vertical="center"/>
    </xf>
    <xf numFmtId="164" fontId="19" fillId="0" borderId="1" xfId="2" applyNumberFormat="1" applyFont="1" applyBorder="1" applyAlignment="1">
      <alignment horizontal="center" vertical="center"/>
    </xf>
    <xf numFmtId="168" fontId="19" fillId="0" borderId="1" xfId="0" applyNumberFormat="1" applyFont="1" applyFill="1" applyBorder="1" applyAlignment="1">
      <alignment horizontal="center" vertical="center"/>
    </xf>
    <xf numFmtId="171" fontId="19" fillId="0" borderId="1" xfId="1" applyNumberFormat="1" applyFont="1" applyFill="1" applyBorder="1" applyAlignment="1">
      <alignment horizontal="center" vertical="center"/>
    </xf>
    <xf numFmtId="164" fontId="19" fillId="0" borderId="1" xfId="2" applyNumberFormat="1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8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168" fontId="23" fillId="0" borderId="1" xfId="0" applyNumberFormat="1" applyFont="1" applyFill="1" applyBorder="1" applyAlignment="1">
      <alignment horizontal="center" vertical="center"/>
    </xf>
    <xf numFmtId="171" fontId="19" fillId="0" borderId="1" xfId="0" applyNumberFormat="1" applyFont="1" applyBorder="1" applyAlignment="1">
      <alignment horizontal="center" vertical="center"/>
    </xf>
    <xf numFmtId="0" fontId="24" fillId="13" borderId="0" xfId="0" applyNumberFormat="1" applyFont="1" applyFill="1" applyBorder="1" applyAlignment="1">
      <alignment horizontal="center" vertical="center"/>
    </xf>
    <xf numFmtId="167" fontId="22" fillId="13" borderId="0" xfId="0" applyNumberFormat="1" applyFont="1" applyFill="1" applyBorder="1" applyAlignment="1">
      <alignment horizontal="center" vertical="center"/>
    </xf>
    <xf numFmtId="168" fontId="22" fillId="13" borderId="0" xfId="0" applyNumberFormat="1" applyFont="1" applyFill="1" applyBorder="1" applyAlignment="1">
      <alignment horizontal="center" vertical="center"/>
    </xf>
    <xf numFmtId="2" fontId="22" fillId="13" borderId="0" xfId="0" applyNumberFormat="1" applyFont="1" applyFill="1" applyBorder="1" applyAlignment="1">
      <alignment horizontal="center" vertical="center"/>
    </xf>
    <xf numFmtId="166" fontId="22" fillId="13" borderId="0" xfId="1" applyNumberFormat="1" applyFont="1" applyFill="1" applyBorder="1" applyAlignment="1">
      <alignment horizontal="center" vertical="center"/>
    </xf>
    <xf numFmtId="168" fontId="19" fillId="0" borderId="0" xfId="0" applyNumberFormat="1" applyFont="1" applyAlignment="1">
      <alignment horizontal="center" vertical="center"/>
    </xf>
    <xf numFmtId="174" fontId="19" fillId="0" borderId="0" xfId="0" applyNumberFormat="1" applyFont="1" applyAlignment="1">
      <alignment horizontal="center" vertical="center"/>
    </xf>
    <xf numFmtId="0" fontId="25" fillId="14" borderId="0" xfId="0" applyFont="1" applyFill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37" fontId="19" fillId="0" borderId="1" xfId="1" applyNumberFormat="1" applyFont="1" applyBorder="1" applyAlignment="1">
      <alignment horizontal="center" vertical="center"/>
    </xf>
    <xf numFmtId="37" fontId="22" fillId="13" borderId="0" xfId="1" applyNumberFormat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171" fontId="28" fillId="0" borderId="1" xfId="0" applyNumberFormat="1" applyFont="1" applyBorder="1" applyAlignment="1">
      <alignment horizontal="center" vertical="center"/>
    </xf>
    <xf numFmtId="164" fontId="28" fillId="0" borderId="1" xfId="2" applyNumberFormat="1" applyFont="1" applyBorder="1" applyAlignment="1">
      <alignment horizontal="center" vertical="center"/>
    </xf>
    <xf numFmtId="37" fontId="28" fillId="0" borderId="1" xfId="1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6" xfId="0" applyFont="1" applyFill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9" fillId="0" borderId="8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168" fontId="19" fillId="0" borderId="1" xfId="0" applyNumberFormat="1" applyFont="1" applyBorder="1" applyAlignment="1">
      <alignment horizontal="center" vertical="center"/>
    </xf>
    <xf numFmtId="171" fontId="19" fillId="0" borderId="1" xfId="1" applyNumberFormat="1" applyFont="1" applyBorder="1" applyAlignment="1">
      <alignment horizontal="center" vertical="center"/>
    </xf>
    <xf numFmtId="164" fontId="19" fillId="0" borderId="1" xfId="2" applyNumberFormat="1" applyFont="1" applyBorder="1" applyAlignment="1">
      <alignment horizontal="center" vertical="center"/>
    </xf>
    <xf numFmtId="37" fontId="19" fillId="0" borderId="1" xfId="1" applyNumberFormat="1" applyFont="1" applyBorder="1" applyAlignment="1">
      <alignment horizontal="center" vertical="center"/>
    </xf>
    <xf numFmtId="0" fontId="11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5" fillId="7" borderId="12" xfId="0" applyFont="1" applyFill="1" applyBorder="1" applyAlignment="1">
      <alignment horizontal="center" wrapText="1"/>
    </xf>
    <xf numFmtId="0" fontId="5" fillId="7" borderId="13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 wrapText="1"/>
    </xf>
  </cellXfs>
  <cellStyles count="15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urrency" xfId="2" builtinId="4"/>
    <cellStyle name="Currency 2" xfId="9" xr:uid="{00000000-0005-0000-0000-000007000000}"/>
    <cellStyle name="Normal" xfId="0" builtinId="0"/>
    <cellStyle name="Normal 2" xfId="10" xr:uid="{00000000-0005-0000-0000-000009000000}"/>
    <cellStyle name="Normal 2 2" xfId="11" xr:uid="{00000000-0005-0000-0000-00000A000000}"/>
    <cellStyle name="Normal 2 3" xfId="12" xr:uid="{00000000-0005-0000-0000-00000B000000}"/>
    <cellStyle name="Normal 3" xfId="14" xr:uid="{F556C3DF-2F39-4B8A-9F7C-4F278D5B1D11}"/>
    <cellStyle name="Percent" xfId="3" builtinId="5"/>
    <cellStyle name="Percent 2" xfId="13" xr:uid="{00000000-0005-0000-0000-00000E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Response Curve: HCC In-Office</a:t>
            </a:r>
          </a:p>
        </c:rich>
      </c:tx>
      <c:layout>
        <c:manualLayout>
          <c:xMode val="edge"/>
          <c:yMode val="edge"/>
          <c:x val="0.3223310185857764"/>
          <c:y val="4.458801887300744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35645260251559"/>
          <c:y val="0.15998647626673784"/>
          <c:w val="0.73181562531956235"/>
          <c:h val="0.63613755060278487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'HCC in office Curve'!$B$12</c:f>
              <c:numCache>
                <c:formatCode>_("$"* #,##0_);_("$"* \(#,##0\);_("$"* "-"??_);_(@_)</c:formatCode>
                <c:ptCount val="1"/>
                <c:pt idx="0">
                  <c:v>4685120</c:v>
                </c:pt>
              </c:numCache>
            </c:numRef>
          </c:xVal>
          <c:yVal>
            <c:numRef>
              <c:f>'HCC in office Curve'!$C$12</c:f>
              <c:numCache>
                <c:formatCode>#,##0</c:formatCode>
                <c:ptCount val="1"/>
                <c:pt idx="0">
                  <c:v>1750.9190610016319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4-4A5E-8652-5AA6502C1DBA}"/>
            </c:ext>
          </c:extLst>
        </c:ser>
        <c:ser>
          <c:idx val="1"/>
          <c:order val="1"/>
          <c:tx>
            <c:strRef>
              <c:f>'HCC in office Curve'!$D$3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'HCC in office Curve'!$A$21:$A$51</c:f>
              <c:numCache>
                <c:formatCode>"$"#,##0</c:formatCode>
                <c:ptCount val="31"/>
                <c:pt idx="0">
                  <c:v>0</c:v>
                </c:pt>
                <c:pt idx="1">
                  <c:v>266666.66666666669</c:v>
                </c:pt>
                <c:pt idx="2">
                  <c:v>533333.33333333337</c:v>
                </c:pt>
                <c:pt idx="3">
                  <c:v>800000</c:v>
                </c:pt>
                <c:pt idx="4">
                  <c:v>1066666.6666666667</c:v>
                </c:pt>
                <c:pt idx="5">
                  <c:v>1333333.3333333335</c:v>
                </c:pt>
                <c:pt idx="6">
                  <c:v>1600000.0000000002</c:v>
                </c:pt>
                <c:pt idx="7">
                  <c:v>1866666.666666667</c:v>
                </c:pt>
                <c:pt idx="8">
                  <c:v>2133333.3333333335</c:v>
                </c:pt>
                <c:pt idx="9">
                  <c:v>2400000</c:v>
                </c:pt>
                <c:pt idx="10">
                  <c:v>2666666.6666666665</c:v>
                </c:pt>
                <c:pt idx="11">
                  <c:v>2933333.333333333</c:v>
                </c:pt>
                <c:pt idx="12">
                  <c:v>3199999.9999999995</c:v>
                </c:pt>
                <c:pt idx="13">
                  <c:v>3466666.666666666</c:v>
                </c:pt>
                <c:pt idx="14">
                  <c:v>3733333.3333333326</c:v>
                </c:pt>
                <c:pt idx="15">
                  <c:v>3999999.9999999991</c:v>
                </c:pt>
                <c:pt idx="16">
                  <c:v>4266666.666666666</c:v>
                </c:pt>
                <c:pt idx="17">
                  <c:v>4533333.333333333</c:v>
                </c:pt>
                <c:pt idx="18">
                  <c:v>4800000</c:v>
                </c:pt>
                <c:pt idx="19">
                  <c:v>5066666.666666667</c:v>
                </c:pt>
                <c:pt idx="20">
                  <c:v>5333333.333333334</c:v>
                </c:pt>
                <c:pt idx="21">
                  <c:v>5600000.0000000009</c:v>
                </c:pt>
                <c:pt idx="22">
                  <c:v>5866666.6666666679</c:v>
                </c:pt>
                <c:pt idx="23">
                  <c:v>6133333.3333333349</c:v>
                </c:pt>
                <c:pt idx="24">
                  <c:v>6400000.0000000019</c:v>
                </c:pt>
                <c:pt idx="25">
                  <c:v>6666666.6666666688</c:v>
                </c:pt>
                <c:pt idx="26">
                  <c:v>6933333.3333333358</c:v>
                </c:pt>
                <c:pt idx="27">
                  <c:v>7200000.0000000028</c:v>
                </c:pt>
                <c:pt idx="28">
                  <c:v>7466666.6666666698</c:v>
                </c:pt>
                <c:pt idx="29">
                  <c:v>7733333.3333333367</c:v>
                </c:pt>
                <c:pt idx="30">
                  <c:v>8000000.0000000037</c:v>
                </c:pt>
              </c:numCache>
            </c:numRef>
          </c:xVal>
          <c:yVal>
            <c:numRef>
              <c:f>'HCC in office Curve'!$B$21:$B$51</c:f>
              <c:numCache>
                <c:formatCode>#,##0</c:formatCode>
                <c:ptCount val="31"/>
                <c:pt idx="0">
                  <c:v>0</c:v>
                </c:pt>
                <c:pt idx="1">
                  <c:v>118.5316453267551</c:v>
                </c:pt>
                <c:pt idx="2">
                  <c:v>234.75675521330231</c:v>
                </c:pt>
                <c:pt idx="3">
                  <c:v>348.67102552246979</c:v>
                </c:pt>
                <c:pt idx="4">
                  <c:v>460.2731703235695</c:v>
                </c:pt>
                <c:pt idx="5">
                  <c:v>569.56480454063603</c:v>
                </c:pt>
                <c:pt idx="6">
                  <c:v>676.55032298350125</c:v>
                </c:pt>
                <c:pt idx="7">
                  <c:v>781.23677649495039</c:v>
                </c:pt>
                <c:pt idx="8">
                  <c:v>883.63374591725733</c:v>
                </c:pt>
                <c:pt idx="9">
                  <c:v>983.75321454872937</c:v>
                </c:pt>
                <c:pt idx="10">
                  <c:v>1081.6094397252</c:v>
                </c:pt>
                <c:pt idx="11">
                  <c:v>1177.2188241242475</c:v>
                </c:pt>
                <c:pt idx="12">
                  <c:v>1270.5997873507913</c:v>
                </c:pt>
                <c:pt idx="13">
                  <c:v>1361.772638322911</c:v>
                </c:pt>
                <c:pt idx="14">
                  <c:v>1450.7594489361582</c:v>
                </c:pt>
                <c:pt idx="15">
                  <c:v>1537.5839294439065</c:v>
                </c:pt>
                <c:pt idx="16">
                  <c:v>1622.2713059507896</c:v>
                </c:pt>
                <c:pt idx="17">
                  <c:v>1704.8482003763256</c:v>
                </c:pt>
                <c:pt idx="18">
                  <c:v>1785.3425132065477</c:v>
                </c:pt>
                <c:pt idx="19">
                  <c:v>1863.7833093134959</c:v>
                </c:pt>
                <c:pt idx="20">
                  <c:v>1940.2007070854543</c:v>
                </c:pt>
                <c:pt idx="21">
                  <c:v>2014.625771075649</c:v>
                </c:pt>
                <c:pt idx="22">
                  <c:v>2087.0904083433361</c:v>
                </c:pt>
                <c:pt idx="23">
                  <c:v>2157.6272686291686</c:v>
                </c:pt>
                <c:pt idx="24">
                  <c:v>2226.269648476884</c:v>
                </c:pt>
                <c:pt idx="25">
                  <c:v>2293.0513993848053</c:v>
                </c:pt>
                <c:pt idx="26">
                  <c:v>2358.0068400446635</c:v>
                </c:pt>
                <c:pt idx="27">
                  <c:v>2421.1706727007931</c:v>
                </c:pt>
                <c:pt idx="28">
                  <c:v>2482.577903640411</c:v>
                </c:pt>
                <c:pt idx="29">
                  <c:v>2542.2637678052906</c:v>
                </c:pt>
                <c:pt idx="30">
                  <c:v>2600.2636574965891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44-4A5E-8652-5AA6502C1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90016"/>
        <c:axId val="85998976"/>
      </c:scatterChart>
      <c:valAx>
        <c:axId val="8599001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en-US" sz="1100" b="0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49817636427"/>
              <c:y val="0.8867529694381423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85998976"/>
        <c:crosses val="autoZero"/>
        <c:crossBetween val="midCat"/>
        <c:dispUnits>
          <c:builtInUnit val="millions"/>
        </c:dispUnits>
      </c:valAx>
      <c:valAx>
        <c:axId val="85998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0"/>
                  <a:t>Incremental NRx</a:t>
                </a:r>
              </a:p>
            </c:rich>
          </c:tx>
          <c:layout>
            <c:manualLayout>
              <c:xMode val="edge"/>
              <c:yMode val="edge"/>
              <c:x val="2.6562317858935234E-2"/>
              <c:y val="0.43768337341065899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85990016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192405</xdr:colOff>
      <xdr:row>21</xdr:row>
      <xdr:rowOff>85726</xdr:rowOff>
    </xdr:from>
    <xdr:to>
      <xdr:col>10</xdr:col>
      <xdr:colOff>612775</xdr:colOff>
      <xdr:row>41</xdr:row>
      <xdr:rowOff>28576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ROI%20Meta%20Analysis/Current%20Month%20ROI%20Reporting/Promo%20ROI%20Inputs%20-%20Curren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2024%20Planning/Common/POC/POC%20MMx%202024%20vs%20Indep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Finance%20NPV%20Models/AB2023%20(yrs%202023-2025)/Product%20NPV%202023_2022072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Consultation/Physician's%20Weekly/Verquvo/Dollarizing%20Verquvo%20PW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Consultation/POC%20ROI%20Compendiums/HCC%20POC%20Compendium%20Verquv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Verquvo/Resp%20Models/2022%20VERQUVO%20HCC%20In-Offi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DTC/HCC%20Media%20Cost/2023%20HCC%20Media%20Cost/July/Flowcharts/2023%20HCC%20Verquvo%20Flow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 ME - how to enter data"/>
      <sheetName val="Drop Down Allowed Values"/>
      <sheetName val="Allowed Value Explanations"/>
      <sheetName val="Exp Tax Rate"/>
      <sheetName val="NRx Lift - Aftertax"/>
      <sheetName val="NRx Lift - Pretax"/>
      <sheetName val="#Patients - Pretax"/>
      <sheetName val="Confounding Results (Excluded)"/>
      <sheetName val="NO ROI CALC"/>
      <sheetName val="FYI email - no discernable Lift"/>
      <sheetName val="count"/>
    </sheetNames>
    <sheetDataSet>
      <sheetData sheetId="0"/>
      <sheetData sheetId="1">
        <row r="7">
          <cell r="B7" t="str">
            <v>AccentHealth</v>
          </cell>
        </row>
        <row r="8">
          <cell r="B8" t="str">
            <v>CheckedUp</v>
          </cell>
        </row>
        <row r="9">
          <cell r="B9" t="str">
            <v>Constant Media</v>
          </cell>
        </row>
        <row r="10">
          <cell r="B10" t="str">
            <v>Context Media</v>
          </cell>
        </row>
        <row r="11">
          <cell r="B11" t="str">
            <v>Coverwrap</v>
          </cell>
        </row>
        <row r="12">
          <cell r="B12" t="str">
            <v>Diabetes Health Network</v>
          </cell>
        </row>
        <row r="13">
          <cell r="B13" t="str">
            <v>Doximity</v>
          </cell>
        </row>
        <row r="14">
          <cell r="B14" t="str">
            <v>Epocrates</v>
          </cell>
        </row>
        <row r="15">
          <cell r="B15" t="str">
            <v>Euro RSCG</v>
          </cell>
        </row>
        <row r="16">
          <cell r="B16" t="str">
            <v>Everyday Health</v>
          </cell>
        </row>
        <row r="17">
          <cell r="B17" t="str">
            <v>Formedic</v>
          </cell>
        </row>
        <row r="18">
          <cell r="B18" t="str">
            <v>Healio</v>
          </cell>
        </row>
        <row r="19">
          <cell r="B19" t="str">
            <v>Health Media Network</v>
          </cell>
        </row>
        <row r="20">
          <cell r="B20" t="str">
            <v>Health Monitor</v>
          </cell>
        </row>
        <row r="21">
          <cell r="B21" t="str">
            <v>Healthcasts</v>
          </cell>
        </row>
        <row r="22">
          <cell r="B22" t="str">
            <v>KidCare</v>
          </cell>
        </row>
        <row r="23">
          <cell r="B23" t="str">
            <v>Media</v>
          </cell>
        </row>
        <row r="24">
          <cell r="B24" t="str">
            <v>Medicx</v>
          </cell>
        </row>
        <row r="25">
          <cell r="B25" t="str">
            <v>Medscape</v>
          </cell>
        </row>
        <row r="26">
          <cell r="B26" t="str">
            <v>Merck</v>
          </cell>
        </row>
        <row r="27">
          <cell r="B27" t="str">
            <v>NexGen/MNG</v>
          </cell>
        </row>
        <row r="28">
          <cell r="B28" t="str">
            <v>NuMedis</v>
          </cell>
        </row>
        <row r="29">
          <cell r="B29" t="str">
            <v>Outcome Health</v>
          </cell>
        </row>
        <row r="30">
          <cell r="B30" t="str">
            <v>Patient Direct</v>
          </cell>
        </row>
        <row r="31">
          <cell r="B31" t="str">
            <v>PatientPoint</v>
          </cell>
        </row>
        <row r="32">
          <cell r="B32" t="str">
            <v>PDR</v>
          </cell>
        </row>
        <row r="33">
          <cell r="B33" t="str">
            <v>PeerDirect</v>
          </cell>
        </row>
        <row r="34">
          <cell r="B34" t="str">
            <v>Phreesia</v>
          </cell>
        </row>
        <row r="35">
          <cell r="B35" t="str">
            <v>Physicians Interactive</v>
          </cell>
        </row>
        <row r="36">
          <cell r="B36" t="str">
            <v>Physicians Weekly</v>
          </cell>
        </row>
        <row r="37">
          <cell r="B37" t="str">
            <v>Remedy Health</v>
          </cell>
        </row>
        <row r="38">
          <cell r="B38" t="str">
            <v>SFMC</v>
          </cell>
        </row>
        <row r="39">
          <cell r="B39" t="str">
            <v>Targeted Media Health</v>
          </cell>
        </row>
        <row r="40">
          <cell r="B40" t="str">
            <v>Various</v>
          </cell>
        </row>
        <row r="41">
          <cell r="B41" t="str">
            <v>WebMD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ides Steg "/>
      <sheetName val="Slides Steg pre-tax"/>
      <sheetName val="Slides Jan pre-tax"/>
      <sheetName val="Slides Jan"/>
      <sheetName val="Januvia"/>
      <sheetName val="Steglatro"/>
      <sheetName val="Belsomra"/>
      <sheetName val="Verquvo"/>
      <sheetName val="Sheet1"/>
      <sheetName val="Slides VERQ pre-tax"/>
      <sheetName val="Slides VERQ"/>
      <sheetName val="Slides BEL"/>
      <sheetName val="Slides BEL pretax"/>
      <sheetName val="Vendor No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4">
          <cell r="A4" t="str">
            <v>Coverwrap</v>
          </cell>
          <cell r="B4" t="str">
            <v>Cover Wrap on Good Housekeeping Mag. 07/01/22 to 02/28/23</v>
          </cell>
          <cell r="E4">
            <v>2.8188956676543979</v>
          </cell>
          <cell r="F4">
            <v>1361315.1903020001</v>
          </cell>
          <cell r="G4">
            <v>482925</v>
          </cell>
        </row>
        <row r="5">
          <cell r="A5" t="str">
            <v>Health Monitor</v>
          </cell>
          <cell r="B5" t="str">
            <v>Custom Magazine with Poster 04/01/22 to 12/31/22</v>
          </cell>
          <cell r="E5">
            <v>3.2612427365625001</v>
          </cell>
          <cell r="F5">
            <v>3261242.7365625002</v>
          </cell>
          <cell r="G5">
            <v>1000000</v>
          </cell>
        </row>
        <row r="6">
          <cell r="B6" t="str">
            <v>Digital Wallboard 04/01/22 to 12/31/22</v>
          </cell>
          <cell r="E6">
            <v>0.8437132536889197</v>
          </cell>
          <cell r="F6">
            <v>1257535.1992184999</v>
          </cell>
          <cell r="G6">
            <v>895824</v>
          </cell>
        </row>
        <row r="7">
          <cell r="B7" t="str">
            <v>Waiting Room Video 03/01/22 to 12/31/22</v>
          </cell>
          <cell r="G7">
            <v>594653</v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NPV SHARING POLICIES"/>
      <sheetName val=" Summary"/>
      <sheetName val="NPV_Model"/>
      <sheetName val="PharmaData 2022"/>
      <sheetName val="Januvia Update after Sept22"/>
      <sheetName val="Index Sheet"/>
      <sheetName val="Report"/>
      <sheetName val="2023-2026 Royality"/>
      <sheetName val="ROA&amp;Tax"/>
      <sheetName val="Adherence"/>
      <sheetName val="Yearly Average"/>
    </sheetNames>
    <sheetDataSet>
      <sheetData sheetId="0"/>
      <sheetData sheetId="1"/>
      <sheetData sheetId="2">
        <row r="69">
          <cell r="D69">
            <v>4145.1410997768453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k calculated ROI"/>
      <sheetName val="Sheet2"/>
    </sheetNames>
    <sheetDataSet>
      <sheetData sheetId="0">
        <row r="10">
          <cell r="E10">
            <v>647973</v>
          </cell>
        </row>
        <row r="15">
          <cell r="E15">
            <v>514704.72423769365</v>
          </cell>
        </row>
        <row r="16">
          <cell r="E16">
            <v>0.79433051105168528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7">
          <cell r="D17" t="str">
            <v>DEC21-MAR22</v>
          </cell>
          <cell r="J17">
            <v>0.75</v>
          </cell>
          <cell r="K17">
            <v>0.39346784690041758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 office"/>
      <sheetName val="Data"/>
      <sheetName val="HCC in office Curve"/>
    </sheetNames>
    <sheetDataSet>
      <sheetData sheetId="0">
        <row r="10">
          <cell r="G10">
            <v>1.81</v>
          </cell>
        </row>
        <row r="11">
          <cell r="F11">
            <v>4145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6">
          <cell r="BB16">
            <v>313745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42068-0F4C-4D56-A418-31E4088AB258}">
  <dimension ref="A1:E13"/>
  <sheetViews>
    <sheetView workbookViewId="0">
      <selection activeCell="I13" sqref="I13"/>
    </sheetView>
  </sheetViews>
  <sheetFormatPr defaultRowHeight="14.4" x14ac:dyDescent="0.3"/>
  <sheetData>
    <row r="1" spans="1:5" x14ac:dyDescent="0.3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3">
      <c r="A2" t="s">
        <v>86</v>
      </c>
      <c r="B2" t="s">
        <v>87</v>
      </c>
      <c r="C2">
        <v>44562</v>
      </c>
      <c r="D2" t="s">
        <v>88</v>
      </c>
      <c r="E2">
        <v>867</v>
      </c>
    </row>
    <row r="3" spans="1:5" x14ac:dyDescent="0.3">
      <c r="A3" t="s">
        <v>86</v>
      </c>
      <c r="B3" t="s">
        <v>87</v>
      </c>
      <c r="C3">
        <v>44593</v>
      </c>
      <c r="D3" t="s">
        <v>88</v>
      </c>
      <c r="E3">
        <v>862</v>
      </c>
    </row>
    <row r="4" spans="1:5" x14ac:dyDescent="0.3">
      <c r="A4" t="s">
        <v>86</v>
      </c>
      <c r="B4" t="s">
        <v>87</v>
      </c>
      <c r="C4">
        <v>44621</v>
      </c>
      <c r="D4" t="s">
        <v>88</v>
      </c>
      <c r="E4">
        <v>1225</v>
      </c>
    </row>
    <row r="5" spans="1:5" x14ac:dyDescent="0.3">
      <c r="A5" t="s">
        <v>86</v>
      </c>
      <c r="B5" t="s">
        <v>87</v>
      </c>
      <c r="C5">
        <v>44652</v>
      </c>
      <c r="D5" t="s">
        <v>88</v>
      </c>
      <c r="E5">
        <v>1169</v>
      </c>
    </row>
    <row r="6" spans="1:5" x14ac:dyDescent="0.3">
      <c r="A6" t="s">
        <v>86</v>
      </c>
      <c r="B6" t="s">
        <v>87</v>
      </c>
      <c r="C6">
        <v>44682</v>
      </c>
      <c r="D6" t="s">
        <v>88</v>
      </c>
      <c r="E6">
        <v>1228</v>
      </c>
    </row>
    <row r="7" spans="1:5" x14ac:dyDescent="0.3">
      <c r="A7" t="s">
        <v>86</v>
      </c>
      <c r="B7" t="s">
        <v>87</v>
      </c>
      <c r="C7">
        <v>44713</v>
      </c>
      <c r="D7" t="s">
        <v>88</v>
      </c>
      <c r="E7">
        <v>1363</v>
      </c>
    </row>
    <row r="8" spans="1:5" x14ac:dyDescent="0.3">
      <c r="A8" t="s">
        <v>86</v>
      </c>
      <c r="B8" t="s">
        <v>87</v>
      </c>
      <c r="C8">
        <v>44743</v>
      </c>
      <c r="D8" t="s">
        <v>88</v>
      </c>
      <c r="E8">
        <v>1385</v>
      </c>
    </row>
    <row r="9" spans="1:5" x14ac:dyDescent="0.3">
      <c r="A9" t="s">
        <v>86</v>
      </c>
      <c r="B9" t="s">
        <v>87</v>
      </c>
      <c r="C9">
        <v>44774</v>
      </c>
      <c r="D9" t="s">
        <v>88</v>
      </c>
      <c r="E9">
        <v>1472</v>
      </c>
    </row>
    <row r="10" spans="1:5" x14ac:dyDescent="0.3">
      <c r="A10" t="s">
        <v>86</v>
      </c>
      <c r="B10" t="s">
        <v>87</v>
      </c>
      <c r="C10">
        <v>44805</v>
      </c>
      <c r="D10" t="s">
        <v>88</v>
      </c>
      <c r="E10">
        <v>1606</v>
      </c>
    </row>
    <row r="11" spans="1:5" x14ac:dyDescent="0.3">
      <c r="A11" t="s">
        <v>86</v>
      </c>
      <c r="B11" t="s">
        <v>87</v>
      </c>
      <c r="C11">
        <v>44835</v>
      </c>
      <c r="D11" t="s">
        <v>88</v>
      </c>
      <c r="E11">
        <v>1647</v>
      </c>
    </row>
    <row r="12" spans="1:5" x14ac:dyDescent="0.3">
      <c r="A12" t="s">
        <v>86</v>
      </c>
      <c r="B12" t="s">
        <v>87</v>
      </c>
      <c r="C12">
        <v>44866</v>
      </c>
      <c r="D12" t="s">
        <v>88</v>
      </c>
      <c r="E12">
        <v>1782</v>
      </c>
    </row>
    <row r="13" spans="1:5" x14ac:dyDescent="0.3">
      <c r="A13" t="s">
        <v>86</v>
      </c>
      <c r="B13" t="s">
        <v>87</v>
      </c>
      <c r="C13">
        <v>44896</v>
      </c>
      <c r="D13" t="s">
        <v>88</v>
      </c>
      <c r="E13">
        <v>1866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V37"/>
  <sheetViews>
    <sheetView showGridLines="0" tabSelected="1" zoomScale="70" zoomScaleNormal="70" workbookViewId="0">
      <selection activeCell="I10" sqref="I10"/>
    </sheetView>
  </sheetViews>
  <sheetFormatPr defaultRowHeight="15" x14ac:dyDescent="0.25"/>
  <cols>
    <col min="1" max="1" width="8.88671875" style="74"/>
    <col min="2" max="2" width="43.33203125" style="112" bestFit="1" customWidth="1"/>
    <col min="3" max="3" width="45.33203125" style="112" bestFit="1" customWidth="1"/>
    <col min="4" max="4" width="22.33203125" style="112" bestFit="1" customWidth="1"/>
    <col min="5" max="5" width="14.88671875" style="112" customWidth="1"/>
    <col min="6" max="6" width="9.33203125" style="112" customWidth="1"/>
    <col min="7" max="7" width="12.33203125" style="112" customWidth="1"/>
    <col min="8" max="8" width="16.5546875" style="112" customWidth="1"/>
    <col min="9" max="9" width="11.5546875" style="112" customWidth="1"/>
    <col min="10" max="10" width="49.77734375" style="112" bestFit="1" customWidth="1"/>
    <col min="11" max="11" width="11" style="74" bestFit="1" customWidth="1"/>
    <col min="12" max="12" width="14.6640625" style="74" bestFit="1" customWidth="1"/>
    <col min="13" max="13" width="25.44140625" style="74" customWidth="1"/>
    <col min="14" max="14" width="17.6640625" style="74" customWidth="1"/>
    <col min="15" max="15" width="17.33203125" style="74" bestFit="1" customWidth="1"/>
    <col min="16" max="16" width="16" style="74" bestFit="1" customWidth="1"/>
    <col min="17" max="17" width="17.33203125" style="74" bestFit="1" customWidth="1"/>
    <col min="18" max="18" width="13.33203125" style="74" bestFit="1" customWidth="1"/>
    <col min="19" max="19" width="12.109375" style="74" bestFit="1" customWidth="1"/>
    <col min="20" max="20" width="11.5546875" style="74" bestFit="1" customWidth="1"/>
    <col min="21" max="21" width="11.109375" style="74" bestFit="1" customWidth="1"/>
    <col min="22" max="16384" width="8.88671875" style="74"/>
  </cols>
  <sheetData>
    <row r="1" spans="2:22" x14ac:dyDescent="0.25">
      <c r="Q1" s="75"/>
      <c r="R1" s="75"/>
    </row>
    <row r="2" spans="2:22" ht="15.6" x14ac:dyDescent="0.3">
      <c r="M2" s="76"/>
      <c r="N2" s="76"/>
      <c r="O2" s="76"/>
      <c r="P2" s="76"/>
      <c r="Q2" s="77"/>
      <c r="R2" s="78"/>
      <c r="S2" s="79"/>
      <c r="T2" s="80"/>
    </row>
    <row r="4" spans="2:22" ht="36.75" customHeight="1" x14ac:dyDescent="0.25">
      <c r="B4" s="81" t="s">
        <v>69</v>
      </c>
      <c r="C4" s="81" t="s">
        <v>70</v>
      </c>
      <c r="D4" s="81" t="s">
        <v>71</v>
      </c>
      <c r="E4" s="81" t="s">
        <v>63</v>
      </c>
      <c r="F4" s="81" t="s">
        <v>97</v>
      </c>
      <c r="G4" s="81" t="s">
        <v>64</v>
      </c>
      <c r="H4" s="81" t="s">
        <v>65</v>
      </c>
      <c r="I4" s="81" t="s">
        <v>66</v>
      </c>
      <c r="J4" s="81" t="s">
        <v>68</v>
      </c>
      <c r="M4" s="82"/>
      <c r="N4" s="82"/>
      <c r="O4" s="137"/>
      <c r="P4" s="138"/>
      <c r="Q4" s="139"/>
      <c r="R4" s="137"/>
      <c r="S4" s="138"/>
      <c r="T4" s="139"/>
      <c r="U4" s="82"/>
      <c r="V4" s="76"/>
    </row>
    <row r="5" spans="2:22" ht="18.75" customHeight="1" x14ac:dyDescent="0.25">
      <c r="B5" s="135" t="s">
        <v>103</v>
      </c>
      <c r="C5" s="104" t="str">
        <f>[2]Verquvo!$B$6</f>
        <v>Digital Wallboard 04/01/22 to 12/31/22</v>
      </c>
      <c r="D5" s="104" t="str">
        <f>RIGHT(C5,20)</f>
        <v>04/01/22 to 12/31/22</v>
      </c>
      <c r="E5" s="113">
        <f>[2]Verquvo!$G$6</f>
        <v>895824</v>
      </c>
      <c r="F5" s="141">
        <f>'[3] Summary'!$D$69</f>
        <v>4145.1410997768453</v>
      </c>
      <c r="G5" s="142">
        <f>[2]Verquvo!$E$6</f>
        <v>0.8437132536889197</v>
      </c>
      <c r="H5" s="143">
        <f>[2]Verquvo!$F$6</f>
        <v>1257535.1992184999</v>
      </c>
      <c r="I5" s="144">
        <f t="shared" ref="I5:I11" si="0">H5/F5</f>
        <v>303.37572809914712</v>
      </c>
      <c r="J5" s="104" t="s">
        <v>98</v>
      </c>
      <c r="K5" s="83"/>
      <c r="M5" s="82"/>
      <c r="N5" s="82"/>
      <c r="O5" s="82"/>
      <c r="P5" s="82"/>
      <c r="Q5" s="82"/>
      <c r="R5" s="82"/>
      <c r="S5" s="82"/>
      <c r="T5" s="82"/>
      <c r="U5" s="82"/>
      <c r="V5" s="76"/>
    </row>
    <row r="6" spans="2:22" ht="18.75" customHeight="1" x14ac:dyDescent="0.25">
      <c r="B6" s="136"/>
      <c r="C6" s="114" t="str">
        <f>[2]Verquvo!$B$7</f>
        <v>Waiting Room Video 03/01/22 to 12/31/22</v>
      </c>
      <c r="D6" s="104" t="str">
        <f>RIGHT(C6,20)</f>
        <v>03/01/22 to 12/31/22</v>
      </c>
      <c r="E6" s="113">
        <f>[2]Verquvo!$G$7</f>
        <v>594653</v>
      </c>
      <c r="F6" s="141"/>
      <c r="G6" s="142"/>
      <c r="H6" s="143"/>
      <c r="I6" s="144"/>
      <c r="J6" s="104" t="s">
        <v>98</v>
      </c>
      <c r="K6" s="83"/>
      <c r="M6" s="82"/>
      <c r="N6" s="84"/>
      <c r="O6" s="85"/>
      <c r="P6" s="85"/>
      <c r="Q6" s="86"/>
      <c r="R6" s="85"/>
      <c r="S6" s="85"/>
      <c r="T6" s="86"/>
      <c r="U6" s="87"/>
      <c r="V6" s="76"/>
    </row>
    <row r="7" spans="2:22" ht="18.75" customHeight="1" x14ac:dyDescent="0.25">
      <c r="B7" s="114" t="str">
        <f>[2]Verquvo!$A$5</f>
        <v>Health Monitor</v>
      </c>
      <c r="C7" s="114" t="str">
        <f>[2]Verquvo!$B$5</f>
        <v>Custom Magazine with Poster 04/01/22 to 12/31/22</v>
      </c>
      <c r="D7" s="104" t="str">
        <f>RIGHT(C7,20)</f>
        <v>04/01/22 to 12/31/22</v>
      </c>
      <c r="E7" s="113">
        <f>[2]Verquvo!$G$5</f>
        <v>1000000</v>
      </c>
      <c r="F7" s="105">
        <f>'[3] Summary'!$D$69</f>
        <v>4145.1410997768453</v>
      </c>
      <c r="G7" s="106">
        <f>[2]Verquvo!$E$5</f>
        <v>3.2612427365625001</v>
      </c>
      <c r="H7" s="107">
        <f>[2]Verquvo!$F$5</f>
        <v>3261242.7365625002</v>
      </c>
      <c r="I7" s="128">
        <f t="shared" si="0"/>
        <v>786.76278034011193</v>
      </c>
      <c r="J7" s="104" t="s">
        <v>98</v>
      </c>
      <c r="K7" s="83"/>
      <c r="M7" s="82"/>
      <c r="N7" s="84"/>
      <c r="O7" s="85"/>
      <c r="P7" s="85"/>
      <c r="Q7" s="86"/>
      <c r="R7" s="85"/>
      <c r="S7" s="85"/>
      <c r="T7" s="86"/>
      <c r="U7" s="87"/>
      <c r="V7" s="76"/>
    </row>
    <row r="8" spans="2:22" ht="18.75" customHeight="1" x14ac:dyDescent="0.25">
      <c r="B8" s="114" t="s">
        <v>99</v>
      </c>
      <c r="C8" s="115" t="s">
        <v>100</v>
      </c>
      <c r="D8" s="111" t="s">
        <v>101</v>
      </c>
      <c r="E8" s="116">
        <f>'[4]Merck calculated ROI'!$E$10</f>
        <v>647973</v>
      </c>
      <c r="F8" s="108">
        <f>F7</f>
        <v>4145.1410997768453</v>
      </c>
      <c r="G8" s="109">
        <f>'[4]Merck calculated ROI'!$E$16</f>
        <v>0.79433051105168528</v>
      </c>
      <c r="H8" s="110">
        <f>'[4]Merck calculated ROI'!$E$15</f>
        <v>514704.72423769365</v>
      </c>
      <c r="I8" s="128">
        <f t="shared" si="0"/>
        <v>124.17061611374409</v>
      </c>
      <c r="J8" s="111" t="s">
        <v>102</v>
      </c>
      <c r="K8" s="83"/>
      <c r="M8" s="82"/>
      <c r="N8" s="84"/>
      <c r="O8" s="85"/>
      <c r="P8" s="85"/>
      <c r="Q8" s="86"/>
      <c r="R8" s="85"/>
      <c r="S8" s="85"/>
      <c r="T8" s="86"/>
      <c r="U8" s="87"/>
      <c r="V8" s="76"/>
    </row>
    <row r="9" spans="2:22" ht="18.75" customHeight="1" x14ac:dyDescent="0.25">
      <c r="B9" s="114" t="str">
        <f>[2]Verquvo!$A$4</f>
        <v>Coverwrap</v>
      </c>
      <c r="C9" s="114" t="str">
        <f>[2]Verquvo!$B$4</f>
        <v>Cover Wrap on Good Housekeeping Mag. 07/01/22 to 02/28/23</v>
      </c>
      <c r="D9" s="104" t="str">
        <f>RIGHT(C9,20)</f>
        <v>07/01/22 to 02/28/23</v>
      </c>
      <c r="E9" s="113">
        <f>[2]Verquvo!$G$4</f>
        <v>482925</v>
      </c>
      <c r="F9" s="105">
        <f>F8</f>
        <v>4145.1410997768453</v>
      </c>
      <c r="G9" s="117">
        <f>[2]Verquvo!$E$4</f>
        <v>2.8188956676543979</v>
      </c>
      <c r="H9" s="107">
        <f>[2]Verquvo!$F$4</f>
        <v>1361315.1903020001</v>
      </c>
      <c r="I9" s="128">
        <f t="shared" si="0"/>
        <v>328.41226813130362</v>
      </c>
      <c r="J9" s="104" t="s">
        <v>98</v>
      </c>
      <c r="K9" s="83"/>
      <c r="M9" s="82"/>
      <c r="N9" s="84"/>
      <c r="O9" s="85"/>
      <c r="P9" s="85"/>
      <c r="Q9" s="86"/>
      <c r="R9" s="85"/>
      <c r="S9" s="85"/>
      <c r="T9" s="86"/>
      <c r="U9" s="87"/>
      <c r="V9" s="76"/>
    </row>
    <row r="10" spans="2:22" ht="18.75" customHeight="1" x14ac:dyDescent="0.25">
      <c r="B10" s="130" t="s">
        <v>104</v>
      </c>
      <c r="C10" s="130" t="s">
        <v>105</v>
      </c>
      <c r="D10" s="130" t="str">
        <f>[5]Sheet1!$D$17</f>
        <v>DEC21-MAR22</v>
      </c>
      <c r="E10" s="131">
        <f>[5]Sheet1!$J$17*1000000</f>
        <v>750000</v>
      </c>
      <c r="F10" s="131">
        <f>'[6]in office'!$F$11</f>
        <v>4145</v>
      </c>
      <c r="G10" s="132">
        <f>[5]Sheet1!$K$17</f>
        <v>0.39346784690041758</v>
      </c>
      <c r="H10" s="133">
        <f>E10*G10</f>
        <v>295100.88517531316</v>
      </c>
      <c r="I10" s="134">
        <f t="shared" si="0"/>
        <v>71.194423443983879</v>
      </c>
      <c r="J10" s="130" t="s">
        <v>106</v>
      </c>
      <c r="K10" s="83"/>
      <c r="M10" s="82"/>
      <c r="N10" s="84"/>
      <c r="O10" s="85"/>
      <c r="P10" s="85"/>
      <c r="Q10" s="86"/>
      <c r="R10" s="85"/>
      <c r="S10" s="85"/>
      <c r="T10" s="86"/>
      <c r="U10" s="87"/>
      <c r="V10" s="76"/>
    </row>
    <row r="11" spans="2:22" ht="18.75" customHeight="1" x14ac:dyDescent="0.25">
      <c r="B11" s="130" t="s">
        <v>107</v>
      </c>
      <c r="C11" s="130" t="s">
        <v>108</v>
      </c>
      <c r="D11" s="130" t="s">
        <v>110</v>
      </c>
      <c r="E11" s="131">
        <f>[7]Sheet1!$BB$16</f>
        <v>313745</v>
      </c>
      <c r="F11" s="131">
        <f>F10</f>
        <v>4145</v>
      </c>
      <c r="G11" s="132">
        <f>'[6]in office'!$G$10</f>
        <v>1.81</v>
      </c>
      <c r="H11" s="133">
        <f>G11*E11</f>
        <v>567878.45000000007</v>
      </c>
      <c r="I11" s="134">
        <f t="shared" si="0"/>
        <v>137.0032448733414</v>
      </c>
      <c r="J11" s="130" t="s">
        <v>109</v>
      </c>
      <c r="K11" s="83"/>
      <c r="M11" s="82"/>
      <c r="N11" s="82"/>
      <c r="O11" s="82"/>
      <c r="P11" s="82"/>
      <c r="Q11" s="82"/>
      <c r="R11" s="82"/>
      <c r="S11" s="82"/>
      <c r="T11" s="82"/>
      <c r="U11" s="88"/>
      <c r="V11" s="76"/>
    </row>
    <row r="12" spans="2:22" ht="14.4" customHeight="1" x14ac:dyDescent="0.25">
      <c r="B12" s="118" t="s">
        <v>67</v>
      </c>
      <c r="C12" s="119"/>
      <c r="D12" s="119"/>
      <c r="E12" s="119">
        <f>SUM(E5:E11)</f>
        <v>4685120</v>
      </c>
      <c r="F12" s="120">
        <f>SUM(F5)</f>
        <v>4145.1410997768453</v>
      </c>
      <c r="G12" s="121">
        <f>H12/E12</f>
        <v>1.5491123355423142</v>
      </c>
      <c r="H12" s="119">
        <f>SUM(H5:H11)</f>
        <v>7257777.1854960071</v>
      </c>
      <c r="I12" s="129">
        <f>SUM(I5:I11)</f>
        <v>1750.9190610016319</v>
      </c>
      <c r="J12" s="122"/>
      <c r="K12" s="83"/>
      <c r="M12" s="140"/>
      <c r="N12" s="140"/>
      <c r="O12" s="140"/>
      <c r="P12" s="140"/>
      <c r="Q12" s="140"/>
      <c r="R12" s="140"/>
      <c r="S12" s="140"/>
      <c r="T12" s="140"/>
      <c r="U12" s="87"/>
      <c r="V12" s="76"/>
    </row>
    <row r="13" spans="2:22" x14ac:dyDescent="0.25">
      <c r="E13" s="123"/>
      <c r="F13" s="123"/>
      <c r="G13" s="124"/>
      <c r="H13" s="123"/>
      <c r="M13" s="82"/>
      <c r="N13" s="84"/>
      <c r="O13" s="85"/>
      <c r="P13" s="85"/>
      <c r="Q13" s="89"/>
      <c r="R13" s="85"/>
      <c r="S13" s="85"/>
      <c r="T13" s="89"/>
      <c r="U13" s="87"/>
      <c r="V13" s="76"/>
    </row>
    <row r="14" spans="2:22" ht="15.6" x14ac:dyDescent="0.25">
      <c r="B14" s="125" t="s">
        <v>96</v>
      </c>
      <c r="M14" s="76"/>
      <c r="N14" s="76"/>
      <c r="O14" s="76"/>
      <c r="P14" s="76"/>
      <c r="Q14" s="76"/>
      <c r="R14" s="76"/>
      <c r="S14" s="76"/>
      <c r="T14" s="76"/>
      <c r="U14" s="76"/>
      <c r="V14" s="76"/>
    </row>
    <row r="15" spans="2:22" x14ac:dyDescent="0.25">
      <c r="B15" s="112" t="s">
        <v>89</v>
      </c>
      <c r="E15" s="123"/>
      <c r="G15" s="126"/>
      <c r="H15" s="127"/>
      <c r="N15" s="90"/>
    </row>
    <row r="16" spans="2:22" ht="15.6" x14ac:dyDescent="0.3">
      <c r="B16" s="112" t="s">
        <v>90</v>
      </c>
      <c r="N16" s="91"/>
      <c r="O16" s="90"/>
      <c r="P16" s="92"/>
    </row>
    <row r="17" spans="2:20" x14ac:dyDescent="0.25">
      <c r="B17" s="112" t="s">
        <v>91</v>
      </c>
      <c r="N17" s="90"/>
      <c r="O17" s="93"/>
      <c r="P17" s="92"/>
    </row>
    <row r="18" spans="2:20" x14ac:dyDescent="0.25">
      <c r="B18" s="112" t="s">
        <v>92</v>
      </c>
      <c r="N18" s="90"/>
      <c r="O18" s="93"/>
      <c r="P18" s="92"/>
    </row>
    <row r="19" spans="2:20" x14ac:dyDescent="0.25">
      <c r="B19" s="112" t="s">
        <v>93</v>
      </c>
      <c r="N19" s="90"/>
      <c r="O19" s="93"/>
      <c r="Q19" s="94"/>
      <c r="R19" s="95"/>
      <c r="S19" s="96"/>
      <c r="T19" s="97"/>
    </row>
    <row r="20" spans="2:20" x14ac:dyDescent="0.25">
      <c r="B20" s="112" t="s">
        <v>94</v>
      </c>
      <c r="N20" s="90"/>
      <c r="O20" s="93"/>
    </row>
    <row r="21" spans="2:20" x14ac:dyDescent="0.25">
      <c r="B21" s="112" t="s">
        <v>95</v>
      </c>
      <c r="N21" s="90"/>
      <c r="O21" s="93"/>
    </row>
    <row r="22" spans="2:20" x14ac:dyDescent="0.25">
      <c r="N22" s="90"/>
      <c r="O22" s="93"/>
      <c r="Q22" s="94"/>
      <c r="R22" s="95"/>
      <c r="S22" s="96"/>
      <c r="T22" s="97"/>
    </row>
    <row r="23" spans="2:20" x14ac:dyDescent="0.25">
      <c r="N23" s="90"/>
      <c r="O23" s="98"/>
      <c r="R23" s="98"/>
      <c r="S23" s="96"/>
    </row>
    <row r="24" spans="2:20" ht="18.75" customHeight="1" x14ac:dyDescent="0.25">
      <c r="N24" s="90"/>
      <c r="O24" s="98"/>
      <c r="R24" s="98"/>
      <c r="S24" s="96"/>
      <c r="T24" s="97"/>
    </row>
    <row r="25" spans="2:20" x14ac:dyDescent="0.25">
      <c r="N25" s="90"/>
      <c r="O25" s="98"/>
      <c r="P25" s="99"/>
      <c r="R25" s="98"/>
      <c r="S25" s="96"/>
      <c r="T25" s="97"/>
    </row>
    <row r="26" spans="2:20" x14ac:dyDescent="0.25">
      <c r="N26" s="90"/>
      <c r="O26" s="98"/>
      <c r="R26" s="98"/>
      <c r="S26" s="96"/>
      <c r="T26" s="97"/>
    </row>
    <row r="27" spans="2:20" x14ac:dyDescent="0.25">
      <c r="N27" s="90"/>
      <c r="O27" s="98"/>
      <c r="R27" s="98"/>
      <c r="S27" s="96"/>
      <c r="T27" s="97"/>
    </row>
    <row r="28" spans="2:20" x14ac:dyDescent="0.25">
      <c r="N28" s="90"/>
      <c r="O28" s="98"/>
      <c r="R28" s="98"/>
      <c r="S28" s="96"/>
      <c r="T28" s="97"/>
    </row>
    <row r="29" spans="2:20" x14ac:dyDescent="0.25">
      <c r="N29" s="100"/>
      <c r="O29" s="98"/>
      <c r="R29" s="98"/>
      <c r="S29" s="96"/>
    </row>
    <row r="30" spans="2:20" x14ac:dyDescent="0.25">
      <c r="N30" s="90"/>
      <c r="O30" s="98"/>
      <c r="R30" s="98"/>
      <c r="S30" s="96"/>
      <c r="T30" s="97"/>
    </row>
    <row r="31" spans="2:20" x14ac:dyDescent="0.25">
      <c r="N31" s="100"/>
      <c r="O31" s="98"/>
      <c r="R31" s="98"/>
      <c r="S31" s="96"/>
    </row>
    <row r="32" spans="2:20" x14ac:dyDescent="0.25">
      <c r="N32" s="90"/>
      <c r="O32" s="98"/>
      <c r="R32" s="98"/>
      <c r="S32" s="96"/>
      <c r="T32" s="97"/>
    </row>
    <row r="33" spans="14:19" x14ac:dyDescent="0.25">
      <c r="N33" s="90"/>
      <c r="O33" s="98"/>
      <c r="R33" s="98"/>
      <c r="S33" s="96"/>
    </row>
    <row r="34" spans="14:19" x14ac:dyDescent="0.25">
      <c r="N34" s="90"/>
      <c r="O34" s="101"/>
      <c r="R34" s="101"/>
      <c r="S34" s="96"/>
    </row>
    <row r="35" spans="14:19" ht="15.6" x14ac:dyDescent="0.3">
      <c r="O35" s="102"/>
    </row>
    <row r="37" spans="14:19" x14ac:dyDescent="0.25">
      <c r="O37" s="103"/>
    </row>
  </sheetData>
  <mergeCells count="8">
    <mergeCell ref="B5:B6"/>
    <mergeCell ref="O4:Q4"/>
    <mergeCell ref="R4:T4"/>
    <mergeCell ref="M12:T12"/>
    <mergeCell ref="F5:F6"/>
    <mergeCell ref="G5:G6"/>
    <mergeCell ref="H5:H6"/>
    <mergeCell ref="I5:I6"/>
  </mergeCells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17D77-0B08-4D45-A338-96151E3C4B40}">
  <dimension ref="A1:C5"/>
  <sheetViews>
    <sheetView workbookViewId="0">
      <selection activeCell="B4" sqref="B4"/>
    </sheetView>
  </sheetViews>
  <sheetFormatPr defaultRowHeight="14.4" x14ac:dyDescent="0.3"/>
  <cols>
    <col min="1" max="1" width="32.33203125" bestFit="1" customWidth="1"/>
  </cols>
  <sheetData>
    <row r="1" spans="1:3" x14ac:dyDescent="0.3">
      <c r="A1" t="s">
        <v>78</v>
      </c>
      <c r="B1" t="s">
        <v>79</v>
      </c>
      <c r="C1" t="s">
        <v>14</v>
      </c>
    </row>
    <row r="2" spans="1:3" x14ac:dyDescent="0.3">
      <c r="A2" t="s">
        <v>77</v>
      </c>
      <c r="B2">
        <v>224198.84</v>
      </c>
      <c r="C2" t="s">
        <v>72</v>
      </c>
    </row>
    <row r="3" spans="1:3" x14ac:dyDescent="0.3">
      <c r="A3" t="s">
        <v>80</v>
      </c>
      <c r="B3">
        <v>0</v>
      </c>
      <c r="C3" t="s">
        <v>72</v>
      </c>
    </row>
    <row r="4" spans="1:3" x14ac:dyDescent="0.3">
      <c r="A4" t="s">
        <v>77</v>
      </c>
      <c r="B4">
        <v>123033.17</v>
      </c>
      <c r="C4" t="s">
        <v>72</v>
      </c>
    </row>
    <row r="5" spans="1:3" x14ac:dyDescent="0.3">
      <c r="A5" t="s">
        <v>80</v>
      </c>
      <c r="B5">
        <v>0</v>
      </c>
      <c r="C5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"/>
  <sheetViews>
    <sheetView showGridLines="0" zoomScale="90" zoomScaleNormal="90" workbookViewId="0">
      <selection activeCell="J5" sqref="J5"/>
    </sheetView>
  </sheetViews>
  <sheetFormatPr defaultColWidth="9.109375" defaultRowHeight="13.8" x14ac:dyDescent="0.25"/>
  <cols>
    <col min="1" max="1" width="6" style="45" bestFit="1" customWidth="1"/>
    <col min="2" max="2" width="8" style="45" bestFit="1" customWidth="1"/>
    <col min="3" max="3" width="40.33203125" style="45" bestFit="1" customWidth="1"/>
    <col min="4" max="4" width="7.33203125" style="45" bestFit="1" customWidth="1"/>
    <col min="5" max="5" width="4.5546875" style="45" customWidth="1"/>
    <col min="6" max="6" width="18" style="45" bestFit="1" customWidth="1"/>
    <col min="7" max="7" width="3.5546875" style="45" customWidth="1"/>
    <col min="8" max="8" width="14.109375" style="45" bestFit="1" customWidth="1"/>
    <col min="9" max="9" width="12.33203125" style="45" hidden="1" customWidth="1"/>
    <col min="10" max="10" width="12.33203125" style="45" customWidth="1"/>
    <col min="11" max="11" width="12.109375" style="45" customWidth="1"/>
    <col min="12" max="12" width="14.33203125" style="45" customWidth="1"/>
    <col min="13" max="13" width="15.109375" style="45" customWidth="1"/>
    <col min="14" max="14" width="11.6640625" style="45" customWidth="1"/>
    <col min="15" max="16384" width="9.109375" style="45"/>
  </cols>
  <sheetData>
    <row r="1" spans="1:14" x14ac:dyDescent="0.25">
      <c r="A1" s="145" t="s">
        <v>58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</row>
    <row r="3" spans="1:14" x14ac:dyDescent="0.25">
      <c r="B3" s="46" t="s">
        <v>1</v>
      </c>
      <c r="C3" s="46"/>
      <c r="D3" s="46"/>
      <c r="H3" s="146" t="s">
        <v>75</v>
      </c>
      <c r="I3" s="147"/>
      <c r="J3" s="147"/>
      <c r="K3" s="147"/>
      <c r="L3" s="147"/>
      <c r="M3" s="147" t="s">
        <v>2</v>
      </c>
      <c r="N3" s="147"/>
    </row>
    <row r="4" spans="1:14" ht="69" x14ac:dyDescent="0.3">
      <c r="B4" s="46"/>
      <c r="C4" s="46" t="s">
        <v>73</v>
      </c>
      <c r="D4" s="73">
        <v>0.23</v>
      </c>
      <c r="F4" s="47" t="s">
        <v>111</v>
      </c>
      <c r="H4" s="48" t="s">
        <v>3</v>
      </c>
      <c r="I4" s="64" t="s">
        <v>62</v>
      </c>
      <c r="J4" s="48" t="s">
        <v>4</v>
      </c>
      <c r="K4" s="48" t="s">
        <v>5</v>
      </c>
      <c r="L4" s="49" t="s">
        <v>54</v>
      </c>
      <c r="M4" s="48" t="s">
        <v>6</v>
      </c>
      <c r="N4" s="48" t="s">
        <v>7</v>
      </c>
    </row>
    <row r="5" spans="1:14" s="50" customFormat="1" ht="21" customHeight="1" x14ac:dyDescent="0.3">
      <c r="B5" s="46"/>
      <c r="C5" s="46" t="s">
        <v>74</v>
      </c>
      <c r="D5" s="51">
        <v>4145</v>
      </c>
      <c r="F5" s="71">
        <f>SUM(Sheet2!E2:E13)</f>
        <v>16472</v>
      </c>
      <c r="G5" s="45"/>
      <c r="H5" s="52">
        <f>'in office'!E12</f>
        <v>4685120</v>
      </c>
      <c r="I5" s="63">
        <v>0</v>
      </c>
      <c r="J5" s="65">
        <f>'in office'!I12</f>
        <v>1750.9190610016319</v>
      </c>
      <c r="K5" s="53">
        <f>J5/F5</f>
        <v>0.10629668898747158</v>
      </c>
      <c r="L5" s="66">
        <f>H5/J5</f>
        <v>2675.8061548086794</v>
      </c>
      <c r="M5" s="54">
        <f>K5*2.5</f>
        <v>0.26574172246867894</v>
      </c>
      <c r="N5" s="55">
        <f>M5*F5</f>
        <v>4377.2976525040795</v>
      </c>
    </row>
    <row r="6" spans="1:14" s="50" customFormat="1" x14ac:dyDescent="0.25">
      <c r="B6" s="56"/>
      <c r="C6" s="56"/>
      <c r="D6" s="57"/>
      <c r="H6" s="58" t="s">
        <v>8</v>
      </c>
    </row>
    <row r="7" spans="1:14" s="50" customFormat="1" x14ac:dyDescent="0.25">
      <c r="B7" s="56"/>
      <c r="C7" s="56"/>
      <c r="D7" s="57"/>
    </row>
    <row r="8" spans="1:14" s="50" customFormat="1" x14ac:dyDescent="0.25">
      <c r="B8" s="56"/>
      <c r="C8" s="56"/>
      <c r="D8" s="57"/>
    </row>
    <row r="9" spans="1:14" x14ac:dyDescent="0.25">
      <c r="H9" s="52"/>
      <c r="I9" s="63"/>
      <c r="J9" s="65"/>
      <c r="K9" s="53"/>
      <c r="L9" s="66"/>
      <c r="M9" s="54"/>
      <c r="N9" s="55"/>
    </row>
    <row r="10" spans="1:14" x14ac:dyDescent="0.25">
      <c r="F10" s="72"/>
      <c r="H10" s="52"/>
      <c r="I10" s="63"/>
      <c r="J10" s="65"/>
      <c r="K10" s="53"/>
      <c r="L10" s="66"/>
      <c r="M10" s="54"/>
      <c r="N10" s="55"/>
    </row>
  </sheetData>
  <mergeCells count="3">
    <mergeCell ref="A1:K1"/>
    <mergeCell ref="H3:L3"/>
    <mergeCell ref="M3:N3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O55"/>
  <sheetViews>
    <sheetView showGridLines="0" topLeftCell="A7" zoomScale="80" zoomScaleNormal="80" workbookViewId="0">
      <selection activeCell="M18" sqref="M18"/>
    </sheetView>
  </sheetViews>
  <sheetFormatPr defaultColWidth="8.88671875" defaultRowHeight="13.8" x14ac:dyDescent="0.3"/>
  <cols>
    <col min="1" max="1" width="12.109375" style="2" customWidth="1"/>
    <col min="2" max="2" width="13.5546875" style="2" customWidth="1"/>
    <col min="3" max="3" width="12.5546875" style="2" customWidth="1"/>
    <col min="4" max="4" width="13.6640625" style="2" customWidth="1"/>
    <col min="5" max="5" width="15.6640625" style="2" customWidth="1"/>
    <col min="6" max="6" width="12.44140625" style="2" customWidth="1"/>
    <col min="7" max="7" width="12" style="2" customWidth="1"/>
    <col min="8" max="10" width="10.33203125" style="2" customWidth="1"/>
    <col min="11" max="11" width="14.33203125" style="2" bestFit="1" customWidth="1"/>
    <col min="12" max="13" width="12" style="2" bestFit="1" customWidth="1"/>
    <col min="14" max="14" width="11.44140625" style="2" bestFit="1" customWidth="1"/>
    <col min="15" max="15" width="9.6640625" style="2" bestFit="1" customWidth="1"/>
    <col min="16" max="16384" width="8.88671875" style="2"/>
  </cols>
  <sheetData>
    <row r="1" spans="1:15" ht="14.4" thickBot="1" x14ac:dyDescent="0.35">
      <c r="A1" s="1" t="s">
        <v>9</v>
      </c>
      <c r="B1" s="2" t="s">
        <v>10</v>
      </c>
    </row>
    <row r="2" spans="1:15" x14ac:dyDescent="0.3">
      <c r="A2" s="3" t="s">
        <v>0</v>
      </c>
      <c r="B2" s="4" t="s">
        <v>76</v>
      </c>
      <c r="C2" s="5" t="s">
        <v>11</v>
      </c>
      <c r="D2" s="6" t="s">
        <v>12</v>
      </c>
      <c r="H2" s="7" t="s">
        <v>13</v>
      </c>
      <c r="I2" s="8"/>
      <c r="J2" s="8"/>
      <c r="K2" s="8"/>
      <c r="L2" s="9"/>
    </row>
    <row r="3" spans="1:15" ht="14.4" thickBot="1" x14ac:dyDescent="0.35">
      <c r="A3" s="10" t="s">
        <v>14</v>
      </c>
      <c r="B3" s="11" t="s">
        <v>59</v>
      </c>
      <c r="C3" s="1" t="s">
        <v>15</v>
      </c>
      <c r="D3" s="12" t="s">
        <v>16</v>
      </c>
      <c r="E3" s="1" t="s">
        <v>17</v>
      </c>
      <c r="F3" s="12" t="s">
        <v>18</v>
      </c>
    </row>
    <row r="4" spans="1:15" ht="15" customHeight="1" thickBot="1" x14ac:dyDescent="0.35">
      <c r="A4" s="13" t="s">
        <v>19</v>
      </c>
      <c r="B4" s="148" t="s">
        <v>20</v>
      </c>
      <c r="C4" s="148"/>
      <c r="D4" s="148"/>
      <c r="E4" s="148"/>
      <c r="F4" s="149"/>
      <c r="H4" s="2" t="s">
        <v>21</v>
      </c>
    </row>
    <row r="5" spans="1:15" x14ac:dyDescent="0.3">
      <c r="H5" s="2" t="s">
        <v>22</v>
      </c>
    </row>
    <row r="6" spans="1:15" ht="14.4" thickBot="1" x14ac:dyDescent="0.35">
      <c r="B6" s="14">
        <v>0.5</v>
      </c>
      <c r="C6" s="14">
        <v>1.5</v>
      </c>
    </row>
    <row r="7" spans="1:15" ht="27.6" customHeight="1" x14ac:dyDescent="0.3">
      <c r="A7" s="150" t="s">
        <v>23</v>
      </c>
      <c r="B7" s="153" t="s">
        <v>24</v>
      </c>
      <c r="C7" s="154"/>
      <c r="D7" s="155" t="s">
        <v>25</v>
      </c>
      <c r="E7" s="156"/>
      <c r="F7" s="157" t="s">
        <v>26</v>
      </c>
      <c r="G7" s="158"/>
    </row>
    <row r="8" spans="1:15" ht="27.6" x14ac:dyDescent="0.3">
      <c r="A8" s="151"/>
      <c r="B8" s="15" t="s">
        <v>27</v>
      </c>
      <c r="C8" s="16" t="s">
        <v>28</v>
      </c>
      <c r="D8" s="17" t="s">
        <v>29</v>
      </c>
      <c r="E8" s="16" t="s">
        <v>30</v>
      </c>
      <c r="F8" s="18" t="s">
        <v>31</v>
      </c>
      <c r="G8" s="19" t="s">
        <v>32</v>
      </c>
    </row>
    <row r="9" spans="1:15" ht="14.4" thickBot="1" x14ac:dyDescent="0.35">
      <c r="A9" s="152"/>
      <c r="B9" s="20">
        <f>B6*B12</f>
        <v>2342560</v>
      </c>
      <c r="C9" s="20">
        <f>C6*B12</f>
        <v>7027680</v>
      </c>
      <c r="D9" s="21">
        <f>F9</f>
        <v>4685120</v>
      </c>
      <c r="E9" s="22">
        <f>(($O$12/(1+EXP($M$12+$N$12*D9)))-1) - ($F$12-$C$12)</f>
        <v>1750.9190610016321</v>
      </c>
      <c r="F9" s="20">
        <f>B12</f>
        <v>4685120</v>
      </c>
      <c r="G9" s="23">
        <f>C12</f>
        <v>1750.9190610016319</v>
      </c>
    </row>
    <row r="10" spans="1:15" ht="14.4" thickBot="1" x14ac:dyDescent="0.35"/>
    <row r="11" spans="1:15" ht="51.6" customHeight="1" x14ac:dyDescent="0.3">
      <c r="A11" s="150" t="s">
        <v>33</v>
      </c>
      <c r="B11" s="24" t="s">
        <v>34</v>
      </c>
      <c r="C11" s="24" t="s">
        <v>35</v>
      </c>
      <c r="D11" s="24" t="s">
        <v>36</v>
      </c>
      <c r="E11" s="24" t="s">
        <v>37</v>
      </c>
      <c r="F11" s="25" t="s">
        <v>38</v>
      </c>
      <c r="H11" s="159" t="s">
        <v>39</v>
      </c>
      <c r="I11" s="24" t="s">
        <v>40</v>
      </c>
      <c r="J11" s="24" t="s">
        <v>41</v>
      </c>
      <c r="K11" s="24" t="s">
        <v>42</v>
      </c>
      <c r="L11" s="24" t="s">
        <v>43</v>
      </c>
      <c r="M11" s="24" t="s">
        <v>44</v>
      </c>
      <c r="N11" s="24" t="s">
        <v>45</v>
      </c>
      <c r="O11" s="25" t="s">
        <v>46</v>
      </c>
    </row>
    <row r="12" spans="1:15" ht="15" customHeight="1" thickBot="1" x14ac:dyDescent="0.35">
      <c r="A12" s="152"/>
      <c r="B12" s="20">
        <f>Data!H5</f>
        <v>4685120</v>
      </c>
      <c r="C12" s="23">
        <f>Data!J5</f>
        <v>1750.9190610016319</v>
      </c>
      <c r="D12" s="26">
        <v>0</v>
      </c>
      <c r="E12" s="23">
        <f>Data!N5</f>
        <v>4377.2976525040795</v>
      </c>
      <c r="F12" s="27">
        <f>Data!F5</f>
        <v>16472</v>
      </c>
      <c r="H12" s="160"/>
      <c r="I12" s="28">
        <f>F12-C12</f>
        <v>14721.080938998368</v>
      </c>
      <c r="J12" s="28">
        <f>I12+E12</f>
        <v>19098.378591502449</v>
      </c>
      <c r="K12" s="29">
        <f>B12</f>
        <v>4685120</v>
      </c>
      <c r="L12" s="28">
        <f>F12</f>
        <v>16472</v>
      </c>
      <c r="M12" s="30">
        <f>LN((($J$12+1)/($I$12+1))-1)</f>
        <v>-1.2129169117804284</v>
      </c>
      <c r="N12" s="31">
        <f>(LN((($J$12+1)/($L$12+1))-1)-$M$12)/$K$12</f>
        <v>-1.3301683399425496E-7</v>
      </c>
      <c r="O12" s="32">
        <f>J12+1</f>
        <v>19099.378591502449</v>
      </c>
    </row>
    <row r="13" spans="1:15" ht="34.200000000000003" customHeight="1" x14ac:dyDescent="0.3">
      <c r="A13" s="161" t="s">
        <v>47</v>
      </c>
      <c r="B13" s="162"/>
      <c r="C13" s="162"/>
      <c r="D13" s="162"/>
      <c r="E13" s="162"/>
      <c r="F13" s="163"/>
      <c r="H13" s="161" t="s">
        <v>48</v>
      </c>
      <c r="I13" s="162"/>
      <c r="J13" s="162"/>
      <c r="K13" s="162"/>
      <c r="L13" s="162"/>
      <c r="M13" s="162"/>
      <c r="N13" s="162"/>
      <c r="O13" s="163"/>
    </row>
    <row r="14" spans="1:15" ht="33.6" customHeight="1" x14ac:dyDescent="0.3">
      <c r="A14" s="164"/>
      <c r="B14" s="165"/>
      <c r="C14" s="165"/>
      <c r="D14" s="165"/>
      <c r="E14" s="165"/>
      <c r="F14" s="166"/>
      <c r="H14" s="164"/>
      <c r="I14" s="165"/>
      <c r="J14" s="165"/>
      <c r="K14" s="165"/>
      <c r="L14" s="165"/>
      <c r="M14" s="165"/>
      <c r="N14" s="165"/>
      <c r="O14" s="166"/>
    </row>
    <row r="15" spans="1:15" ht="14.4" thickBot="1" x14ac:dyDescent="0.35"/>
    <row r="16" spans="1:15" ht="16.95" customHeight="1" x14ac:dyDescent="0.3">
      <c r="A16" s="159" t="s">
        <v>49</v>
      </c>
      <c r="B16" s="24" t="s">
        <v>50</v>
      </c>
      <c r="C16" s="24" t="s">
        <v>51</v>
      </c>
      <c r="D16" s="25" t="s">
        <v>52</v>
      </c>
    </row>
    <row r="17" spans="1:5" ht="23.7" customHeight="1" thickBot="1" x14ac:dyDescent="0.35">
      <c r="A17" s="160"/>
      <c r="B17" s="33">
        <v>0</v>
      </c>
      <c r="C17" s="34">
        <v>8000000</v>
      </c>
      <c r="D17" s="35">
        <v>30</v>
      </c>
    </row>
    <row r="19" spans="1:5" x14ac:dyDescent="0.3">
      <c r="A19" s="167" t="s">
        <v>53</v>
      </c>
      <c r="B19" s="167"/>
    </row>
    <row r="20" spans="1:5" x14ac:dyDescent="0.3">
      <c r="A20" s="15" t="s">
        <v>56</v>
      </c>
      <c r="B20" s="15" t="s">
        <v>55</v>
      </c>
      <c r="C20" s="2" t="s">
        <v>61</v>
      </c>
      <c r="D20" s="44" t="s">
        <v>57</v>
      </c>
      <c r="E20" s="38" t="s">
        <v>60</v>
      </c>
    </row>
    <row r="21" spans="1:5" x14ac:dyDescent="0.3">
      <c r="A21" s="37">
        <f>B17</f>
        <v>0</v>
      </c>
      <c r="B21" s="36">
        <f>(($O$12/(1+EXP($M$12+$N$12*A21)))-1) - ($F$12-$C$12)</f>
        <v>0</v>
      </c>
      <c r="C21" s="38">
        <f>B21*Data!$D$5</f>
        <v>0</v>
      </c>
      <c r="D21" s="42"/>
      <c r="E21" s="38"/>
    </row>
    <row r="22" spans="1:5" x14ac:dyDescent="0.3">
      <c r="A22" s="37">
        <f>A21+(($C$17-$B$17)/$D$17)</f>
        <v>266666.66666666669</v>
      </c>
      <c r="B22" s="36">
        <f t="shared" ref="B22:B41" si="0">(($O$12/(1+EXP($M$12+$N$12*A22)))-1) - ($F$12-$C$12)</f>
        <v>118.5316453267551</v>
      </c>
      <c r="C22" s="38">
        <f>B22*Data!$D$5</f>
        <v>491313.66987939988</v>
      </c>
      <c r="D22" s="42">
        <f>C22/A22</f>
        <v>1.8424262620477494</v>
      </c>
      <c r="E22" s="38">
        <f>C22*(1-Data!$D$4)</f>
        <v>378311.52580713789</v>
      </c>
    </row>
    <row r="23" spans="1:5" x14ac:dyDescent="0.3">
      <c r="A23" s="37">
        <f t="shared" ref="A23:A51" si="1">A22+(($C$17-$B$17)/$D$17)</f>
        <v>533333.33333333337</v>
      </c>
      <c r="B23" s="36">
        <f t="shared" si="0"/>
        <v>234.75675521330231</v>
      </c>
      <c r="C23" s="38">
        <f>B23*Data!$D$5</f>
        <v>973066.75035913812</v>
      </c>
      <c r="D23" s="42">
        <f t="shared" ref="D23:D41" si="2">C23/A23</f>
        <v>1.8245001569233839</v>
      </c>
      <c r="E23" s="38">
        <f>C23*(1-Data!$D$4)</f>
        <v>749261.39777653641</v>
      </c>
    </row>
    <row r="24" spans="1:5" x14ac:dyDescent="0.3">
      <c r="A24" s="37">
        <f t="shared" si="1"/>
        <v>800000</v>
      </c>
      <c r="B24" s="36">
        <f t="shared" si="0"/>
        <v>348.67102552246979</v>
      </c>
      <c r="C24" s="38">
        <f>B24*Data!$D$5</f>
        <v>1445241.4007906374</v>
      </c>
      <c r="D24" s="42">
        <f t="shared" si="2"/>
        <v>1.8065517509882967</v>
      </c>
      <c r="E24" s="38">
        <f>C24*(1-Data!$D$4)</f>
        <v>1112835.8786087907</v>
      </c>
    </row>
    <row r="25" spans="1:5" x14ac:dyDescent="0.3">
      <c r="A25" s="39">
        <f t="shared" si="1"/>
        <v>1066666.6666666667</v>
      </c>
      <c r="B25" s="40">
        <f t="shared" si="0"/>
        <v>460.2731703235695</v>
      </c>
      <c r="C25" s="41">
        <f>B25*Data!$D$5</f>
        <v>1907832.2909911955</v>
      </c>
      <c r="D25" s="43">
        <f t="shared" si="2"/>
        <v>1.7885927728042457</v>
      </c>
      <c r="E25" s="41">
        <f>C25*(1-Data!$D$4)</f>
        <v>1469030.8640632206</v>
      </c>
    </row>
    <row r="26" spans="1:5" x14ac:dyDescent="0.3">
      <c r="A26" s="39">
        <f t="shared" si="1"/>
        <v>1333333.3333333335</v>
      </c>
      <c r="B26" s="40">
        <f t="shared" si="0"/>
        <v>569.56480454063603</v>
      </c>
      <c r="C26" s="41">
        <f>B26*Data!$D$5</f>
        <v>2360846.1148209362</v>
      </c>
      <c r="D26" s="43">
        <f t="shared" si="2"/>
        <v>1.770634586115702</v>
      </c>
      <c r="E26" s="41">
        <f>C26*(1-Data!$D$4)</f>
        <v>1817851.5084121209</v>
      </c>
    </row>
    <row r="27" spans="1:5" x14ac:dyDescent="0.3">
      <c r="A27" s="59">
        <f t="shared" si="1"/>
        <v>1600000.0000000002</v>
      </c>
      <c r="B27" s="60">
        <f t="shared" si="0"/>
        <v>676.55032298350125</v>
      </c>
      <c r="C27" s="61">
        <f>B27*Data!$D$5</f>
        <v>2804301.0887666126</v>
      </c>
      <c r="D27" s="62">
        <f t="shared" si="2"/>
        <v>1.7526881804791326</v>
      </c>
      <c r="E27" s="61">
        <f>C27*(1-Data!$D$4)</f>
        <v>2159311.8383502918</v>
      </c>
    </row>
    <row r="28" spans="1:5" x14ac:dyDescent="0.3">
      <c r="A28" s="37">
        <f t="shared" si="1"/>
        <v>1866666.666666667</v>
      </c>
      <c r="B28" s="36">
        <f t="shared" si="0"/>
        <v>781.23677649495039</v>
      </c>
      <c r="C28" s="38">
        <f>B28*Data!$D$5</f>
        <v>3238226.4385715695</v>
      </c>
      <c r="D28" s="42">
        <f t="shared" si="2"/>
        <v>1.7347641635204833</v>
      </c>
      <c r="E28" s="38">
        <f>C28*(1-Data!$D$4)</f>
        <v>2493434.3577001086</v>
      </c>
    </row>
    <row r="29" spans="1:5" x14ac:dyDescent="0.3">
      <c r="A29" s="37">
        <f t="shared" si="1"/>
        <v>2133333.3333333335</v>
      </c>
      <c r="B29" s="36">
        <f t="shared" si="0"/>
        <v>883.63374591725733</v>
      </c>
      <c r="C29" s="38">
        <f>B29*Data!$D$5</f>
        <v>3662661.8768270318</v>
      </c>
      <c r="D29" s="42">
        <f t="shared" si="2"/>
        <v>1.716872754762671</v>
      </c>
      <c r="E29" s="38">
        <f>C29*(1-Data!$D$4)</f>
        <v>2820249.6451568147</v>
      </c>
    </row>
    <row r="30" spans="1:5" x14ac:dyDescent="0.3">
      <c r="A30" s="37">
        <f t="shared" si="1"/>
        <v>2400000</v>
      </c>
      <c r="B30" s="36">
        <f t="shared" si="0"/>
        <v>983.75321454872937</v>
      </c>
      <c r="C30" s="38">
        <f>B30*Data!$D$5</f>
        <v>4077657.0743044834</v>
      </c>
      <c r="D30" s="42">
        <f t="shared" si="2"/>
        <v>1.6990237809602013</v>
      </c>
      <c r="E30" s="38">
        <f>C30*(1-Data!$D$4)</f>
        <v>3139795.9472144521</v>
      </c>
    </row>
    <row r="31" spans="1:5" x14ac:dyDescent="0.3">
      <c r="A31" s="37">
        <f t="shared" si="1"/>
        <v>2666666.6666666665</v>
      </c>
      <c r="B31" s="36">
        <f t="shared" si="0"/>
        <v>1081.6094397252</v>
      </c>
      <c r="C31" s="38">
        <f>B31*Data!$D$5</f>
        <v>4483271.1276609544</v>
      </c>
      <c r="D31" s="42">
        <f t="shared" si="2"/>
        <v>1.681226672872858</v>
      </c>
      <c r="E31" s="38">
        <f>C31*(1-Data!$D$4)</f>
        <v>3452118.7682989351</v>
      </c>
    </row>
    <row r="32" spans="1:5" x14ac:dyDescent="0.3">
      <c r="A32" s="37">
        <f t="shared" si="1"/>
        <v>2933333.333333333</v>
      </c>
      <c r="B32" s="36">
        <f t="shared" si="0"/>
        <v>1177.2188241242475</v>
      </c>
      <c r="C32" s="38">
        <f>B32*Data!$D$5</f>
        <v>4879572.0259950059</v>
      </c>
      <c r="D32" s="42">
        <f t="shared" si="2"/>
        <v>1.6634904634073886</v>
      </c>
      <c r="E32" s="38">
        <f>C32*(1-Data!$D$4)</f>
        <v>3757270.4600161547</v>
      </c>
    </row>
    <row r="33" spans="1:5" x14ac:dyDescent="0.3">
      <c r="A33" s="37">
        <f>A32+(($C$17-$B$17)/$D$17)</f>
        <v>3199999.9999999995</v>
      </c>
      <c r="B33" s="36">
        <f t="shared" si="0"/>
        <v>1270.5997873507913</v>
      </c>
      <c r="C33" s="38">
        <f>B33*Data!$D$5</f>
        <v>5266636.1185690295</v>
      </c>
      <c r="D33" s="42">
        <f t="shared" si="2"/>
        <v>1.6458237870528221</v>
      </c>
      <c r="E33" s="38">
        <f>C33*(1-Data!$D$4)</f>
        <v>4055309.8112981529</v>
      </c>
    </row>
    <row r="34" spans="1:5" x14ac:dyDescent="0.3">
      <c r="A34" s="37">
        <f t="shared" si="1"/>
        <v>3466666.666666666</v>
      </c>
      <c r="B34" s="36">
        <f t="shared" si="0"/>
        <v>1361.772638322911</v>
      </c>
      <c r="C34" s="38">
        <f>B34*Data!$D$5</f>
        <v>5644547.5858484665</v>
      </c>
      <c r="D34" s="42">
        <f t="shared" si="2"/>
        <v>1.6282348805332119</v>
      </c>
      <c r="E34" s="38">
        <f>C34*(1-Data!$D$4)</f>
        <v>4346301.6411033189</v>
      </c>
    </row>
    <row r="35" spans="1:5" x14ac:dyDescent="0.3">
      <c r="A35" s="37">
        <f t="shared" si="1"/>
        <v>3733333.3333333326</v>
      </c>
      <c r="B35" s="36">
        <f t="shared" si="0"/>
        <v>1450.7594489361582</v>
      </c>
      <c r="C35" s="38">
        <f>B35*Data!$D$5</f>
        <v>6013397.9158403752</v>
      </c>
      <c r="D35" s="42">
        <f t="shared" si="2"/>
        <v>1.6107315846001009</v>
      </c>
      <c r="E35" s="38">
        <f>C35*(1-Data!$D$4)</f>
        <v>4630316.3951970888</v>
      </c>
    </row>
    <row r="36" spans="1:5" x14ac:dyDescent="0.3">
      <c r="A36" s="67">
        <f t="shared" si="1"/>
        <v>3999999.9999999991</v>
      </c>
      <c r="B36" s="68">
        <f t="shared" si="0"/>
        <v>1537.5839294439065</v>
      </c>
      <c r="C36" s="69">
        <f>B36*Data!$D$5</f>
        <v>6373285.3875449924</v>
      </c>
      <c r="D36" s="70">
        <f t="shared" si="2"/>
        <v>1.5933213468862484</v>
      </c>
      <c r="E36" s="69">
        <f>C36*(1-Data!$D$4)</f>
        <v>4907429.7484096447</v>
      </c>
    </row>
    <row r="37" spans="1:5" x14ac:dyDescent="0.3">
      <c r="A37" s="37">
        <f t="shared" si="1"/>
        <v>4266666.666666666</v>
      </c>
      <c r="B37" s="36">
        <f t="shared" si="0"/>
        <v>1622.2713059507896</v>
      </c>
      <c r="C37" s="38">
        <f>B37*Data!$D$5</f>
        <v>6724314.5631660232</v>
      </c>
      <c r="D37" s="42">
        <f t="shared" si="2"/>
        <v>1.5760112257420369</v>
      </c>
      <c r="E37" s="38">
        <f>C37*(1-Data!$D$4)</f>
        <v>5177722.2136378381</v>
      </c>
    </row>
    <row r="38" spans="1:5" x14ac:dyDescent="0.3">
      <c r="A38" s="37">
        <f t="shared" si="1"/>
        <v>4533333.333333333</v>
      </c>
      <c r="B38" s="36">
        <f t="shared" si="0"/>
        <v>1704.8482003763256</v>
      </c>
      <c r="C38" s="38">
        <f>B38*Data!$D$5</f>
        <v>7066595.7905598693</v>
      </c>
      <c r="D38" s="42">
        <f t="shared" si="2"/>
        <v>1.5588078949764419</v>
      </c>
      <c r="E38" s="38">
        <f>C38*(1-Data!$D$4)</f>
        <v>5441278.7587310998</v>
      </c>
    </row>
    <row r="39" spans="1:5" x14ac:dyDescent="0.3">
      <c r="A39" s="37">
        <f t="shared" si="1"/>
        <v>4800000</v>
      </c>
      <c r="B39" s="36">
        <f t="shared" si="0"/>
        <v>1785.3425132065477</v>
      </c>
      <c r="C39" s="38">
        <f>B39*Data!$D$5</f>
        <v>7400244.7172411401</v>
      </c>
      <c r="D39" s="42">
        <f t="shared" si="2"/>
        <v>1.5417176494252376</v>
      </c>
      <c r="E39" s="38">
        <f>C39*(1-Data!$D$4)</f>
        <v>5698188.432275678</v>
      </c>
    </row>
    <row r="40" spans="1:5" x14ac:dyDescent="0.3">
      <c r="A40" s="37">
        <f>A39+(($C$17-$B$17)/$D$17)</f>
        <v>5066666.666666667</v>
      </c>
      <c r="B40" s="36">
        <f t="shared" si="0"/>
        <v>1863.7833093134959</v>
      </c>
      <c r="C40" s="38">
        <f>B40*Data!$D$5</f>
        <v>7725381.8171044402</v>
      </c>
      <c r="D40" s="42">
        <f t="shared" si="2"/>
        <v>1.5247464112706131</v>
      </c>
      <c r="E40" s="38">
        <f>C40*(1-Data!$D$4)</f>
        <v>5948543.9991704188</v>
      </c>
    </row>
    <row r="41" spans="1:5" x14ac:dyDescent="0.3">
      <c r="A41" s="37">
        <f t="shared" si="1"/>
        <v>5333333.333333334</v>
      </c>
      <c r="B41" s="36">
        <f t="shared" si="0"/>
        <v>1940.2007070854543</v>
      </c>
      <c r="C41" s="38">
        <f>B41*Data!$D$5</f>
        <v>8042131.9308692077</v>
      </c>
      <c r="D41" s="42">
        <f t="shared" si="2"/>
        <v>1.5078997370379763</v>
      </c>
      <c r="E41" s="38">
        <f>C41*(1-Data!$D$4)</f>
        <v>6192441.5867692903</v>
      </c>
    </row>
    <row r="42" spans="1:5" x14ac:dyDescent="0.3">
      <c r="A42" s="37">
        <f t="shared" si="1"/>
        <v>5600000.0000000009</v>
      </c>
      <c r="B42" s="36">
        <f t="shared" ref="B42:B51" si="3">(($O$12/(1+EXP($M$12+$N$12*A42)))-1) - ($F$12-$C$12)</f>
        <v>2014.625771075649</v>
      </c>
      <c r="C42" s="38">
        <f>B42*Data!$D$5</f>
        <v>8350623.8211085657</v>
      </c>
      <c r="D42" s="42">
        <f t="shared" ref="D42:D51" si="4">C42/A42</f>
        <v>1.491182825197958</v>
      </c>
      <c r="E42" s="38">
        <f>C42*(1-Data!$D$4)</f>
        <v>6429980.3422535956</v>
      </c>
    </row>
    <row r="43" spans="1:5" x14ac:dyDescent="0.3">
      <c r="A43" s="37">
        <f t="shared" si="1"/>
        <v>5866666.6666666679</v>
      </c>
      <c r="B43" s="36">
        <f t="shared" si="3"/>
        <v>2087.0904083433361</v>
      </c>
      <c r="C43" s="38">
        <f>B43*Data!$D$5</f>
        <v>8650989.7425831277</v>
      </c>
      <c r="D43" s="42">
        <f t="shared" si="4"/>
        <v>1.474600524303942</v>
      </c>
      <c r="E43" s="38">
        <f>C43*(1-Data!$D$4)</f>
        <v>6661262.1017890088</v>
      </c>
    </row>
    <row r="44" spans="1:5" x14ac:dyDescent="0.3">
      <c r="A44" s="37">
        <f t="shared" si="1"/>
        <v>6133333.3333333349</v>
      </c>
      <c r="B44" s="36">
        <f t="shared" si="3"/>
        <v>2157.6272686291686</v>
      </c>
      <c r="C44" s="38">
        <f>B44*Data!$D$5</f>
        <v>8943365.0284679048</v>
      </c>
      <c r="D44" s="42">
        <f t="shared" si="4"/>
        <v>1.4581573415980276</v>
      </c>
      <c r="E44" s="38">
        <f>C44*(1-Data!$D$4)</f>
        <v>6886391.0719202869</v>
      </c>
    </row>
    <row r="45" spans="1:5" x14ac:dyDescent="0.3">
      <c r="A45" s="37">
        <f t="shared" si="1"/>
        <v>6400000.0000000019</v>
      </c>
      <c r="B45" s="36">
        <f t="shared" si="3"/>
        <v>2226.269648476884</v>
      </c>
      <c r="C45" s="38">
        <f>B45*Data!$D$5</f>
        <v>9227887.6929366849</v>
      </c>
      <c r="D45" s="42">
        <f t="shared" si="4"/>
        <v>1.4418574520213565</v>
      </c>
      <c r="E45" s="38">
        <f>C45*(1-Data!$D$4)</f>
        <v>7105473.5235612476</v>
      </c>
    </row>
    <row r="46" spans="1:5" x14ac:dyDescent="0.3">
      <c r="A46" s="37">
        <f t="shared" si="1"/>
        <v>6666666.6666666688</v>
      </c>
      <c r="B46" s="36">
        <f t="shared" si="3"/>
        <v>2293.0513993848053</v>
      </c>
      <c r="C46" s="38">
        <f>B46*Data!$D$5</f>
        <v>9504698.0504500177</v>
      </c>
      <c r="D46" s="42">
        <f t="shared" si="4"/>
        <v>1.4257047075675022</v>
      </c>
      <c r="E46" s="38">
        <f>C46*(1-Data!$D$4)</f>
        <v>7318617.4988465142</v>
      </c>
    </row>
    <row r="47" spans="1:5" x14ac:dyDescent="0.3">
      <c r="A47" s="37">
        <f t="shared" si="1"/>
        <v>6933333.3333333358</v>
      </c>
      <c r="B47" s="36">
        <f t="shared" si="3"/>
        <v>2358.0068400446635</v>
      </c>
      <c r="C47" s="38">
        <f>B47*Data!$D$5</f>
        <v>9773938.3519851305</v>
      </c>
      <c r="D47" s="42">
        <f t="shared" si="4"/>
        <v>1.4097026469209317</v>
      </c>
      <c r="E47" s="38">
        <f>C47*(1-Data!$D$4)</f>
        <v>7525932.531028551</v>
      </c>
    </row>
    <row r="48" spans="1:5" x14ac:dyDescent="0.3">
      <c r="A48" s="37">
        <f t="shared" si="1"/>
        <v>7200000.0000000028</v>
      </c>
      <c r="B48" s="36">
        <f t="shared" si="3"/>
        <v>2421.1706727007931</v>
      </c>
      <c r="C48" s="38">
        <f>B48*Data!$D$5</f>
        <v>10035752.438344788</v>
      </c>
      <c r="D48" s="42">
        <f t="shared" si="4"/>
        <v>1.3938545053256644</v>
      </c>
      <c r="E48" s="38">
        <f>C48*(1-Data!$D$4)</f>
        <v>7727529.377525487</v>
      </c>
    </row>
    <row r="49" spans="1:5" x14ac:dyDescent="0.3">
      <c r="A49" s="37">
        <f t="shared" si="1"/>
        <v>7466666.6666666698</v>
      </c>
      <c r="B49" s="36">
        <f t="shared" si="3"/>
        <v>2482.577903640411</v>
      </c>
      <c r="C49" s="38">
        <f>B49*Data!$D$5</f>
        <v>10290285.410589503</v>
      </c>
      <c r="D49" s="42">
        <f t="shared" si="4"/>
        <v>1.3781632246325222</v>
      </c>
      <c r="E49" s="38">
        <f>C49*(1-Data!$D$4)</f>
        <v>7923519.7661539176</v>
      </c>
    </row>
    <row r="50" spans="1:5" x14ac:dyDescent="0.3">
      <c r="A50" s="37">
        <f t="shared" si="1"/>
        <v>7733333.3333333367</v>
      </c>
      <c r="B50" s="36">
        <f t="shared" si="3"/>
        <v>2542.2637678052906</v>
      </c>
      <c r="C50" s="38">
        <f>B50*Data!$D$5</f>
        <v>10537683.31755293</v>
      </c>
      <c r="D50" s="42">
        <f t="shared" si="4"/>
        <v>1.3626314634766714</v>
      </c>
      <c r="E50" s="38">
        <f>C50*(1-Data!$D$4)</f>
        <v>8114016.1545157563</v>
      </c>
    </row>
    <row r="51" spans="1:5" x14ac:dyDescent="0.3">
      <c r="A51" s="37">
        <f t="shared" si="1"/>
        <v>8000000.0000000037</v>
      </c>
      <c r="B51" s="36">
        <f t="shared" si="3"/>
        <v>2600.2636574965891</v>
      </c>
      <c r="C51" s="38">
        <f>B51*Data!$D$5</f>
        <v>10778092.860323362</v>
      </c>
      <c r="D51" s="42">
        <f t="shared" si="4"/>
        <v>1.3472616075404196</v>
      </c>
      <c r="E51" s="38">
        <f>C51*(1-Data!$D$4)</f>
        <v>8299131.5024489891</v>
      </c>
    </row>
    <row r="52" spans="1:5" x14ac:dyDescent="0.3">
      <c r="A52" s="37"/>
      <c r="B52" s="36"/>
      <c r="C52" s="38"/>
      <c r="D52" s="42"/>
      <c r="E52" s="38"/>
    </row>
    <row r="53" spans="1:5" x14ac:dyDescent="0.3">
      <c r="A53" s="37"/>
      <c r="B53" s="36"/>
      <c r="C53" s="38"/>
      <c r="D53" s="42"/>
      <c r="E53" s="38"/>
    </row>
    <row r="54" spans="1:5" x14ac:dyDescent="0.3">
      <c r="A54" s="37"/>
      <c r="B54" s="36"/>
      <c r="C54" s="38"/>
      <c r="D54" s="42"/>
      <c r="E54" s="38"/>
    </row>
    <row r="55" spans="1:5" x14ac:dyDescent="0.3">
      <c r="A55" s="37"/>
      <c r="B55" s="36"/>
      <c r="C55" s="38"/>
      <c r="D55" s="42"/>
      <c r="E55" s="38"/>
    </row>
  </sheetData>
  <mergeCells count="11">
    <mergeCell ref="H11:H12"/>
    <mergeCell ref="A13:F14"/>
    <mergeCell ref="H13:O14"/>
    <mergeCell ref="A16:A17"/>
    <mergeCell ref="A19:B19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548557BE-578C-4E44-B6E2-9C7984558DD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in office</vt:lpstr>
      <vt:lpstr>Media Plan</vt:lpstr>
      <vt:lpstr>Data</vt:lpstr>
      <vt:lpstr>HCC in office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2023-08-14T15:18:07Z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1e209fad-2d3a-4ad2-b25c-d97987d407da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