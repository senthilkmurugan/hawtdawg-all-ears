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filterPrivacy="1" codeName="ThisWorkbook" defaultThemeVersion="124226"/>
  <xr:revisionPtr revIDLastSave="0" documentId="13_ncr:1_{2CF3E2CD-EA03-4FE7-8965-B3ED1FBFBB59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PAID SEARCH" sheetId="8" r:id="rId1"/>
    <sheet name="Data" sheetId="6" r:id="rId2"/>
    <sheet name="Sheet2" sheetId="13" r:id="rId3"/>
    <sheet name="HCC Online Curve - SCurve" sheetId="7" state="hidden" r:id="rId4"/>
    <sheet name="HCC Paid Search Curve - Power" sheetId="11" r:id="rId5"/>
  </sheets>
  <functionGroups builtInGroupCount="19"/>
  <externalReferences>
    <externalReference r:id="rId6"/>
    <externalReference r:id="rId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8" l="1"/>
  <c r="D5" i="8"/>
  <c r="F5" i="8" l="1"/>
  <c r="G5" i="8" s="1"/>
  <c r="F5" i="6"/>
  <c r="A22" i="11"/>
  <c r="D12" i="11"/>
  <c r="D5" i="6" l="1"/>
  <c r="A21" i="11" l="1"/>
  <c r="A23" i="11" l="1"/>
  <c r="A24" i="11" l="1"/>
  <c r="D6" i="8"/>
  <c r="B9" i="11" s="1"/>
  <c r="H5" i="6" l="1"/>
  <c r="B12" i="11" s="1"/>
  <c r="C9" i="11"/>
  <c r="A25" i="11"/>
  <c r="A26" i="11" l="1"/>
  <c r="A27" i="11" l="1"/>
  <c r="G9" i="11"/>
  <c r="D9" i="11" s="1"/>
  <c r="B12" i="7"/>
  <c r="G6" i="8"/>
  <c r="I5" i="6" s="1"/>
  <c r="C12" i="11" l="1"/>
  <c r="B27" i="11" s="1"/>
  <c r="C27" i="11" s="1"/>
  <c r="B24" i="11"/>
  <c r="C24" i="11" s="1"/>
  <c r="A28" i="11"/>
  <c r="J5" i="6"/>
  <c r="F12" i="7"/>
  <c r="L12" i="7" s="1"/>
  <c r="K12" i="7"/>
  <c r="A22" i="7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E12" i="7"/>
  <c r="B23" i="11" l="1"/>
  <c r="C23" i="11" s="1"/>
  <c r="B28" i="11"/>
  <c r="C28" i="11" s="1"/>
  <c r="B26" i="11"/>
  <c r="C26" i="11" s="1"/>
  <c r="E9" i="11"/>
  <c r="F9" i="11" s="1"/>
  <c r="B22" i="11"/>
  <c r="C22" i="11" s="1"/>
  <c r="H9" i="11"/>
  <c r="I9" i="11" s="1"/>
  <c r="B25" i="11"/>
  <c r="C25" i="11" s="1"/>
  <c r="B21" i="11"/>
  <c r="C21" i="11" s="1"/>
  <c r="A29" i="11"/>
  <c r="B29" i="11" s="1"/>
  <c r="C9" i="7"/>
  <c r="B9" i="7"/>
  <c r="F9" i="7"/>
  <c r="D9" i="7" s="1"/>
  <c r="K5" i="6"/>
  <c r="C12" i="7"/>
  <c r="A30" i="11" l="1"/>
  <c r="B30" i="11" s="1"/>
  <c r="C29" i="11"/>
  <c r="G9" i="7"/>
  <c r="I12" i="7"/>
  <c r="J12" i="7" s="1"/>
  <c r="A31" i="11" l="1"/>
  <c r="B31" i="11" s="1"/>
  <c r="C30" i="11"/>
  <c r="O12" i="7"/>
  <c r="M12" i="7"/>
  <c r="N12" i="7" s="1"/>
  <c r="A32" i="11" l="1"/>
  <c r="B32" i="11" s="1"/>
  <c r="C31" i="11"/>
  <c r="B57" i="7"/>
  <c r="C57" i="7" s="1"/>
  <c r="B56" i="7"/>
  <c r="C56" i="7" s="1"/>
  <c r="B54" i="7"/>
  <c r="C54" i="7" s="1"/>
  <c r="B53" i="7"/>
  <c r="C53" i="7" s="1"/>
  <c r="B55" i="7"/>
  <c r="C55" i="7" s="1"/>
  <c r="B43" i="7"/>
  <c r="C43" i="7" s="1"/>
  <c r="B35" i="7"/>
  <c r="C35" i="7" s="1"/>
  <c r="B42" i="7"/>
  <c r="C42" i="7" s="1"/>
  <c r="B49" i="7"/>
  <c r="C49" i="7" s="1"/>
  <c r="B25" i="7"/>
  <c r="C25" i="7" s="1"/>
  <c r="B51" i="7"/>
  <c r="C51" i="7" s="1"/>
  <c r="B32" i="7"/>
  <c r="C32" i="7" s="1"/>
  <c r="B45" i="7"/>
  <c r="C45" i="7" s="1"/>
  <c r="B38" i="7"/>
  <c r="C38" i="7" s="1"/>
  <c r="B46" i="7"/>
  <c r="C46" i="7" s="1"/>
  <c r="B24" i="7"/>
  <c r="C24" i="7" s="1"/>
  <c r="B36" i="7"/>
  <c r="C36" i="7" s="1"/>
  <c r="B29" i="7"/>
  <c r="C29" i="7" s="1"/>
  <c r="B44" i="7"/>
  <c r="C44" i="7" s="1"/>
  <c r="E9" i="7"/>
  <c r="B48" i="7"/>
  <c r="C48" i="7" s="1"/>
  <c r="B31" i="7"/>
  <c r="C31" i="7" s="1"/>
  <c r="B26" i="7"/>
  <c r="C26" i="7" s="1"/>
  <c r="B47" i="7"/>
  <c r="C47" i="7" s="1"/>
  <c r="B22" i="7"/>
  <c r="C22" i="7" s="1"/>
  <c r="B41" i="7"/>
  <c r="C41" i="7" s="1"/>
  <c r="B33" i="7"/>
  <c r="C33" i="7" s="1"/>
  <c r="B23" i="7"/>
  <c r="C23" i="7" s="1"/>
  <c r="B34" i="7"/>
  <c r="C34" i="7" s="1"/>
  <c r="B37" i="7"/>
  <c r="C37" i="7" s="1"/>
  <c r="B28" i="7"/>
  <c r="C28" i="7" s="1"/>
  <c r="B52" i="7"/>
  <c r="C52" i="7" s="1"/>
  <c r="B40" i="7"/>
  <c r="C40" i="7" s="1"/>
  <c r="B30" i="7"/>
  <c r="C30" i="7" s="1"/>
  <c r="B39" i="7"/>
  <c r="C39" i="7" s="1"/>
  <c r="B50" i="7"/>
  <c r="C50" i="7" s="1"/>
  <c r="B27" i="7"/>
  <c r="C27" i="7" s="1"/>
  <c r="A33" i="11" l="1"/>
  <c r="B33" i="11" s="1"/>
  <c r="C32" i="11"/>
  <c r="E54" i="7"/>
  <c r="D54" i="7"/>
  <c r="D53" i="7"/>
  <c r="E53" i="7"/>
  <c r="D56" i="7"/>
  <c r="E56" i="7"/>
  <c r="E55" i="7"/>
  <c r="D55" i="7"/>
  <c r="D57" i="7"/>
  <c r="E57" i="7"/>
  <c r="D52" i="7"/>
  <c r="E52" i="7"/>
  <c r="D47" i="7"/>
  <c r="E47" i="7"/>
  <c r="E24" i="7"/>
  <c r="D24" i="7"/>
  <c r="D42" i="7"/>
  <c r="E42" i="7"/>
  <c r="D28" i="7"/>
  <c r="E28" i="7"/>
  <c r="E26" i="7"/>
  <c r="D26" i="7"/>
  <c r="E44" i="7"/>
  <c r="D44" i="7"/>
  <c r="D51" i="7"/>
  <c r="E51" i="7"/>
  <c r="D35" i="7"/>
  <c r="E35" i="7"/>
  <c r="E37" i="7"/>
  <c r="D37" i="7"/>
  <c r="D31" i="7"/>
  <c r="E31" i="7"/>
  <c r="D29" i="7"/>
  <c r="E29" i="7"/>
  <c r="D25" i="7"/>
  <c r="E25" i="7"/>
  <c r="E27" i="7"/>
  <c r="D27" i="7"/>
  <c r="D40" i="7"/>
  <c r="E40" i="7"/>
  <c r="D34" i="7"/>
  <c r="E34" i="7"/>
  <c r="D48" i="7"/>
  <c r="E48" i="7"/>
  <c r="E36" i="7"/>
  <c r="D36" i="7"/>
  <c r="E45" i="7"/>
  <c r="D45" i="7"/>
  <c r="D49" i="7"/>
  <c r="E49" i="7"/>
  <c r="E50" i="7"/>
  <c r="D50" i="7"/>
  <c r="D23" i="7"/>
  <c r="E23" i="7"/>
  <c r="D32" i="7"/>
  <c r="E32" i="7"/>
  <c r="E39" i="7"/>
  <c r="D39" i="7"/>
  <c r="E33" i="7"/>
  <c r="D33" i="7"/>
  <c r="D46" i="7"/>
  <c r="E46" i="7"/>
  <c r="E30" i="7"/>
  <c r="D30" i="7"/>
  <c r="D41" i="7"/>
  <c r="E41" i="7"/>
  <c r="E38" i="7"/>
  <c r="D38" i="7"/>
  <c r="E43" i="7"/>
  <c r="D43" i="7"/>
  <c r="A34" i="11" l="1"/>
  <c r="B34" i="11" s="1"/>
  <c r="C33" i="11"/>
  <c r="A35" i="11" l="1"/>
  <c r="B35" i="11" s="1"/>
  <c r="C34" i="11"/>
  <c r="A36" i="11" l="1"/>
  <c r="B36" i="11" s="1"/>
  <c r="C35" i="11"/>
  <c r="A37" i="11" l="1"/>
  <c r="B37" i="11" s="1"/>
  <c r="C36" i="11"/>
  <c r="A38" i="11" l="1"/>
  <c r="B38" i="11" s="1"/>
  <c r="C37" i="11"/>
  <c r="A39" i="11" l="1"/>
  <c r="B39" i="11" s="1"/>
  <c r="C38" i="11"/>
  <c r="A40" i="11" l="1"/>
  <c r="B40" i="11" s="1"/>
  <c r="C39" i="11"/>
  <c r="A41" i="11" l="1"/>
  <c r="C40" i="11"/>
  <c r="B41" i="11" l="1"/>
  <c r="C41" i="11" s="1"/>
</calcChain>
</file>

<file path=xl/sharedStrings.xml><?xml version="1.0" encoding="utf-8"?>
<sst xmlns="http://schemas.openxmlformats.org/spreadsheetml/2006/main" count="156" uniqueCount="98">
  <si>
    <t>Product</t>
  </si>
  <si>
    <t>Parameters for back-calculation of Incremental NRx</t>
  </si>
  <si>
    <t>tax rate on revenue</t>
  </si>
  <si>
    <t>Pre-Tax Spend</t>
  </si>
  <si>
    <t>Estimated Incr. NRx</t>
  </si>
  <si>
    <t>Estimated Incr. NRx (as % of NPA NRx)</t>
  </si>
  <si>
    <t>* Note: The above marroon colored values are used to construct lodish type response curve for Aquisition programs</t>
  </si>
  <si>
    <t>Purpose</t>
  </si>
  <si>
    <t>Creates a S type curve given (Xcurr,Ycurr), Ymin, Ymax. Uses equation proposed by Lodish.</t>
  </si>
  <si>
    <t>Jantot</t>
  </si>
  <si>
    <t>X unit</t>
  </si>
  <si>
    <t>Spend $</t>
  </si>
  <si>
    <t>Note 1: YELLOW cells need user input (some or optional)</t>
  </si>
  <si>
    <t>Channel</t>
  </si>
  <si>
    <t>Y unit</t>
  </si>
  <si>
    <t>Incr. NRx</t>
  </si>
  <si>
    <t>Ybase</t>
  </si>
  <si>
    <t xml:space="preserve"> NRx</t>
  </si>
  <si>
    <t>Function Type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</si>
  <si>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</si>
  <si>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</si>
  <si>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</si>
  <si>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Optimization Details</t>
  </si>
  <si>
    <t>Constraints</t>
  </si>
  <si>
    <t>Objective Function</t>
  </si>
  <si>
    <t>Initial Starting Values (optional)</t>
  </si>
  <si>
    <t>Min</t>
  </si>
  <si>
    <t>Max</t>
  </si>
  <si>
    <t>Optimal X value</t>
  </si>
  <si>
    <t>Optimal Y value</t>
  </si>
  <si>
    <t>Starting X value</t>
  </si>
  <si>
    <t>Starting Y value</t>
  </si>
  <si>
    <t>Inputs</t>
  </si>
  <si>
    <t>X current</t>
  </si>
  <si>
    <t>Y current</t>
  </si>
  <si>
    <t>Y min</t>
  </si>
  <si>
    <t>Y max</t>
  </si>
  <si>
    <t>Y Base</t>
  </si>
  <si>
    <t>Temporary Values</t>
  </si>
  <si>
    <t>YL min [=YBase - Ycurrent]</t>
  </si>
  <si>
    <t>YL max [=YLmin + Ymax]</t>
  </si>
  <si>
    <t>XL current [=Xcurrent]</t>
  </si>
  <si>
    <t>YL current [=YBase]</t>
  </si>
  <si>
    <t>A</t>
  </si>
  <si>
    <t>B</t>
  </si>
  <si>
    <t>C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</si>
  <si>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</si>
  <si>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</si>
  <si>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Axis Configuration for Plotting</t>
  </si>
  <si>
    <t>Xaxis MIN</t>
  </si>
  <si>
    <t>Xaxis Max</t>
  </si>
  <si>
    <t>Intervals</t>
  </si>
  <si>
    <t>Data Values</t>
  </si>
  <si>
    <t>Online</t>
  </si>
  <si>
    <t>Spend per NRx</t>
  </si>
  <si>
    <t>incr. NRx</t>
  </si>
  <si>
    <t xml:space="preserve">Spend </t>
  </si>
  <si>
    <t>ROI:</t>
  </si>
  <si>
    <t>Pre-tax</t>
  </si>
  <si>
    <t>After-tax</t>
  </si>
  <si>
    <t>pre-tax 3-year NPV/new patient</t>
  </si>
  <si>
    <t>Program</t>
  </si>
  <si>
    <t>Pre-tax cost</t>
  </si>
  <si>
    <t># Incr. NRxs</t>
  </si>
  <si>
    <t>Merck INSOMNIA Franchise Online Programs: Incremental NRx per Tactic with ROI, Spend and Incremental Revenue</t>
  </si>
  <si>
    <t>Update curve to include more points</t>
  </si>
  <si>
    <t>YT unit</t>
  </si>
  <si>
    <t>Current Values (optional)</t>
  </si>
  <si>
    <t>Optimal YT value</t>
  </si>
  <si>
    <t>Starting YT value</t>
  </si>
  <si>
    <t>3-Yr Adherence Rxs per New Patient</t>
  </si>
  <si>
    <t>Post Tax PGM ($)</t>
  </si>
  <si>
    <t>3-yr post tax NPV</t>
  </si>
  <si>
    <t>Response Function Scaling Factor (for sensitivity analysis)</t>
  </si>
  <si>
    <t>X</t>
  </si>
  <si>
    <t>Pre-tax NPV</t>
  </si>
  <si>
    <t>Lambda (Power Curve)</t>
  </si>
  <si>
    <t>3-yr pre-tax Incr. Rev.</t>
  </si>
  <si>
    <t>Power</t>
  </si>
  <si>
    <t xml:space="preserve">Note : </t>
  </si>
  <si>
    <t>PAID SEARCH</t>
  </si>
  <si>
    <t>HCC PAID SEARCH</t>
  </si>
  <si>
    <t>Incr. NRxs</t>
  </si>
  <si>
    <t>Y (Incr. NRxs)</t>
  </si>
  <si>
    <t>Pre-Tax ROI</t>
  </si>
  <si>
    <t>Last Year's #'s</t>
  </si>
  <si>
    <t>2022 Projection</t>
  </si>
  <si>
    <t>Verquvo</t>
  </si>
  <si>
    <t>Verquvo HCC PAID SEARCH. Given a set of X and Y values, a power function (i.e., a smooth continuous curve) is fit for each pair of values</t>
  </si>
  <si>
    <t>Total Verquvo NRX in 2021</t>
  </si>
  <si>
    <t>Local Product</t>
  </si>
  <si>
    <t>Period Type</t>
  </si>
  <si>
    <t>Period Ending</t>
  </si>
  <si>
    <t>Units</t>
  </si>
  <si>
    <t>Value</t>
  </si>
  <si>
    <t>VERQUVO</t>
  </si>
  <si>
    <t>Month</t>
  </si>
  <si>
    <t>Dispensed NRx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</si>
</sst>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_(&quot;$&quot;* #,##0_);_(&quot;$&quot;* \(#,##0\);_(&quot;$&quot;* &quot;-&quot;??_);_(@_)"/>
    <numFmt numFmtId="166" formatCode="_(* #,##0_);_(* \(#,##0\);_(* &quot;-&quot;??_);_(@_)"/>
    <numFmt numFmtId="167" formatCode="\$##,###,###"/>
    <numFmt numFmtId="168" formatCode="\$#,###,###"/>
    <numFmt numFmtId="169" formatCode="_(* #,##0.0_);_(* \(#,##0.0\);_(* &quot;-&quot;??_);_(@_)"/>
    <numFmt numFmtId="170" formatCode="0.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1"/>
      <color theme="1"/>
      <name val="Arial Narrow"/>
      <family val="2"/>
    </font>
    <font>
      <b/>
      <sz val="11"/>
      <color theme="0"/>
      <name val="Arial Narrow"/>
      <family val="2"/>
    </font>
    <font>
      <sz val="11"/>
      <color theme="1"/>
      <name val="Arial Narrow"/>
      <family val="2"/>
    </font>
    <font>
      <sz val="11"/>
      <color theme="0"/>
      <name val="Arial Narrow"/>
      <family val="2"/>
    </font>
    <font>
      <b/>
      <sz val="10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C00000"/>
      <name val="Arial Narrow"/>
      <family val="2"/>
    </font>
    <font>
      <b/>
      <sz val="11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7" fillId="0" borderId="0"/>
    <xf numFmtId="0" fontId="8" fillId="0" borderId="0"/>
    <xf numFmtId="9" fontId="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</cellStyleXfs>
  <cellXfs count="129">
    <xf numFmtId="0" fontId="0" fillId="0" borderId="0" xfId="0"/>
    <xf numFmtId="0" fontId="4" fillId="7" borderId="2" xfId="0" applyFont="1" applyFill="1" applyBorder="1"/>
    <xf numFmtId="0" fontId="5" fillId="0" borderId="0" xfId="0" applyFont="1"/>
    <xf numFmtId="0" fontId="4" fillId="7" borderId="3" xfId="0" applyFont="1" applyFill="1" applyBorder="1"/>
    <xf numFmtId="0" fontId="5" fillId="8" borderId="4" xfId="0" applyFont="1" applyFill="1" applyBorder="1"/>
    <xf numFmtId="0" fontId="4" fillId="7" borderId="4" xfId="0" applyFont="1" applyFill="1" applyBorder="1"/>
    <xf numFmtId="0" fontId="5" fillId="8" borderId="5" xfId="0" applyFont="1" applyFill="1" applyBorder="1"/>
    <xf numFmtId="0" fontId="5" fillId="8" borderId="6" xfId="0" applyFont="1" applyFill="1" applyBorder="1" applyAlignment="1">
      <alignment horizontal="left"/>
    </xf>
    <xf numFmtId="0" fontId="5" fillId="8" borderId="7" xfId="0" applyFont="1" applyFill="1" applyBorder="1" applyAlignment="1">
      <alignment horizontal="left"/>
    </xf>
    <xf numFmtId="0" fontId="5" fillId="8" borderId="8" xfId="0" applyFont="1" applyFill="1" applyBorder="1" applyAlignment="1">
      <alignment horizontal="left"/>
    </xf>
    <xf numFmtId="0" fontId="4" fillId="7" borderId="9" xfId="0" applyFont="1" applyFill="1" applyBorder="1"/>
    <xf numFmtId="0" fontId="5" fillId="8" borderId="2" xfId="0" applyFont="1" applyFill="1" applyBorder="1"/>
    <xf numFmtId="0" fontId="5" fillId="8" borderId="10" xfId="0" applyFont="1" applyFill="1" applyBorder="1"/>
    <xf numFmtId="0" fontId="4" fillId="7" borderId="11" xfId="0" applyFont="1" applyFill="1" applyBorder="1"/>
    <xf numFmtId="9" fontId="5" fillId="0" borderId="0" xfId="0" applyNumberFormat="1" applyFont="1"/>
    <xf numFmtId="0" fontId="4" fillId="7" borderId="1" xfId="0" applyFont="1" applyFill="1" applyBorder="1" applyAlignment="1">
      <alignment horizontal="center" vertical="center" wrapText="1"/>
    </xf>
    <xf numFmtId="0" fontId="4" fillId="7" borderId="20" xfId="0" applyFont="1" applyFill="1" applyBorder="1" applyAlignment="1">
      <alignment horizontal="center" vertical="center" wrapText="1"/>
    </xf>
    <xf numFmtId="0" fontId="4" fillId="7" borderId="21" xfId="0" applyFont="1" applyFill="1" applyBorder="1" applyAlignment="1">
      <alignment horizontal="center" vertical="center" wrapText="1"/>
    </xf>
    <xf numFmtId="0" fontId="4" fillId="7" borderId="8" xfId="0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 vertical="center" wrapText="1"/>
    </xf>
    <xf numFmtId="165" fontId="5" fillId="8" borderId="24" xfId="2" applyNumberFormat="1" applyFont="1" applyFill="1" applyBorder="1"/>
    <xf numFmtId="165" fontId="6" fillId="9" borderId="25" xfId="2" applyNumberFormat="1" applyFont="1" applyFill="1" applyBorder="1"/>
    <xf numFmtId="3" fontId="6" fillId="9" borderId="26" xfId="0" applyNumberFormat="1" applyFont="1" applyFill="1" applyBorder="1"/>
    <xf numFmtId="3" fontId="5" fillId="8" borderId="24" xfId="0" applyNumberFormat="1" applyFont="1" applyFill="1" applyBorder="1"/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8" borderId="24" xfId="0" applyFont="1" applyFill="1" applyBorder="1"/>
    <xf numFmtId="166" fontId="5" fillId="8" borderId="28" xfId="1" applyNumberFormat="1" applyFont="1" applyFill="1" applyBorder="1"/>
    <xf numFmtId="166" fontId="5" fillId="10" borderId="24" xfId="0" applyNumberFormat="1" applyFont="1" applyFill="1" applyBorder="1" applyAlignment="1">
      <alignment horizontal="center" vertical="center" wrapText="1"/>
    </xf>
    <xf numFmtId="165" fontId="5" fillId="10" borderId="24" xfId="2" applyNumberFormat="1" applyFont="1" applyFill="1" applyBorder="1" applyAlignment="1">
      <alignment horizontal="center" vertical="center" wrapText="1"/>
    </xf>
    <xf numFmtId="0" fontId="5" fillId="10" borderId="24" xfId="0" applyFont="1" applyFill="1" applyBorder="1" applyAlignment="1">
      <alignment horizontal="center" vertical="center" wrapText="1"/>
    </xf>
    <xf numFmtId="0" fontId="5" fillId="10" borderId="24" xfId="0" applyNumberFormat="1" applyFont="1" applyFill="1" applyBorder="1" applyAlignment="1">
      <alignment horizontal="center" vertical="center" wrapText="1"/>
    </xf>
    <xf numFmtId="166" fontId="5" fillId="10" borderId="28" xfId="0" applyNumberFormat="1" applyFont="1" applyFill="1" applyBorder="1" applyAlignment="1">
      <alignment horizontal="center" vertical="center" wrapText="1"/>
    </xf>
    <xf numFmtId="164" fontId="5" fillId="8" borderId="24" xfId="2" applyNumberFormat="1" applyFont="1" applyFill="1" applyBorder="1"/>
    <xf numFmtId="164" fontId="5" fillId="8" borderId="24" xfId="0" applyNumberFormat="1" applyFont="1" applyFill="1" applyBorder="1"/>
    <xf numFmtId="0" fontId="5" fillId="10" borderId="28" xfId="0" applyFont="1" applyFill="1" applyBorder="1"/>
    <xf numFmtId="3" fontId="5" fillId="0" borderId="1" xfId="0" applyNumberFormat="1" applyFont="1" applyBorder="1"/>
    <xf numFmtId="164" fontId="5" fillId="0" borderId="1" xfId="0" applyNumberFormat="1" applyFont="1" applyBorder="1"/>
    <xf numFmtId="5" fontId="5" fillId="0" borderId="0" xfId="0" applyNumberFormat="1" applyFont="1"/>
    <xf numFmtId="0" fontId="5" fillId="0" borderId="0" xfId="0" applyNumberFormat="1" applyFont="1"/>
    <xf numFmtId="0" fontId="5" fillId="0" borderId="0" xfId="0" applyFont="1" applyAlignment="1">
      <alignment horizontal="center"/>
    </xf>
    <xf numFmtId="5" fontId="5" fillId="0" borderId="0" xfId="0" applyNumberFormat="1" applyFont="1" applyAlignment="1">
      <alignment horizontal="center"/>
    </xf>
    <xf numFmtId="0" fontId="11" fillId="0" borderId="0" xfId="0" applyFont="1"/>
    <xf numFmtId="0" fontId="12" fillId="2" borderId="0" xfId="4" applyFont="1"/>
    <xf numFmtId="0" fontId="13" fillId="6" borderId="1" xfId="0" applyFont="1" applyFill="1" applyBorder="1" applyAlignment="1">
      <alignment wrapText="1"/>
    </xf>
    <xf numFmtId="0" fontId="11" fillId="0" borderId="0" xfId="0" applyFont="1" applyFill="1"/>
    <xf numFmtId="5" fontId="12" fillId="2" borderId="0" xfId="4" applyNumberFormat="1" applyFont="1"/>
    <xf numFmtId="165" fontId="14" fillId="5" borderId="1" xfId="0" applyNumberFormat="1" applyFont="1" applyFill="1" applyBorder="1" applyAlignment="1">
      <alignment horizontal="center" vertical="center"/>
    </xf>
    <xf numFmtId="166" fontId="14" fillId="5" borderId="1" xfId="0" applyNumberFormat="1" applyFont="1" applyFill="1" applyBorder="1" applyAlignment="1">
      <alignment horizontal="center" vertical="center"/>
    </xf>
    <xf numFmtId="10" fontId="9" fillId="5" borderId="1" xfId="3" applyNumberFormat="1" applyFont="1" applyFill="1" applyBorder="1" applyAlignment="1">
      <alignment horizontal="center" vertical="center"/>
    </xf>
    <xf numFmtId="44" fontId="9" fillId="5" borderId="1" xfId="2" applyFont="1" applyFill="1" applyBorder="1" applyAlignment="1">
      <alignment horizontal="center" vertical="center"/>
    </xf>
    <xf numFmtId="0" fontId="12" fillId="0" borderId="0" xfId="4" applyFont="1" applyFill="1"/>
    <xf numFmtId="5" fontId="12" fillId="0" borderId="0" xfId="4" applyNumberFormat="1" applyFont="1" applyFill="1"/>
    <xf numFmtId="0" fontId="15" fillId="0" borderId="0" xfId="0" applyFont="1" applyFill="1"/>
    <xf numFmtId="0" fontId="11" fillId="5" borderId="1" xfId="0" applyFont="1" applyFill="1" applyBorder="1" applyAlignment="1">
      <alignment horizontal="center" vertical="center" wrapText="1"/>
    </xf>
    <xf numFmtId="44" fontId="11" fillId="5" borderId="1" xfId="2" applyFont="1" applyFill="1" applyBorder="1" applyAlignment="1">
      <alignment horizontal="center" vertical="center" wrapText="1"/>
    </xf>
    <xf numFmtId="0" fontId="16" fillId="0" borderId="0" xfId="0" applyFont="1"/>
    <xf numFmtId="167" fontId="0" fillId="0" borderId="0" xfId="0" applyNumberFormat="1"/>
    <xf numFmtId="167" fontId="16" fillId="0" borderId="0" xfId="0" applyNumberFormat="1" applyFont="1"/>
    <xf numFmtId="0" fontId="16" fillId="12" borderId="0" xfId="0" applyFont="1" applyFill="1"/>
    <xf numFmtId="168" fontId="16" fillId="12" borderId="0" xfId="0" applyNumberFormat="1" applyFont="1" applyFill="1"/>
    <xf numFmtId="166" fontId="16" fillId="12" borderId="0" xfId="0" applyNumberFormat="1" applyFont="1" applyFill="1"/>
    <xf numFmtId="0" fontId="0" fillId="0" borderId="0" xfId="0" applyAlignment="1">
      <alignment horizontal="center" vertical="center" wrapText="1"/>
    </xf>
    <xf numFmtId="0" fontId="9" fillId="11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9" fillId="0" borderId="0" xfId="0" applyFont="1"/>
    <xf numFmtId="0" fontId="17" fillId="0" borderId="0" xfId="0" applyFont="1"/>
    <xf numFmtId="164" fontId="5" fillId="11" borderId="1" xfId="0" applyNumberFormat="1" applyFont="1" applyFill="1" applyBorder="1"/>
    <xf numFmtId="3" fontId="5" fillId="11" borderId="1" xfId="0" applyNumberFormat="1" applyFont="1" applyFill="1" applyBorder="1"/>
    <xf numFmtId="5" fontId="5" fillId="11" borderId="0" xfId="0" applyNumberFormat="1" applyFont="1" applyFill="1"/>
    <xf numFmtId="0" fontId="5" fillId="11" borderId="0" xfId="0" applyNumberFormat="1" applyFont="1" applyFill="1"/>
    <xf numFmtId="164" fontId="5" fillId="0" borderId="1" xfId="0" applyNumberFormat="1" applyFont="1" applyFill="1" applyBorder="1"/>
    <xf numFmtId="3" fontId="5" fillId="0" borderId="1" xfId="0" applyNumberFormat="1" applyFont="1" applyFill="1" applyBorder="1"/>
    <xf numFmtId="5" fontId="5" fillId="0" borderId="0" xfId="0" applyNumberFormat="1" applyFont="1" applyFill="1"/>
    <xf numFmtId="0" fontId="5" fillId="0" borderId="0" xfId="0" applyNumberFormat="1" applyFont="1" applyFill="1"/>
    <xf numFmtId="9" fontId="12" fillId="2" borderId="0" xfId="3" applyFont="1" applyFill="1"/>
    <xf numFmtId="0" fontId="4" fillId="7" borderId="23" xfId="0" applyFont="1" applyFill="1" applyBorder="1"/>
    <xf numFmtId="0" fontId="4" fillId="7" borderId="24" xfId="0" applyFont="1" applyFill="1" applyBorder="1"/>
    <xf numFmtId="0" fontId="5" fillId="8" borderId="28" xfId="0" applyFont="1" applyFill="1" applyBorder="1"/>
    <xf numFmtId="164" fontId="6" fillId="9" borderId="24" xfId="0" applyNumberFormat="1" applyFont="1" applyFill="1" applyBorder="1"/>
    <xf numFmtId="3" fontId="6" fillId="12" borderId="24" xfId="0" applyNumberFormat="1" applyFont="1" applyFill="1" applyBorder="1"/>
    <xf numFmtId="0" fontId="4" fillId="7" borderId="1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2" fontId="5" fillId="8" borderId="1" xfId="0" applyNumberFormat="1" applyFont="1" applyFill="1" applyBorder="1" applyAlignment="1">
      <alignment horizontal="center"/>
    </xf>
    <xf numFmtId="9" fontId="5" fillId="8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4" fillId="7" borderId="1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6" fontId="0" fillId="0" borderId="0" xfId="0" applyNumberFormat="1" applyAlignment="1">
      <alignment vertical="center" wrapText="1"/>
    </xf>
    <xf numFmtId="3" fontId="0" fillId="0" borderId="0" xfId="0" applyNumberFormat="1" applyAlignment="1">
      <alignment horizontal="center" vertical="center" wrapText="1"/>
    </xf>
    <xf numFmtId="3" fontId="5" fillId="12" borderId="1" xfId="0" applyNumberFormat="1" applyFont="1" applyFill="1" applyBorder="1" applyAlignment="1">
      <alignment horizontal="center"/>
    </xf>
    <xf numFmtId="3" fontId="5" fillId="12" borderId="28" xfId="0" applyNumberFormat="1" applyFont="1" applyFill="1" applyBorder="1" applyAlignment="1">
      <alignment horizontal="center"/>
    </xf>
    <xf numFmtId="5" fontId="5" fillId="9" borderId="1" xfId="2" applyNumberFormat="1" applyFont="1" applyFill="1" applyBorder="1" applyAlignment="1">
      <alignment horizontal="center"/>
    </xf>
    <xf numFmtId="169" fontId="14" fillId="5" borderId="1" xfId="0" applyNumberFormat="1" applyFont="1" applyFill="1" applyBorder="1" applyAlignment="1">
      <alignment horizontal="center" vertical="center"/>
    </xf>
    <xf numFmtId="3" fontId="0" fillId="0" borderId="1" xfId="0" applyNumberFormat="1" applyBorder="1" applyAlignment="1">
      <alignment horizontal="center"/>
    </xf>
    <xf numFmtId="3" fontId="5" fillId="8" borderId="1" xfId="0" applyNumberFormat="1" applyFont="1" applyFill="1" applyBorder="1" applyAlignment="1">
      <alignment horizontal="center" vertical="center"/>
    </xf>
    <xf numFmtId="170" fontId="5" fillId="8" borderId="1" xfId="0" applyNumberFormat="1" applyFont="1" applyFill="1" applyBorder="1" applyAlignment="1">
      <alignment horizontal="center" vertical="center"/>
    </xf>
    <xf numFmtId="9" fontId="5" fillId="0" borderId="0" xfId="0" applyNumberFormat="1" applyFont="1" applyAlignment="1">
      <alignment horizontal="center"/>
    </xf>
    <xf numFmtId="164" fontId="5" fillId="8" borderId="24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10" fillId="3" borderId="0" xfId="5" applyFont="1" applyAlignment="1">
      <alignment horizontal="center"/>
    </xf>
    <xf numFmtId="0" fontId="1" fillId="4" borderId="33" xfId="0" applyFont="1" applyFill="1" applyBorder="1" applyAlignment="1">
      <alignment horizontal="center" wrapText="1"/>
    </xf>
    <xf numFmtId="0" fontId="1" fillId="4" borderId="34" xfId="0" applyFont="1" applyFill="1" applyBorder="1" applyAlignment="1">
      <alignment horizontal="center" wrapText="1"/>
    </xf>
    <xf numFmtId="0" fontId="5" fillId="7" borderId="12" xfId="0" applyFont="1" applyFill="1" applyBorder="1" applyAlignment="1">
      <alignment horizontal="center" wrapText="1"/>
    </xf>
    <xf numFmtId="0" fontId="5" fillId="7" borderId="13" xfId="0" applyFont="1" applyFill="1" applyBorder="1" applyAlignment="1">
      <alignment horizontal="center" wrapText="1"/>
    </xf>
    <xf numFmtId="0" fontId="4" fillId="7" borderId="3" xfId="0" applyFont="1" applyFill="1" applyBorder="1" applyAlignment="1">
      <alignment horizontal="center" vertical="center" wrapText="1"/>
    </xf>
    <xf numFmtId="0" fontId="4" fillId="7" borderId="19" xfId="0" applyFont="1" applyFill="1" applyBorder="1" applyAlignment="1">
      <alignment horizontal="center" vertical="center" wrapText="1"/>
    </xf>
    <xf numFmtId="0" fontId="4" fillId="7" borderId="23" xfId="0" applyFont="1" applyFill="1" applyBorder="1" applyAlignment="1">
      <alignment horizontal="center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4" xfId="0" applyFont="1" applyFill="1" applyBorder="1" applyAlignment="1">
      <alignment horizontal="center" vertical="center" wrapText="1"/>
    </xf>
    <xf numFmtId="0" fontId="4" fillId="7" borderId="15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 wrapText="1"/>
    </xf>
    <xf numFmtId="0" fontId="4" fillId="7" borderId="17" xfId="0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0" fontId="4" fillId="7" borderId="27" xfId="0" applyFont="1" applyFill="1" applyBorder="1" applyAlignment="1">
      <alignment horizontal="center" vertical="center" wrapText="1"/>
    </xf>
    <xf numFmtId="0" fontId="4" fillId="7" borderId="29" xfId="0" applyFont="1" applyFill="1" applyBorder="1" applyAlignment="1">
      <alignment horizontal="center" vertical="center" wrapText="1"/>
    </xf>
    <xf numFmtId="0" fontId="5" fillId="0" borderId="30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2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5" fillId="0" borderId="34" xfId="0" applyFont="1" applyBorder="1" applyAlignment="1">
      <alignment horizontal="left" vertical="center" wrapText="1"/>
    </xf>
    <xf numFmtId="0" fontId="5" fillId="0" borderId="35" xfId="0" applyFont="1" applyBorder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 wrapText="1"/>
    </xf>
    <xf numFmtId="0" fontId="4" fillId="7" borderId="5" xfId="0" applyFont="1" applyFill="1" applyBorder="1" applyAlignment="1">
      <alignment horizontal="center" vertical="center" wrapText="1"/>
    </xf>
    <xf numFmtId="0" fontId="5" fillId="7" borderId="36" xfId="0" applyFont="1" applyFill="1" applyBorder="1" applyAlignment="1">
      <alignment horizontal="center"/>
    </xf>
    <xf numFmtId="0" fontId="5" fillId="7" borderId="37" xfId="0" applyFont="1" applyFill="1" applyBorder="1" applyAlignment="1">
      <alignment horizontal="center"/>
    </xf>
    <xf numFmtId="0" fontId="5" fillId="7" borderId="38" xfId="0" applyFont="1" applyFill="1" applyBorder="1" applyAlignment="1">
      <alignment horizontal="center"/>
    </xf>
    <xf numFmtId="2" fontId="0" fillId="0" borderId="0" xfId="0" applyNumberFormat="1" applyAlignment="1">
      <alignment vertical="center" wrapText="1"/>
    </xf>
  </cellXfs>
  <cellStyles count="18">
    <cellStyle name="60% - Accent1" xfId="4" builtinId="32"/>
    <cellStyle name="60% - Accent4" xfId="5" builtinId="44"/>
    <cellStyle name="Comma" xfId="1" builtinId="3"/>
    <cellStyle name="Comma 2" xfId="6" xr:uid="{00000000-0005-0000-0000-000003000000}"/>
    <cellStyle name="Comma 2 2" xfId="7" xr:uid="{00000000-0005-0000-0000-000004000000}"/>
    <cellStyle name="Comma 2 3" xfId="8" xr:uid="{00000000-0005-0000-0000-000005000000}"/>
    <cellStyle name="Comma 3" xfId="14" xr:uid="{00000000-0005-0000-0000-000006000000}"/>
    <cellStyle name="Currency" xfId="2" builtinId="4"/>
    <cellStyle name="Currency 2" xfId="9" xr:uid="{00000000-0005-0000-0000-000008000000}"/>
    <cellStyle name="Normal" xfId="0" builtinId="0"/>
    <cellStyle name="Normal 2" xfId="10" xr:uid="{00000000-0005-0000-0000-00000B000000}"/>
    <cellStyle name="Normal 2 2" xfId="11" xr:uid="{00000000-0005-0000-0000-00000C000000}"/>
    <cellStyle name="Normal 2 2 2" xfId="15" xr:uid="{00000000-0005-0000-0000-00000D000000}"/>
    <cellStyle name="Normal 2 3" xfId="12" xr:uid="{00000000-0005-0000-0000-00000E000000}"/>
    <cellStyle name="Normal 3" xfId="16" xr:uid="{00000000-0005-0000-0000-00000F000000}"/>
    <cellStyle name="Normal 4" xfId="17" xr:uid="{00000000-0005-0000-0000-000010000000}"/>
    <cellStyle name="Percent" xfId="3" builtinId="5"/>
    <cellStyle name="Percent 2" xfId="13" xr:uid="{00000000-0005-0000-0000-00001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Response Curve: HCC Online</a:t>
            </a:r>
          </a:p>
        </c:rich>
      </c:tx>
      <c:layout>
        <c:manualLayout>
          <c:xMode val="edge"/>
          <c:yMode val="edge"/>
          <c:x val="0.3113975099703446"/>
          <c:y val="4.067796610169491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1324575189843"/>
          <c:y val="0.15277917287366105"/>
          <c:w val="0.69167370145026763"/>
          <c:h val="0.64334482514010072"/>
        </c:manualLayout>
      </c:layout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'HCC Online Curve - SCurve'!$B$12</c:f>
              <c:numCache>
                <c:formatCode>_("$"* #,##0_);_("$"* \(#,##0\);_("$"* "-"??_);_(@_)</c:formatCode>
                <c:ptCount val="1"/>
                <c:pt idx="0">
                  <c:v>1627189</c:v>
                </c:pt>
              </c:numCache>
            </c:numRef>
          </c:xVal>
          <c:yVal>
            <c:numRef>
              <c:f>'HCC Online Curve - SCurve'!$C$12</c:f>
              <c:numCache>
                <c:formatCode>#,##0</c:formatCode>
                <c:ptCount val="1"/>
                <c:pt idx="0">
                  <c:v>527.84745731692942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5-42DB-B7C0-F297C350B568}"/>
            </c:ext>
          </c:extLst>
        </c:ser>
        <c:ser>
          <c:idx val="1"/>
          <c:order val="1"/>
          <c:tx>
            <c:strRef>
              <c:f>'HCC Online Curve - SCurve'!$D$3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'HCC Online Curve - SCurve'!$A$22:$A$52</c:f>
              <c:numCache>
                <c:formatCode>"$"#,##0</c:formatCode>
                <c:ptCount val="3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  <c:pt idx="21">
                  <c:v>21000000</c:v>
                </c:pt>
                <c:pt idx="22">
                  <c:v>22000000</c:v>
                </c:pt>
                <c:pt idx="23">
                  <c:v>23000000</c:v>
                </c:pt>
                <c:pt idx="24">
                  <c:v>24000000</c:v>
                </c:pt>
                <c:pt idx="25">
                  <c:v>25000000</c:v>
                </c:pt>
                <c:pt idx="26">
                  <c:v>26000000</c:v>
                </c:pt>
                <c:pt idx="27">
                  <c:v>27000000</c:v>
                </c:pt>
                <c:pt idx="28">
                  <c:v>28000000</c:v>
                </c:pt>
                <c:pt idx="29">
                  <c:v>29000000</c:v>
                </c:pt>
                <c:pt idx="30">
                  <c:v>30000000</c:v>
                </c:pt>
              </c:numCache>
            </c:numRef>
          </c:xVal>
          <c:yVal>
            <c:numRef>
              <c:f>'HCC Online Curve - SCurve'!$B$22:$B$52</c:f>
              <c:numCache>
                <c:formatCode>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35-42DB-B7C0-F297C350B5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513984"/>
        <c:axId val="415995776"/>
      </c:scatterChart>
      <c:valAx>
        <c:axId val="415513984"/>
        <c:scaling>
          <c:orientation val="minMax"/>
          <c:max val="30000000"/>
          <c:min val="0"/>
        </c:scaling>
        <c:delete val="0"/>
        <c:axPos val="b"/>
        <c:majorGridlines>
          <c:spPr>
            <a:ln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Promotion Spend ($ MM)</a:t>
                </a:r>
              </a:p>
            </c:rich>
          </c:tx>
          <c:layout>
            <c:manualLayout>
              <c:xMode val="edge"/>
              <c:yMode val="edge"/>
              <c:x val="0.38385556065604381"/>
              <c:y val="0.9191853585869334"/>
            </c:manualLayout>
          </c:layout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15995776"/>
        <c:crosses val="autoZero"/>
        <c:crossBetween val="midCat"/>
        <c:majorUnit val="5000000"/>
        <c:dispUnits>
          <c:builtInUnit val="millions"/>
        </c:dispUnits>
      </c:valAx>
      <c:valAx>
        <c:axId val="41599577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Incremental NRx</a:t>
                </a:r>
              </a:p>
            </c:rich>
          </c:tx>
          <c:layout>
            <c:manualLayout>
              <c:xMode val="edge"/>
              <c:yMode val="edge"/>
              <c:x val="2.3445648839349627E-2"/>
              <c:y val="0.30594670581431554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crossAx val="415513984"/>
        <c:crosses val="autoZero"/>
        <c:crossBetween val="midCat"/>
        <c:dispUnits>
          <c:builtInUnit val="thousands"/>
          <c:dispUnitsLbl/>
        </c:dispUnits>
      </c:valAx>
      <c:spPr>
        <a:noFill/>
      </c:spPr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100" b="0">
          <a:latin typeface="Arial Narrow" panose="020B0606020202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HCC Paid Search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'HCC Paid Search Curve - Power'!$A$21:$A$41</c:f>
              <c:numCache>
                <c:formatCode>"$"#,##0</c:formatCode>
                <c:ptCount val="21"/>
                <c:pt idx="0">
                  <c:v>0</c:v>
                </c:pt>
                <c:pt idx="1">
                  <c:v>300000</c:v>
                </c:pt>
                <c:pt idx="2">
                  <c:v>600000</c:v>
                </c:pt>
                <c:pt idx="3">
                  <c:v>900000</c:v>
                </c:pt>
                <c:pt idx="4">
                  <c:v>1200000</c:v>
                </c:pt>
                <c:pt idx="5">
                  <c:v>1500000</c:v>
                </c:pt>
                <c:pt idx="6">
                  <c:v>1800000</c:v>
                </c:pt>
                <c:pt idx="7">
                  <c:v>2100000</c:v>
                </c:pt>
                <c:pt idx="8">
                  <c:v>2400000</c:v>
                </c:pt>
                <c:pt idx="9">
                  <c:v>2700000</c:v>
                </c:pt>
                <c:pt idx="10">
                  <c:v>3000000</c:v>
                </c:pt>
                <c:pt idx="11">
                  <c:v>3300000</c:v>
                </c:pt>
                <c:pt idx="12">
                  <c:v>3600000</c:v>
                </c:pt>
                <c:pt idx="13">
                  <c:v>3900000</c:v>
                </c:pt>
                <c:pt idx="14">
                  <c:v>4200000</c:v>
                </c:pt>
                <c:pt idx="15">
                  <c:v>4500000</c:v>
                </c:pt>
                <c:pt idx="16">
                  <c:v>4800000</c:v>
                </c:pt>
                <c:pt idx="17">
                  <c:v>5100000</c:v>
                </c:pt>
                <c:pt idx="18">
                  <c:v>5400000</c:v>
                </c:pt>
                <c:pt idx="19">
                  <c:v>5700000</c:v>
                </c:pt>
                <c:pt idx="20">
                  <c:v>6000000</c:v>
                </c:pt>
              </c:numCache>
            </c:numRef>
          </c:xVal>
          <c:yVal>
            <c:numRef>
              <c:f>'HCC Paid Search Curve - Power'!$B$21:$B$41</c:f>
              <c:numCache>
                <c:formatCode>#,##0</c:formatCode>
                <c:ptCount val="21"/>
                <c:pt idx="0">
                  <c:v>0</c:v>
                </c:pt>
                <c:pt idx="1">
                  <c:v>191.38962296131638</c:v>
                </c:pt>
                <c:pt idx="2">
                  <c:v>290.09242218064611</c:v>
                </c:pt>
                <c:pt idx="3">
                  <c:v>369.99098269507664</c:v>
                </c:pt>
                <c:pt idx="4">
                  <c:v>439.6978901183337</c:v>
                </c:pt>
                <c:pt idx="5">
                  <c:v>502.69016618225112</c:v>
                </c:pt>
                <c:pt idx="6">
                  <c:v>560.80146193038968</c:v>
                </c:pt>
                <c:pt idx="7">
                  <c:v>615.1445928386845</c:v>
                </c:pt>
                <c:pt idx="8">
                  <c:v>666.45737631202712</c:v>
                </c:pt>
                <c:pt idx="9">
                  <c:v>715.25992453278059</c:v>
                </c:pt>
                <c:pt idx="10">
                  <c:v>761.9358127043032</c:v>
                </c:pt>
                <c:pt idx="11">
                  <c:v>806.77790902522986</c:v>
                </c:pt>
                <c:pt idx="12">
                  <c:v>850.01606637114185</c:v>
                </c:pt>
                <c:pt idx="13">
                  <c:v>891.83476601096493</c:v>
                </c:pt>
                <c:pt idx="14">
                  <c:v>932.38485016488744</c:v>
                </c:pt>
                <c:pt idx="15">
                  <c:v>971.79160342729176</c:v>
                </c:pt>
                <c:pt idx="16">
                  <c:v>1010.1604861491941</c:v>
                </c:pt>
                <c:pt idx="17">
                  <c:v>1047.581305583692</c:v>
                </c:pt>
                <c:pt idx="18">
                  <c:v>1084.1313169753128</c:v>
                </c:pt>
                <c:pt idx="19">
                  <c:v>1119.8775730592902</c:v>
                </c:pt>
                <c:pt idx="20">
                  <c:v>1154.8787339334763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D3-4228-B892-4D891923B0C4}"/>
            </c:ext>
          </c:extLst>
        </c:ser>
        <c:ser>
          <c:idx val="1"/>
          <c:order val="1"/>
          <c:tx>
            <c:v>current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9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'HCC Paid Search Curve - Power'!$B$12</c:f>
              <c:numCache>
                <c:formatCode>"$"#,##0</c:formatCode>
                <c:ptCount val="1"/>
                <c:pt idx="0">
                  <c:v>1627189</c:v>
                </c:pt>
              </c:numCache>
            </c:numRef>
          </c:xVal>
          <c:yVal>
            <c:numRef>
              <c:f>'HCC Paid Search Curve - Power'!$C$12</c:f>
              <c:numCache>
                <c:formatCode>#,##0</c:formatCode>
                <c:ptCount val="1"/>
                <c:pt idx="0">
                  <c:v>527.84745731692942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06-4D0A-BBB9-414E4111E1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101416"/>
        <c:axId val="809102400"/>
      </c:scatterChart>
      <c:valAx>
        <c:axId val="809101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2400"/>
        <c:crosses val="autoZero"/>
        <c:crossBetween val="midCat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valAx>
        <c:axId val="80910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101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601980</xdr:colOff>
      <xdr:row>18</xdr:row>
      <xdr:rowOff>123826</xdr:rowOff>
    </xdr:from>
    <xdr:to>
      <xdr:col>11</xdr:col>
      <xdr:colOff>76201</xdr:colOff>
      <xdr:row>40</xdr:row>
      <xdr:rowOff>85726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21</xdr:row>
      <xdr:rowOff>175260</xdr:rowOff>
    </xdr:from>
    <xdr:to>
      <xdr:col>7</xdr:col>
      <xdr:colOff>175260</xdr:colOff>
      <xdr:row>39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34A967-C8A3-487A-9F2E-E67BB6EF9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Inputs/Financial%20Inputs/Financial%20Inputs%20for%20Opt%20Tool%20(NPV%20and%20TRxNRx%20ratio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A/MktMixPP/2024%20Planning/Verquvo/Results/HCC/Verquvo_HCC_presenta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4 NPV"/>
      <sheetName val="2023 NPV"/>
      <sheetName val="2022 NPV"/>
      <sheetName val="2021 NPV"/>
      <sheetName val="2020 NPV"/>
      <sheetName val="2019 NPV"/>
      <sheetName val="2018 NPV"/>
      <sheetName val="2017 NPV"/>
      <sheetName val="2016 NPV"/>
      <sheetName val="2015 NPV"/>
    </sheetNames>
    <sheetDataSet>
      <sheetData sheetId="0"/>
      <sheetData sheetId="1">
        <row r="47">
          <cell r="B47">
            <v>4145.1410997768453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ean+Ridge+PoC_V2"/>
      <sheetName val="Spends"/>
      <sheetName val="Summary"/>
      <sheetName val="Activity"/>
      <sheetName val="Sales"/>
      <sheetName val="Contribution"/>
      <sheetName val="ROI"/>
      <sheetName val="Comp"/>
    </sheetNames>
    <sheetDataSet>
      <sheetData sheetId="0"/>
      <sheetData sheetId="1"/>
      <sheetData sheetId="2">
        <row r="10">
          <cell r="C10">
            <v>1627189</v>
          </cell>
          <cell r="E10">
            <v>1.3446515369370786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L8"/>
  <sheetViews>
    <sheetView showGridLines="0" tabSelected="1" zoomScale="90" zoomScaleNormal="90" workbookViewId="0">
      <selection activeCell="D17" sqref="D17"/>
    </sheetView>
  </sheetViews>
  <sheetFormatPr defaultRowHeight="14.5" x14ac:dyDescent="0.35"/>
  <cols>
    <col min="3" max="3" width="18.54296875" customWidth="1"/>
    <col min="4" max="6" width="13.36328125" customWidth="1"/>
    <col min="7" max="7" width="16.6328125" customWidth="1"/>
    <col min="8" max="8" width="13" bestFit="1" customWidth="1"/>
    <col min="11" max="11" width="20.36328125" customWidth="1"/>
    <col min="12" max="12" width="14.54296875" customWidth="1"/>
  </cols>
  <sheetData>
    <row r="4" spans="3:12" s="62" customFormat="1" ht="28.5" customHeight="1" x14ac:dyDescent="0.35">
      <c r="C4" s="63" t="s">
        <v>61</v>
      </c>
      <c r="D4" s="63" t="s">
        <v>62</v>
      </c>
      <c r="E4" s="63" t="s">
        <v>84</v>
      </c>
      <c r="F4" s="63" t="s">
        <v>75</v>
      </c>
      <c r="G4" s="63" t="s">
        <v>63</v>
      </c>
      <c r="L4" s="64"/>
    </row>
    <row r="5" spans="3:12" x14ac:dyDescent="0.35">
      <c r="C5" t="s">
        <v>80</v>
      </c>
      <c r="D5" s="89">
        <f>[2]Summary!$C$10</f>
        <v>1627189</v>
      </c>
      <c r="E5" s="128">
        <f>[2]Summary!$E$10</f>
        <v>1.3446515369370786</v>
      </c>
      <c r="F5" s="89">
        <f>'[1]2023 NPV'!$B$47</f>
        <v>4145.1410997768453</v>
      </c>
      <c r="G5" s="90">
        <f>(D5*E5)/F5</f>
        <v>527.84745731692942</v>
      </c>
      <c r="L5" s="57"/>
    </row>
    <row r="6" spans="3:12" x14ac:dyDescent="0.35">
      <c r="C6" s="59"/>
      <c r="D6" s="60">
        <f>SUM(D5:D5)</f>
        <v>1627189</v>
      </c>
      <c r="E6" s="60"/>
      <c r="F6" s="60"/>
      <c r="G6" s="61">
        <f>SUM(G5:G5)</f>
        <v>527.84745731692942</v>
      </c>
      <c r="L6" s="57"/>
    </row>
    <row r="7" spans="3:12" x14ac:dyDescent="0.35">
      <c r="L7" s="57"/>
    </row>
    <row r="8" spans="3:12" x14ac:dyDescent="0.35">
      <c r="C8" s="56"/>
      <c r="K8" s="56"/>
      <c r="L8" s="5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L14"/>
  <sheetViews>
    <sheetView showGridLines="0" zoomScale="90" zoomScaleNormal="90" workbookViewId="0">
      <selection activeCell="F5" sqref="F5"/>
    </sheetView>
  </sheetViews>
  <sheetFormatPr defaultColWidth="9.08984375" defaultRowHeight="14" x14ac:dyDescent="0.3"/>
  <cols>
    <col min="1" max="1" width="6" style="42" bestFit="1" customWidth="1"/>
    <col min="2" max="2" width="8" style="42" bestFit="1" customWidth="1"/>
    <col min="3" max="3" width="40.36328125" style="42" bestFit="1" customWidth="1"/>
    <col min="4" max="4" width="7.36328125" style="42" bestFit="1" customWidth="1"/>
    <col min="5" max="5" width="4.54296875" style="42" customWidth="1"/>
    <col min="6" max="6" width="18" style="42" bestFit="1" customWidth="1"/>
    <col min="7" max="7" width="3.54296875" style="42" customWidth="1"/>
    <col min="8" max="8" width="14.08984375" style="42" bestFit="1" customWidth="1"/>
    <col min="9" max="9" width="12.36328125" style="42" customWidth="1"/>
    <col min="10" max="10" width="12.08984375" style="42" customWidth="1"/>
    <col min="11" max="11" width="14.36328125" style="42" customWidth="1"/>
    <col min="12" max="12" width="15.08984375" style="42" customWidth="1"/>
    <col min="13" max="13" width="11.6328125" style="42" customWidth="1"/>
    <col min="14" max="16384" width="9.08984375" style="42"/>
  </cols>
  <sheetData>
    <row r="1" spans="1:12" x14ac:dyDescent="0.3">
      <c r="A1" s="101" t="s">
        <v>64</v>
      </c>
      <c r="B1" s="101"/>
      <c r="C1" s="101"/>
      <c r="D1" s="101"/>
      <c r="E1" s="101"/>
      <c r="F1" s="101"/>
      <c r="G1" s="101"/>
      <c r="H1" s="101"/>
      <c r="I1" s="101"/>
      <c r="J1" s="101"/>
    </row>
    <row r="3" spans="1:12" x14ac:dyDescent="0.3">
      <c r="B3" s="43" t="s">
        <v>1</v>
      </c>
      <c r="C3" s="43"/>
      <c r="D3" s="43"/>
      <c r="H3" s="102" t="s">
        <v>86</v>
      </c>
      <c r="I3" s="103"/>
      <c r="J3" s="103"/>
      <c r="K3" s="103"/>
      <c r="L3" s="103"/>
    </row>
    <row r="4" spans="1:12" ht="42" x14ac:dyDescent="0.3">
      <c r="B4" s="43">
        <v>2021</v>
      </c>
      <c r="C4" s="43" t="s">
        <v>2</v>
      </c>
      <c r="D4" s="75">
        <v>0.23</v>
      </c>
      <c r="F4" s="44" t="s">
        <v>89</v>
      </c>
      <c r="H4" s="54" t="s">
        <v>3</v>
      </c>
      <c r="I4" s="54" t="s">
        <v>4</v>
      </c>
      <c r="J4" s="54" t="s">
        <v>5</v>
      </c>
      <c r="K4" s="55" t="s">
        <v>54</v>
      </c>
      <c r="L4" s="55" t="s">
        <v>76</v>
      </c>
    </row>
    <row r="5" spans="1:12" s="45" customFormat="1" ht="25.5" customHeight="1" x14ac:dyDescent="0.35">
      <c r="B5" s="43">
        <v>2021</v>
      </c>
      <c r="C5" s="43" t="s">
        <v>60</v>
      </c>
      <c r="D5" s="46">
        <f>'PAID SEARCH'!F5</f>
        <v>4145.1410997768453</v>
      </c>
      <c r="F5" s="95">
        <f>SUM(Sheet2!E2:E13)</f>
        <v>16472</v>
      </c>
      <c r="G5" s="42"/>
      <c r="H5" s="47">
        <f>'PAID SEARCH'!D6</f>
        <v>1627189</v>
      </c>
      <c r="I5" s="48">
        <f>'PAID SEARCH'!G6</f>
        <v>527.84745731692942</v>
      </c>
      <c r="J5" s="49">
        <f>I5/F5</f>
        <v>3.2045134611275464E-2</v>
      </c>
      <c r="K5" s="50">
        <f>H5/I5</f>
        <v>3082.6879573713763</v>
      </c>
      <c r="L5" s="94">
        <v>0.6</v>
      </c>
    </row>
    <row r="6" spans="1:12" s="45" customFormat="1" x14ac:dyDescent="0.3">
      <c r="B6" s="51"/>
      <c r="C6" s="51"/>
      <c r="D6" s="52"/>
      <c r="H6" s="53" t="s">
        <v>6</v>
      </c>
    </row>
    <row r="7" spans="1:12" s="45" customFormat="1" x14ac:dyDescent="0.3">
      <c r="B7" s="51"/>
      <c r="C7" s="51"/>
      <c r="D7" s="52"/>
    </row>
    <row r="8" spans="1:12" s="45" customFormat="1" x14ac:dyDescent="0.3">
      <c r="B8" s="51"/>
      <c r="C8" s="51"/>
      <c r="D8" s="52"/>
    </row>
    <row r="9" spans="1:12" x14ac:dyDescent="0.3">
      <c r="F9" s="100" t="s">
        <v>85</v>
      </c>
      <c r="H9" s="47"/>
      <c r="I9" s="48"/>
      <c r="J9" s="49"/>
      <c r="K9" s="50"/>
      <c r="L9" s="94"/>
    </row>
    <row r="10" spans="1:12" x14ac:dyDescent="0.3">
      <c r="H10" s="65"/>
    </row>
    <row r="13" spans="1:12" x14ac:dyDescent="0.3">
      <c r="E13" s="100"/>
    </row>
    <row r="14" spans="1:12" x14ac:dyDescent="0.3">
      <c r="E14" s="100"/>
    </row>
  </sheetData>
  <mergeCells count="2">
    <mergeCell ref="A1:J1"/>
    <mergeCell ref="H3: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6B91-7A64-48F3-9200-A02369DCC6A5}">
  <dimension ref="A1:E13"/>
  <sheetViews>
    <sheetView workbookViewId="0">
      <selection activeCell="E2" sqref="E2:E13"/>
    </sheetView>
  </sheetViews>
  <sheetFormatPr defaultRowHeight="14.5" x14ac:dyDescent="0.35"/>
  <sheetData>
    <row r="1" spans="1:5" x14ac:dyDescent="0.35">
      <c r="A1" t="s">
        <v>90</v>
      </c>
      <c r="B1" t="s">
        <v>91</v>
      </c>
      <c r="C1" t="s">
        <v>92</v>
      </c>
      <c r="D1" t="s">
        <v>93</v>
      </c>
      <c r="E1" t="s">
        <v>94</v>
      </c>
    </row>
    <row r="2" spans="1:5" x14ac:dyDescent="0.35">
      <c r="A2" t="s">
        <v>95</v>
      </c>
      <c r="B2" t="s">
        <v>96</v>
      </c>
      <c r="C2">
        <v>44562</v>
      </c>
      <c r="D2" t="s">
        <v>97</v>
      </c>
      <c r="E2">
        <v>867</v>
      </c>
    </row>
    <row r="3" spans="1:5" x14ac:dyDescent="0.35">
      <c r="A3" t="s">
        <v>95</v>
      </c>
      <c r="B3" t="s">
        <v>96</v>
      </c>
      <c r="C3">
        <v>44593</v>
      </c>
      <c r="D3" t="s">
        <v>97</v>
      </c>
      <c r="E3">
        <v>862</v>
      </c>
    </row>
    <row r="4" spans="1:5" x14ac:dyDescent="0.35">
      <c r="A4" t="s">
        <v>95</v>
      </c>
      <c r="B4" t="s">
        <v>96</v>
      </c>
      <c r="C4">
        <v>44621</v>
      </c>
      <c r="D4" t="s">
        <v>97</v>
      </c>
      <c r="E4">
        <v>1225</v>
      </c>
    </row>
    <row r="5" spans="1:5" x14ac:dyDescent="0.35">
      <c r="A5" t="s">
        <v>95</v>
      </c>
      <c r="B5" t="s">
        <v>96</v>
      </c>
      <c r="C5">
        <v>44652</v>
      </c>
      <c r="D5" t="s">
        <v>97</v>
      </c>
      <c r="E5">
        <v>1169</v>
      </c>
    </row>
    <row r="6" spans="1:5" x14ac:dyDescent="0.35">
      <c r="A6" t="s">
        <v>95</v>
      </c>
      <c r="B6" t="s">
        <v>96</v>
      </c>
      <c r="C6">
        <v>44682</v>
      </c>
      <c r="D6" t="s">
        <v>97</v>
      </c>
      <c r="E6">
        <v>1228</v>
      </c>
    </row>
    <row r="7" spans="1:5" x14ac:dyDescent="0.35">
      <c r="A7" t="s">
        <v>95</v>
      </c>
      <c r="B7" t="s">
        <v>96</v>
      </c>
      <c r="C7">
        <v>44713</v>
      </c>
      <c r="D7" t="s">
        <v>97</v>
      </c>
      <c r="E7">
        <v>1363</v>
      </c>
    </row>
    <row r="8" spans="1:5" x14ac:dyDescent="0.35">
      <c r="A8" t="s">
        <v>95</v>
      </c>
      <c r="B8" t="s">
        <v>96</v>
      </c>
      <c r="C8">
        <v>44743</v>
      </c>
      <c r="D8" t="s">
        <v>97</v>
      </c>
      <c r="E8">
        <v>1385</v>
      </c>
    </row>
    <row r="9" spans="1:5" x14ac:dyDescent="0.35">
      <c r="A9" t="s">
        <v>95</v>
      </c>
      <c r="B9" t="s">
        <v>96</v>
      </c>
      <c r="C9">
        <v>44774</v>
      </c>
      <c r="D9" t="s">
        <v>97</v>
      </c>
      <c r="E9">
        <v>1472</v>
      </c>
    </row>
    <row r="10" spans="1:5" x14ac:dyDescent="0.35">
      <c r="A10" t="s">
        <v>95</v>
      </c>
      <c r="B10" t="s">
        <v>96</v>
      </c>
      <c r="C10">
        <v>44805</v>
      </c>
      <c r="D10" t="s">
        <v>97</v>
      </c>
      <c r="E10">
        <v>1606</v>
      </c>
    </row>
    <row r="11" spans="1:5" x14ac:dyDescent="0.35">
      <c r="A11" t="s">
        <v>95</v>
      </c>
      <c r="B11" t="s">
        <v>96</v>
      </c>
      <c r="C11">
        <v>44835</v>
      </c>
      <c r="D11" t="s">
        <v>97</v>
      </c>
      <c r="E11">
        <v>1647</v>
      </c>
    </row>
    <row r="12" spans="1:5" x14ac:dyDescent="0.35">
      <c r="A12" t="s">
        <v>95</v>
      </c>
      <c r="B12" t="s">
        <v>96</v>
      </c>
      <c r="C12">
        <v>44866</v>
      </c>
      <c r="D12" t="s">
        <v>97</v>
      </c>
      <c r="E12">
        <v>1782</v>
      </c>
    </row>
    <row r="13" spans="1:5" x14ac:dyDescent="0.35">
      <c r="A13" t="s">
        <v>95</v>
      </c>
      <c r="B13" t="s">
        <v>96</v>
      </c>
      <c r="C13">
        <v>44896</v>
      </c>
      <c r="D13" t="s">
        <v>97</v>
      </c>
      <c r="E13">
        <v>1866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C00000"/>
  </sheetPr>
  <dimension ref="A1:O57"/>
  <sheetViews>
    <sheetView showGridLines="0" zoomScaleNormal="100" workbookViewId="0">
      <selection activeCell="A2" sqref="A2"/>
    </sheetView>
  </sheetViews>
  <sheetFormatPr defaultColWidth="8.90625" defaultRowHeight="13" x14ac:dyDescent="0.3"/>
  <cols>
    <col min="1" max="1" width="12.08984375" style="2" customWidth="1"/>
    <col min="2" max="2" width="13.54296875" style="2" customWidth="1"/>
    <col min="3" max="3" width="12.54296875" style="2" customWidth="1"/>
    <col min="4" max="4" width="13.6328125" style="2" customWidth="1"/>
    <col min="5" max="5" width="15.6328125" style="2" customWidth="1"/>
    <col min="6" max="6" width="12.453125" style="2" customWidth="1"/>
    <col min="7" max="7" width="12" style="2" customWidth="1"/>
    <col min="8" max="10" width="10.36328125" style="2" customWidth="1"/>
    <col min="11" max="11" width="14.36328125" style="2" bestFit="1" customWidth="1"/>
    <col min="12" max="13" width="12" style="2" bestFit="1" customWidth="1"/>
    <col min="14" max="14" width="11.453125" style="2" bestFit="1" customWidth="1"/>
    <col min="15" max="15" width="9.6328125" style="2" bestFit="1" customWidth="1"/>
    <col min="16" max="16384" width="8.90625" style="2"/>
  </cols>
  <sheetData>
    <row r="1" spans="1:15" ht="13.5" thickBot="1" x14ac:dyDescent="0.35">
      <c r="A1" s="1" t="s">
        <v>7</v>
      </c>
      <c r="B1" s="2" t="s">
        <v>8</v>
      </c>
    </row>
    <row r="2" spans="1:15" x14ac:dyDescent="0.3">
      <c r="A2" s="3" t="s">
        <v>0</v>
      </c>
      <c r="B2" s="4" t="s">
        <v>9</v>
      </c>
      <c r="C2" s="5" t="s">
        <v>10</v>
      </c>
      <c r="D2" s="6" t="s">
        <v>11</v>
      </c>
      <c r="H2" s="7" t="s">
        <v>12</v>
      </c>
      <c r="I2" s="8"/>
      <c r="J2" s="8"/>
      <c r="K2" s="8"/>
      <c r="L2" s="9"/>
    </row>
    <row r="3" spans="1:15" ht="13.5" thickBot="1" x14ac:dyDescent="0.35">
      <c r="A3" s="10" t="s">
        <v>13</v>
      </c>
      <c r="B3" s="11" t="s">
        <v>53</v>
      </c>
      <c r="C3" s="1" t="s">
        <v>14</v>
      </c>
      <c r="D3" s="12" t="s">
        <v>15</v>
      </c>
      <c r="E3" s="1" t="s">
        <v>16</v>
      </c>
      <c r="F3" s="12" t="s">
        <v>17</v>
      </c>
    </row>
    <row r="4" spans="1:15" ht="15" customHeight="1" thickBot="1" x14ac:dyDescent="0.35">
      <c r="A4" s="13" t="s">
        <v>18</v>
      </c>
      <c r="B4" s="104" t="s">
        <v>19</v>
      </c>
      <c r="C4" s="104"/>
      <c r="D4" s="104"/>
      <c r="E4" s="104"/>
      <c r="F4" s="105"/>
      <c r="H4" s="2" t="s">
        <v>20</v>
      </c>
    </row>
    <row r="5" spans="1:15" x14ac:dyDescent="0.3">
      <c r="H5" s="2" t="s">
        <v>21</v>
      </c>
    </row>
    <row r="6" spans="1:15" ht="13.5" thickBot="1" x14ac:dyDescent="0.35">
      <c r="B6" s="14">
        <v>0.5</v>
      </c>
      <c r="C6" s="14">
        <v>1.5</v>
      </c>
    </row>
    <row r="7" spans="1:15" ht="27.65" customHeight="1" x14ac:dyDescent="0.3">
      <c r="A7" s="106" t="s">
        <v>22</v>
      </c>
      <c r="B7" s="109" t="s">
        <v>23</v>
      </c>
      <c r="C7" s="110"/>
      <c r="D7" s="111" t="s">
        <v>24</v>
      </c>
      <c r="E7" s="112"/>
      <c r="F7" s="113" t="s">
        <v>25</v>
      </c>
      <c r="G7" s="114"/>
    </row>
    <row r="8" spans="1:15" ht="26" x14ac:dyDescent="0.3">
      <c r="A8" s="107"/>
      <c r="B8" s="15" t="s">
        <v>26</v>
      </c>
      <c r="C8" s="16" t="s">
        <v>27</v>
      </c>
      <c r="D8" s="17" t="s">
        <v>28</v>
      </c>
      <c r="E8" s="16" t="s">
        <v>29</v>
      </c>
      <c r="F8" s="18" t="s">
        <v>30</v>
      </c>
      <c r="G8" s="19" t="s">
        <v>31</v>
      </c>
    </row>
    <row r="9" spans="1:15" ht="13.5" thickBot="1" x14ac:dyDescent="0.35">
      <c r="A9" s="108"/>
      <c r="B9" s="20">
        <f>B6*B12</f>
        <v>813594.5</v>
      </c>
      <c r="C9" s="20">
        <f>C6*B12</f>
        <v>2440783.5</v>
      </c>
      <c r="D9" s="21">
        <f>F9</f>
        <v>1627189</v>
      </c>
      <c r="E9" s="22" t="e">
        <f>(($O$12/(1+EXP($M$12+$N$12*D9)))-1) - ($F$12-$C$12)</f>
        <v>#REF!</v>
      </c>
      <c r="F9" s="20">
        <f>B12</f>
        <v>1627189</v>
      </c>
      <c r="G9" s="23">
        <f>C12</f>
        <v>527.84745731692942</v>
      </c>
    </row>
    <row r="10" spans="1:15" ht="13.5" thickBot="1" x14ac:dyDescent="0.35"/>
    <row r="11" spans="1:15" ht="51.65" customHeight="1" x14ac:dyDescent="0.3">
      <c r="A11" s="106" t="s">
        <v>32</v>
      </c>
      <c r="B11" s="24" t="s">
        <v>33</v>
      </c>
      <c r="C11" s="24" t="s">
        <v>34</v>
      </c>
      <c r="D11" s="24" t="s">
        <v>35</v>
      </c>
      <c r="E11" s="24" t="s">
        <v>36</v>
      </c>
      <c r="F11" s="25" t="s">
        <v>37</v>
      </c>
      <c r="H11" s="115" t="s">
        <v>38</v>
      </c>
      <c r="I11" s="24" t="s">
        <v>39</v>
      </c>
      <c r="J11" s="24" t="s">
        <v>40</v>
      </c>
      <c r="K11" s="24" t="s">
        <v>41</v>
      </c>
      <c r="L11" s="24" t="s">
        <v>42</v>
      </c>
      <c r="M11" s="24" t="s">
        <v>43</v>
      </c>
      <c r="N11" s="24" t="s">
        <v>44</v>
      </c>
      <c r="O11" s="25" t="s">
        <v>45</v>
      </c>
    </row>
    <row r="12" spans="1:15" ht="15" customHeight="1" thickBot="1" x14ac:dyDescent="0.35">
      <c r="A12" s="108"/>
      <c r="B12" s="20">
        <f>Data!H5</f>
        <v>1627189</v>
      </c>
      <c r="C12" s="23">
        <f>Data!I5</f>
        <v>527.84745731692942</v>
      </c>
      <c r="D12" s="26">
        <v>0</v>
      </c>
      <c r="E12" s="23" t="e">
        <f>Data!#REF!</f>
        <v>#REF!</v>
      </c>
      <c r="F12" s="27">
        <f>Data!F5</f>
        <v>16472</v>
      </c>
      <c r="H12" s="116"/>
      <c r="I12" s="28">
        <f>F12-C12</f>
        <v>15944.15254268307</v>
      </c>
      <c r="J12" s="28" t="e">
        <f>I12+E12</f>
        <v>#REF!</v>
      </c>
      <c r="K12" s="29">
        <f>B12</f>
        <v>1627189</v>
      </c>
      <c r="L12" s="28">
        <f>F12</f>
        <v>16472</v>
      </c>
      <c r="M12" s="30" t="e">
        <f>LN((($J$12+1)/($I$12+1))-1)</f>
        <v>#REF!</v>
      </c>
      <c r="N12" s="31" t="e">
        <f>(LN((($J$12+1)/($L$12+1))-1)-$M$12)/$K$12</f>
        <v>#REF!</v>
      </c>
      <c r="O12" s="32" t="e">
        <f>J12+1</f>
        <v>#REF!</v>
      </c>
    </row>
    <row r="13" spans="1:15" ht="34.25" customHeight="1" x14ac:dyDescent="0.3">
      <c r="A13" s="117" t="s">
        <v>46</v>
      </c>
      <c r="B13" s="118"/>
      <c r="C13" s="118"/>
      <c r="D13" s="118"/>
      <c r="E13" s="118"/>
      <c r="F13" s="119"/>
      <c r="H13" s="117" t="s">
        <v>47</v>
      </c>
      <c r="I13" s="118"/>
      <c r="J13" s="118"/>
      <c r="K13" s="118"/>
      <c r="L13" s="118"/>
      <c r="M13" s="118"/>
      <c r="N13" s="118"/>
      <c r="O13" s="119"/>
    </row>
    <row r="14" spans="1:15" ht="33.65" customHeight="1" x14ac:dyDescent="0.3">
      <c r="A14" s="120"/>
      <c r="B14" s="121"/>
      <c r="C14" s="121"/>
      <c r="D14" s="121"/>
      <c r="E14" s="121"/>
      <c r="F14" s="122"/>
      <c r="H14" s="120"/>
      <c r="I14" s="121"/>
      <c r="J14" s="121"/>
      <c r="K14" s="121"/>
      <c r="L14" s="121"/>
      <c r="M14" s="121"/>
      <c r="N14" s="121"/>
      <c r="O14" s="122"/>
    </row>
    <row r="16" spans="1:15" ht="13.5" thickBot="1" x14ac:dyDescent="0.35"/>
    <row r="17" spans="1:14" ht="17" customHeight="1" x14ac:dyDescent="0.3">
      <c r="A17" s="115" t="s">
        <v>48</v>
      </c>
      <c r="B17" s="24" t="s">
        <v>49</v>
      </c>
      <c r="C17" s="24" t="s">
        <v>50</v>
      </c>
      <c r="D17" s="25" t="s">
        <v>51</v>
      </c>
    </row>
    <row r="18" spans="1:14" ht="23.75" customHeight="1" thickBot="1" x14ac:dyDescent="0.35">
      <c r="A18" s="116"/>
      <c r="B18" s="33">
        <v>0</v>
      </c>
      <c r="C18" s="34">
        <v>35000000</v>
      </c>
      <c r="D18" s="35">
        <v>35</v>
      </c>
    </row>
    <row r="20" spans="1:14" x14ac:dyDescent="0.3">
      <c r="A20" s="123" t="s">
        <v>52</v>
      </c>
      <c r="B20" s="123"/>
    </row>
    <row r="21" spans="1:14" x14ac:dyDescent="0.3">
      <c r="A21" s="15" t="s">
        <v>56</v>
      </c>
      <c r="B21" s="15" t="s">
        <v>55</v>
      </c>
      <c r="C21" s="40" t="s">
        <v>58</v>
      </c>
      <c r="D21" s="40" t="s">
        <v>57</v>
      </c>
      <c r="E21" s="41" t="s">
        <v>59</v>
      </c>
    </row>
    <row r="22" spans="1:14" x14ac:dyDescent="0.3">
      <c r="A22" s="37">
        <f>B18</f>
        <v>0</v>
      </c>
      <c r="B22" s="36" t="e">
        <f>(($O$12/(1+EXP($M$12+$N$12*A22)))-1) - ($F$12-$C$12)</f>
        <v>#REF!</v>
      </c>
      <c r="C22" s="38" t="e">
        <f>B22*Data!$D$5</f>
        <v>#REF!</v>
      </c>
      <c r="D22" s="39"/>
      <c r="E22" s="38"/>
    </row>
    <row r="23" spans="1:14" x14ac:dyDescent="0.3">
      <c r="A23" s="37">
        <f>A22+(($C$18-$B$18)/$D$18)</f>
        <v>1000000</v>
      </c>
      <c r="B23" s="36" t="e">
        <f t="shared" ref="B23:B42" si="0">(($O$12/(1+EXP($M$12+$N$12*A23)))-1) - ($F$12-$C$12)</f>
        <v>#REF!</v>
      </c>
      <c r="C23" s="38" t="e">
        <f>B23*Data!$D$5</f>
        <v>#REF!</v>
      </c>
      <c r="D23" s="39" t="e">
        <f>C23/A23</f>
        <v>#REF!</v>
      </c>
      <c r="E23" s="38" t="e">
        <f>C23*(1-Data!$D$4)</f>
        <v>#REF!</v>
      </c>
    </row>
    <row r="24" spans="1:14" x14ac:dyDescent="0.3">
      <c r="A24" s="37">
        <f t="shared" ref="A24:A57" si="1">A23+(($C$18-$B$18)/$D$18)</f>
        <v>2000000</v>
      </c>
      <c r="B24" s="36" t="e">
        <f t="shared" si="0"/>
        <v>#REF!</v>
      </c>
      <c r="C24" s="38" t="e">
        <f>B24*Data!$D$5</f>
        <v>#REF!</v>
      </c>
      <c r="D24" s="39" t="e">
        <f t="shared" ref="D24:D42" si="2">C24/A24</f>
        <v>#REF!</v>
      </c>
      <c r="E24" s="38" t="e">
        <f>C24*(1-Data!$D$4)</f>
        <v>#REF!</v>
      </c>
    </row>
    <row r="25" spans="1:14" x14ac:dyDescent="0.3">
      <c r="A25" s="37">
        <f t="shared" si="1"/>
        <v>3000000</v>
      </c>
      <c r="B25" s="36" t="e">
        <f t="shared" si="0"/>
        <v>#REF!</v>
      </c>
      <c r="C25" s="38" t="e">
        <f>B25*Data!$D$5</f>
        <v>#REF!</v>
      </c>
      <c r="D25" s="39" t="e">
        <f t="shared" si="2"/>
        <v>#REF!</v>
      </c>
      <c r="E25" s="38" t="e">
        <f>C25*(1-Data!$D$4)</f>
        <v>#REF!</v>
      </c>
    </row>
    <row r="26" spans="1:14" ht="16.5" customHeight="1" x14ac:dyDescent="0.5">
      <c r="A26" s="37">
        <f t="shared" si="1"/>
        <v>4000000</v>
      </c>
      <c r="B26" s="36" t="e">
        <f t="shared" si="0"/>
        <v>#REF!</v>
      </c>
      <c r="C26" s="38" t="e">
        <f>B26*Data!$D$5</f>
        <v>#REF!</v>
      </c>
      <c r="D26" s="39" t="e">
        <f t="shared" si="2"/>
        <v>#REF!</v>
      </c>
      <c r="E26" s="38" t="e">
        <f>C26*(1-Data!$D$4)</f>
        <v>#REF!</v>
      </c>
      <c r="N26" s="66" t="s">
        <v>65</v>
      </c>
    </row>
    <row r="27" spans="1:14" x14ac:dyDescent="0.3">
      <c r="A27" s="37">
        <f t="shared" si="1"/>
        <v>5000000</v>
      </c>
      <c r="B27" s="36" t="e">
        <f t="shared" si="0"/>
        <v>#REF!</v>
      </c>
      <c r="C27" s="38" t="e">
        <f>B27*Data!$D$5</f>
        <v>#REF!</v>
      </c>
      <c r="D27" s="39" t="e">
        <f t="shared" si="2"/>
        <v>#REF!</v>
      </c>
      <c r="E27" s="38" t="e">
        <f>C27*(1-Data!$D$4)</f>
        <v>#REF!</v>
      </c>
    </row>
    <row r="28" spans="1:14" x14ac:dyDescent="0.3">
      <c r="A28" s="71">
        <f t="shared" si="1"/>
        <v>6000000</v>
      </c>
      <c r="B28" s="72" t="e">
        <f t="shared" si="0"/>
        <v>#REF!</v>
      </c>
      <c r="C28" s="73" t="e">
        <f>B28*Data!$D$5</f>
        <v>#REF!</v>
      </c>
      <c r="D28" s="74" t="e">
        <f t="shared" si="2"/>
        <v>#REF!</v>
      </c>
      <c r="E28" s="73" t="e">
        <f>C28*(1-Data!$D$4)</f>
        <v>#REF!</v>
      </c>
    </row>
    <row r="29" spans="1:14" x14ac:dyDescent="0.3">
      <c r="A29" s="37">
        <f t="shared" si="1"/>
        <v>7000000</v>
      </c>
      <c r="B29" s="36" t="e">
        <f t="shared" si="0"/>
        <v>#REF!</v>
      </c>
      <c r="C29" s="38" t="e">
        <f>B29*Data!$D$5</f>
        <v>#REF!</v>
      </c>
      <c r="D29" s="39" t="e">
        <f t="shared" si="2"/>
        <v>#REF!</v>
      </c>
      <c r="E29" s="38" t="e">
        <f>C29*(1-Data!$D$4)</f>
        <v>#REF!</v>
      </c>
    </row>
    <row r="30" spans="1:14" x14ac:dyDescent="0.3">
      <c r="A30" s="37">
        <f t="shared" si="1"/>
        <v>8000000</v>
      </c>
      <c r="B30" s="36" t="e">
        <f t="shared" si="0"/>
        <v>#REF!</v>
      </c>
      <c r="C30" s="38" t="e">
        <f>B30*Data!$D$5</f>
        <v>#REF!</v>
      </c>
      <c r="D30" s="39" t="e">
        <f t="shared" si="2"/>
        <v>#REF!</v>
      </c>
      <c r="E30" s="38" t="e">
        <f>C30*(1-Data!$D$4)</f>
        <v>#REF!</v>
      </c>
    </row>
    <row r="31" spans="1:14" x14ac:dyDescent="0.3">
      <c r="A31" s="37">
        <f t="shared" si="1"/>
        <v>9000000</v>
      </c>
      <c r="B31" s="36" t="e">
        <f t="shared" si="0"/>
        <v>#REF!</v>
      </c>
      <c r="C31" s="38" t="e">
        <f>B31*Data!$D$5</f>
        <v>#REF!</v>
      </c>
      <c r="D31" s="39" t="e">
        <f t="shared" si="2"/>
        <v>#REF!</v>
      </c>
      <c r="E31" s="38" t="e">
        <f>C31*(1-Data!$D$4)</f>
        <v>#REF!</v>
      </c>
    </row>
    <row r="32" spans="1:14" x14ac:dyDescent="0.3">
      <c r="A32" s="37">
        <f t="shared" si="1"/>
        <v>10000000</v>
      </c>
      <c r="B32" s="36" t="e">
        <f t="shared" si="0"/>
        <v>#REF!</v>
      </c>
      <c r="C32" s="38" t="e">
        <f>B32*Data!$D$5</f>
        <v>#REF!</v>
      </c>
      <c r="D32" s="39" t="e">
        <f t="shared" si="2"/>
        <v>#REF!</v>
      </c>
      <c r="E32" s="38" t="e">
        <f>C32*(1-Data!$D$4)</f>
        <v>#REF!</v>
      </c>
    </row>
    <row r="33" spans="1:5" x14ac:dyDescent="0.3">
      <c r="A33" s="37">
        <f t="shared" si="1"/>
        <v>11000000</v>
      </c>
      <c r="B33" s="36" t="e">
        <f t="shared" si="0"/>
        <v>#REF!</v>
      </c>
      <c r="C33" s="38" t="e">
        <f>B33*Data!$D$5</f>
        <v>#REF!</v>
      </c>
      <c r="D33" s="39" t="e">
        <f t="shared" si="2"/>
        <v>#REF!</v>
      </c>
      <c r="E33" s="38" t="e">
        <f>C33*(1-Data!$D$4)</f>
        <v>#REF!</v>
      </c>
    </row>
    <row r="34" spans="1:5" x14ac:dyDescent="0.3">
      <c r="A34" s="37">
        <f>A33+(($C$18-$B$18)/$D$18)</f>
        <v>12000000</v>
      </c>
      <c r="B34" s="36" t="e">
        <f t="shared" si="0"/>
        <v>#REF!</v>
      </c>
      <c r="C34" s="38" t="e">
        <f>B34*Data!$D$5</f>
        <v>#REF!</v>
      </c>
      <c r="D34" s="39" t="e">
        <f t="shared" si="2"/>
        <v>#REF!</v>
      </c>
      <c r="E34" s="38" t="e">
        <f>C34*(1-Data!$D$4)</f>
        <v>#REF!</v>
      </c>
    </row>
    <row r="35" spans="1:5" x14ac:dyDescent="0.3">
      <c r="A35" s="37">
        <f t="shared" si="1"/>
        <v>13000000</v>
      </c>
      <c r="B35" s="36" t="e">
        <f t="shared" si="0"/>
        <v>#REF!</v>
      </c>
      <c r="C35" s="38" t="e">
        <f>B35*Data!$D$5</f>
        <v>#REF!</v>
      </c>
      <c r="D35" s="39" t="e">
        <f t="shared" si="2"/>
        <v>#REF!</v>
      </c>
      <c r="E35" s="38" t="e">
        <f>C35*(1-Data!$D$4)</f>
        <v>#REF!</v>
      </c>
    </row>
    <row r="36" spans="1:5" x14ac:dyDescent="0.3">
      <c r="A36" s="37">
        <f t="shared" si="1"/>
        <v>14000000</v>
      </c>
      <c r="B36" s="36" t="e">
        <f t="shared" si="0"/>
        <v>#REF!</v>
      </c>
      <c r="C36" s="38" t="e">
        <f>B36*Data!$D$5</f>
        <v>#REF!</v>
      </c>
      <c r="D36" s="39" t="e">
        <f t="shared" si="2"/>
        <v>#REF!</v>
      </c>
      <c r="E36" s="38" t="e">
        <f>C36*(1-Data!$D$4)</f>
        <v>#REF!</v>
      </c>
    </row>
    <row r="37" spans="1:5" x14ac:dyDescent="0.3">
      <c r="A37" s="37">
        <f t="shared" si="1"/>
        <v>15000000</v>
      </c>
      <c r="B37" s="36" t="e">
        <f t="shared" si="0"/>
        <v>#REF!</v>
      </c>
      <c r="C37" s="38" t="e">
        <f>B37*Data!$D$5</f>
        <v>#REF!</v>
      </c>
      <c r="D37" s="39" t="e">
        <f t="shared" si="2"/>
        <v>#REF!</v>
      </c>
      <c r="E37" s="38" t="e">
        <f>C37*(1-Data!$D$4)</f>
        <v>#REF!</v>
      </c>
    </row>
    <row r="38" spans="1:5" x14ac:dyDescent="0.3">
      <c r="A38" s="37">
        <f t="shared" si="1"/>
        <v>16000000</v>
      </c>
      <c r="B38" s="36" t="e">
        <f t="shared" si="0"/>
        <v>#REF!</v>
      </c>
      <c r="C38" s="38" t="e">
        <f>B38*Data!$D$5</f>
        <v>#REF!</v>
      </c>
      <c r="D38" s="39" t="e">
        <f t="shared" si="2"/>
        <v>#REF!</v>
      </c>
      <c r="E38" s="38" t="e">
        <f>C38*(1-Data!$D$4)</f>
        <v>#REF!</v>
      </c>
    </row>
    <row r="39" spans="1:5" x14ac:dyDescent="0.3">
      <c r="A39" s="37">
        <f t="shared" si="1"/>
        <v>17000000</v>
      </c>
      <c r="B39" s="36" t="e">
        <f t="shared" si="0"/>
        <v>#REF!</v>
      </c>
      <c r="C39" s="38" t="e">
        <f>B39*Data!$D$5</f>
        <v>#REF!</v>
      </c>
      <c r="D39" s="39" t="e">
        <f t="shared" si="2"/>
        <v>#REF!</v>
      </c>
      <c r="E39" s="38" t="e">
        <f>C39*(1-Data!$D$4)</f>
        <v>#REF!</v>
      </c>
    </row>
    <row r="40" spans="1:5" x14ac:dyDescent="0.3">
      <c r="A40" s="37">
        <f t="shared" si="1"/>
        <v>18000000</v>
      </c>
      <c r="B40" s="36" t="e">
        <f t="shared" si="0"/>
        <v>#REF!</v>
      </c>
      <c r="C40" s="38" t="e">
        <f>B40*Data!$D$5</f>
        <v>#REF!</v>
      </c>
      <c r="D40" s="39" t="e">
        <f t="shared" si="2"/>
        <v>#REF!</v>
      </c>
      <c r="E40" s="38" t="e">
        <f>C40*(1-Data!$D$4)</f>
        <v>#REF!</v>
      </c>
    </row>
    <row r="41" spans="1:5" x14ac:dyDescent="0.3">
      <c r="A41" s="37">
        <f>A40+(($C$18-$B$18)/$D$18)</f>
        <v>19000000</v>
      </c>
      <c r="B41" s="36" t="e">
        <f t="shared" si="0"/>
        <v>#REF!</v>
      </c>
      <c r="C41" s="38" t="e">
        <f>B41*Data!$D$5</f>
        <v>#REF!</v>
      </c>
      <c r="D41" s="39" t="e">
        <f t="shared" si="2"/>
        <v>#REF!</v>
      </c>
      <c r="E41" s="38" t="e">
        <f>C41*(1-Data!$D$4)</f>
        <v>#REF!</v>
      </c>
    </row>
    <row r="42" spans="1:5" x14ac:dyDescent="0.3">
      <c r="A42" s="37">
        <f t="shared" si="1"/>
        <v>20000000</v>
      </c>
      <c r="B42" s="36" t="e">
        <f t="shared" si="0"/>
        <v>#REF!</v>
      </c>
      <c r="C42" s="38" t="e">
        <f>B42*Data!$D$5</f>
        <v>#REF!</v>
      </c>
      <c r="D42" s="39" t="e">
        <f t="shared" si="2"/>
        <v>#REF!</v>
      </c>
      <c r="E42" s="38" t="e">
        <f>C42*(1-Data!$D$4)</f>
        <v>#REF!</v>
      </c>
    </row>
    <row r="43" spans="1:5" x14ac:dyDescent="0.3">
      <c r="A43" s="37">
        <f t="shared" si="1"/>
        <v>21000000</v>
      </c>
      <c r="B43" s="36" t="e">
        <f t="shared" ref="B43:B52" si="3">(($O$12/(1+EXP($M$12+$N$12*A43)))-1) - ($F$12-$C$12)</f>
        <v>#REF!</v>
      </c>
      <c r="C43" s="38" t="e">
        <f>B43*Data!$D$5</f>
        <v>#REF!</v>
      </c>
      <c r="D43" s="39" t="e">
        <f t="shared" ref="D43:D52" si="4">C43/A43</f>
        <v>#REF!</v>
      </c>
      <c r="E43" s="38" t="e">
        <f>C43*(1-Data!$D$4)</f>
        <v>#REF!</v>
      </c>
    </row>
    <row r="44" spans="1:5" x14ac:dyDescent="0.3">
      <c r="A44" s="37">
        <f t="shared" si="1"/>
        <v>22000000</v>
      </c>
      <c r="B44" s="36" t="e">
        <f t="shared" si="3"/>
        <v>#REF!</v>
      </c>
      <c r="C44" s="38" t="e">
        <f>B44*Data!$D$5</f>
        <v>#REF!</v>
      </c>
      <c r="D44" s="39" t="e">
        <f t="shared" si="4"/>
        <v>#REF!</v>
      </c>
      <c r="E44" s="38" t="e">
        <f>C44*(1-Data!$D$4)</f>
        <v>#REF!</v>
      </c>
    </row>
    <row r="45" spans="1:5" x14ac:dyDescent="0.3">
      <c r="A45" s="37">
        <f t="shared" si="1"/>
        <v>23000000</v>
      </c>
      <c r="B45" s="36" t="e">
        <f t="shared" si="3"/>
        <v>#REF!</v>
      </c>
      <c r="C45" s="38" t="e">
        <f>B45*Data!$D$5</f>
        <v>#REF!</v>
      </c>
      <c r="D45" s="39" t="e">
        <f t="shared" si="4"/>
        <v>#REF!</v>
      </c>
      <c r="E45" s="38" t="e">
        <f>C45*(1-Data!$D$4)</f>
        <v>#REF!</v>
      </c>
    </row>
    <row r="46" spans="1:5" x14ac:dyDescent="0.3">
      <c r="A46" s="37">
        <f t="shared" si="1"/>
        <v>24000000</v>
      </c>
      <c r="B46" s="36" t="e">
        <f t="shared" si="3"/>
        <v>#REF!</v>
      </c>
      <c r="C46" s="38" t="e">
        <f>B46*Data!$D$5</f>
        <v>#REF!</v>
      </c>
      <c r="D46" s="39" t="e">
        <f t="shared" si="4"/>
        <v>#REF!</v>
      </c>
      <c r="E46" s="38" t="e">
        <f>C46*(1-Data!$D$4)</f>
        <v>#REF!</v>
      </c>
    </row>
    <row r="47" spans="1:5" x14ac:dyDescent="0.3">
      <c r="A47" s="37">
        <f t="shared" si="1"/>
        <v>25000000</v>
      </c>
      <c r="B47" s="36" t="e">
        <f t="shared" si="3"/>
        <v>#REF!</v>
      </c>
      <c r="C47" s="38" t="e">
        <f>B47*Data!$D$5</f>
        <v>#REF!</v>
      </c>
      <c r="D47" s="39" t="e">
        <f t="shared" si="4"/>
        <v>#REF!</v>
      </c>
      <c r="E47" s="38" t="e">
        <f>C47*(1-Data!$D$4)</f>
        <v>#REF!</v>
      </c>
    </row>
    <row r="48" spans="1:5" x14ac:dyDescent="0.3">
      <c r="A48" s="37">
        <f t="shared" si="1"/>
        <v>26000000</v>
      </c>
      <c r="B48" s="36" t="e">
        <f t="shared" si="3"/>
        <v>#REF!</v>
      </c>
      <c r="C48" s="38" t="e">
        <f>B48*Data!$D$5</f>
        <v>#REF!</v>
      </c>
      <c r="D48" s="39" t="e">
        <f t="shared" si="4"/>
        <v>#REF!</v>
      </c>
      <c r="E48" s="38" t="e">
        <f>C48*(1-Data!$D$4)</f>
        <v>#REF!</v>
      </c>
    </row>
    <row r="49" spans="1:5" x14ac:dyDescent="0.3">
      <c r="A49" s="37">
        <f t="shared" si="1"/>
        <v>27000000</v>
      </c>
      <c r="B49" s="36" t="e">
        <f t="shared" si="3"/>
        <v>#REF!</v>
      </c>
      <c r="C49" s="38" t="e">
        <f>B49*Data!$D$5</f>
        <v>#REF!</v>
      </c>
      <c r="D49" s="39" t="e">
        <f t="shared" si="4"/>
        <v>#REF!</v>
      </c>
      <c r="E49" s="38" t="e">
        <f>C49*(1-Data!$D$4)</f>
        <v>#REF!</v>
      </c>
    </row>
    <row r="50" spans="1:5" x14ac:dyDescent="0.3">
      <c r="A50" s="37">
        <f>A49+(($C$18-$B$18)/$D$18)</f>
        <v>28000000</v>
      </c>
      <c r="B50" s="36" t="e">
        <f t="shared" si="3"/>
        <v>#REF!</v>
      </c>
      <c r="C50" s="38" t="e">
        <f>B50*Data!$D$5</f>
        <v>#REF!</v>
      </c>
      <c r="D50" s="39" t="e">
        <f t="shared" si="4"/>
        <v>#REF!</v>
      </c>
      <c r="E50" s="38" t="e">
        <f>C50*(1-Data!$D$4)</f>
        <v>#REF!</v>
      </c>
    </row>
    <row r="51" spans="1:5" x14ac:dyDescent="0.3">
      <c r="A51" s="37">
        <f t="shared" si="1"/>
        <v>29000000</v>
      </c>
      <c r="B51" s="36" t="e">
        <f t="shared" si="3"/>
        <v>#REF!</v>
      </c>
      <c r="C51" s="38" t="e">
        <f>B51*Data!$D$5</f>
        <v>#REF!</v>
      </c>
      <c r="D51" s="39" t="e">
        <f t="shared" si="4"/>
        <v>#REF!</v>
      </c>
      <c r="E51" s="38" t="e">
        <f>C51*(1-Data!$D$4)</f>
        <v>#REF!</v>
      </c>
    </row>
    <row r="52" spans="1:5" x14ac:dyDescent="0.3">
      <c r="A52" s="37">
        <f t="shared" si="1"/>
        <v>30000000</v>
      </c>
      <c r="B52" s="36" t="e">
        <f t="shared" si="3"/>
        <v>#REF!</v>
      </c>
      <c r="C52" s="38" t="e">
        <f>B52*Data!$D$5</f>
        <v>#REF!</v>
      </c>
      <c r="D52" s="39" t="e">
        <f t="shared" si="4"/>
        <v>#REF!</v>
      </c>
      <c r="E52" s="38" t="e">
        <f>C52*(1-Data!$D$4)</f>
        <v>#REF!</v>
      </c>
    </row>
    <row r="53" spans="1:5" x14ac:dyDescent="0.3">
      <c r="A53" s="37">
        <f t="shared" si="1"/>
        <v>31000000</v>
      </c>
      <c r="B53" s="36" t="e">
        <f t="shared" ref="B53:B55" si="5">(($O$12/(1+EXP($M$12+$N$12*A53)))-1) - ($F$12-$C$12)</f>
        <v>#REF!</v>
      </c>
      <c r="C53" s="38" t="e">
        <f>B53*Data!$D$5</f>
        <v>#REF!</v>
      </c>
      <c r="D53" s="39" t="e">
        <f t="shared" ref="D53:D55" si="6">C53/A53</f>
        <v>#REF!</v>
      </c>
      <c r="E53" s="38" t="e">
        <f>C53*(1-Data!$D$4)</f>
        <v>#REF!</v>
      </c>
    </row>
    <row r="54" spans="1:5" x14ac:dyDescent="0.3">
      <c r="A54" s="67">
        <f t="shared" si="1"/>
        <v>32000000</v>
      </c>
      <c r="B54" s="68" t="e">
        <f t="shared" si="5"/>
        <v>#REF!</v>
      </c>
      <c r="C54" s="69" t="e">
        <f>B54*Data!$D$5</f>
        <v>#REF!</v>
      </c>
      <c r="D54" s="70" t="e">
        <f t="shared" si="6"/>
        <v>#REF!</v>
      </c>
      <c r="E54" s="69" t="e">
        <f>C54*(1-Data!$D$4)</f>
        <v>#REF!</v>
      </c>
    </row>
    <row r="55" spans="1:5" x14ac:dyDescent="0.3">
      <c r="A55" s="37">
        <f t="shared" si="1"/>
        <v>33000000</v>
      </c>
      <c r="B55" s="36" t="e">
        <f t="shared" si="5"/>
        <v>#REF!</v>
      </c>
      <c r="C55" s="38" t="e">
        <f>B55*Data!$D$5</f>
        <v>#REF!</v>
      </c>
      <c r="D55" s="39" t="e">
        <f t="shared" si="6"/>
        <v>#REF!</v>
      </c>
      <c r="E55" s="38" t="e">
        <f>C55*(1-Data!$D$4)</f>
        <v>#REF!</v>
      </c>
    </row>
    <row r="56" spans="1:5" x14ac:dyDescent="0.3">
      <c r="A56" s="37">
        <f t="shared" si="1"/>
        <v>34000000</v>
      </c>
      <c r="B56" s="36" t="e">
        <f t="shared" ref="B56:B57" si="7">(($O$12/(1+EXP($M$12+$N$12*A56)))-1) - ($F$12-$C$12)</f>
        <v>#REF!</v>
      </c>
      <c r="C56" s="38" t="e">
        <f>B56*Data!$D$5</f>
        <v>#REF!</v>
      </c>
      <c r="D56" s="39" t="e">
        <f t="shared" ref="D56:D57" si="8">C56/A56</f>
        <v>#REF!</v>
      </c>
      <c r="E56" s="38" t="e">
        <f>C56*(1-Data!$D$4)</f>
        <v>#REF!</v>
      </c>
    </row>
    <row r="57" spans="1:5" x14ac:dyDescent="0.3">
      <c r="A57" s="37">
        <f t="shared" si="1"/>
        <v>35000000</v>
      </c>
      <c r="B57" s="36" t="e">
        <f t="shared" si="7"/>
        <v>#REF!</v>
      </c>
      <c r="C57" s="38" t="e">
        <f>B57*Data!$D$5</f>
        <v>#REF!</v>
      </c>
      <c r="D57" s="39" t="e">
        <f t="shared" si="8"/>
        <v>#REF!</v>
      </c>
      <c r="E57" s="38" t="e">
        <f>C57*(1-Data!$D$4)</f>
        <v>#REF!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F7373-6772-45A6-A015-A42BDA468FE1}">
  <dimension ref="A1:I41"/>
  <sheetViews>
    <sheetView topLeftCell="A7" zoomScale="80" zoomScaleNormal="80" workbookViewId="0">
      <selection activeCell="I17" sqref="I17"/>
    </sheetView>
  </sheetViews>
  <sheetFormatPr defaultRowHeight="14.5" x14ac:dyDescent="0.35"/>
  <cols>
    <col min="1" max="1" width="16.453125" bestFit="1" customWidth="1"/>
    <col min="2" max="2" width="18" customWidth="1"/>
    <col min="3" max="3" width="17.6328125" bestFit="1" customWidth="1"/>
    <col min="4" max="4" width="19.36328125" customWidth="1"/>
    <col min="5" max="5" width="17.6328125" customWidth="1"/>
    <col min="6" max="6" width="15.453125" customWidth="1"/>
    <col min="7" max="7" width="15.6328125" customWidth="1"/>
    <col min="8" max="8" width="15" customWidth="1"/>
    <col min="9" max="9" width="14.36328125" customWidth="1"/>
  </cols>
  <sheetData>
    <row r="1" spans="1:9" ht="15" thickBot="1" x14ac:dyDescent="0.4">
      <c r="A1" s="1" t="s">
        <v>7</v>
      </c>
      <c r="B1" s="2" t="s">
        <v>88</v>
      </c>
      <c r="C1" s="2"/>
      <c r="D1" s="2"/>
      <c r="E1" s="2"/>
      <c r="F1" s="2"/>
      <c r="G1" s="2"/>
      <c r="H1" s="2"/>
      <c r="I1" s="2"/>
    </row>
    <row r="2" spans="1:9" x14ac:dyDescent="0.35">
      <c r="A2" s="3" t="s">
        <v>0</v>
      </c>
      <c r="B2" s="4" t="s">
        <v>87</v>
      </c>
      <c r="C2" s="5" t="s">
        <v>10</v>
      </c>
      <c r="D2" s="6" t="s">
        <v>11</v>
      </c>
      <c r="E2" s="5" t="s">
        <v>66</v>
      </c>
      <c r="F2" s="6" t="s">
        <v>82</v>
      </c>
      <c r="G2" s="2"/>
      <c r="H2" s="2"/>
      <c r="I2" s="2"/>
    </row>
    <row r="3" spans="1:9" ht="15" thickBot="1" x14ac:dyDescent="0.4">
      <c r="A3" s="76" t="s">
        <v>13</v>
      </c>
      <c r="B3" s="26" t="s">
        <v>81</v>
      </c>
      <c r="C3" s="77" t="s">
        <v>14</v>
      </c>
      <c r="D3" s="78" t="s">
        <v>82</v>
      </c>
      <c r="E3" s="77" t="s">
        <v>16</v>
      </c>
      <c r="F3" s="78"/>
      <c r="G3" s="2"/>
      <c r="H3" s="2"/>
      <c r="I3" s="2"/>
    </row>
    <row r="4" spans="1:9" ht="15" thickBot="1" x14ac:dyDescent="0.4">
      <c r="A4" s="13" t="s">
        <v>18</v>
      </c>
      <c r="B4" s="125"/>
      <c r="C4" s="126"/>
      <c r="D4" s="126"/>
      <c r="E4" s="126"/>
      <c r="F4" s="127"/>
      <c r="G4" s="2"/>
      <c r="H4" s="2"/>
      <c r="I4" s="2"/>
    </row>
    <row r="5" spans="1:9" x14ac:dyDescent="0.35">
      <c r="A5" s="2"/>
      <c r="B5" s="2"/>
      <c r="C5" s="2"/>
      <c r="D5" s="2"/>
      <c r="E5" s="2"/>
      <c r="F5" s="2"/>
      <c r="G5" s="2"/>
      <c r="H5" s="2"/>
      <c r="I5" s="2"/>
    </row>
    <row r="6" spans="1:9" ht="15" thickBot="1" x14ac:dyDescent="0.4">
      <c r="A6" s="2"/>
      <c r="B6" s="98">
        <v>0.8</v>
      </c>
      <c r="C6" s="98">
        <v>2</v>
      </c>
      <c r="D6" s="2"/>
      <c r="E6" s="2"/>
      <c r="F6" s="2"/>
      <c r="G6" s="2"/>
      <c r="H6" s="2"/>
      <c r="I6" s="2"/>
    </row>
    <row r="7" spans="1:9" x14ac:dyDescent="0.35">
      <c r="A7" s="106" t="s">
        <v>22</v>
      </c>
      <c r="B7" s="109"/>
      <c r="C7" s="109"/>
      <c r="D7" s="109" t="s">
        <v>24</v>
      </c>
      <c r="E7" s="109"/>
      <c r="F7" s="109"/>
      <c r="G7" s="109" t="s">
        <v>67</v>
      </c>
      <c r="H7" s="109"/>
      <c r="I7" s="124"/>
    </row>
    <row r="8" spans="1:9" x14ac:dyDescent="0.35">
      <c r="A8" s="107"/>
      <c r="B8" s="81" t="s">
        <v>26</v>
      </c>
      <c r="C8" s="81" t="s">
        <v>27</v>
      </c>
      <c r="D8" s="81" t="s">
        <v>28</v>
      </c>
      <c r="E8" s="81" t="s">
        <v>29</v>
      </c>
      <c r="F8" s="81" t="s">
        <v>68</v>
      </c>
      <c r="G8" s="81" t="s">
        <v>30</v>
      </c>
      <c r="H8" s="81" t="s">
        <v>31</v>
      </c>
      <c r="I8" s="19" t="s">
        <v>69</v>
      </c>
    </row>
    <row r="9" spans="1:9" ht="15" thickBot="1" x14ac:dyDescent="0.4">
      <c r="A9" s="108"/>
      <c r="B9" s="99">
        <f>'PAID SEARCH'!$D$6*B6</f>
        <v>1301751.2000000002</v>
      </c>
      <c r="C9" s="99">
        <f>'PAID SEARCH'!$D$6*C6</f>
        <v>3254378</v>
      </c>
      <c r="D9" s="79">
        <f>G9</f>
        <v>1627189</v>
      </c>
      <c r="E9" s="91">
        <f>(('HCC Paid Search Curve - Power'!D9/$B$12)^$D$12)*$C$12</f>
        <v>527.84745731692942</v>
      </c>
      <c r="F9" s="80">
        <f>E9*F11</f>
        <v>0</v>
      </c>
      <c r="G9" s="34">
        <f>Data!H5</f>
        <v>1627189</v>
      </c>
      <c r="H9" s="91">
        <f>(('HCC Paid Search Curve - Power'!G9/$B$12)^$D$12)*$C$12</f>
        <v>527.84745731692942</v>
      </c>
      <c r="I9" s="92">
        <f>H9*F11</f>
        <v>0</v>
      </c>
    </row>
    <row r="10" spans="1:9" ht="15" thickBot="1" x14ac:dyDescent="0.4"/>
    <row r="11" spans="1:9" ht="48.9" customHeight="1" x14ac:dyDescent="0.35">
      <c r="A11" s="123" t="s">
        <v>32</v>
      </c>
      <c r="B11" s="88" t="s">
        <v>33</v>
      </c>
      <c r="C11" s="88" t="s">
        <v>34</v>
      </c>
      <c r="D11" s="88" t="s">
        <v>78</v>
      </c>
      <c r="E11" s="81" t="s">
        <v>70</v>
      </c>
      <c r="F11" s="84"/>
    </row>
    <row r="12" spans="1:9" ht="40.4" customHeight="1" thickBot="1" x14ac:dyDescent="0.4">
      <c r="A12" s="123"/>
      <c r="B12" s="99">
        <f>Data!H5</f>
        <v>1627189</v>
      </c>
      <c r="C12" s="96">
        <f>Data!I5</f>
        <v>527.84745731692942</v>
      </c>
      <c r="D12" s="97">
        <f>Data!L5</f>
        <v>0.6</v>
      </c>
      <c r="E12" s="81" t="s">
        <v>73</v>
      </c>
      <c r="F12" s="85">
        <v>1</v>
      </c>
    </row>
    <row r="13" spans="1:9" ht="18.75" customHeight="1" x14ac:dyDescent="0.35">
      <c r="A13" s="117" t="s">
        <v>79</v>
      </c>
      <c r="B13" s="118"/>
      <c r="C13" s="118"/>
      <c r="D13" s="118"/>
      <c r="E13" s="87" t="s">
        <v>71</v>
      </c>
      <c r="F13" s="87" t="s">
        <v>72</v>
      </c>
    </row>
    <row r="14" spans="1:9" ht="15" thickBot="1" x14ac:dyDescent="0.4">
      <c r="A14" s="120"/>
      <c r="B14" s="121"/>
      <c r="C14" s="121"/>
      <c r="D14" s="121"/>
      <c r="E14" s="20"/>
      <c r="F14" s="20"/>
    </row>
    <row r="15" spans="1:9" ht="15" thickBot="1" x14ac:dyDescent="0.4"/>
    <row r="16" spans="1:9" x14ac:dyDescent="0.35">
      <c r="A16" s="115" t="s">
        <v>48</v>
      </c>
      <c r="B16" s="82" t="s">
        <v>49</v>
      </c>
      <c r="C16" s="82" t="s">
        <v>50</v>
      </c>
      <c r="D16" s="83" t="s">
        <v>51</v>
      </c>
    </row>
    <row r="17" spans="1:4" ht="15" thickBot="1" x14ac:dyDescent="0.4">
      <c r="A17" s="116"/>
      <c r="B17" s="34">
        <v>0</v>
      </c>
      <c r="C17" s="34">
        <v>6000000</v>
      </c>
      <c r="D17" s="35">
        <v>20</v>
      </c>
    </row>
    <row r="18" spans="1:4" x14ac:dyDescent="0.35">
      <c r="A18" s="2"/>
      <c r="B18" s="2"/>
      <c r="C18" s="2"/>
      <c r="D18" s="2"/>
    </row>
    <row r="19" spans="1:4" x14ac:dyDescent="0.35">
      <c r="A19" s="123" t="s">
        <v>52</v>
      </c>
      <c r="B19" s="123"/>
      <c r="C19" s="123"/>
      <c r="D19" s="2"/>
    </row>
    <row r="20" spans="1:4" x14ac:dyDescent="0.35">
      <c r="A20" s="81" t="s">
        <v>74</v>
      </c>
      <c r="B20" s="81" t="s">
        <v>83</v>
      </c>
      <c r="C20" s="81" t="s">
        <v>77</v>
      </c>
    </row>
    <row r="21" spans="1:4" x14ac:dyDescent="0.35">
      <c r="A21" s="86">
        <f>B17</f>
        <v>0</v>
      </c>
      <c r="B21" s="91">
        <f>(('HCC Paid Search Curve - Power'!A21/$B$12)^$D$12)*$C$12</f>
        <v>0</v>
      </c>
      <c r="C21" s="93">
        <f>B21*Data!$D$5</f>
        <v>0</v>
      </c>
    </row>
    <row r="22" spans="1:4" x14ac:dyDescent="0.35">
      <c r="A22" s="86">
        <f>A21+(($C$17-$B$17)/$D$17)</f>
        <v>300000</v>
      </c>
      <c r="B22" s="91">
        <f>(('HCC Paid Search Curve - Power'!A22/$B$12)^$D$12)*$C$12</f>
        <v>191.38962296131638</v>
      </c>
      <c r="C22" s="93">
        <f>B22*Data!$D$5</f>
        <v>793336.99220774672</v>
      </c>
    </row>
    <row r="23" spans="1:4" x14ac:dyDescent="0.35">
      <c r="A23" s="86">
        <f t="shared" ref="A23:A41" si="0">A22+(($C$17-$B$17)/$D$17)</f>
        <v>600000</v>
      </c>
      <c r="B23" s="91">
        <f>(('HCC Paid Search Curve - Power'!A23/$B$12)^$D$12)*$C$12</f>
        <v>290.09242218064611</v>
      </c>
      <c r="C23" s="93">
        <f>B23*Data!$D$5</f>
        <v>1202474.0219148123</v>
      </c>
    </row>
    <row r="24" spans="1:4" x14ac:dyDescent="0.35">
      <c r="A24" s="86">
        <f t="shared" si="0"/>
        <v>900000</v>
      </c>
      <c r="B24" s="91">
        <f>(('HCC Paid Search Curve - Power'!A24/$B$12)^$D$12)*$C$12</f>
        <v>369.99098269507664</v>
      </c>
      <c r="C24" s="93">
        <f>B24*Data!$D$5</f>
        <v>1533664.8289161858</v>
      </c>
    </row>
    <row r="25" spans="1:4" x14ac:dyDescent="0.35">
      <c r="A25" s="86">
        <f t="shared" si="0"/>
        <v>1200000</v>
      </c>
      <c r="B25" s="91">
        <f>(('HCC Paid Search Curve - Power'!A25/$B$12)^$D$12)*$C$12</f>
        <v>439.6978901183337</v>
      </c>
      <c r="C25" s="93">
        <f>B25*Data!$D$5</f>
        <v>1822609.7958146683</v>
      </c>
    </row>
    <row r="26" spans="1:4" x14ac:dyDescent="0.35">
      <c r="A26" s="86">
        <f t="shared" si="0"/>
        <v>1500000</v>
      </c>
      <c r="B26" s="91">
        <f>(('HCC Paid Search Curve - Power'!A26/$B$12)^$D$12)*$C$12</f>
        <v>502.69016618225112</v>
      </c>
      <c r="C26" s="93">
        <f>B26*Data!$D$5</f>
        <v>2083721.6682957015</v>
      </c>
    </row>
    <row r="27" spans="1:4" x14ac:dyDescent="0.35">
      <c r="A27" s="86">
        <f t="shared" si="0"/>
        <v>1800000</v>
      </c>
      <c r="B27" s="91">
        <f>(('HCC Paid Search Curve - Power'!A27/$B$12)^$D$12)*$C$12</f>
        <v>560.80146193038968</v>
      </c>
      <c r="C27" s="93">
        <f>B27*Data!$D$5</f>
        <v>2324601.1886625979</v>
      </c>
    </row>
    <row r="28" spans="1:4" x14ac:dyDescent="0.35">
      <c r="A28" s="86">
        <f t="shared" si="0"/>
        <v>2100000</v>
      </c>
      <c r="B28" s="91">
        <f>(('HCC Paid Search Curve - Power'!A28/$B$12)^$D$12)*$C$12</f>
        <v>615.1445928386845</v>
      </c>
      <c r="C28" s="93">
        <f>B28*Data!$D$5</f>
        <v>2549861.1340811243</v>
      </c>
    </row>
    <row r="29" spans="1:4" x14ac:dyDescent="0.35">
      <c r="A29" s="86">
        <f t="shared" si="0"/>
        <v>2400000</v>
      </c>
      <c r="B29" s="91">
        <f>(('HCC Paid Search Curve - Power'!A29/$B$12)^$D$12)*$C$12</f>
        <v>666.45737631202712</v>
      </c>
      <c r="C29" s="93">
        <f>B29*Data!$D$5</f>
        <v>2762559.8618004271</v>
      </c>
    </row>
    <row r="30" spans="1:4" x14ac:dyDescent="0.35">
      <c r="A30" s="86">
        <f t="shared" si="0"/>
        <v>2700000</v>
      </c>
      <c r="B30" s="91">
        <f>(('HCC Paid Search Curve - Power'!A30/$B$12)^$D$12)*$C$12</f>
        <v>715.25992453278059</v>
      </c>
      <c r="C30" s="93">
        <f>B30*Data!$D$5</f>
        <v>2964853.3102041134</v>
      </c>
    </row>
    <row r="31" spans="1:4" x14ac:dyDescent="0.35">
      <c r="A31" s="86">
        <f t="shared" si="0"/>
        <v>3000000</v>
      </c>
      <c r="B31" s="91">
        <f>(('HCC Paid Search Curve - Power'!A31/$B$12)^$D$12)*$C$12</f>
        <v>761.9358127043032</v>
      </c>
      <c r="C31" s="93">
        <f>B31*Data!$D$5</f>
        <v>3158331.4526324798</v>
      </c>
    </row>
    <row r="32" spans="1:4" x14ac:dyDescent="0.35">
      <c r="A32" s="86">
        <f t="shared" si="0"/>
        <v>3300000</v>
      </c>
      <c r="B32" s="91">
        <f>(('HCC Paid Search Curve - Power'!A32/$B$12)^$D$12)*$C$12</f>
        <v>806.77790902522986</v>
      </c>
      <c r="C32" s="93">
        <f>B32*Data!$D$5</f>
        <v>3344208.2690925049</v>
      </c>
    </row>
    <row r="33" spans="1:3" x14ac:dyDescent="0.35">
      <c r="A33" s="86">
        <f t="shared" si="0"/>
        <v>3600000</v>
      </c>
      <c r="B33" s="91">
        <f>(('HCC Paid Search Curve - Power'!A33/$B$12)^$D$12)*$C$12</f>
        <v>850.01606637114185</v>
      </c>
      <c r="C33" s="93">
        <f>B33*Data!$D$5</f>
        <v>3523436.532185663</v>
      </c>
    </row>
    <row r="34" spans="1:3" x14ac:dyDescent="0.35">
      <c r="A34" s="86">
        <f t="shared" si="0"/>
        <v>3900000</v>
      </c>
      <c r="B34" s="91">
        <f>(('HCC Paid Search Curve - Power'!A34/$B$12)^$D$12)*$C$12</f>
        <v>891.83476601096493</v>
      </c>
      <c r="C34" s="93">
        <f>B34*Data!$D$5</f>
        <v>3696780.9428019165</v>
      </c>
    </row>
    <row r="35" spans="1:3" x14ac:dyDescent="0.35">
      <c r="A35" s="86">
        <f t="shared" si="0"/>
        <v>4200000</v>
      </c>
      <c r="B35" s="91">
        <f>(('HCC Paid Search Curve - Power'!A35/$B$12)^$D$12)*$C$12</f>
        <v>932.38485016488744</v>
      </c>
      <c r="C35" s="93">
        <f>B35*Data!$D$5</f>
        <v>3864866.7632277505</v>
      </c>
    </row>
    <row r="36" spans="1:3" x14ac:dyDescent="0.35">
      <c r="A36" s="86">
        <f t="shared" si="0"/>
        <v>4500000</v>
      </c>
      <c r="B36" s="91">
        <f>(('HCC Paid Search Curve - Power'!A36/$B$12)^$D$12)*$C$12</f>
        <v>971.79160342729176</v>
      </c>
      <c r="C36" s="93">
        <f>B36*Data!$D$5</f>
        <v>4028213.3157845079</v>
      </c>
    </row>
    <row r="37" spans="1:3" x14ac:dyDescent="0.35">
      <c r="A37" s="86">
        <f t="shared" si="0"/>
        <v>4800000</v>
      </c>
      <c r="B37" s="91">
        <f>(('HCC Paid Search Curve - Power'!A37/$B$12)^$D$12)*$C$12</f>
        <v>1010.1604861491941</v>
      </c>
      <c r="C37" s="93">
        <f>B37*Data!$D$5</f>
        <v>4187257.748507583</v>
      </c>
    </row>
    <row r="38" spans="1:3" x14ac:dyDescent="0.35">
      <c r="A38" s="86">
        <f t="shared" si="0"/>
        <v>5100000</v>
      </c>
      <c r="B38" s="91">
        <f>(('HCC Paid Search Curve - Power'!A38/$B$12)^$D$12)*$C$12</f>
        <v>1047.581305583692</v>
      </c>
      <c r="C38" s="93">
        <f>B38*Data!$D$5</f>
        <v>4342372.3251328487</v>
      </c>
    </row>
    <row r="39" spans="1:3" x14ac:dyDescent="0.35">
      <c r="A39" s="86">
        <f t="shared" si="0"/>
        <v>5400000</v>
      </c>
      <c r="B39" s="91">
        <f>(('HCC Paid Search Curve - Power'!A39/$B$12)^$D$12)*$C$12</f>
        <v>1084.1313169753128</v>
      </c>
      <c r="C39" s="93">
        <f>B39*Data!$D$5</f>
        <v>4493877.279549568</v>
      </c>
    </row>
    <row r="40" spans="1:3" x14ac:dyDescent="0.35">
      <c r="A40" s="86">
        <f t="shared" si="0"/>
        <v>5700000</v>
      </c>
      <c r="B40" s="91">
        <f>(('HCC Paid Search Curve - Power'!A40/$B$12)^$D$12)*$C$12</f>
        <v>1119.8775730592902</v>
      </c>
      <c r="C40" s="93">
        <f>B40*Data!$D$5</f>
        <v>4642050.5548064103</v>
      </c>
    </row>
    <row r="41" spans="1:3" x14ac:dyDescent="0.35">
      <c r="A41" s="86">
        <f t="shared" si="0"/>
        <v>6000000</v>
      </c>
      <c r="B41" s="91">
        <f>(('HCC Paid Search Curve - Power'!A41/$B$12)^$D$12)*$C$12</f>
        <v>1154.8787339334763</v>
      </c>
      <c r="C41" s="93">
        <f>B41*Data!$D$5</f>
        <v>4787135.3052859008</v>
      </c>
    </row>
  </sheetData>
  <mergeCells count="9">
    <mergeCell ref="G7:I7"/>
    <mergeCell ref="A11:A12"/>
    <mergeCell ref="A16:A17"/>
    <mergeCell ref="A19:C19"/>
    <mergeCell ref="B4:F4"/>
    <mergeCell ref="A7:A9"/>
    <mergeCell ref="B7:C7"/>
    <mergeCell ref="D7:F7"/>
    <mergeCell ref="A13:D14"/>
  </mergeCell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9920fcc9-9f43-4d43-9e3e-b98a219cfd55" value=""/>
</sisl>
</file>

<file path=customXml/itemProps1.xml><?xml version="1.0" encoding="utf-8"?>
<ds:datastoreItem xmlns:ds="http://schemas.openxmlformats.org/officeDocument/2006/customXml" ds:itemID="{1DDEF3AC-9030-4944-A582-90417237D248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PAID SEARCH</vt:lpstr>
      <vt:lpstr>Data</vt:lpstr>
      <vt:lpstr>Sheet2</vt:lpstr>
      <vt:lpstr>HCC Online Curve - SCurve</vt:lpstr>
      <vt:lpstr>HCC Paid Search Curve - Power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2023-08-10T01:30:13Z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c54e8c65-690b-4186-8c07-beb321a7ae06</vt:lpwstr>
  </property>
  <property fmtid="{D5CDD505-2E9C-101B-9397-08002B2CF9AE}" pid="3" name="bjSaver">
    <vt:lpwstr>3O1Gvm5XUeGHackGhxGee6GW/bgAf7qU</vt:lpwstr>
  </property>
  <property fmtid="{D5CDD505-2E9C-101B-9397-08002B2CF9AE}" pid="4" name="bjDocumentSecurityLabel">
    <vt:lpwstr>Not Classified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6" name="bjDocumentLabelXML-0">
    <vt:lpwstr>ames.com/2008/01/sie/internal/label"&gt;&lt;element uid="9920fcc9-9f43-4d43-9e3e-b98a219cfd55" value="" /&gt;&lt;/sisl&gt;</vt:lpwstr>
  </property>
</Properties>
</file>