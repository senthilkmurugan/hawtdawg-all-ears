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filterPrivacy="1" defaultThemeVersion="124226"/>
  <xr:revisionPtr revIDLastSave="0" documentId="13_ncr:1_{3B5ED21D-69A0-495D-8A1F-617CC0B2ACC1}" xr6:coauthVersionLast="47" xr6:coauthVersionMax="47" xr10:uidLastSave="{00000000-0000-0000-0000-000000000000}"/>
  <bookViews>
    <workbookView xWindow="-108" yWindow="-108" windowWidth="23256" windowHeight="12576" tabRatio="424" xr2:uid="{00000000-000D-0000-FFFF-FFFF00000000}"/>
  </bookViews>
  <sheets>
    <sheet name="MCM" sheetId="9" r:id="rId1"/>
    <sheet name="Media plan Summary" sheetId="11" r:id="rId2"/>
    <sheet name="Data" sheetId="6" r:id="rId3"/>
    <sheet name="Sheet2" sheetId="12" r:id="rId4"/>
    <sheet name="HCC MCM Curve" sheetId="7" r:id="rId5"/>
  </sheets>
  <externalReferences>
    <externalReference r:id="rId6"/>
    <externalReference r:id="rId7"/>
    <externalReference r:id="rId8"/>
    <externalReference r:id="rId9"/>
  </externalReferences>
  <calcPr calcId="191029"/>
  <pivotCaches>
    <pivotCache cacheId="2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6" i="9" l="1"/>
  <c r="D16" i="9"/>
  <c r="C16" i="9"/>
  <c r="D5" i="6" l="1"/>
  <c r="D18" i="9"/>
  <c r="F18" i="9" s="1"/>
  <c r="C18" i="9"/>
  <c r="F15" i="9"/>
  <c r="F14" i="9" l="1"/>
  <c r="G14" i="9" s="1"/>
  <c r="D14" i="9"/>
  <c r="F13" i="9"/>
  <c r="G13" i="9" s="1"/>
  <c r="D13" i="9"/>
  <c r="C13" i="9"/>
  <c r="F12" i="9"/>
  <c r="C12" i="9"/>
  <c r="F11" i="9"/>
  <c r="C11" i="9"/>
  <c r="F10" i="9"/>
  <c r="C10" i="9"/>
  <c r="D10" i="9"/>
  <c r="G9" i="9"/>
  <c r="F9" i="9"/>
  <c r="D9" i="9"/>
  <c r="C9" i="9"/>
  <c r="F8" i="9"/>
  <c r="C8" i="9"/>
  <c r="F6" i="9"/>
  <c r="C6" i="9"/>
  <c r="F5" i="9"/>
  <c r="G5" i="9"/>
  <c r="C15" i="9"/>
  <c r="C14" i="9"/>
  <c r="G10" i="9" l="1"/>
  <c r="E8" i="9" l="1"/>
  <c r="E9" i="9"/>
  <c r="H9" i="9" s="1"/>
  <c r="E12" i="9"/>
  <c r="E14" i="9"/>
  <c r="H14" i="9" s="1"/>
  <c r="E15" i="9"/>
  <c r="E5" i="9"/>
  <c r="H5" i="9" s="1"/>
  <c r="E11" i="9"/>
  <c r="E13" i="9"/>
  <c r="H13" i="9" s="1"/>
  <c r="E6" i="9"/>
  <c r="E7" i="9"/>
  <c r="E10" i="9"/>
  <c r="H10" i="9" s="1"/>
  <c r="D5" i="9" l="1"/>
  <c r="C5" i="9"/>
  <c r="F5" i="6" l="1"/>
  <c r="C7" i="9" l="1"/>
  <c r="D15" i="9"/>
  <c r="G15" i="9" s="1"/>
  <c r="H15" i="9" s="1"/>
  <c r="D8" i="9" l="1"/>
  <c r="G8" i="9" l="1"/>
  <c r="H8" i="9" s="1"/>
  <c r="F12" i="7" l="1"/>
  <c r="D11" i="9" l="1"/>
  <c r="D12" i="9"/>
  <c r="G12" i="9" l="1"/>
  <c r="H12" i="9" s="1"/>
  <c r="D7" i="9"/>
  <c r="D6" i="9"/>
  <c r="G6" i="9" l="1"/>
  <c r="H6" i="9" l="1"/>
  <c r="G7" i="9"/>
  <c r="H7" i="9" s="1"/>
  <c r="H5" i="6" l="1"/>
  <c r="B12" i="7" s="1"/>
  <c r="L12" i="7"/>
  <c r="A21" i="7"/>
  <c r="A22" i="7"/>
  <c r="A23" i="7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B9" i="7" l="1"/>
  <c r="C9" i="7"/>
  <c r="F9" i="7"/>
  <c r="D9" i="7" s="1"/>
  <c r="K12" i="7"/>
  <c r="A45" i="7"/>
  <c r="A46" i="7" l="1"/>
  <c r="A47" i="7" l="1"/>
  <c r="A48" i="7" l="1"/>
  <c r="A49" i="7" l="1"/>
  <c r="A50" i="7" l="1"/>
  <c r="A51" i="7" l="1"/>
  <c r="G11" i="9" l="1"/>
  <c r="H11" i="9" l="1"/>
  <c r="H18" i="9" s="1"/>
  <c r="J5" i="6" s="1"/>
  <c r="C12" i="7" s="1"/>
  <c r="G18" i="9"/>
  <c r="L5" i="6" l="1"/>
  <c r="K5" i="6"/>
  <c r="M5" i="6" s="1"/>
  <c r="N5" i="6" s="1"/>
  <c r="E12" i="7" s="1"/>
  <c r="G9" i="7" l="1"/>
  <c r="I12" i="7"/>
  <c r="J12" i="7" s="1"/>
  <c r="M12" i="7" l="1"/>
  <c r="N12" i="7" s="1"/>
  <c r="O12" i="7"/>
  <c r="B22" i="7" l="1"/>
  <c r="C22" i="7" s="1"/>
  <c r="B21" i="7"/>
  <c r="C21" i="7" s="1"/>
  <c r="B50" i="7"/>
  <c r="C50" i="7" s="1"/>
  <c r="B27" i="7"/>
  <c r="C27" i="7" s="1"/>
  <c r="B46" i="7"/>
  <c r="C46" i="7" s="1"/>
  <c r="B40" i="7"/>
  <c r="C40" i="7" s="1"/>
  <c r="B36" i="7"/>
  <c r="C36" i="7" s="1"/>
  <c r="B33" i="7"/>
  <c r="C33" i="7" s="1"/>
  <c r="B26" i="7"/>
  <c r="C26" i="7" s="1"/>
  <c r="B30" i="7"/>
  <c r="C30" i="7" s="1"/>
  <c r="B35" i="7"/>
  <c r="C35" i="7" s="1"/>
  <c r="B24" i="7"/>
  <c r="C24" i="7" s="1"/>
  <c r="B23" i="7"/>
  <c r="C23" i="7" s="1"/>
  <c r="B31" i="7"/>
  <c r="C31" i="7" s="1"/>
  <c r="B37" i="7"/>
  <c r="C37" i="7" s="1"/>
  <c r="B41" i="7"/>
  <c r="C41" i="7" s="1"/>
  <c r="B45" i="7"/>
  <c r="C45" i="7" s="1"/>
  <c r="B48" i="7"/>
  <c r="C48" i="7" s="1"/>
  <c r="B34" i="7"/>
  <c r="C34" i="7" s="1"/>
  <c r="B51" i="7"/>
  <c r="C51" i="7" s="1"/>
  <c r="B39" i="7"/>
  <c r="C39" i="7" s="1"/>
  <c r="B49" i="7"/>
  <c r="C49" i="7" s="1"/>
  <c r="B25" i="7"/>
  <c r="C25" i="7" s="1"/>
  <c r="B38" i="7"/>
  <c r="C38" i="7" s="1"/>
  <c r="B29" i="7"/>
  <c r="C29" i="7" s="1"/>
  <c r="B42" i="7"/>
  <c r="C42" i="7" s="1"/>
  <c r="B44" i="7"/>
  <c r="C44" i="7" s="1"/>
  <c r="B47" i="7"/>
  <c r="C47" i="7" s="1"/>
  <c r="B28" i="7"/>
  <c r="C28" i="7" s="1"/>
  <c r="B43" i="7"/>
  <c r="C43" i="7" s="1"/>
  <c r="B32" i="7"/>
  <c r="E9" i="7"/>
  <c r="C32" i="7" l="1"/>
  <c r="D32" i="7" s="1"/>
  <c r="E43" i="7"/>
  <c r="D43" i="7"/>
  <c r="E47" i="7"/>
  <c r="D47" i="7"/>
  <c r="E42" i="7"/>
  <c r="D42" i="7"/>
  <c r="E38" i="7"/>
  <c r="D38" i="7"/>
  <c r="E49" i="7"/>
  <c r="D49" i="7"/>
  <c r="D51" i="7"/>
  <c r="E51" i="7"/>
  <c r="E48" i="7"/>
  <c r="D48" i="7"/>
  <c r="D41" i="7"/>
  <c r="E41" i="7"/>
  <c r="E31" i="7"/>
  <c r="D31" i="7"/>
  <c r="E24" i="7"/>
  <c r="D24" i="7"/>
  <c r="D30" i="7"/>
  <c r="E30" i="7"/>
  <c r="D33" i="7"/>
  <c r="E33" i="7"/>
  <c r="D40" i="7"/>
  <c r="E40" i="7"/>
  <c r="E46" i="7"/>
  <c r="D46" i="7"/>
  <c r="E50" i="7"/>
  <c r="D50" i="7"/>
  <c r="D28" i="7"/>
  <c r="E28" i="7"/>
  <c r="E44" i="7"/>
  <c r="D44" i="7"/>
  <c r="D29" i="7"/>
  <c r="E29" i="7"/>
  <c r="E25" i="7"/>
  <c r="D25" i="7"/>
  <c r="E39" i="7"/>
  <c r="D39" i="7"/>
  <c r="E34" i="7"/>
  <c r="D34" i="7"/>
  <c r="D45" i="7"/>
  <c r="E45" i="7"/>
  <c r="E37" i="7"/>
  <c r="D37" i="7"/>
  <c r="D23" i="7"/>
  <c r="E23" i="7"/>
  <c r="E35" i="7"/>
  <c r="D35" i="7"/>
  <c r="D26" i="7"/>
  <c r="E26" i="7"/>
  <c r="E36" i="7"/>
  <c r="D36" i="7"/>
  <c r="E22" i="7"/>
  <c r="D22" i="7"/>
  <c r="D27" i="7"/>
  <c r="E27" i="7"/>
  <c r="E32" i="7" l="1"/>
</calcChain>
</file>

<file path=xl/sharedStrings.xml><?xml version="1.0" encoding="utf-8"?>
<sst xmlns="http://schemas.openxmlformats.org/spreadsheetml/2006/main" count="248" uniqueCount="137">
  <si>
    <t>Product</t>
  </si>
  <si>
    <t>Parameters for back-calculation of Incremental NRx</t>
  </si>
  <si>
    <t>Max Y Assumptions</t>
  </si>
  <si>
    <t>Pre-Tax Spend</t>
  </si>
  <si>
    <t>Estimated Incr. NRx</t>
  </si>
  <si>
    <t>Estimated Incr. NRx (as % of NPA NRx)</t>
  </si>
  <si>
    <t>Anticipated Max Incr. NRx (in %) when HCC spend is increased to infinity</t>
  </si>
  <si>
    <t>Anticipated Max Incr. NRx</t>
  </si>
  <si>
    <t>* Note: The above marroon colored values are used to construct lodish type response curve for Aquisition programs</t>
  </si>
  <si>
    <t>Purpose</t>
  </si>
  <si>
    <t>Creates a S type curve given (Xcurr,Ycurr), Ymin, Ymax. Uses equation proposed by Lodish.</t>
  </si>
  <si>
    <t>X unit</t>
  </si>
  <si>
    <t>Spend $</t>
  </si>
  <si>
    <t>Note 1: YELLOW cells need user input (some or optional)</t>
  </si>
  <si>
    <t>Channel</t>
  </si>
  <si>
    <t>Y unit</t>
  </si>
  <si>
    <t>Incr. NRx</t>
  </si>
  <si>
    <t>Ybase</t>
  </si>
  <si>
    <t xml:space="preserve"> NRx</t>
  </si>
  <si>
    <t>Function Type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</si>
  <si>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</si>
  <si>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</si>
  <si>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</si>
  <si>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Optimization Details</t>
  </si>
  <si>
    <t>Constraints</t>
  </si>
  <si>
    <t>Objective Function</t>
  </si>
  <si>
    <t>Initial Starting Values (optional)</t>
  </si>
  <si>
    <t>Min</t>
  </si>
  <si>
    <t>Max</t>
  </si>
  <si>
    <t>Optimal X value</t>
  </si>
  <si>
    <t>Optimal Y value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</si>
  <si>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</si>
  <si>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</si>
  <si>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</si>
  <si>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</si>
  <si>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</si>
  <si>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</si>
  <si>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</si>
  <si>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Y Base</t>
  </si>
  <si>
    <t>Temporary Values</t>
  </si>
  <si>
    <t>YL min [=YBase - Ycurrent]</t>
  </si>
  <si>
    <t>YL max [=YLmin + Ymax]</t>
  </si>
  <si>
    <t>XL current [=Xcurrent]</t>
  </si>
  <si>
    <t>YL current [=YBase]</t>
  </si>
  <si>
    <t>A</t>
  </si>
  <si>
    <t>B</t>
  </si>
  <si>
    <t>C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</si>
  <si>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</si>
  <si>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</si>
  <si>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Axis Configuration for Plotting</t>
  </si>
  <si>
    <t>Xaxis MIN</t>
  </si>
  <si>
    <t>Xaxis Max</t>
  </si>
  <si>
    <t>Intervals</t>
  </si>
  <si>
    <t>Data Values</t>
  </si>
  <si>
    <t>Spend per NRx</t>
  </si>
  <si>
    <t>incr. NRx</t>
  </si>
  <si>
    <t xml:space="preserve">Spend </t>
  </si>
  <si>
    <t>ROI:</t>
  </si>
  <si>
    <t>Merck Diabetes Franchise MCM Programs: Incremental NRx per Tactic with ROI, Spend and Incremental Revenue</t>
  </si>
  <si>
    <t>MCM</t>
  </si>
  <si>
    <t>AT Revenue</t>
  </si>
  <si>
    <t>Pre-tax Rev</t>
  </si>
  <si>
    <t xml:space="preserve">Downweighting factor </t>
  </si>
  <si>
    <t>Pre-tax cost</t>
  </si>
  <si>
    <t>Pre-tax ROI</t>
  </si>
  <si>
    <t>Pre-tax Revenue/Return</t>
  </si>
  <si>
    <t># Incr. NRxs</t>
  </si>
  <si>
    <t>Total</t>
  </si>
  <si>
    <t>Comments</t>
  </si>
  <si>
    <t>Vendor</t>
  </si>
  <si>
    <t>Last Year's #'s</t>
  </si>
  <si>
    <t>EDH</t>
  </si>
  <si>
    <t>Measurement Time Period</t>
  </si>
  <si>
    <t>Verquvo</t>
  </si>
  <si>
    <t>From NEXPLANON and Time Period FEB'19- JAN'20</t>
  </si>
  <si>
    <t>From BELSOMRA and Time Period JAN'20 - DEC'20</t>
  </si>
  <si>
    <t>2022 Projection</t>
  </si>
  <si>
    <t>From STEGLATRO (FEB19 - JAN20)</t>
  </si>
  <si>
    <r>
      <t xml:space="preserve">Total </t>
    </r>
    <r>
      <rPr>
        <b/>
        <sz val="10"/>
        <color rgb="FF0000FF"/>
        <rFont val="Arial Narrow"/>
        <family val="2"/>
      </rPr>
      <t>NPA</t>
    </r>
    <r>
      <rPr>
        <b/>
        <sz val="10"/>
        <color theme="1"/>
        <rFont val="Arial Narrow"/>
        <family val="2"/>
      </rPr>
      <t xml:space="preserve"> NRx in 2021</t>
    </r>
  </si>
  <si>
    <t>From STEGLATRO (JAN21 - DEC21)</t>
  </si>
  <si>
    <t>ALERTMARKETING.COM</t>
  </si>
  <si>
    <t>DEEPINTENT</t>
  </si>
  <si>
    <t>DG CONNECT</t>
  </si>
  <si>
    <t>DOXIMITY INC</t>
  </si>
  <si>
    <t>EHEALTHCARESOLUTIONS.COM</t>
  </si>
  <si>
    <t>EPOCRATES.COM</t>
  </si>
  <si>
    <t>EVERYDAY HEALTH MEDIA LLC</t>
  </si>
  <si>
    <t>MEDSCAPE.COM</t>
  </si>
  <si>
    <t>NUMEDIS</t>
  </si>
  <si>
    <t>PDQ COMMUNICATIONS</t>
  </si>
  <si>
    <t>PHYSICIANS WEEKLY</t>
  </si>
  <si>
    <t>REACH MD</t>
  </si>
  <si>
    <t>PHYSICIAN'S WEEKLY</t>
  </si>
  <si>
    <t>in one view folder total nrx ccnpa totals</t>
  </si>
  <si>
    <t>DOXIMITY</t>
  </si>
  <si>
    <t>EPOCRATES</t>
  </si>
  <si>
    <t>MEDSCAPE</t>
  </si>
  <si>
    <t>Row Labels</t>
  </si>
  <si>
    <t>Sum of Planned cost ($)</t>
  </si>
  <si>
    <t>Grand Total</t>
  </si>
  <si>
    <t>Sum of Sum of Planned cost ($)</t>
  </si>
  <si>
    <t>Channels</t>
  </si>
  <si>
    <t>2021 (Apr’21-Mar’22)</t>
  </si>
  <si>
    <t>2022 (Jan’22-Dec’22)</t>
  </si>
  <si>
    <t>Spend ($M)</t>
  </si>
  <si>
    <t>% Contrib.  Sales</t>
  </si>
  <si>
    <t>Incr. Revenue ($M)</t>
  </si>
  <si>
    <t>ROI</t>
  </si>
  <si>
    <t>HAYMARKET</t>
  </si>
  <si>
    <t>SFMC</t>
  </si>
  <si>
    <t>REACHMD</t>
  </si>
  <si>
    <t>Total (measured)</t>
  </si>
  <si>
    <t>Local Product</t>
  </si>
  <si>
    <t>Period Type</t>
  </si>
  <si>
    <t>Period Ending</t>
  </si>
  <si>
    <t>Units</t>
  </si>
  <si>
    <t>Value</t>
  </si>
  <si>
    <t>VERQUVO</t>
  </si>
  <si>
    <t>Month</t>
  </si>
  <si>
    <t>Dispensed NRx</t>
  </si>
  <si>
    <t>*check with HCP person for the unknown channels ROI</t>
  </si>
  <si>
    <t>*Physicians Weekly --Tracie</t>
  </si>
  <si>
    <t>* PDQ check with other brands</t>
  </si>
  <si>
    <t>since its banners and its ROI is not there so taking it as same as DeepIntent</t>
  </si>
  <si>
    <t>2023 tax rate on revenue</t>
  </si>
  <si>
    <t>2023 Pre-tax 3-year NPV/new patient</t>
  </si>
  <si>
    <r>
      <t>*</t>
    </r>
    <r>
      <rPr>
        <sz val="10"/>
        <rFont val="Arial"/>
        <family val="2"/>
      </rPr>
      <t>Excluded PDQ Communications and alertmarketing based upon jennifer mulliuns mail</t>
    </r>
  </si>
  <si>
    <t>Here we have to take the spends and NPV based of the mmx model results</t>
  </si>
  <si>
    <t>TRENDMD</t>
  </si>
  <si>
    <t>2022 Spend</t>
  </si>
  <si>
    <t>2022 NPV</t>
  </si>
  <si>
    <t>jan-dec 2022</t>
  </si>
  <si>
    <t>New vendor in media plan summary</t>
  </si>
  <si>
    <t>from mmx</t>
  </si>
  <si>
    <t>2024 spends taken and ROI has been taken from Tracie's file "Dollarizing  Verquvo PW"</t>
  </si>
  <si>
    <t>PATIENTPOINT HCP</t>
  </si>
  <si>
    <t>didn't report this in mmx results but using for optimization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</si>
</sst>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5" formatCode="&quot;$&quot;#,##0_);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_(&quot;$&quot;* #,##0_);_(&quot;$&quot;* \(#,##0\);_(&quot;$&quot;* &quot;-&quot;??_);_(@_)"/>
    <numFmt numFmtId="166" formatCode="_(* #,##0_);_(* \(#,##0\);_(* &quot;-&quot;??_);_(@_)"/>
    <numFmt numFmtId="167" formatCode="\$#,###,###"/>
    <numFmt numFmtId="168" formatCode="\$###,###"/>
    <numFmt numFmtId="169" formatCode="0.0"/>
    <numFmt numFmtId="170" formatCode="0.0%"/>
    <numFmt numFmtId="171" formatCode="&quot;$&quot;#,##0.00"/>
    <numFmt numFmtId="172" formatCode="&quot;$&quot;0.00,,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1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rgb="FF0000FF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b/>
      <sz val="10"/>
      <name val="Arial"/>
      <family val="2"/>
    </font>
    <font>
      <b/>
      <sz val="10"/>
      <color theme="8"/>
      <name val="Arial"/>
      <family val="2"/>
    </font>
    <font>
      <i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indexed="8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7" fillId="0" borderId="0"/>
    <xf numFmtId="0" fontId="8" fillId="0" borderId="0"/>
    <xf numFmtId="9" fontId="8" fillId="0" borderId="0" applyFont="0" applyFill="0" applyBorder="0" applyAlignment="0" applyProtection="0"/>
  </cellStyleXfs>
  <cellXfs count="137">
    <xf numFmtId="0" fontId="0" fillId="0" borderId="0" xfId="0"/>
    <xf numFmtId="0" fontId="4" fillId="7" borderId="2" xfId="0" applyFont="1" applyFill="1" applyBorder="1"/>
    <xf numFmtId="0" fontId="5" fillId="0" borderId="0" xfId="0" applyFont="1"/>
    <xf numFmtId="0" fontId="4" fillId="7" borderId="3" xfId="0" applyFont="1" applyFill="1" applyBorder="1"/>
    <xf numFmtId="0" fontId="5" fillId="8" borderId="4" xfId="0" applyFont="1" applyFill="1" applyBorder="1"/>
    <xf numFmtId="0" fontId="4" fillId="7" borderId="4" xfId="0" applyFont="1" applyFill="1" applyBorder="1"/>
    <xf numFmtId="0" fontId="5" fillId="8" borderId="5" xfId="0" applyFont="1" applyFill="1" applyBorder="1"/>
    <xf numFmtId="0" fontId="5" fillId="8" borderId="6" xfId="0" applyFont="1" applyFill="1" applyBorder="1" applyAlignment="1">
      <alignment horizontal="left"/>
    </xf>
    <xf numFmtId="0" fontId="5" fillId="8" borderId="7" xfId="0" applyFont="1" applyFill="1" applyBorder="1" applyAlignment="1">
      <alignment horizontal="left"/>
    </xf>
    <xf numFmtId="0" fontId="5" fillId="8" borderId="8" xfId="0" applyFont="1" applyFill="1" applyBorder="1" applyAlignment="1">
      <alignment horizontal="left"/>
    </xf>
    <xf numFmtId="0" fontId="4" fillId="7" borderId="9" xfId="0" applyFont="1" applyFill="1" applyBorder="1"/>
    <xf numFmtId="0" fontId="5" fillId="8" borderId="2" xfId="0" applyFont="1" applyFill="1" applyBorder="1"/>
    <xf numFmtId="0" fontId="5" fillId="8" borderId="10" xfId="0" applyFont="1" applyFill="1" applyBorder="1"/>
    <xf numFmtId="0" fontId="4" fillId="7" borderId="11" xfId="0" applyFont="1" applyFill="1" applyBorder="1"/>
    <xf numFmtId="9" fontId="5" fillId="0" borderId="0" xfId="0" applyNumberFormat="1" applyFont="1"/>
    <xf numFmtId="0" fontId="4" fillId="7" borderId="1" xfId="0" applyFont="1" applyFill="1" applyBorder="1" applyAlignment="1">
      <alignment horizontal="center" vertical="center" wrapText="1"/>
    </xf>
    <xf numFmtId="0" fontId="4" fillId="7" borderId="20" xfId="0" applyFont="1" applyFill="1" applyBorder="1" applyAlignment="1">
      <alignment horizontal="center" vertical="center" wrapText="1"/>
    </xf>
    <xf numFmtId="0" fontId="4" fillId="7" borderId="21" xfId="0" applyFont="1" applyFill="1" applyBorder="1" applyAlignment="1">
      <alignment horizontal="center" vertical="center" wrapText="1"/>
    </xf>
    <xf numFmtId="0" fontId="4" fillId="7" borderId="8" xfId="0" applyFont="1" applyFill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 vertical="center" wrapText="1"/>
    </xf>
    <xf numFmtId="165" fontId="5" fillId="8" borderId="24" xfId="2" applyNumberFormat="1" applyFont="1" applyFill="1" applyBorder="1"/>
    <xf numFmtId="165" fontId="6" fillId="9" borderId="25" xfId="2" applyNumberFormat="1" applyFont="1" applyFill="1" applyBorder="1"/>
    <xf numFmtId="3" fontId="6" fillId="9" borderId="26" xfId="0" applyNumberFormat="1" applyFont="1" applyFill="1" applyBorder="1"/>
    <xf numFmtId="3" fontId="5" fillId="8" borderId="24" xfId="0" applyNumberFormat="1" applyFont="1" applyFill="1" applyBorder="1"/>
    <xf numFmtId="0" fontId="4" fillId="7" borderId="4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5" fillId="8" borderId="24" xfId="0" applyFont="1" applyFill="1" applyBorder="1"/>
    <xf numFmtId="166" fontId="5" fillId="8" borderId="28" xfId="1" applyNumberFormat="1" applyFont="1" applyFill="1" applyBorder="1"/>
    <xf numFmtId="166" fontId="5" fillId="10" borderId="24" xfId="0" applyNumberFormat="1" applyFont="1" applyFill="1" applyBorder="1" applyAlignment="1">
      <alignment horizontal="center" vertical="center" wrapText="1"/>
    </xf>
    <xf numFmtId="165" fontId="5" fillId="10" borderId="24" xfId="2" applyNumberFormat="1" applyFont="1" applyFill="1" applyBorder="1" applyAlignment="1">
      <alignment horizontal="center" vertical="center" wrapText="1"/>
    </xf>
    <xf numFmtId="0" fontId="5" fillId="10" borderId="24" xfId="0" applyFont="1" applyFill="1" applyBorder="1" applyAlignment="1">
      <alignment horizontal="center" vertical="center" wrapText="1"/>
    </xf>
    <xf numFmtId="0" fontId="5" fillId="10" borderId="24" xfId="0" applyNumberFormat="1" applyFont="1" applyFill="1" applyBorder="1" applyAlignment="1">
      <alignment horizontal="center" vertical="center" wrapText="1"/>
    </xf>
    <xf numFmtId="166" fontId="5" fillId="10" borderId="28" xfId="0" applyNumberFormat="1" applyFont="1" applyFill="1" applyBorder="1" applyAlignment="1">
      <alignment horizontal="center" vertical="center" wrapText="1"/>
    </xf>
    <xf numFmtId="164" fontId="5" fillId="8" borderId="24" xfId="2" applyNumberFormat="1" applyFont="1" applyFill="1" applyBorder="1"/>
    <xf numFmtId="164" fontId="5" fillId="8" borderId="24" xfId="0" applyNumberFormat="1" applyFont="1" applyFill="1" applyBorder="1"/>
    <xf numFmtId="0" fontId="5" fillId="10" borderId="28" xfId="0" applyFont="1" applyFill="1" applyBorder="1"/>
    <xf numFmtId="3" fontId="5" fillId="0" borderId="1" xfId="0" applyNumberFormat="1" applyFont="1" applyBorder="1"/>
    <xf numFmtId="164" fontId="5" fillId="0" borderId="1" xfId="0" applyNumberFormat="1" applyFont="1" applyBorder="1"/>
    <xf numFmtId="5" fontId="5" fillId="0" borderId="0" xfId="0" applyNumberFormat="1" applyFont="1"/>
    <xf numFmtId="0" fontId="5" fillId="0" borderId="0" xfId="0" applyNumberFormat="1" applyFont="1"/>
    <xf numFmtId="0" fontId="5" fillId="0" borderId="0" xfId="0" applyFont="1" applyAlignment="1">
      <alignment horizontal="center"/>
    </xf>
    <xf numFmtId="0" fontId="12" fillId="0" borderId="0" xfId="0" applyFont="1"/>
    <xf numFmtId="0" fontId="13" fillId="2" borderId="0" xfId="4" applyFont="1"/>
    <xf numFmtId="0" fontId="10" fillId="6" borderId="1" xfId="0" applyFont="1" applyFill="1" applyBorder="1" applyAlignment="1">
      <alignment wrapText="1"/>
    </xf>
    <xf numFmtId="0" fontId="12" fillId="5" borderId="1" xfId="0" applyFont="1" applyFill="1" applyBorder="1" applyAlignment="1">
      <alignment horizontal="center" vertical="center" wrapText="1"/>
    </xf>
    <xf numFmtId="44" fontId="12" fillId="5" borderId="1" xfId="2" applyFont="1" applyFill="1" applyBorder="1" applyAlignment="1">
      <alignment horizontal="center" vertical="center" wrapText="1"/>
    </xf>
    <xf numFmtId="0" fontId="12" fillId="0" borderId="0" xfId="0" applyFont="1" applyFill="1"/>
    <xf numFmtId="5" fontId="13" fillId="2" borderId="0" xfId="4" applyNumberFormat="1" applyFont="1"/>
    <xf numFmtId="165" fontId="15" fillId="5" borderId="1" xfId="0" applyNumberFormat="1" applyFont="1" applyFill="1" applyBorder="1" applyAlignment="1">
      <alignment horizontal="center" vertical="center"/>
    </xf>
    <xf numFmtId="10" fontId="9" fillId="5" borderId="1" xfId="3" applyNumberFormat="1" applyFont="1" applyFill="1" applyBorder="1" applyAlignment="1">
      <alignment horizontal="center" vertical="center"/>
    </xf>
    <xf numFmtId="9" fontId="15" fillId="5" borderId="1" xfId="0" applyNumberFormat="1" applyFont="1" applyFill="1" applyBorder="1" applyAlignment="1">
      <alignment horizontal="center" vertical="center"/>
    </xf>
    <xf numFmtId="166" fontId="15" fillId="5" borderId="1" xfId="1" applyNumberFormat="1" applyFont="1" applyFill="1" applyBorder="1" applyAlignment="1">
      <alignment horizontal="center" vertical="center"/>
    </xf>
    <xf numFmtId="0" fontId="13" fillId="0" borderId="0" xfId="4" applyFont="1" applyFill="1"/>
    <xf numFmtId="5" fontId="13" fillId="0" borderId="0" xfId="4" applyNumberFormat="1" applyFont="1" applyFill="1"/>
    <xf numFmtId="0" fontId="16" fillId="0" borderId="0" xfId="0" applyFont="1" applyFill="1"/>
    <xf numFmtId="164" fontId="5" fillId="11" borderId="1" xfId="0" applyNumberFormat="1" applyFont="1" applyFill="1" applyBorder="1"/>
    <xf numFmtId="3" fontId="5" fillId="11" borderId="1" xfId="0" applyNumberFormat="1" applyFont="1" applyFill="1" applyBorder="1"/>
    <xf numFmtId="5" fontId="5" fillId="11" borderId="0" xfId="0" applyNumberFormat="1" applyFont="1" applyFill="1"/>
    <xf numFmtId="0" fontId="5" fillId="11" borderId="0" xfId="0" applyNumberFormat="1" applyFont="1" applyFill="1"/>
    <xf numFmtId="9" fontId="15" fillId="5" borderId="1" xfId="3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37" fontId="15" fillId="5" borderId="1" xfId="0" applyNumberFormat="1" applyFont="1" applyFill="1" applyBorder="1" applyAlignment="1">
      <alignment horizontal="center" vertical="center"/>
    </xf>
    <xf numFmtId="42" fontId="9" fillId="5" borderId="1" xfId="2" applyNumberFormat="1" applyFont="1" applyFill="1" applyBorder="1" applyAlignment="1">
      <alignment horizontal="center" vertical="center"/>
    </xf>
    <xf numFmtId="164" fontId="5" fillId="0" borderId="1" xfId="0" applyNumberFormat="1" applyFont="1" applyFill="1" applyBorder="1"/>
    <xf numFmtId="3" fontId="5" fillId="0" borderId="1" xfId="0" applyNumberFormat="1" applyFont="1" applyFill="1" applyBorder="1"/>
    <xf numFmtId="5" fontId="5" fillId="0" borderId="0" xfId="0" applyNumberFormat="1" applyFont="1" applyFill="1"/>
    <xf numFmtId="0" fontId="5" fillId="0" borderId="0" xfId="0" applyNumberFormat="1" applyFont="1" applyFill="1"/>
    <xf numFmtId="3" fontId="0" fillId="0" borderId="1" xfId="0" applyNumberFormat="1" applyBorder="1" applyAlignment="1">
      <alignment horizontal="center"/>
    </xf>
    <xf numFmtId="0" fontId="1" fillId="0" borderId="0" xfId="0" applyFont="1"/>
    <xf numFmtId="0" fontId="0" fillId="0" borderId="0" xfId="0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0" fillId="12" borderId="1" xfId="0" applyFont="1" applyFill="1" applyBorder="1" applyAlignment="1">
      <alignment horizontal="center" vertical="center" wrapText="1"/>
    </xf>
    <xf numFmtId="168" fontId="21" fillId="0" borderId="1" xfId="0" applyNumberFormat="1" applyFont="1" applyBorder="1" applyAlignment="1">
      <alignment horizontal="center" vertical="center"/>
    </xf>
    <xf numFmtId="2" fontId="21" fillId="0" borderId="1" xfId="1" applyNumberFormat="1" applyFont="1" applyBorder="1" applyAlignment="1">
      <alignment horizontal="center" vertical="center"/>
    </xf>
    <xf numFmtId="164" fontId="21" fillId="0" borderId="1" xfId="2" applyNumberFormat="1" applyFont="1" applyBorder="1" applyAlignment="1">
      <alignment horizontal="center" vertical="center"/>
    </xf>
    <xf numFmtId="167" fontId="21" fillId="0" borderId="1" xfId="0" applyNumberFormat="1" applyFont="1" applyBorder="1" applyAlignment="1">
      <alignment horizontal="center" vertical="center"/>
    </xf>
    <xf numFmtId="0" fontId="22" fillId="12" borderId="1" xfId="0" applyNumberFormat="1" applyFont="1" applyFill="1" applyBorder="1" applyAlignment="1">
      <alignment horizontal="center" vertical="center"/>
    </xf>
    <xf numFmtId="167" fontId="20" fillId="12" borderId="1" xfId="0" applyNumberFormat="1" applyFont="1" applyFill="1" applyBorder="1" applyAlignment="1">
      <alignment horizontal="center" vertical="center"/>
    </xf>
    <xf numFmtId="0" fontId="20" fillId="12" borderId="1" xfId="0" applyFont="1" applyFill="1" applyBorder="1" applyAlignment="1">
      <alignment horizontal="center" vertical="center"/>
    </xf>
    <xf numFmtId="2" fontId="20" fillId="12" borderId="1" xfId="0" applyNumberFormat="1" applyFont="1" applyFill="1" applyBorder="1" applyAlignment="1">
      <alignment horizontal="center" vertical="center"/>
    </xf>
    <xf numFmtId="166" fontId="20" fillId="12" borderId="1" xfId="1" applyNumberFormat="1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166" fontId="21" fillId="0" borderId="1" xfId="1" applyNumberFormat="1" applyFont="1" applyBorder="1" applyAlignment="1">
      <alignment horizontal="center" vertical="center"/>
    </xf>
    <xf numFmtId="9" fontId="13" fillId="2" borderId="0" xfId="3" applyFont="1" applyFill="1"/>
    <xf numFmtId="0" fontId="0" fillId="0" borderId="1" xfId="0" applyBorder="1" applyAlignment="1">
      <alignment horizontal="center" vertical="center"/>
    </xf>
    <xf numFmtId="169" fontId="0" fillId="0" borderId="1" xfId="0" applyNumberFormat="1" applyBorder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71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9" fontId="0" fillId="0" borderId="0" xfId="3" applyFont="1" applyAlignment="1">
      <alignment horizontal="center" vertical="center"/>
    </xf>
    <xf numFmtId="0" fontId="17" fillId="13" borderId="0" xfId="0" applyFont="1" applyFill="1" applyBorder="1" applyAlignment="1">
      <alignment wrapText="1"/>
    </xf>
    <xf numFmtId="165" fontId="0" fillId="13" borderId="0" xfId="0" applyNumberFormat="1" applyFill="1" applyBorder="1" applyAlignment="1">
      <alignment horizontal="center" vertical="center"/>
    </xf>
    <xf numFmtId="0" fontId="18" fillId="11" borderId="0" xfId="0" applyFont="1" applyFill="1" applyBorder="1" applyAlignment="1">
      <alignment wrapText="1"/>
    </xf>
    <xf numFmtId="44" fontId="7" fillId="11" borderId="0" xfId="2" applyFont="1" applyFill="1" applyBorder="1" applyAlignment="1">
      <alignment horizontal="right" vertical="center"/>
    </xf>
    <xf numFmtId="0" fontId="17" fillId="11" borderId="0" xfId="0" applyFont="1" applyFill="1" applyBorder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72" fontId="0" fillId="0" borderId="0" xfId="0" applyNumberFormat="1" applyAlignment="1">
      <alignment horizontal="center" vertical="center"/>
    </xf>
    <xf numFmtId="170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165" fontId="7" fillId="11" borderId="0" xfId="2" applyNumberFormat="1" applyFont="1" applyFill="1" applyBorder="1" applyAlignment="1">
      <alignment horizontal="right" vertical="center"/>
    </xf>
    <xf numFmtId="0" fontId="19" fillId="11" borderId="0" xfId="0" applyFont="1" applyFill="1" applyBorder="1"/>
    <xf numFmtId="164" fontId="0" fillId="0" borderId="0" xfId="0" applyNumberForma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1" fillId="3" borderId="0" xfId="5" applyFont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4" fillId="7" borderId="27" xfId="0" applyFont="1" applyFill="1" applyBorder="1" applyAlignment="1">
      <alignment horizontal="center" vertical="center" wrapText="1"/>
    </xf>
    <xf numFmtId="0" fontId="4" fillId="7" borderId="29" xfId="0" applyFont="1" applyFill="1" applyBorder="1" applyAlignment="1">
      <alignment horizontal="center" vertical="center" wrapText="1"/>
    </xf>
    <xf numFmtId="0" fontId="5" fillId="0" borderId="30" xfId="0" applyFont="1" applyBorder="1" applyAlignment="1">
      <alignment horizontal="left" vertical="center" wrapText="1"/>
    </xf>
    <xf numFmtId="0" fontId="5" fillId="0" borderId="31" xfId="0" applyFont="1" applyBorder="1" applyAlignment="1">
      <alignment horizontal="left" vertical="center" wrapText="1"/>
    </xf>
    <xf numFmtId="0" fontId="5" fillId="0" borderId="32" xfId="0" applyFont="1" applyBorder="1" applyAlignment="1">
      <alignment horizontal="left" vertical="center" wrapText="1"/>
    </xf>
    <xf numFmtId="0" fontId="5" fillId="0" borderId="33" xfId="0" applyFont="1" applyBorder="1" applyAlignment="1">
      <alignment horizontal="left" vertical="center" wrapText="1"/>
    </xf>
    <xf numFmtId="0" fontId="5" fillId="0" borderId="34" xfId="0" applyFont="1" applyBorder="1" applyAlignment="1">
      <alignment horizontal="left" vertical="center" wrapText="1"/>
    </xf>
    <xf numFmtId="0" fontId="5" fillId="0" borderId="35" xfId="0" applyFont="1" applyBorder="1" applyAlignment="1">
      <alignment horizontal="left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7" borderId="3" xfId="0" applyFont="1" applyFill="1" applyBorder="1" applyAlignment="1">
      <alignment horizontal="center" vertical="center" wrapText="1"/>
    </xf>
    <xf numFmtId="0" fontId="4" fillId="7" borderId="23" xfId="0" applyFont="1" applyFill="1" applyBorder="1" applyAlignment="1">
      <alignment horizontal="center" vertical="center" wrapText="1"/>
    </xf>
    <xf numFmtId="0" fontId="5" fillId="7" borderId="12" xfId="0" applyFont="1" applyFill="1" applyBorder="1" applyAlignment="1">
      <alignment horizontal="center" wrapText="1"/>
    </xf>
    <xf numFmtId="0" fontId="5" fillId="7" borderId="13" xfId="0" applyFont="1" applyFill="1" applyBorder="1" applyAlignment="1">
      <alignment horizontal="center" wrapText="1"/>
    </xf>
    <xf numFmtId="0" fontId="4" fillId="7" borderId="19" xfId="0" applyFont="1" applyFill="1" applyBorder="1" applyAlignment="1">
      <alignment horizontal="center" vertical="center" wrapText="1"/>
    </xf>
    <xf numFmtId="0" fontId="4" fillId="7" borderId="4" xfId="0" applyFont="1" applyFill="1" applyBorder="1" applyAlignment="1">
      <alignment horizontal="center" vertical="center" wrapText="1"/>
    </xf>
    <xf numFmtId="0" fontId="4" fillId="7" borderId="14" xfId="0" applyFont="1" applyFill="1" applyBorder="1" applyAlignment="1">
      <alignment horizontal="center" vertical="center" wrapText="1"/>
    </xf>
    <xf numFmtId="0" fontId="4" fillId="7" borderId="15" xfId="0" applyFont="1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 wrapText="1"/>
    </xf>
    <xf numFmtId="0" fontId="4" fillId="7" borderId="17" xfId="0" applyFont="1" applyFill="1" applyBorder="1" applyAlignment="1">
      <alignment horizontal="center" vertical="center" wrapText="1"/>
    </xf>
    <xf numFmtId="0" fontId="4" fillId="7" borderId="18" xfId="0" applyFont="1" applyFill="1" applyBorder="1" applyAlignment="1">
      <alignment horizontal="center" vertical="center" wrapText="1"/>
    </xf>
  </cellXfs>
  <cellStyles count="14">
    <cellStyle name="60% - Accent1" xfId="4" builtinId="32"/>
    <cellStyle name="60% - Accent4" xfId="5" builtinId="44"/>
    <cellStyle name="Comma" xfId="1" builtinId="3"/>
    <cellStyle name="Comma 2" xfId="6" xr:uid="{00000000-0005-0000-0000-000003000000}"/>
    <cellStyle name="Comma 2 2" xfId="7" xr:uid="{00000000-0005-0000-0000-000004000000}"/>
    <cellStyle name="Comma 2 3" xfId="8" xr:uid="{00000000-0005-0000-0000-000005000000}"/>
    <cellStyle name="Currency" xfId="2" builtinId="4"/>
    <cellStyle name="Currency 2" xfId="9" xr:uid="{00000000-0005-0000-0000-000007000000}"/>
    <cellStyle name="Normal" xfId="0" builtinId="0"/>
    <cellStyle name="Normal 2" xfId="10" xr:uid="{00000000-0005-0000-0000-000009000000}"/>
    <cellStyle name="Normal 2 2" xfId="11" xr:uid="{00000000-0005-0000-0000-00000A000000}"/>
    <cellStyle name="Normal 2 3" xfId="12" xr:uid="{00000000-0005-0000-0000-00000B000000}"/>
    <cellStyle name="Percent" xfId="3" builtinId="5"/>
    <cellStyle name="Percent 2" xfId="13" xr:uid="{00000000-0005-0000-0000-00000E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Response Curve: MCM</a:t>
            </a:r>
          </a:p>
        </c:rich>
      </c:tx>
      <c:layout>
        <c:manualLayout>
          <c:xMode val="edge"/>
          <c:yMode val="edge"/>
          <c:x val="0.3223310185857764"/>
          <c:y val="4.458801887300744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35645260251559"/>
          <c:y val="0.15998647626673784"/>
          <c:w val="0.73181562531956235"/>
          <c:h val="0.63613755060278487"/>
        </c:manualLayout>
      </c:layout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'HCC MCM Curve'!$B$12</c:f>
              <c:numCache>
                <c:formatCode>_("$"* #,##0_);_("$"* \(#,##0\);_("$"* "-"??_);_(@_)</c:formatCode>
                <c:ptCount val="1"/>
                <c:pt idx="0">
                  <c:v>7271688.8650000002</c:v>
                </c:pt>
              </c:numCache>
            </c:numRef>
          </c:xVal>
          <c:yVal>
            <c:numRef>
              <c:f>'HCC MCM Curve'!$C$12</c:f>
              <c:numCache>
                <c:formatCode>#,##0</c:formatCode>
                <c:ptCount val="1"/>
                <c:pt idx="0">
                  <c:v>1044.9435887974821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44-4A5E-8652-5AA6502C1DBA}"/>
            </c:ext>
          </c:extLst>
        </c:ser>
        <c:ser>
          <c:idx val="1"/>
          <c:order val="1"/>
          <c:tx>
            <c:strRef>
              <c:f>'HCC MCM Curve'!$D$3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'HCC MCM Curve'!$A$21:$A$51</c:f>
              <c:numCache>
                <c:formatCode>"$"#,##0</c:formatCode>
                <c:ptCount val="3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  <c:pt idx="21">
                  <c:v>4200000</c:v>
                </c:pt>
                <c:pt idx="22">
                  <c:v>4400000</c:v>
                </c:pt>
                <c:pt idx="23">
                  <c:v>4600000</c:v>
                </c:pt>
                <c:pt idx="24">
                  <c:v>4800000</c:v>
                </c:pt>
                <c:pt idx="25">
                  <c:v>5000000</c:v>
                </c:pt>
                <c:pt idx="26">
                  <c:v>5200000</c:v>
                </c:pt>
                <c:pt idx="27">
                  <c:v>5400000</c:v>
                </c:pt>
                <c:pt idx="28">
                  <c:v>5600000</c:v>
                </c:pt>
                <c:pt idx="29">
                  <c:v>5800000</c:v>
                </c:pt>
                <c:pt idx="30">
                  <c:v>6000000</c:v>
                </c:pt>
              </c:numCache>
            </c:numRef>
          </c:xVal>
          <c:yVal>
            <c:numRef>
              <c:f>'HCC MCM Curve'!$B$21:$B$51</c:f>
              <c:numCache>
                <c:formatCode>#,##0</c:formatCode>
                <c:ptCount val="31"/>
                <c:pt idx="0">
                  <c:v>0</c:v>
                </c:pt>
                <c:pt idx="1">
                  <c:v>33.607060093359905</c:v>
                </c:pt>
                <c:pt idx="2">
                  <c:v>66.925478198581914</c:v>
                </c:pt>
                <c:pt idx="3">
                  <c:v>99.956197300842177</c:v>
                </c:pt>
                <c:pt idx="4">
                  <c:v>132.70019203282027</c:v>
                </c:pt>
                <c:pt idx="5">
                  <c:v>165.15846787786177</c:v>
                </c:pt>
                <c:pt idx="6">
                  <c:v>197.3320603770062</c:v>
                </c:pt>
                <c:pt idx="7">
                  <c:v>229.22203434014045</c:v>
                </c:pt>
                <c:pt idx="8">
                  <c:v>260.82948306166145</c:v>
                </c:pt>
                <c:pt idx="9">
                  <c:v>292.15552754097916</c:v>
                </c:pt>
                <c:pt idx="10">
                  <c:v>323.20131570814374</c:v>
                </c:pt>
                <c:pt idx="11">
                  <c:v>353.96802165492045</c:v>
                </c:pt>
                <c:pt idx="12">
                  <c:v>384.45684487158724</c:v>
                </c:pt>
                <c:pt idx="13">
                  <c:v>414.66900948976217</c:v>
                </c:pt>
                <c:pt idx="14">
                  <c:v>444.60576353147553</c:v>
                </c:pt>
                <c:pt idx="15">
                  <c:v>474.26837816479929</c:v>
                </c:pt>
                <c:pt idx="16">
                  <c:v>503.65814696621601</c:v>
                </c:pt>
                <c:pt idx="17">
                  <c:v>532.77638519000175</c:v>
                </c:pt>
                <c:pt idx="18">
                  <c:v>561.62442904483578</c:v>
                </c:pt>
                <c:pt idx="19">
                  <c:v>590.20363497781182</c:v>
                </c:pt>
                <c:pt idx="20">
                  <c:v>618.51537896609807</c:v>
                </c:pt>
                <c:pt idx="21">
                  <c:v>646.56105581637894</c:v>
                </c:pt>
                <c:pt idx="22">
                  <c:v>674.34207847229845</c:v>
                </c:pt>
                <c:pt idx="23">
                  <c:v>701.85987733004004</c:v>
                </c:pt>
                <c:pt idx="24">
                  <c:v>729.11589956220996</c:v>
                </c:pt>
                <c:pt idx="25">
                  <c:v>756.11160845017366</c:v>
                </c:pt>
                <c:pt idx="26">
                  <c:v>782.848482724934</c:v>
                </c:pt>
                <c:pt idx="27">
                  <c:v>809.32801591678071</c:v>
                </c:pt>
                <c:pt idx="28">
                  <c:v>835.55171571367646</c:v>
                </c:pt>
                <c:pt idx="29">
                  <c:v>861.52110332863049</c:v>
                </c:pt>
                <c:pt idx="30">
                  <c:v>887.23771287603995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44-4A5E-8652-5AA6502C1D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90016"/>
        <c:axId val="85998976"/>
      </c:scatterChart>
      <c:valAx>
        <c:axId val="8599001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sz="1100" b="0"/>
                </a:pPr>
                <a:r>
                  <a:rPr lang="en-US" sz="1100" b="0"/>
                  <a:t>Promotion Spend ($ MM)</a:t>
                </a:r>
              </a:p>
            </c:rich>
          </c:tx>
          <c:layout>
            <c:manualLayout>
              <c:xMode val="edge"/>
              <c:yMode val="edge"/>
              <c:x val="0.38385549817636427"/>
              <c:y val="0.8867529694381423"/>
            </c:manualLayout>
          </c:layout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85998976"/>
        <c:crosses val="autoZero"/>
        <c:crossBetween val="midCat"/>
        <c:dispUnits>
          <c:builtInUnit val="millions"/>
        </c:dispUnits>
      </c:valAx>
      <c:valAx>
        <c:axId val="859989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0"/>
                  <a:t>Incremental NRx</a:t>
                </a:r>
              </a:p>
            </c:rich>
          </c:tx>
          <c:layout>
            <c:manualLayout>
              <c:xMode val="edge"/>
              <c:yMode val="edge"/>
              <c:x val="2.6562317858935234E-2"/>
              <c:y val="0.43768337341065899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85990016"/>
        <c:crosses val="autoZero"/>
        <c:crossBetween val="midCat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192405</xdr:colOff>
      <xdr:row>21</xdr:row>
      <xdr:rowOff>85726</xdr:rowOff>
    </xdr:from>
    <xdr:to>
      <xdr:col>10</xdr:col>
      <xdr:colOff>612775</xdr:colOff>
      <xdr:row>41</xdr:row>
      <xdr:rowOff>28576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0</xdr:colOff>
      <xdr:row>22</xdr:row>
      <xdr:rowOff>0</xdr:rowOff>
    </xdr:from>
    <xdr:to>
      <xdr:col>16</xdr:col>
      <xdr:colOff>520171</xdr:colOff>
      <xdr:row>41</xdr:row>
      <xdr:rowOff>117038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E43FAE8-F146-44CE-B382-DD5DAC9E0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67813" y="5214938"/>
          <a:ext cx="4115858" cy="3284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drive.merck.com/personal/sethraj_merck_com/Documents/Rajat/Verquvo/Final%20Output/Verquvo_HCP_presentation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Inputs/Financial%20Inputs/Financial%20Inputs%20for%20Opt%20Tool%20(NPV%20and%20TRxNRx%20ratio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Consultation/Physician's%20Weekly/Verquvo/Dollarizing%20Verquvo%20PW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MktMixPP/2024%20Planning/Common/POC/POC%20MMx%202024%20vs%20Indep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arison_primary"/>
      <sheetName val="Sheet4"/>
      <sheetName val="Comp Post Tax"/>
      <sheetName val="Contribution"/>
      <sheetName val="ROI Post Tax"/>
      <sheetName val="Spends"/>
      <sheetName val="Activity"/>
      <sheetName val="Sales"/>
      <sheetName val="ROI Pre Tax"/>
      <sheetName val="Comp Pre Tax"/>
    </sheetNames>
    <sheetDataSet>
      <sheetData sheetId="0">
        <row r="6">
          <cell r="P6">
            <v>2040000</v>
          </cell>
          <cell r="Q6">
            <v>9.6345210256617658E-2</v>
          </cell>
        </row>
        <row r="7">
          <cell r="AO7">
            <v>255744.215</v>
          </cell>
          <cell r="AP7">
            <v>0.94761311162795991</v>
          </cell>
        </row>
        <row r="8">
          <cell r="P8">
            <v>601075</v>
          </cell>
          <cell r="Q8">
            <v>0.79190865601879967</v>
          </cell>
        </row>
        <row r="9">
          <cell r="Q9">
            <v>0.51489873535216546</v>
          </cell>
        </row>
        <row r="11">
          <cell r="P11">
            <v>2237363.9699999997</v>
          </cell>
          <cell r="Q11">
            <v>0.43586294557742439</v>
          </cell>
        </row>
        <row r="12">
          <cell r="AO12">
            <v>538220</v>
          </cell>
          <cell r="AP12">
            <v>0.13896021470495337</v>
          </cell>
        </row>
        <row r="16">
          <cell r="AO16">
            <v>244800</v>
          </cell>
          <cell r="AP16">
            <v>0.35525520006127453</v>
          </cell>
        </row>
        <row r="18">
          <cell r="P18">
            <v>442463.68</v>
          </cell>
          <cell r="Q18">
            <v>1.2880611720028639</v>
          </cell>
        </row>
        <row r="19">
          <cell r="AO19">
            <v>104785</v>
          </cell>
          <cell r="AP19">
            <v>1.9586856536813477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4 NPV"/>
      <sheetName val="2023 NPV"/>
      <sheetName val="2022 NPV"/>
      <sheetName val="2021 NPV"/>
      <sheetName val="2020 NPV"/>
      <sheetName val="2019 NPV"/>
      <sheetName val="2018 NPV"/>
      <sheetName val="2017 NPV"/>
      <sheetName val="2016 NPV"/>
      <sheetName val="2015 NPV"/>
    </sheetNames>
    <sheetDataSet>
      <sheetData sheetId="0" refreshError="1"/>
      <sheetData sheetId="1">
        <row r="47">
          <cell r="B47">
            <v>4145.1410997768453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rck calculated ROI"/>
      <sheetName val="Sheet2"/>
    </sheetNames>
    <sheetDataSet>
      <sheetData sheetId="0">
        <row r="16">
          <cell r="G16">
            <v>1.2</v>
          </cell>
        </row>
      </sheetData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lides Steg "/>
      <sheetName val="Slides Steg pre-tax"/>
      <sheetName val="Slides Jan pre-tax"/>
      <sheetName val="Slides Jan"/>
      <sheetName val="Januvia"/>
      <sheetName val="Steglatro"/>
      <sheetName val="Belsomra"/>
      <sheetName val="Verquvo"/>
      <sheetName val="Sheet1"/>
      <sheetName val="Slides VERQ pre-tax"/>
      <sheetName val="Slides VERQ"/>
      <sheetName val="Slides BEL"/>
      <sheetName val="Slides BEL pretax"/>
      <sheetName val="Vendor Not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1">
          <cell r="C11">
            <v>1.4025104081693183</v>
          </cell>
          <cell r="G11">
            <v>497411.99999999994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5127.666636805552" createdVersion="8" refreshedVersion="8" minRefreshableVersion="3" recordCount="21" xr:uid="{7978AA0C-C339-4C1B-9506-E5FA4F03B8CE}">
  <cacheSource type="worksheet">
    <worksheetSource ref="A1:B22" sheet="Media plan Summary"/>
  </cacheSource>
  <cacheFields count="2">
    <cacheField name="Row Labels" numFmtId="0">
      <sharedItems count="13">
        <s v="ALERTMARKETING.COM"/>
        <s v="DEEPINTENT"/>
        <s v="DG CONNECT"/>
        <s v="DOXIMITY INC"/>
        <s v="EHEALTHCARESOLUTIONS.COM"/>
        <s v="EPOCRATES.COM"/>
        <s v="EVERYDAY HEALTH MEDIA LLC"/>
        <s v="MEDSCAPE.COM"/>
        <s v="NUMEDIS"/>
        <s v="PDQ COMMUNICATIONS"/>
        <s v="PHYSICIANS WEEKLY"/>
        <s v="REACH MD"/>
        <s v="PHYSICIAN'S WEEKLY"/>
      </sharedItems>
    </cacheField>
    <cacheField name="Sum of Planned cost ($)" numFmtId="0">
      <sharedItems containsSemiMixedTypes="0" containsString="0" containsNumber="1" minValue="0" maxValue="6680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n v="15407"/>
  </r>
  <r>
    <x v="1"/>
    <n v="27461.199999999997"/>
  </r>
  <r>
    <x v="2"/>
    <n v="32000"/>
  </r>
  <r>
    <x v="3"/>
    <n v="165000"/>
  </r>
  <r>
    <x v="4"/>
    <n v="45000"/>
  </r>
  <r>
    <x v="5"/>
    <n v="0"/>
  </r>
  <r>
    <x v="6"/>
    <n v="117484"/>
  </r>
  <r>
    <x v="7"/>
    <n v="668085"/>
  </r>
  <r>
    <x v="8"/>
    <n v="0"/>
  </r>
  <r>
    <x v="9"/>
    <n v="15000"/>
  </r>
  <r>
    <x v="10"/>
    <n v="186260"/>
  </r>
  <r>
    <x v="11"/>
    <n v="0"/>
  </r>
  <r>
    <x v="1"/>
    <n v="30953.030000000002"/>
  </r>
  <r>
    <x v="2"/>
    <n v="0"/>
  </r>
  <r>
    <x v="3"/>
    <n v="0"/>
  </r>
  <r>
    <x v="5"/>
    <n v="0"/>
  </r>
  <r>
    <x v="6"/>
    <n v="77242"/>
  </r>
  <r>
    <x v="7"/>
    <n v="157770.69"/>
  </r>
  <r>
    <x v="8"/>
    <n v="0"/>
  </r>
  <r>
    <x v="9"/>
    <n v="0"/>
  </r>
  <r>
    <x v="12"/>
    <n v="465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77B750-159C-44B8-8B3D-7C3C271BEE1D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2:G16" firstHeaderRow="1" firstDataRow="1" firstDataCol="1"/>
  <pivotFields count="2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2"/>
        <item x="11"/>
        <item t="default"/>
      </items>
    </pivotField>
    <pivotField dataField="1"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Sum of Sum of Planned cost ($)" fld="1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U51"/>
  <sheetViews>
    <sheetView showGridLines="0" tabSelected="1" zoomScale="80" zoomScaleNormal="80" workbookViewId="0">
      <selection activeCell="C14" sqref="C14"/>
    </sheetView>
  </sheetViews>
  <sheetFormatPr defaultColWidth="8.88671875" defaultRowHeight="14.4" x14ac:dyDescent="0.3"/>
  <cols>
    <col min="1" max="1" width="8.88671875" style="69"/>
    <col min="2" max="2" width="29.5546875" style="69" bestFit="1" customWidth="1"/>
    <col min="3" max="3" width="17.5546875" style="69" bestFit="1" customWidth="1"/>
    <col min="4" max="4" width="14" style="69" customWidth="1"/>
    <col min="5" max="5" width="9.33203125" style="69" customWidth="1"/>
    <col min="6" max="6" width="12.33203125" style="69" customWidth="1"/>
    <col min="7" max="7" width="19.109375" style="69" customWidth="1"/>
    <col min="8" max="8" width="11.5546875" style="69" customWidth="1"/>
    <col min="9" max="9" width="26.5546875" style="69" customWidth="1"/>
    <col min="10" max="10" width="27.6640625" style="69" bestFit="1" customWidth="1"/>
    <col min="11" max="11" width="53.77734375" style="69" bestFit="1" customWidth="1"/>
    <col min="12" max="16384" width="8.88671875" style="69"/>
  </cols>
  <sheetData>
    <row r="2" spans="2:21" ht="18" x14ac:dyDescent="0.3">
      <c r="C2" s="112"/>
      <c r="E2" s="69" t="s">
        <v>127</v>
      </c>
    </row>
    <row r="3" spans="2:21" ht="18.45" customHeight="1" x14ac:dyDescent="0.3">
      <c r="M3" s="69" t="s">
        <v>101</v>
      </c>
      <c r="N3" s="69" t="s">
        <v>102</v>
      </c>
      <c r="R3" s="69" t="s">
        <v>103</v>
      </c>
    </row>
    <row r="4" spans="2:21" ht="36.75" customHeight="1" x14ac:dyDescent="0.3">
      <c r="B4" s="72" t="s">
        <v>69</v>
      </c>
      <c r="C4" s="72" t="s">
        <v>129</v>
      </c>
      <c r="D4" s="72" t="s">
        <v>63</v>
      </c>
      <c r="E4" s="72" t="s">
        <v>130</v>
      </c>
      <c r="F4" s="72" t="s">
        <v>64</v>
      </c>
      <c r="G4" s="72" t="s">
        <v>65</v>
      </c>
      <c r="H4" s="72" t="s">
        <v>66</v>
      </c>
      <c r="I4" s="72" t="s">
        <v>72</v>
      </c>
      <c r="J4" s="72" t="s">
        <v>68</v>
      </c>
      <c r="N4" s="69" t="s">
        <v>104</v>
      </c>
      <c r="O4" s="69" t="s">
        <v>105</v>
      </c>
      <c r="P4" s="69" t="s">
        <v>106</v>
      </c>
      <c r="Q4" s="69" t="s">
        <v>107</v>
      </c>
      <c r="R4" s="69" t="s">
        <v>104</v>
      </c>
      <c r="S4" s="69" t="s">
        <v>105</v>
      </c>
      <c r="T4" s="69" t="s">
        <v>106</v>
      </c>
      <c r="U4" s="69" t="s">
        <v>107</v>
      </c>
    </row>
    <row r="5" spans="2:21" ht="15.6" x14ac:dyDescent="0.3">
      <c r="B5" s="92" t="s">
        <v>88</v>
      </c>
      <c r="C5" s="76">
        <f>[1]Comparison_primary!$P$18</f>
        <v>442463.68</v>
      </c>
      <c r="D5" s="73">
        <f>C5</f>
        <v>442463.68</v>
      </c>
      <c r="E5" s="73">
        <f>'[2]2023 NPV'!$B$47</f>
        <v>4145.1410997768453</v>
      </c>
      <c r="F5" s="74">
        <f>[1]Comparison_primary!$Q$18</f>
        <v>1.2880611720028639</v>
      </c>
      <c r="G5" s="75">
        <f t="shared" ref="G5" si="0">F5*D5</f>
        <v>569920.28622950008</v>
      </c>
      <c r="H5" s="83">
        <f t="shared" ref="H5" si="1">G5/E5</f>
        <v>137.4911667687698</v>
      </c>
      <c r="I5" s="111" t="s">
        <v>131</v>
      </c>
      <c r="J5" s="91" t="s">
        <v>133</v>
      </c>
      <c r="M5" s="69" t="s">
        <v>96</v>
      </c>
      <c r="N5" s="102">
        <v>1986482</v>
      </c>
      <c r="O5" s="103">
        <v>2.8000000000000001E-2</v>
      </c>
      <c r="P5" s="102">
        <v>674020</v>
      </c>
      <c r="Q5" s="104">
        <v>0.33930335135178674</v>
      </c>
      <c r="R5" s="102">
        <v>2237363.9699999997</v>
      </c>
      <c r="S5" s="105">
        <v>3.6999999999999998E-2</v>
      </c>
      <c r="T5" s="102">
        <v>2127199.929</v>
      </c>
      <c r="U5" s="104">
        <v>0.95076168094366886</v>
      </c>
    </row>
    <row r="6" spans="2:21" ht="15.6" x14ac:dyDescent="0.3">
      <c r="B6" s="92" t="s">
        <v>81</v>
      </c>
      <c r="C6" s="76">
        <f>[1]Comparison_primary!$AO$7</f>
        <v>255744.215</v>
      </c>
      <c r="D6" s="73">
        <f t="shared" ref="D6:D14" si="2">C6</f>
        <v>255744.215</v>
      </c>
      <c r="E6" s="73">
        <f>'[2]2023 NPV'!$B$47</f>
        <v>4145.1410997768453</v>
      </c>
      <c r="F6" s="74">
        <f>[1]Comparison_primary!$AP$7</f>
        <v>0.94761311162795991</v>
      </c>
      <c r="G6" s="75">
        <f t="shared" ref="G6:G15" si="3">F6*D6</f>
        <v>242346.57135699998</v>
      </c>
      <c r="H6" s="83">
        <f t="shared" ref="H6:H8" si="4">G6/E6</f>
        <v>58.465216387940757</v>
      </c>
      <c r="I6" s="111" t="s">
        <v>131</v>
      </c>
      <c r="J6" s="111" t="s">
        <v>133</v>
      </c>
      <c r="M6" s="69" t="s">
        <v>94</v>
      </c>
      <c r="N6" s="102"/>
      <c r="O6" s="103"/>
      <c r="P6" s="102"/>
      <c r="Q6" s="104"/>
      <c r="R6" s="102">
        <v>2040000</v>
      </c>
      <c r="S6" s="105">
        <v>3.0000000000000001E-3</v>
      </c>
      <c r="T6" s="102">
        <v>196544.22892350002</v>
      </c>
      <c r="U6" s="104">
        <v>9.6345210256617658E-2</v>
      </c>
    </row>
    <row r="7" spans="2:21" ht="46.8" x14ac:dyDescent="0.3">
      <c r="B7" s="92" t="s">
        <v>82</v>
      </c>
      <c r="C7" s="76">
        <f>VLOOKUP(B7,'Media plan Summary'!$F$3:$G$15,2,FALSE)</f>
        <v>32000</v>
      </c>
      <c r="D7" s="73">
        <f t="shared" si="2"/>
        <v>32000</v>
      </c>
      <c r="E7" s="73">
        <f>'[2]2023 NPV'!$B$47</f>
        <v>4145.1410997768453</v>
      </c>
      <c r="F7" s="74">
        <v>0.95</v>
      </c>
      <c r="G7" s="75">
        <f t="shared" si="3"/>
        <v>30400</v>
      </c>
      <c r="H7" s="83">
        <f t="shared" si="4"/>
        <v>7.3338878624992025</v>
      </c>
      <c r="I7" s="113" t="s">
        <v>132</v>
      </c>
      <c r="J7" s="82" t="s">
        <v>123</v>
      </c>
      <c r="M7" s="69" t="s">
        <v>71</v>
      </c>
      <c r="N7" s="102">
        <v>457160</v>
      </c>
      <c r="O7" s="105">
        <v>7.0000000000000001E-3</v>
      </c>
      <c r="P7" s="102">
        <v>166719</v>
      </c>
      <c r="Q7" s="104">
        <v>0.36468413684486833</v>
      </c>
      <c r="R7" s="102">
        <v>601075</v>
      </c>
      <c r="S7" s="105">
        <v>8.0000000000000002E-3</v>
      </c>
      <c r="T7" s="102">
        <v>475996.49541650002</v>
      </c>
      <c r="U7" s="104">
        <v>0.79190865601879967</v>
      </c>
    </row>
    <row r="8" spans="2:21" ht="15.6" x14ac:dyDescent="0.3">
      <c r="B8" s="92" t="s">
        <v>94</v>
      </c>
      <c r="C8" s="76">
        <f>[1]Comparison_primary!$P$6</f>
        <v>2040000</v>
      </c>
      <c r="D8" s="73">
        <f t="shared" si="2"/>
        <v>2040000</v>
      </c>
      <c r="E8" s="73">
        <f>'[2]2023 NPV'!$B$47</f>
        <v>4145.1410997768453</v>
      </c>
      <c r="F8" s="86">
        <f>[1]Comparison_primary!$Q$6</f>
        <v>9.6345210256617658E-2</v>
      </c>
      <c r="G8" s="75">
        <f t="shared" si="3"/>
        <v>196544.22892350002</v>
      </c>
      <c r="H8" s="83">
        <f t="shared" si="4"/>
        <v>47.415570228497415</v>
      </c>
      <c r="I8" s="85" t="s">
        <v>131</v>
      </c>
      <c r="J8" s="111" t="s">
        <v>133</v>
      </c>
      <c r="M8" s="69" t="s">
        <v>95</v>
      </c>
      <c r="N8" s="102">
        <v>490875</v>
      </c>
      <c r="O8" s="105">
        <v>1E-3</v>
      </c>
      <c r="P8" s="102">
        <v>30649</v>
      </c>
      <c r="Q8" s="104">
        <v>6.2437484084542909E-2</v>
      </c>
      <c r="R8" s="102">
        <v>538220</v>
      </c>
      <c r="S8" s="105">
        <v>1.2999999999999999E-3</v>
      </c>
      <c r="T8" s="102">
        <v>74791.16675850001</v>
      </c>
      <c r="U8" s="104">
        <v>0.13896021470495337</v>
      </c>
    </row>
    <row r="9" spans="2:21" ht="15.6" x14ac:dyDescent="0.3">
      <c r="B9" s="92" t="s">
        <v>95</v>
      </c>
      <c r="C9" s="76">
        <f>[1]Comparison_primary!$AO$12</f>
        <v>538220</v>
      </c>
      <c r="D9" s="73">
        <f>C9</f>
        <v>538220</v>
      </c>
      <c r="E9" s="73">
        <f>'[2]2023 NPV'!$B$47</f>
        <v>4145.1410997768453</v>
      </c>
      <c r="F9" s="106">
        <f>[1]Comparison_primary!$AP$12</f>
        <v>0.13896021470495337</v>
      </c>
      <c r="G9" s="75">
        <f>F9*D9</f>
        <v>74791.16675850001</v>
      </c>
      <c r="H9" s="83">
        <f t="shared" ref="H9:H10" si="5">G9/E9</f>
        <v>18.043093095799904</v>
      </c>
      <c r="I9" s="85" t="s">
        <v>131</v>
      </c>
      <c r="J9" s="111" t="s">
        <v>133</v>
      </c>
      <c r="K9" s="69" t="s">
        <v>77</v>
      </c>
      <c r="M9" s="69" t="s">
        <v>88</v>
      </c>
      <c r="N9" s="102">
        <v>340000</v>
      </c>
      <c r="O9" s="105">
        <v>5.0000000000000001E-3</v>
      </c>
      <c r="P9" s="102">
        <v>128612</v>
      </c>
      <c r="Q9" s="104">
        <v>0.37827058823529414</v>
      </c>
      <c r="R9" s="102">
        <v>442463.68</v>
      </c>
      <c r="S9" s="105">
        <v>0.01</v>
      </c>
      <c r="T9" s="102">
        <v>569920.28622950008</v>
      </c>
      <c r="U9" s="104">
        <v>1.2880611720028639</v>
      </c>
    </row>
    <row r="10" spans="2:21" ht="15.6" x14ac:dyDescent="0.3">
      <c r="B10" s="92" t="s">
        <v>108</v>
      </c>
      <c r="C10" s="76">
        <f>[1]Comparison_primary!$AO$16</f>
        <v>244800</v>
      </c>
      <c r="D10" s="73">
        <f>C10</f>
        <v>244800</v>
      </c>
      <c r="E10" s="73">
        <f>'[2]2023 NPV'!$B$47</f>
        <v>4145.1410997768453</v>
      </c>
      <c r="F10" s="106">
        <f>[1]Comparison_primary!$AP$16</f>
        <v>0.35525520006127453</v>
      </c>
      <c r="G10" s="75">
        <f>F10*D10</f>
        <v>86966.472975000012</v>
      </c>
      <c r="H10" s="83">
        <f t="shared" si="5"/>
        <v>20.980340809069652</v>
      </c>
      <c r="I10" s="85" t="s">
        <v>131</v>
      </c>
      <c r="J10" s="111" t="s">
        <v>133</v>
      </c>
      <c r="K10" s="69" t="s">
        <v>75</v>
      </c>
      <c r="M10" s="69" t="s">
        <v>81</v>
      </c>
      <c r="N10" s="102"/>
      <c r="O10" s="103"/>
      <c r="P10" s="102"/>
      <c r="Q10" s="104"/>
      <c r="R10" s="102">
        <v>255744.215</v>
      </c>
      <c r="S10" s="105">
        <v>4.1999999999999997E-3</v>
      </c>
      <c r="T10" s="102">
        <v>242346.57135699998</v>
      </c>
      <c r="U10" s="104">
        <v>0.94761311162795991</v>
      </c>
    </row>
    <row r="11" spans="2:21" ht="15.6" x14ac:dyDescent="0.3">
      <c r="B11" s="92" t="s">
        <v>71</v>
      </c>
      <c r="C11" s="76">
        <f>[1]Comparison_primary!$P$8</f>
        <v>601075</v>
      </c>
      <c r="D11" s="73">
        <f t="shared" si="2"/>
        <v>601075</v>
      </c>
      <c r="E11" s="73">
        <f>'[2]2023 NPV'!$B$47</f>
        <v>4145.1410997768453</v>
      </c>
      <c r="F11" s="106">
        <f>[1]Comparison_primary!$Q$8</f>
        <v>0.79190865601879967</v>
      </c>
      <c r="G11" s="75">
        <f t="shared" si="3"/>
        <v>475996.49541650002</v>
      </c>
      <c r="H11" s="83">
        <f>G11/E11</f>
        <v>114.83239869497456</v>
      </c>
      <c r="I11" s="85" t="s">
        <v>131</v>
      </c>
      <c r="J11" s="111" t="s">
        <v>133</v>
      </c>
      <c r="K11" s="69" t="s">
        <v>77</v>
      </c>
      <c r="M11" s="69" t="s">
        <v>108</v>
      </c>
      <c r="N11" s="102"/>
      <c r="O11" s="103"/>
      <c r="P11" s="102"/>
      <c r="Q11" s="104"/>
      <c r="R11" s="102">
        <v>244800</v>
      </c>
      <c r="S11" s="105">
        <v>1.5E-3</v>
      </c>
      <c r="T11" s="102">
        <v>86966.472975000012</v>
      </c>
      <c r="U11" s="104">
        <v>0.35525520006127453</v>
      </c>
    </row>
    <row r="12" spans="2:21" ht="15.6" customHeight="1" x14ac:dyDescent="0.3">
      <c r="B12" s="92" t="s">
        <v>96</v>
      </c>
      <c r="C12" s="76">
        <f>[1]Comparison_primary!$P$11</f>
        <v>2237363.9699999997</v>
      </c>
      <c r="D12" s="73">
        <f t="shared" si="2"/>
        <v>2237363.9699999997</v>
      </c>
      <c r="E12" s="73">
        <f>'[2]2023 NPV'!$B$47</f>
        <v>4145.1410997768453</v>
      </c>
      <c r="F12" s="106">
        <f>SUM([1]Comparison_primary!$Q$9,[1]Comparison_primary!$Q$11)</f>
        <v>0.95076168092958979</v>
      </c>
      <c r="G12" s="75">
        <f t="shared" si="3"/>
        <v>2127199.9289684999</v>
      </c>
      <c r="H12" s="83">
        <f>G12/E12</f>
        <v>513.17913618984358</v>
      </c>
      <c r="I12" s="85" t="s">
        <v>131</v>
      </c>
      <c r="J12" s="111" t="s">
        <v>133</v>
      </c>
      <c r="K12" s="69" t="s">
        <v>74</v>
      </c>
      <c r="M12" s="69" t="s">
        <v>109</v>
      </c>
      <c r="N12" s="102">
        <v>74200</v>
      </c>
      <c r="O12" s="105">
        <v>2.5000000000000001E-2</v>
      </c>
      <c r="P12" s="102">
        <v>590661</v>
      </c>
      <c r="Q12" s="104">
        <v>7.9603908355795152</v>
      </c>
      <c r="R12" s="102">
        <v>159100</v>
      </c>
      <c r="S12" s="105">
        <v>1.6500000000000001E-2</v>
      </c>
      <c r="T12" s="102">
        <v>957210.97921150003</v>
      </c>
      <c r="U12" s="104">
        <v>6.0164109315619108</v>
      </c>
    </row>
    <row r="13" spans="2:21" ht="15.6" x14ac:dyDescent="0.3">
      <c r="B13" s="92" t="s">
        <v>110</v>
      </c>
      <c r="C13" s="76">
        <f>[1]Comparison_primary!$AO$19</f>
        <v>104785</v>
      </c>
      <c r="D13" s="73">
        <f t="shared" si="2"/>
        <v>104785</v>
      </c>
      <c r="E13" s="73">
        <f>'[2]2023 NPV'!$B$47</f>
        <v>4145.1410997768453</v>
      </c>
      <c r="F13" s="106">
        <f>[1]Comparison_primary!$AP$19</f>
        <v>1.9586856536813477</v>
      </c>
      <c r="G13" s="75">
        <f t="shared" ref="G13" si="6">F13*D13</f>
        <v>205240.87622100001</v>
      </c>
      <c r="H13" s="83">
        <f>G13/E13</f>
        <v>49.513604309404379</v>
      </c>
      <c r="I13" s="85" t="s">
        <v>131</v>
      </c>
      <c r="J13" s="111" t="s">
        <v>133</v>
      </c>
      <c r="K13" s="69" t="s">
        <v>79</v>
      </c>
      <c r="M13" s="69" t="s">
        <v>110</v>
      </c>
      <c r="N13" s="102">
        <v>69394</v>
      </c>
      <c r="O13" s="105">
        <v>5.0000000000000001E-3</v>
      </c>
      <c r="P13" s="102">
        <v>119085</v>
      </c>
      <c r="Q13" s="104">
        <v>1.7160705536501715</v>
      </c>
      <c r="R13" s="102">
        <v>104785</v>
      </c>
      <c r="S13" s="105">
        <v>3.5000000000000001E-3</v>
      </c>
      <c r="T13" s="102">
        <v>205240.87622100001</v>
      </c>
      <c r="U13" s="104">
        <v>1.9586856536813477</v>
      </c>
    </row>
    <row r="14" spans="2:21" ht="46.8" x14ac:dyDescent="0.3">
      <c r="B14" s="92" t="s">
        <v>128</v>
      </c>
      <c r="C14" s="76">
        <f>GETPIVOTDATA("Sum of Planned cost ($)",'Media plan Summary'!$F$2,"Row Labels","EHEALTHCARESOLUTIONS.COM")</f>
        <v>45000</v>
      </c>
      <c r="D14" s="73">
        <f t="shared" si="2"/>
        <v>45000</v>
      </c>
      <c r="E14" s="73">
        <f>'[2]2023 NPV'!$B$47</f>
        <v>4145.1410997768453</v>
      </c>
      <c r="F14" s="106">
        <f>F6</f>
        <v>0.94761311162795991</v>
      </c>
      <c r="G14" s="75">
        <f t="shared" ref="G14" si="7">F14*D14</f>
        <v>42642.590023258199</v>
      </c>
      <c r="H14" s="83">
        <f>G14/E14</f>
        <v>10.287367545957331</v>
      </c>
      <c r="I14" s="113" t="s">
        <v>132</v>
      </c>
      <c r="J14" s="111" t="s">
        <v>123</v>
      </c>
      <c r="M14" s="69" t="s">
        <v>111</v>
      </c>
      <c r="N14" s="102">
        <v>3418111</v>
      </c>
      <c r="O14" s="105">
        <v>7.1000000000000008E-2</v>
      </c>
      <c r="P14" s="102">
        <v>1709746</v>
      </c>
      <c r="Q14" s="104">
        <v>0.5002020121640286</v>
      </c>
      <c r="R14" s="102">
        <v>6623551.8649999993</v>
      </c>
      <c r="S14" s="105">
        <v>8.5000000000000006E-2</v>
      </c>
      <c r="T14" s="102">
        <v>4936217.0060925009</v>
      </c>
      <c r="U14" s="104">
        <v>0.74525226143035594</v>
      </c>
    </row>
    <row r="15" spans="2:21" ht="62.4" x14ac:dyDescent="0.3">
      <c r="B15" s="92" t="s">
        <v>90</v>
      </c>
      <c r="C15" s="76">
        <f>SUM(GETPIVOTDATA("Sum of Planned cost ($)",'Media plan Summary'!$F$2,"Row Labels","PHYSICIANS WEEKLY"),GETPIVOTDATA("Sum of Planned cost ($)",'Media plan Summary'!$F$2,"Row Labels","PHYSICIAN'S WEEKLY"))</f>
        <v>232825</v>
      </c>
      <c r="D15" s="73">
        <f t="shared" ref="D15" si="8">C15</f>
        <v>232825</v>
      </c>
      <c r="E15" s="73">
        <f>'[2]2023 NPV'!$B$47</f>
        <v>4145.1410997768453</v>
      </c>
      <c r="F15" s="85">
        <f>'[3]Merck calculated ROI'!$G$16</f>
        <v>1.2</v>
      </c>
      <c r="G15" s="75">
        <f t="shared" si="3"/>
        <v>279390</v>
      </c>
      <c r="H15" s="83">
        <f t="shared" ref="H15" si="9">G15/E15</f>
        <v>67.401806904725404</v>
      </c>
      <c r="I15" s="113" t="s">
        <v>132</v>
      </c>
      <c r="J15" s="111" t="s">
        <v>134</v>
      </c>
    </row>
    <row r="16" spans="2:21" ht="46.8" x14ac:dyDescent="0.3">
      <c r="B16" s="92" t="s">
        <v>135</v>
      </c>
      <c r="C16" s="76">
        <f>[4]Verquvo!$G$11</f>
        <v>497411.99999999994</v>
      </c>
      <c r="D16" s="73">
        <f>C16</f>
        <v>497411.99999999994</v>
      </c>
      <c r="E16" s="73"/>
      <c r="F16" s="106">
        <f>[4]Verquvo!$C$11</f>
        <v>1.4025104081693183</v>
      </c>
      <c r="G16" s="75"/>
      <c r="H16" s="83"/>
      <c r="I16" s="91"/>
      <c r="J16" s="111" t="s">
        <v>136</v>
      </c>
    </row>
    <row r="17" spans="2:10" ht="15.6" x14ac:dyDescent="0.3">
      <c r="B17" s="92"/>
      <c r="C17" s="76"/>
      <c r="D17" s="73"/>
      <c r="E17" s="73"/>
      <c r="F17" s="85"/>
      <c r="G17" s="75"/>
      <c r="H17" s="83"/>
      <c r="I17" s="91"/>
      <c r="J17" s="111"/>
    </row>
    <row r="18" spans="2:10" ht="15.6" x14ac:dyDescent="0.3">
      <c r="B18" s="77" t="s">
        <v>67</v>
      </c>
      <c r="C18" s="78">
        <f>SUM(C5:C17)</f>
        <v>7271688.8650000002</v>
      </c>
      <c r="D18" s="78">
        <f>SUM(D5:D17)</f>
        <v>7271688.8650000002</v>
      </c>
      <c r="E18" s="79"/>
      <c r="F18" s="80">
        <f>G18/D18</f>
        <v>0.59565785848192476</v>
      </c>
      <c r="G18" s="78">
        <f>SUM(G5:G17)</f>
        <v>4331438.6168727586</v>
      </c>
      <c r="H18" s="81">
        <f>SUM(H5:H17)</f>
        <v>1044.9435887974821</v>
      </c>
      <c r="I18" s="81"/>
      <c r="J18" s="81"/>
    </row>
    <row r="19" spans="2:10" x14ac:dyDescent="0.3">
      <c r="D19" s="87"/>
      <c r="F19" s="89"/>
      <c r="G19" s="88"/>
    </row>
    <row r="20" spans="2:10" x14ac:dyDescent="0.25">
      <c r="B20" s="93"/>
      <c r="C20" s="94"/>
      <c r="D20" s="90"/>
      <c r="E20" s="71"/>
      <c r="F20" s="98"/>
      <c r="G20" s="108"/>
      <c r="H20" s="110"/>
    </row>
    <row r="21" spans="2:10" ht="15.75" customHeight="1" x14ac:dyDescent="0.25">
      <c r="B21" s="95"/>
      <c r="C21" s="96"/>
      <c r="D21" s="98"/>
      <c r="E21" s="107"/>
      <c r="F21" s="98"/>
      <c r="G21" s="98"/>
    </row>
    <row r="22" spans="2:10" x14ac:dyDescent="0.25">
      <c r="B22" s="97"/>
      <c r="C22" s="98"/>
      <c r="D22" s="98"/>
      <c r="E22" s="97"/>
      <c r="F22" s="107"/>
      <c r="G22" s="98"/>
    </row>
    <row r="23" spans="2:10" x14ac:dyDescent="0.25">
      <c r="B23" s="95"/>
      <c r="C23" s="96"/>
      <c r="D23" s="98"/>
      <c r="E23" s="95"/>
      <c r="F23" s="98"/>
      <c r="G23" s="108"/>
    </row>
    <row r="24" spans="2:10" x14ac:dyDescent="0.25">
      <c r="B24" s="97"/>
      <c r="C24" s="98"/>
      <c r="D24" s="98"/>
      <c r="E24" s="109"/>
      <c r="F24" s="98"/>
      <c r="G24" s="98"/>
    </row>
    <row r="25" spans="2:10" x14ac:dyDescent="0.25">
      <c r="B25" s="95"/>
      <c r="C25" s="96"/>
      <c r="D25" s="98"/>
      <c r="E25" s="109"/>
      <c r="F25" s="98"/>
      <c r="G25" s="98"/>
      <c r="I25" s="69" t="s">
        <v>122</v>
      </c>
    </row>
    <row r="26" spans="2:10" x14ac:dyDescent="0.25">
      <c r="B26" s="97"/>
      <c r="C26" s="98"/>
      <c r="D26" s="98"/>
      <c r="E26" s="98"/>
      <c r="F26" s="98"/>
      <c r="G26" s="98"/>
      <c r="J26" s="69" t="s">
        <v>120</v>
      </c>
    </row>
    <row r="27" spans="2:10" x14ac:dyDescent="0.25">
      <c r="B27" s="95"/>
      <c r="C27" s="98"/>
      <c r="J27" s="69" t="s">
        <v>121</v>
      </c>
    </row>
    <row r="28" spans="2:10" ht="39.6" x14ac:dyDescent="0.25">
      <c r="B28" s="97" t="s">
        <v>126</v>
      </c>
      <c r="C28" s="98"/>
    </row>
    <row r="29" spans="2:10" x14ac:dyDescent="0.25">
      <c r="B29" s="95"/>
      <c r="C29" s="96"/>
    </row>
    <row r="31" spans="2:10" x14ac:dyDescent="0.3">
      <c r="B31" s="92"/>
      <c r="F31" s="70"/>
    </row>
    <row r="32" spans="2:10" x14ac:dyDescent="0.3">
      <c r="B32" s="92"/>
      <c r="F32" s="70"/>
    </row>
    <row r="33" spans="2:2" x14ac:dyDescent="0.3">
      <c r="B33" s="92"/>
    </row>
    <row r="34" spans="2:2" x14ac:dyDescent="0.3">
      <c r="B34" s="92"/>
    </row>
    <row r="35" spans="2:2" x14ac:dyDescent="0.3">
      <c r="B35" s="92"/>
    </row>
    <row r="36" spans="2:2" x14ac:dyDescent="0.3">
      <c r="B36" s="92"/>
    </row>
    <row r="37" spans="2:2" x14ac:dyDescent="0.3">
      <c r="B37" s="92"/>
    </row>
    <row r="38" spans="2:2" x14ac:dyDescent="0.3">
      <c r="B38" s="92"/>
    </row>
    <row r="39" spans="2:2" x14ac:dyDescent="0.3">
      <c r="B39" s="92"/>
    </row>
    <row r="40" spans="2:2" x14ac:dyDescent="0.3">
      <c r="B40" s="92"/>
    </row>
    <row r="41" spans="2:2" x14ac:dyDescent="0.3">
      <c r="B41" s="92"/>
    </row>
    <row r="42" spans="2:2" x14ac:dyDescent="0.3">
      <c r="B42" s="92"/>
    </row>
    <row r="43" spans="2:2" x14ac:dyDescent="0.3">
      <c r="B43" s="92"/>
    </row>
    <row r="44" spans="2:2" x14ac:dyDescent="0.3">
      <c r="B44"/>
    </row>
    <row r="45" spans="2:2" x14ac:dyDescent="0.3">
      <c r="B45"/>
    </row>
    <row r="46" spans="2:2" x14ac:dyDescent="0.3">
      <c r="B46"/>
    </row>
    <row r="47" spans="2:2" x14ac:dyDescent="0.3">
      <c r="B47"/>
    </row>
    <row r="48" spans="2:2" x14ac:dyDescent="0.3">
      <c r="B48"/>
    </row>
    <row r="49" spans="2:2" x14ac:dyDescent="0.3">
      <c r="B49"/>
    </row>
    <row r="50" spans="2:2" x14ac:dyDescent="0.3">
      <c r="B50"/>
    </row>
    <row r="51" spans="2:2" x14ac:dyDescent="0.3">
      <c r="B51"/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F0F44-8601-4D5A-8A85-1327D11807F9}">
  <dimension ref="A1:G22"/>
  <sheetViews>
    <sheetView workbookViewId="0">
      <selection activeCell="L11" sqref="L11"/>
    </sheetView>
  </sheetViews>
  <sheetFormatPr defaultRowHeight="14.4" x14ac:dyDescent="0.3"/>
  <cols>
    <col min="1" max="1" width="27.21875" bestFit="1" customWidth="1"/>
    <col min="2" max="2" width="20.5546875" bestFit="1" customWidth="1"/>
    <col min="6" max="6" width="27.21875" bestFit="1" customWidth="1"/>
    <col min="7" max="7" width="18" bestFit="1" customWidth="1"/>
  </cols>
  <sheetData>
    <row r="1" spans="1:7" x14ac:dyDescent="0.3">
      <c r="A1" t="s">
        <v>97</v>
      </c>
      <c r="B1" t="s">
        <v>98</v>
      </c>
      <c r="C1" t="s">
        <v>14</v>
      </c>
    </row>
    <row r="2" spans="1:7" x14ac:dyDescent="0.3">
      <c r="A2" t="s">
        <v>80</v>
      </c>
      <c r="B2">
        <v>15407</v>
      </c>
      <c r="C2" t="s">
        <v>59</v>
      </c>
      <c r="F2" s="99" t="s">
        <v>97</v>
      </c>
      <c r="G2" t="s">
        <v>100</v>
      </c>
    </row>
    <row r="3" spans="1:7" x14ac:dyDescent="0.3">
      <c r="A3" t="s">
        <v>81</v>
      </c>
      <c r="B3">
        <v>27461.199999999997</v>
      </c>
      <c r="C3" t="s">
        <v>59</v>
      </c>
      <c r="F3" s="100" t="s">
        <v>80</v>
      </c>
      <c r="G3" s="101">
        <v>15407</v>
      </c>
    </row>
    <row r="4" spans="1:7" x14ac:dyDescent="0.3">
      <c r="A4" t="s">
        <v>82</v>
      </c>
      <c r="B4">
        <v>32000</v>
      </c>
      <c r="C4" t="s">
        <v>59</v>
      </c>
      <c r="F4" s="100" t="s">
        <v>81</v>
      </c>
      <c r="G4" s="101">
        <v>58414.229999999996</v>
      </c>
    </row>
    <row r="5" spans="1:7" x14ac:dyDescent="0.3">
      <c r="A5" t="s">
        <v>83</v>
      </c>
      <c r="B5">
        <v>165000</v>
      </c>
      <c r="C5" t="s">
        <v>59</v>
      </c>
      <c r="F5" s="100" t="s">
        <v>82</v>
      </c>
      <c r="G5" s="101">
        <v>32000</v>
      </c>
    </row>
    <row r="6" spans="1:7" x14ac:dyDescent="0.3">
      <c r="A6" t="s">
        <v>84</v>
      </c>
      <c r="B6">
        <v>45000</v>
      </c>
      <c r="C6" t="s">
        <v>59</v>
      </c>
      <c r="F6" s="100" t="s">
        <v>83</v>
      </c>
      <c r="G6" s="101">
        <v>165000</v>
      </c>
    </row>
    <row r="7" spans="1:7" x14ac:dyDescent="0.3">
      <c r="A7" t="s">
        <v>85</v>
      </c>
      <c r="B7">
        <v>0</v>
      </c>
      <c r="C7" t="s">
        <v>59</v>
      </c>
      <c r="F7" s="100" t="s">
        <v>84</v>
      </c>
      <c r="G7" s="101">
        <v>45000</v>
      </c>
    </row>
    <row r="8" spans="1:7" x14ac:dyDescent="0.3">
      <c r="A8" t="s">
        <v>86</v>
      </c>
      <c r="B8">
        <v>117484</v>
      </c>
      <c r="C8" t="s">
        <v>59</v>
      </c>
      <c r="F8" s="100" t="s">
        <v>85</v>
      </c>
      <c r="G8" s="101">
        <v>0</v>
      </c>
    </row>
    <row r="9" spans="1:7" x14ac:dyDescent="0.3">
      <c r="A9" t="s">
        <v>87</v>
      </c>
      <c r="B9">
        <v>668085</v>
      </c>
      <c r="C9" t="s">
        <v>59</v>
      </c>
      <c r="F9" s="100" t="s">
        <v>86</v>
      </c>
      <c r="G9" s="101">
        <v>194726</v>
      </c>
    </row>
    <row r="10" spans="1:7" x14ac:dyDescent="0.3">
      <c r="A10" t="s">
        <v>88</v>
      </c>
      <c r="B10">
        <v>0</v>
      </c>
      <c r="C10" t="s">
        <v>59</v>
      </c>
      <c r="F10" s="100" t="s">
        <v>87</v>
      </c>
      <c r="G10" s="101">
        <v>825855.69</v>
      </c>
    </row>
    <row r="11" spans="1:7" x14ac:dyDescent="0.3">
      <c r="A11" t="s">
        <v>89</v>
      </c>
      <c r="B11">
        <v>15000</v>
      </c>
      <c r="C11" t="s">
        <v>59</v>
      </c>
      <c r="F11" s="100" t="s">
        <v>88</v>
      </c>
      <c r="G11" s="101">
        <v>0</v>
      </c>
    </row>
    <row r="12" spans="1:7" x14ac:dyDescent="0.3">
      <c r="A12" t="s">
        <v>90</v>
      </c>
      <c r="B12">
        <v>186260</v>
      </c>
      <c r="C12" t="s">
        <v>59</v>
      </c>
      <c r="F12" s="100" t="s">
        <v>89</v>
      </c>
      <c r="G12" s="101">
        <v>15000</v>
      </c>
    </row>
    <row r="13" spans="1:7" x14ac:dyDescent="0.3">
      <c r="A13" t="s">
        <v>91</v>
      </c>
      <c r="B13">
        <v>0</v>
      </c>
      <c r="C13" t="s">
        <v>59</v>
      </c>
      <c r="F13" s="100" t="s">
        <v>90</v>
      </c>
      <c r="G13" s="101">
        <v>186260</v>
      </c>
    </row>
    <row r="14" spans="1:7" x14ac:dyDescent="0.3">
      <c r="A14" t="s">
        <v>81</v>
      </c>
      <c r="B14">
        <v>30953.030000000002</v>
      </c>
      <c r="C14" t="s">
        <v>59</v>
      </c>
      <c r="F14" s="100" t="s">
        <v>92</v>
      </c>
      <c r="G14" s="101">
        <v>46565</v>
      </c>
    </row>
    <row r="15" spans="1:7" x14ac:dyDescent="0.3">
      <c r="A15" t="s">
        <v>82</v>
      </c>
      <c r="B15">
        <v>0</v>
      </c>
      <c r="C15" t="s">
        <v>59</v>
      </c>
      <c r="F15" s="100" t="s">
        <v>91</v>
      </c>
      <c r="G15" s="101">
        <v>0</v>
      </c>
    </row>
    <row r="16" spans="1:7" x14ac:dyDescent="0.3">
      <c r="A16" t="s">
        <v>83</v>
      </c>
      <c r="B16">
        <v>0</v>
      </c>
      <c r="C16" t="s">
        <v>59</v>
      </c>
      <c r="F16" s="100" t="s">
        <v>99</v>
      </c>
      <c r="G16" s="101">
        <v>1584227.92</v>
      </c>
    </row>
    <row r="17" spans="1:3" x14ac:dyDescent="0.3">
      <c r="A17" t="s">
        <v>85</v>
      </c>
      <c r="B17">
        <v>0</v>
      </c>
      <c r="C17" t="s">
        <v>59</v>
      </c>
    </row>
    <row r="18" spans="1:3" x14ac:dyDescent="0.3">
      <c r="A18" t="s">
        <v>86</v>
      </c>
      <c r="B18">
        <v>77242</v>
      </c>
      <c r="C18" t="s">
        <v>59</v>
      </c>
    </row>
    <row r="19" spans="1:3" x14ac:dyDescent="0.3">
      <c r="A19" t="s">
        <v>87</v>
      </c>
      <c r="B19">
        <v>157770.69</v>
      </c>
      <c r="C19" t="s">
        <v>59</v>
      </c>
    </row>
    <row r="20" spans="1:3" x14ac:dyDescent="0.3">
      <c r="A20" t="s">
        <v>88</v>
      </c>
      <c r="B20">
        <v>0</v>
      </c>
      <c r="C20" t="s">
        <v>59</v>
      </c>
    </row>
    <row r="21" spans="1:3" x14ac:dyDescent="0.3">
      <c r="A21" t="s">
        <v>89</v>
      </c>
      <c r="B21">
        <v>0</v>
      </c>
      <c r="C21" t="s">
        <v>59</v>
      </c>
    </row>
    <row r="22" spans="1:3" x14ac:dyDescent="0.3">
      <c r="A22" t="s">
        <v>92</v>
      </c>
      <c r="B22">
        <v>46565</v>
      </c>
      <c r="C22" t="s">
        <v>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17"/>
  <sheetViews>
    <sheetView showGridLines="0" zoomScale="90" zoomScaleNormal="90" workbookViewId="0">
      <selection activeCell="F10" sqref="F10:N10"/>
    </sheetView>
  </sheetViews>
  <sheetFormatPr defaultColWidth="9.109375" defaultRowHeight="13.8" x14ac:dyDescent="0.25"/>
  <cols>
    <col min="1" max="1" width="6" style="41" bestFit="1" customWidth="1"/>
    <col min="2" max="2" width="8" style="41" bestFit="1" customWidth="1"/>
    <col min="3" max="3" width="40.33203125" style="41" bestFit="1" customWidth="1"/>
    <col min="4" max="4" width="7.33203125" style="41" bestFit="1" customWidth="1"/>
    <col min="5" max="5" width="8.77734375" style="41" bestFit="1" customWidth="1"/>
    <col min="6" max="6" width="18" style="41" bestFit="1" customWidth="1"/>
    <col min="7" max="7" width="3.5546875" style="41" customWidth="1"/>
    <col min="8" max="8" width="14.109375" style="41" bestFit="1" customWidth="1"/>
    <col min="9" max="9" width="12.33203125" style="41" hidden="1" customWidth="1"/>
    <col min="10" max="10" width="12.33203125" style="41" customWidth="1"/>
    <col min="11" max="11" width="12.109375" style="41" customWidth="1"/>
    <col min="12" max="12" width="14.33203125" style="41" customWidth="1"/>
    <col min="13" max="13" width="15.109375" style="41" customWidth="1"/>
    <col min="14" max="14" width="11.6640625" style="41" customWidth="1"/>
    <col min="15" max="16384" width="9.109375" style="41"/>
  </cols>
  <sheetData>
    <row r="1" spans="1:14" x14ac:dyDescent="0.25">
      <c r="A1" s="114" t="s">
        <v>58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</row>
    <row r="3" spans="1:14" x14ac:dyDescent="0.25">
      <c r="B3" s="42" t="s">
        <v>1</v>
      </c>
      <c r="C3" s="42"/>
      <c r="D3" s="42"/>
      <c r="H3" s="115" t="s">
        <v>76</v>
      </c>
      <c r="I3" s="116"/>
      <c r="J3" s="116"/>
      <c r="K3" s="116"/>
      <c r="L3" s="116"/>
      <c r="M3" s="116" t="s">
        <v>2</v>
      </c>
      <c r="N3" s="116"/>
    </row>
    <row r="4" spans="1:14" ht="69" x14ac:dyDescent="0.3">
      <c r="B4" s="42"/>
      <c r="C4" s="42" t="s">
        <v>124</v>
      </c>
      <c r="D4" s="84">
        <v>0.23</v>
      </c>
      <c r="F4" s="43" t="s">
        <v>78</v>
      </c>
      <c r="H4" s="44" t="s">
        <v>3</v>
      </c>
      <c r="I4" s="60" t="s">
        <v>62</v>
      </c>
      <c r="J4" s="44" t="s">
        <v>4</v>
      </c>
      <c r="K4" s="44" t="s">
        <v>5</v>
      </c>
      <c r="L4" s="45" t="s">
        <v>54</v>
      </c>
      <c r="M4" s="44" t="s">
        <v>6</v>
      </c>
      <c r="N4" s="44" t="s">
        <v>7</v>
      </c>
    </row>
    <row r="5" spans="1:14" s="46" customFormat="1" ht="21" customHeight="1" x14ac:dyDescent="0.3">
      <c r="B5" s="42"/>
      <c r="C5" s="42" t="s">
        <v>125</v>
      </c>
      <c r="D5" s="47">
        <f>'[2]2023 NPV'!$B$47</f>
        <v>4145.1410997768453</v>
      </c>
      <c r="F5" s="67">
        <f>SUM(Sheet2!E2:E13)</f>
        <v>16472</v>
      </c>
      <c r="G5" s="41"/>
      <c r="H5" s="48">
        <f>MCM!D18</f>
        <v>7271688.8650000002</v>
      </c>
      <c r="I5" s="59">
        <v>0</v>
      </c>
      <c r="J5" s="61">
        <f>MCM!H18</f>
        <v>1044.9435887974821</v>
      </c>
      <c r="K5" s="49">
        <f>J5/F5</f>
        <v>6.3437566099895704E-2</v>
      </c>
      <c r="L5" s="62">
        <f>H5/J5</f>
        <v>6958.9295948197905</v>
      </c>
      <c r="M5" s="50">
        <f>K5*3</f>
        <v>0.19031269829968711</v>
      </c>
      <c r="N5" s="51">
        <f>M5*F5</f>
        <v>3134.8307663924461</v>
      </c>
    </row>
    <row r="6" spans="1:14" s="46" customFormat="1" x14ac:dyDescent="0.25">
      <c r="B6" s="52"/>
      <c r="C6" s="52"/>
      <c r="D6" s="53"/>
      <c r="H6" s="54" t="s">
        <v>8</v>
      </c>
    </row>
    <row r="7" spans="1:14" s="46" customFormat="1" x14ac:dyDescent="0.25">
      <c r="B7" s="52"/>
      <c r="C7" s="52"/>
      <c r="D7" s="53"/>
    </row>
    <row r="8" spans="1:14" s="46" customFormat="1" x14ac:dyDescent="0.25">
      <c r="B8" s="52"/>
      <c r="C8" s="52"/>
      <c r="D8" s="53"/>
    </row>
    <row r="10" spans="1:14" x14ac:dyDescent="0.25">
      <c r="F10" s="68" t="s">
        <v>70</v>
      </c>
      <c r="H10" s="48"/>
      <c r="I10" s="59"/>
      <c r="J10" s="61"/>
      <c r="K10" s="49"/>
      <c r="L10" s="62"/>
      <c r="M10" s="50"/>
      <c r="N10" s="51"/>
    </row>
    <row r="15" spans="1:14" x14ac:dyDescent="0.25">
      <c r="F15" s="68" t="s">
        <v>93</v>
      </c>
    </row>
    <row r="17" spans="5:5" x14ac:dyDescent="0.25">
      <c r="E17" s="68"/>
    </row>
  </sheetData>
  <mergeCells count="3">
    <mergeCell ref="A1:K1"/>
    <mergeCell ref="H3:L3"/>
    <mergeCell ref="M3:N3"/>
  </mergeCells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E27B5-83CC-4169-875C-E367170464B2}">
  <dimension ref="A1:E13"/>
  <sheetViews>
    <sheetView workbookViewId="0">
      <selection activeCell="E2" sqref="E2:E13"/>
    </sheetView>
  </sheetViews>
  <sheetFormatPr defaultRowHeight="14.4" x14ac:dyDescent="0.3"/>
  <cols>
    <col min="3" max="3" width="15.21875" customWidth="1"/>
    <col min="4" max="4" width="13.21875" bestFit="1" customWidth="1"/>
  </cols>
  <sheetData>
    <row r="1" spans="1:5" x14ac:dyDescent="0.3">
      <c r="A1" t="s">
        <v>112</v>
      </c>
      <c r="B1" t="s">
        <v>113</v>
      </c>
      <c r="C1" t="s">
        <v>114</v>
      </c>
      <c r="D1" t="s">
        <v>115</v>
      </c>
      <c r="E1" t="s">
        <v>116</v>
      </c>
    </row>
    <row r="2" spans="1:5" x14ac:dyDescent="0.3">
      <c r="A2" t="s">
        <v>117</v>
      </c>
      <c r="B2" t="s">
        <v>118</v>
      </c>
      <c r="C2">
        <v>44562</v>
      </c>
      <c r="D2" t="s">
        <v>119</v>
      </c>
      <c r="E2">
        <v>867</v>
      </c>
    </row>
    <row r="3" spans="1:5" x14ac:dyDescent="0.3">
      <c r="A3" t="s">
        <v>117</v>
      </c>
      <c r="B3" t="s">
        <v>118</v>
      </c>
      <c r="C3">
        <v>44593</v>
      </c>
      <c r="D3" t="s">
        <v>119</v>
      </c>
      <c r="E3">
        <v>862</v>
      </c>
    </row>
    <row r="4" spans="1:5" x14ac:dyDescent="0.3">
      <c r="A4" t="s">
        <v>117</v>
      </c>
      <c r="B4" t="s">
        <v>118</v>
      </c>
      <c r="C4">
        <v>44621</v>
      </c>
      <c r="D4" t="s">
        <v>119</v>
      </c>
      <c r="E4">
        <v>1225</v>
      </c>
    </row>
    <row r="5" spans="1:5" x14ac:dyDescent="0.3">
      <c r="A5" t="s">
        <v>117</v>
      </c>
      <c r="B5" t="s">
        <v>118</v>
      </c>
      <c r="C5">
        <v>44652</v>
      </c>
      <c r="D5" t="s">
        <v>119</v>
      </c>
      <c r="E5">
        <v>1169</v>
      </c>
    </row>
    <row r="6" spans="1:5" x14ac:dyDescent="0.3">
      <c r="A6" t="s">
        <v>117</v>
      </c>
      <c r="B6" t="s">
        <v>118</v>
      </c>
      <c r="C6">
        <v>44682</v>
      </c>
      <c r="D6" t="s">
        <v>119</v>
      </c>
      <c r="E6">
        <v>1228</v>
      </c>
    </row>
    <row r="7" spans="1:5" x14ac:dyDescent="0.3">
      <c r="A7" t="s">
        <v>117</v>
      </c>
      <c r="B7" t="s">
        <v>118</v>
      </c>
      <c r="C7">
        <v>44713</v>
      </c>
      <c r="D7" t="s">
        <v>119</v>
      </c>
      <c r="E7">
        <v>1363</v>
      </c>
    </row>
    <row r="8" spans="1:5" x14ac:dyDescent="0.3">
      <c r="A8" t="s">
        <v>117</v>
      </c>
      <c r="B8" t="s">
        <v>118</v>
      </c>
      <c r="C8">
        <v>44743</v>
      </c>
      <c r="D8" t="s">
        <v>119</v>
      </c>
      <c r="E8">
        <v>1385</v>
      </c>
    </row>
    <row r="9" spans="1:5" x14ac:dyDescent="0.3">
      <c r="A9" t="s">
        <v>117</v>
      </c>
      <c r="B9" t="s">
        <v>118</v>
      </c>
      <c r="C9">
        <v>44774</v>
      </c>
      <c r="D9" t="s">
        <v>119</v>
      </c>
      <c r="E9">
        <v>1472</v>
      </c>
    </row>
    <row r="10" spans="1:5" x14ac:dyDescent="0.3">
      <c r="A10" t="s">
        <v>117</v>
      </c>
      <c r="B10" t="s">
        <v>118</v>
      </c>
      <c r="C10">
        <v>44805</v>
      </c>
      <c r="D10" t="s">
        <v>119</v>
      </c>
      <c r="E10">
        <v>1606</v>
      </c>
    </row>
    <row r="11" spans="1:5" x14ac:dyDescent="0.3">
      <c r="A11" t="s">
        <v>117</v>
      </c>
      <c r="B11" t="s">
        <v>118</v>
      </c>
      <c r="C11">
        <v>44835</v>
      </c>
      <c r="D11" t="s">
        <v>119</v>
      </c>
      <c r="E11">
        <v>1647</v>
      </c>
    </row>
    <row r="12" spans="1:5" x14ac:dyDescent="0.3">
      <c r="A12" t="s">
        <v>117</v>
      </c>
      <c r="B12" t="s">
        <v>118</v>
      </c>
      <c r="C12">
        <v>44866</v>
      </c>
      <c r="D12" t="s">
        <v>119</v>
      </c>
      <c r="E12">
        <v>1782</v>
      </c>
    </row>
    <row r="13" spans="1:5" x14ac:dyDescent="0.3">
      <c r="A13" t="s">
        <v>117</v>
      </c>
      <c r="B13" t="s">
        <v>118</v>
      </c>
      <c r="C13">
        <v>44896</v>
      </c>
      <c r="D13" t="s">
        <v>119</v>
      </c>
      <c r="E13">
        <v>1866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C00000"/>
  </sheetPr>
  <dimension ref="A1:O55"/>
  <sheetViews>
    <sheetView showGridLines="0" topLeftCell="A22" zoomScale="80" zoomScaleNormal="80" workbookViewId="0">
      <selection activeCell="J47" sqref="J47"/>
    </sheetView>
  </sheetViews>
  <sheetFormatPr defaultColWidth="8.88671875" defaultRowHeight="13.8" x14ac:dyDescent="0.3"/>
  <cols>
    <col min="1" max="1" width="12.109375" style="2" customWidth="1"/>
    <col min="2" max="2" width="13.5546875" style="2" customWidth="1"/>
    <col min="3" max="3" width="12.5546875" style="2" customWidth="1"/>
    <col min="4" max="4" width="13.6640625" style="2" customWidth="1"/>
    <col min="5" max="5" width="15.6640625" style="2" customWidth="1"/>
    <col min="6" max="6" width="12.44140625" style="2" customWidth="1"/>
    <col min="7" max="7" width="12" style="2" customWidth="1"/>
    <col min="8" max="10" width="10.33203125" style="2" customWidth="1"/>
    <col min="11" max="11" width="14.33203125" style="2" bestFit="1" customWidth="1"/>
    <col min="12" max="13" width="12" style="2" bestFit="1" customWidth="1"/>
    <col min="14" max="14" width="11.44140625" style="2" bestFit="1" customWidth="1"/>
    <col min="15" max="15" width="9.6640625" style="2" bestFit="1" customWidth="1"/>
    <col min="16" max="16384" width="8.88671875" style="2"/>
  </cols>
  <sheetData>
    <row r="1" spans="1:15" ht="14.4" thickBot="1" x14ac:dyDescent="0.35">
      <c r="A1" s="1" t="s">
        <v>9</v>
      </c>
      <c r="B1" s="2" t="s">
        <v>10</v>
      </c>
    </row>
    <row r="2" spans="1:15" x14ac:dyDescent="0.3">
      <c r="A2" s="3" t="s">
        <v>0</v>
      </c>
      <c r="B2" s="4" t="s">
        <v>73</v>
      </c>
      <c r="C2" s="5" t="s">
        <v>11</v>
      </c>
      <c r="D2" s="6" t="s">
        <v>12</v>
      </c>
      <c r="H2" s="7" t="s">
        <v>13</v>
      </c>
      <c r="I2" s="8"/>
      <c r="J2" s="8"/>
      <c r="K2" s="8"/>
      <c r="L2" s="9"/>
    </row>
    <row r="3" spans="1:15" ht="14.4" thickBot="1" x14ac:dyDescent="0.35">
      <c r="A3" s="10" t="s">
        <v>14</v>
      </c>
      <c r="B3" s="11" t="s">
        <v>59</v>
      </c>
      <c r="C3" s="1" t="s">
        <v>15</v>
      </c>
      <c r="D3" s="12" t="s">
        <v>16</v>
      </c>
      <c r="E3" s="1" t="s">
        <v>17</v>
      </c>
      <c r="F3" s="12" t="s">
        <v>18</v>
      </c>
    </row>
    <row r="4" spans="1:15" ht="15" customHeight="1" thickBot="1" x14ac:dyDescent="0.35">
      <c r="A4" s="13" t="s">
        <v>19</v>
      </c>
      <c r="B4" s="128" t="s">
        <v>20</v>
      </c>
      <c r="C4" s="128"/>
      <c r="D4" s="128"/>
      <c r="E4" s="128"/>
      <c r="F4" s="129"/>
      <c r="H4" s="2" t="s">
        <v>21</v>
      </c>
    </row>
    <row r="5" spans="1:15" x14ac:dyDescent="0.3">
      <c r="H5" s="2" t="s">
        <v>22</v>
      </c>
    </row>
    <row r="6" spans="1:15" ht="14.4" thickBot="1" x14ac:dyDescent="0.35">
      <c r="B6" s="14">
        <v>0.5</v>
      </c>
      <c r="C6" s="14">
        <v>1.5</v>
      </c>
    </row>
    <row r="7" spans="1:15" ht="27.6" customHeight="1" x14ac:dyDescent="0.3">
      <c r="A7" s="126" t="s">
        <v>23</v>
      </c>
      <c r="B7" s="131" t="s">
        <v>24</v>
      </c>
      <c r="C7" s="132"/>
      <c r="D7" s="133" t="s">
        <v>25</v>
      </c>
      <c r="E7" s="134"/>
      <c r="F7" s="135" t="s">
        <v>26</v>
      </c>
      <c r="G7" s="136"/>
    </row>
    <row r="8" spans="1:15" ht="27.6" x14ac:dyDescent="0.3">
      <c r="A8" s="130"/>
      <c r="B8" s="15" t="s">
        <v>27</v>
      </c>
      <c r="C8" s="16" t="s">
        <v>28</v>
      </c>
      <c r="D8" s="17" t="s">
        <v>29</v>
      </c>
      <c r="E8" s="16" t="s">
        <v>30</v>
      </c>
      <c r="F8" s="18" t="s">
        <v>31</v>
      </c>
      <c r="G8" s="19" t="s">
        <v>32</v>
      </c>
    </row>
    <row r="9" spans="1:15" ht="14.4" thickBot="1" x14ac:dyDescent="0.35">
      <c r="A9" s="127"/>
      <c r="B9" s="20">
        <f>B6*B12</f>
        <v>3635844.4325000001</v>
      </c>
      <c r="C9" s="20">
        <f>C6*B12</f>
        <v>10907533.297499999</v>
      </c>
      <c r="D9" s="21">
        <f>F9</f>
        <v>7271688.8650000002</v>
      </c>
      <c r="E9" s="22">
        <f>(($O$12/(1+EXP($M$12+$N$12*D9)))-1) - ($F$12-$C$12)</f>
        <v>1044.9435887974814</v>
      </c>
      <c r="F9" s="20">
        <f>B12</f>
        <v>7271688.8650000002</v>
      </c>
      <c r="G9" s="23">
        <f>C12</f>
        <v>1044.9435887974821</v>
      </c>
    </row>
    <row r="10" spans="1:15" ht="14.4" thickBot="1" x14ac:dyDescent="0.35"/>
    <row r="11" spans="1:15" ht="51.6" customHeight="1" x14ac:dyDescent="0.3">
      <c r="A11" s="126" t="s">
        <v>33</v>
      </c>
      <c r="B11" s="24" t="s">
        <v>34</v>
      </c>
      <c r="C11" s="24" t="s">
        <v>35</v>
      </c>
      <c r="D11" s="24" t="s">
        <v>36</v>
      </c>
      <c r="E11" s="24" t="s">
        <v>37</v>
      </c>
      <c r="F11" s="25" t="s">
        <v>38</v>
      </c>
      <c r="H11" s="117" t="s">
        <v>39</v>
      </c>
      <c r="I11" s="24" t="s">
        <v>40</v>
      </c>
      <c r="J11" s="24" t="s">
        <v>41</v>
      </c>
      <c r="K11" s="24" t="s">
        <v>42</v>
      </c>
      <c r="L11" s="24" t="s">
        <v>43</v>
      </c>
      <c r="M11" s="24" t="s">
        <v>44</v>
      </c>
      <c r="N11" s="24" t="s">
        <v>45</v>
      </c>
      <c r="O11" s="25" t="s">
        <v>46</v>
      </c>
    </row>
    <row r="12" spans="1:15" ht="15" customHeight="1" thickBot="1" x14ac:dyDescent="0.35">
      <c r="A12" s="127"/>
      <c r="B12" s="20">
        <f>Data!H5</f>
        <v>7271688.8650000002</v>
      </c>
      <c r="C12" s="23">
        <f>Data!J5</f>
        <v>1044.9435887974821</v>
      </c>
      <c r="D12" s="26">
        <v>0</v>
      </c>
      <c r="E12" s="23">
        <f>Data!N5</f>
        <v>3134.8307663924461</v>
      </c>
      <c r="F12" s="27">
        <f>Data!F5</f>
        <v>16472</v>
      </c>
      <c r="H12" s="118"/>
      <c r="I12" s="28">
        <f>F12-C12</f>
        <v>15427.056411202519</v>
      </c>
      <c r="J12" s="28">
        <f>I12+E12</f>
        <v>18561.887177594966</v>
      </c>
      <c r="K12" s="29">
        <f>B12</f>
        <v>7271688.8650000002</v>
      </c>
      <c r="L12" s="28">
        <f>F12</f>
        <v>16472</v>
      </c>
      <c r="M12" s="30">
        <f>LN((($J$12+1)/($I$12+1))-1)</f>
        <v>-1.5936125061405402</v>
      </c>
      <c r="N12" s="31">
        <f>(LN((($J$12+1)/($L$12+1))-1)-$M$12)/$K$12</f>
        <v>-6.4771760324297783E-8</v>
      </c>
      <c r="O12" s="32">
        <f>J12+1</f>
        <v>18562.887177594966</v>
      </c>
    </row>
    <row r="13" spans="1:15" ht="34.200000000000003" customHeight="1" x14ac:dyDescent="0.3">
      <c r="A13" s="119" t="s">
        <v>47</v>
      </c>
      <c r="B13" s="120"/>
      <c r="C13" s="120"/>
      <c r="D13" s="120"/>
      <c r="E13" s="120"/>
      <c r="F13" s="121"/>
      <c r="H13" s="119" t="s">
        <v>48</v>
      </c>
      <c r="I13" s="120"/>
      <c r="J13" s="120"/>
      <c r="K13" s="120"/>
      <c r="L13" s="120"/>
      <c r="M13" s="120"/>
      <c r="N13" s="120"/>
      <c r="O13" s="121"/>
    </row>
    <row r="14" spans="1:15" ht="33.6" customHeight="1" x14ac:dyDescent="0.3">
      <c r="A14" s="122"/>
      <c r="B14" s="123"/>
      <c r="C14" s="123"/>
      <c r="D14" s="123"/>
      <c r="E14" s="123"/>
      <c r="F14" s="124"/>
      <c r="H14" s="122"/>
      <c r="I14" s="123"/>
      <c r="J14" s="123"/>
      <c r="K14" s="123"/>
      <c r="L14" s="123"/>
      <c r="M14" s="123"/>
      <c r="N14" s="123"/>
      <c r="O14" s="124"/>
    </row>
    <row r="15" spans="1:15" ht="14.4" thickBot="1" x14ac:dyDescent="0.35"/>
    <row r="16" spans="1:15" ht="16.95" customHeight="1" x14ac:dyDescent="0.3">
      <c r="A16" s="117" t="s">
        <v>49</v>
      </c>
      <c r="B16" s="24" t="s">
        <v>50</v>
      </c>
      <c r="C16" s="24" t="s">
        <v>51</v>
      </c>
      <c r="D16" s="25" t="s">
        <v>52</v>
      </c>
    </row>
    <row r="17" spans="1:14" ht="23.7" customHeight="1" thickBot="1" x14ac:dyDescent="0.35">
      <c r="A17" s="118"/>
      <c r="B17" s="33">
        <v>0</v>
      </c>
      <c r="C17" s="34">
        <v>6000000</v>
      </c>
      <c r="D17" s="35">
        <v>30</v>
      </c>
    </row>
    <row r="19" spans="1:14" x14ac:dyDescent="0.3">
      <c r="A19" s="125" t="s">
        <v>53</v>
      </c>
      <c r="B19" s="125"/>
    </row>
    <row r="20" spans="1:14" x14ac:dyDescent="0.3">
      <c r="A20" s="15" t="s">
        <v>56</v>
      </c>
      <c r="B20" s="15" t="s">
        <v>55</v>
      </c>
      <c r="C20" s="2" t="s">
        <v>61</v>
      </c>
      <c r="D20" s="40" t="s">
        <v>57</v>
      </c>
      <c r="E20" s="38" t="s">
        <v>60</v>
      </c>
    </row>
    <row r="21" spans="1:14" x14ac:dyDescent="0.3">
      <c r="A21" s="37">
        <f>B17</f>
        <v>0</v>
      </c>
      <c r="B21" s="36">
        <f>(($O$12/(1+EXP($M$12+$N$12*A21)))-1) - ($F$12-$C$12)</f>
        <v>0</v>
      </c>
      <c r="C21" s="38">
        <f>B21*Data!$D$5</f>
        <v>0</v>
      </c>
      <c r="D21" s="39"/>
      <c r="E21" s="38"/>
      <c r="H21" s="2">
        <v>701</v>
      </c>
      <c r="N21" s="2">
        <v>606</v>
      </c>
    </row>
    <row r="22" spans="1:14" x14ac:dyDescent="0.3">
      <c r="A22" s="37">
        <f>A21+(($C$17-$B$17)/$D$17)</f>
        <v>200000</v>
      </c>
      <c r="B22" s="36">
        <f>(($O$12/(1+EXP($M$12+$N$12*A22)))-1) - ($F$12-$C$12)</f>
        <v>33.607060093359905</v>
      </c>
      <c r="C22" s="38">
        <f>B22*Data!$D$5</f>
        <v>139306.00603565641</v>
      </c>
      <c r="D22" s="39">
        <f>C22/A22</f>
        <v>0.69653003017828208</v>
      </c>
      <c r="E22" s="38">
        <f>C22*(1-Data!$D$4)</f>
        <v>107265.62464745544</v>
      </c>
    </row>
    <row r="23" spans="1:14" x14ac:dyDescent="0.3">
      <c r="A23" s="37">
        <f t="shared" ref="A23:A51" si="0">A22+(($C$17-$B$17)/$D$17)</f>
        <v>400000</v>
      </c>
      <c r="B23" s="36">
        <f t="shared" ref="B23:B41" si="1">(($O$12/(1+EXP($M$12+$N$12*A23)))-1) - ($F$12-$C$12)</f>
        <v>66.925478198581914</v>
      </c>
      <c r="C23" s="38">
        <f>B23*Data!$D$5</f>
        <v>277415.55030316114</v>
      </c>
      <c r="D23" s="39">
        <f t="shared" ref="D23:D41" si="2">C23/A23</f>
        <v>0.69353887575790285</v>
      </c>
      <c r="E23" s="38">
        <f>C23*(1-Data!$D$4)</f>
        <v>213609.97373343408</v>
      </c>
    </row>
    <row r="24" spans="1:14" x14ac:dyDescent="0.3">
      <c r="A24" s="37">
        <f t="shared" si="0"/>
        <v>600000</v>
      </c>
      <c r="B24" s="36">
        <f t="shared" si="1"/>
        <v>99.956197300842177</v>
      </c>
      <c r="C24" s="38">
        <f>B24*Data!$D$5</f>
        <v>414332.54160912428</v>
      </c>
      <c r="D24" s="39">
        <f t="shared" si="2"/>
        <v>0.69055423601520716</v>
      </c>
      <c r="E24" s="38">
        <f>C24*(1-Data!$D$4)</f>
        <v>319036.05703902571</v>
      </c>
    </row>
    <row r="25" spans="1:14" x14ac:dyDescent="0.3">
      <c r="A25" s="55">
        <f t="shared" si="0"/>
        <v>800000</v>
      </c>
      <c r="B25" s="56">
        <f t="shared" si="1"/>
        <v>132.70019203282027</v>
      </c>
      <c r="C25" s="57">
        <f>B25*Data!$D$5</f>
        <v>550061.01994352322</v>
      </c>
      <c r="D25" s="58">
        <f t="shared" si="2"/>
        <v>0.68757627492940399</v>
      </c>
      <c r="E25" s="57">
        <f>C25*(1-Data!$D$4)</f>
        <v>423546.98535651289</v>
      </c>
    </row>
    <row r="26" spans="1:14" x14ac:dyDescent="0.3">
      <c r="A26" s="37">
        <f t="shared" si="0"/>
        <v>1000000</v>
      </c>
      <c r="B26" s="36">
        <f t="shared" si="1"/>
        <v>165.15846787786177</v>
      </c>
      <c r="C26" s="38">
        <f>B26*Data!$D$5</f>
        <v>684605.15317669872</v>
      </c>
      <c r="D26" s="39">
        <f t="shared" si="2"/>
        <v>0.68460515317669868</v>
      </c>
      <c r="E26" s="38">
        <f>C26*(1-Data!$D$4)</f>
        <v>527145.96794605802</v>
      </c>
    </row>
    <row r="27" spans="1:14" x14ac:dyDescent="0.3">
      <c r="A27" s="55">
        <f t="shared" si="0"/>
        <v>1200000</v>
      </c>
      <c r="B27" s="56">
        <f t="shared" si="1"/>
        <v>197.3320603770062</v>
      </c>
      <c r="C27" s="57">
        <f>B27*Data!$D$5</f>
        <v>817969.23377237434</v>
      </c>
      <c r="D27" s="58">
        <f t="shared" si="2"/>
        <v>0.68164102814364524</v>
      </c>
      <c r="E27" s="57">
        <f>C27*(1-Data!$D$4)</f>
        <v>629836.31000472826</v>
      </c>
    </row>
    <row r="28" spans="1:14" x14ac:dyDescent="0.3">
      <c r="A28" s="37">
        <f t="shared" si="0"/>
        <v>1400000</v>
      </c>
      <c r="B28" s="36">
        <f t="shared" si="1"/>
        <v>229.22203434014045</v>
      </c>
      <c r="C28" s="38">
        <f>B28*Data!$D$5</f>
        <v>950157.67551777558</v>
      </c>
      <c r="D28" s="39">
        <f t="shared" si="2"/>
        <v>0.67868405394126829</v>
      </c>
      <c r="E28" s="38">
        <f>C28*(1-Data!$D$4)</f>
        <v>731621.4101486872</v>
      </c>
    </row>
    <row r="29" spans="1:14" x14ac:dyDescent="0.3">
      <c r="A29" s="37">
        <f t="shared" si="0"/>
        <v>1600000</v>
      </c>
      <c r="B29" s="36">
        <f t="shared" si="1"/>
        <v>260.82948306166145</v>
      </c>
      <c r="C29" s="38">
        <f>B29*Data!$D$5</f>
        <v>1081175.0102724414</v>
      </c>
      <c r="D29" s="39">
        <f t="shared" si="2"/>
        <v>0.67573438142027586</v>
      </c>
      <c r="E29" s="38">
        <f>C29*(1-Data!$D$4)</f>
        <v>832504.7579097799</v>
      </c>
    </row>
    <row r="30" spans="1:14" x14ac:dyDescent="0.3">
      <c r="A30" s="37">
        <f t="shared" si="0"/>
        <v>1800000</v>
      </c>
      <c r="B30" s="36">
        <f t="shared" si="1"/>
        <v>292.15552754097916</v>
      </c>
      <c r="C30" s="38">
        <f>B30*Data!$D$5</f>
        <v>1211025.8847370988</v>
      </c>
      <c r="D30" s="39">
        <f t="shared" si="2"/>
        <v>0.67279215818727711</v>
      </c>
      <c r="E30" s="38">
        <f>C30*(1-Data!$D$4)</f>
        <v>932489.93124756613</v>
      </c>
    </row>
    <row r="31" spans="1:14" x14ac:dyDescent="0.3">
      <c r="A31" s="37">
        <f t="shared" si="0"/>
        <v>2000000</v>
      </c>
      <c r="B31" s="36">
        <f t="shared" si="1"/>
        <v>323.20131570814374</v>
      </c>
      <c r="C31" s="38">
        <f>B31*Data!$D$5</f>
        <v>1339715.0572437784</v>
      </c>
      <c r="D31" s="39">
        <f t="shared" si="2"/>
        <v>0.66985752862188919</v>
      </c>
      <c r="E31" s="38">
        <f>C31*(1-Data!$D$4)</f>
        <v>1031580.5940777094</v>
      </c>
    </row>
    <row r="32" spans="1:14" x14ac:dyDescent="0.3">
      <c r="A32" s="37">
        <f t="shared" si="0"/>
        <v>2200000</v>
      </c>
      <c r="B32" s="36">
        <f t="shared" si="1"/>
        <v>353.96802165492045</v>
      </c>
      <c r="C32" s="38">
        <f>B32-B31</f>
        <v>30.76670594677671</v>
      </c>
      <c r="D32" s="39">
        <f t="shared" si="2"/>
        <v>1.3984866339443958E-5</v>
      </c>
      <c r="E32" s="38">
        <f>C32*(1-Data!$D$4)</f>
        <v>23.690363579018069</v>
      </c>
    </row>
    <row r="33" spans="1:5" x14ac:dyDescent="0.3">
      <c r="A33" s="37">
        <f>A32+(($C$17-$B$17)/$D$17)</f>
        <v>2400000</v>
      </c>
      <c r="B33" s="36">
        <f t="shared" si="1"/>
        <v>384.45684487158724</v>
      </c>
      <c r="C33" s="38">
        <f>B33*Data!$D$5</f>
        <v>1593627.8687677472</v>
      </c>
      <c r="D33" s="39">
        <f t="shared" si="2"/>
        <v>0.66401161198656133</v>
      </c>
      <c r="E33" s="38">
        <f>C33*(1-Data!$D$4)</f>
        <v>1227093.4589511654</v>
      </c>
    </row>
    <row r="34" spans="1:5" x14ac:dyDescent="0.3">
      <c r="A34" s="37">
        <f t="shared" si="0"/>
        <v>2600000</v>
      </c>
      <c r="B34" s="36">
        <f t="shared" si="1"/>
        <v>414.66900948976217</v>
      </c>
      <c r="C34" s="38">
        <f>B34*Data!$D$5</f>
        <v>1718861.5540397679</v>
      </c>
      <c r="D34" s="39">
        <f t="shared" si="2"/>
        <v>0.6611005977076031</v>
      </c>
      <c r="E34" s="38">
        <f>C34*(1-Data!$D$4)</f>
        <v>1323523.3966106214</v>
      </c>
    </row>
    <row r="35" spans="1:5" x14ac:dyDescent="0.3">
      <c r="A35" s="37">
        <f t="shared" si="0"/>
        <v>2800000</v>
      </c>
      <c r="B35" s="36">
        <f t="shared" si="1"/>
        <v>444.60576353147553</v>
      </c>
      <c r="C35" s="38">
        <f>B35*Data!$D$5</f>
        <v>1842953.6236119845</v>
      </c>
      <c r="D35" s="39">
        <f t="shared" si="2"/>
        <v>0.65819772271856591</v>
      </c>
      <c r="E35" s="38">
        <f>C35*(1-Data!$D$4)</f>
        <v>1419074.2901812282</v>
      </c>
    </row>
    <row r="36" spans="1:5" x14ac:dyDescent="0.3">
      <c r="A36" s="63">
        <f t="shared" si="0"/>
        <v>3000000</v>
      </c>
      <c r="B36" s="64">
        <f t="shared" si="1"/>
        <v>474.26837816479929</v>
      </c>
      <c r="C36" s="65">
        <f>B36*Data!$D$5</f>
        <v>1965909.3466554168</v>
      </c>
      <c r="D36" s="66">
        <f t="shared" si="2"/>
        <v>0.65530311555180554</v>
      </c>
      <c r="E36" s="65">
        <f>C36*(1-Data!$D$4)</f>
        <v>1513750.1969246708</v>
      </c>
    </row>
    <row r="37" spans="1:5" x14ac:dyDescent="0.3">
      <c r="A37" s="37">
        <f t="shared" si="0"/>
        <v>3200000</v>
      </c>
      <c r="B37" s="36">
        <f t="shared" si="1"/>
        <v>503.65814696621601</v>
      </c>
      <c r="C37" s="38">
        <f>B37*Data!$D$5</f>
        <v>2087734.0852271086</v>
      </c>
      <c r="D37" s="39">
        <f t="shared" si="2"/>
        <v>0.65241690163347144</v>
      </c>
      <c r="E37" s="38">
        <f>C37*(1-Data!$D$4)</f>
        <v>1607555.2456248736</v>
      </c>
    </row>
    <row r="38" spans="1:5" x14ac:dyDescent="0.3">
      <c r="A38" s="37">
        <f t="shared" si="0"/>
        <v>3400000</v>
      </c>
      <c r="B38" s="36">
        <f t="shared" si="1"/>
        <v>532.77638519000175</v>
      </c>
      <c r="C38" s="38">
        <f>B38*Data!$D$5</f>
        <v>2208433.291241616</v>
      </c>
      <c r="D38" s="39">
        <f t="shared" si="2"/>
        <v>0.64953920330635762</v>
      </c>
      <c r="E38" s="38">
        <f>C38*(1-Data!$D$4)</f>
        <v>1700493.6342560444</v>
      </c>
    </row>
    <row r="39" spans="1:5" x14ac:dyDescent="0.3">
      <c r="A39" s="37">
        <f t="shared" si="0"/>
        <v>3600000</v>
      </c>
      <c r="B39" s="36">
        <f t="shared" si="1"/>
        <v>561.62442904483578</v>
      </c>
      <c r="C39" s="38">
        <f>B39*Data!$D$5</f>
        <v>2328012.5034724534</v>
      </c>
      <c r="D39" s="39">
        <f t="shared" si="2"/>
        <v>0.64667013985345934</v>
      </c>
      <c r="E39" s="38">
        <f>C39*(1-Data!$D$4)</f>
        <v>1792569.6276737892</v>
      </c>
    </row>
    <row r="40" spans="1:5" x14ac:dyDescent="0.3">
      <c r="A40" s="37">
        <f>A39+(($C$17-$B$17)/$D$17)</f>
        <v>3800000</v>
      </c>
      <c r="B40" s="36">
        <f t="shared" si="1"/>
        <v>590.20363497781182</v>
      </c>
      <c r="C40" s="38">
        <f>B40*Data!$D$5</f>
        <v>2446477.3445842187</v>
      </c>
      <c r="D40" s="39">
        <f t="shared" si="2"/>
        <v>0.64380982752216276</v>
      </c>
      <c r="E40" s="38">
        <f>C40*(1-Data!$D$4)</f>
        <v>1883787.5553298485</v>
      </c>
    </row>
    <row r="41" spans="1:5" x14ac:dyDescent="0.3">
      <c r="A41" s="37">
        <f t="shared" si="0"/>
        <v>4000000</v>
      </c>
      <c r="B41" s="36">
        <f t="shared" si="1"/>
        <v>618.51537896609807</v>
      </c>
      <c r="C41" s="38">
        <f>B41*Data!$D$5</f>
        <v>2563833.518196424</v>
      </c>
      <c r="D41" s="39">
        <f t="shared" si="2"/>
        <v>0.64095837954910595</v>
      </c>
      <c r="E41" s="38">
        <f>C41*(1-Data!$D$4)</f>
        <v>1974151.8090112465</v>
      </c>
    </row>
    <row r="42" spans="1:5" x14ac:dyDescent="0.3">
      <c r="A42" s="37">
        <f t="shared" si="0"/>
        <v>4200000</v>
      </c>
      <c r="B42" s="36">
        <f t="shared" ref="B42:B51" si="3">(($O$12/(1+EXP($M$12+$N$12*A42)))-1) - ($F$12-$C$12)</f>
        <v>646.56105581637894</v>
      </c>
      <c r="C42" s="38">
        <f>B42*Data!$D$5</f>
        <v>2680086.8059795834</v>
      </c>
      <c r="D42" s="39">
        <f t="shared" ref="D42:D51" si="4">C42/A42</f>
        <v>0.63811590618561509</v>
      </c>
      <c r="E42" s="38">
        <f>C42*(1-Data!$D$4)</f>
        <v>2063666.8406042792</v>
      </c>
    </row>
    <row r="43" spans="1:5" x14ac:dyDescent="0.3">
      <c r="A43" s="37">
        <f t="shared" si="0"/>
        <v>4400000</v>
      </c>
      <c r="B43" s="36">
        <f t="shared" si="3"/>
        <v>674.34207847229845</v>
      </c>
      <c r="C43" s="38">
        <f>B43*Data!$D$5</f>
        <v>2795243.0647844668</v>
      </c>
      <c r="D43" s="39">
        <f t="shared" si="4"/>
        <v>0.63528251472374242</v>
      </c>
      <c r="E43" s="38">
        <f>C43*(1-Data!$D$4)</f>
        <v>2152337.1598840393</v>
      </c>
    </row>
    <row r="44" spans="1:5" x14ac:dyDescent="0.3">
      <c r="A44" s="37">
        <f t="shared" si="0"/>
        <v>4600000</v>
      </c>
      <c r="B44" s="36">
        <f t="shared" si="3"/>
        <v>701.85987733004004</v>
      </c>
      <c r="C44" s="38">
        <f>B44*Data!$D$5</f>
        <v>2909308.2238050839</v>
      </c>
      <c r="D44" s="39">
        <f t="shared" si="4"/>
        <v>0.63245830952284432</v>
      </c>
      <c r="E44" s="38">
        <f>C44*(1-Data!$D$4)</f>
        <v>2240167.3323299144</v>
      </c>
    </row>
    <row r="45" spans="1:5" x14ac:dyDescent="0.3">
      <c r="A45" s="37">
        <f t="shared" si="0"/>
        <v>4800000</v>
      </c>
      <c r="B45" s="36">
        <f t="shared" si="3"/>
        <v>729.11589956220996</v>
      </c>
      <c r="C45" s="38">
        <f>B45*Data!$D$5</f>
        <v>3022288.2817760827</v>
      </c>
      <c r="D45" s="39">
        <f t="shared" si="4"/>
        <v>0.62964339203668385</v>
      </c>
      <c r="E45" s="38">
        <f>C45*(1-Data!$D$4)</f>
        <v>2327161.9769675839</v>
      </c>
    </row>
    <row r="46" spans="1:5" x14ac:dyDescent="0.3">
      <c r="A46" s="37">
        <f t="shared" si="0"/>
        <v>5000000</v>
      </c>
      <c r="B46" s="36">
        <f t="shared" si="3"/>
        <v>756.11160845017366</v>
      </c>
      <c r="C46" s="38">
        <f>B46*Data!$D$5</f>
        <v>3134189.3042051923</v>
      </c>
      <c r="D46" s="39">
        <f t="shared" si="4"/>
        <v>0.62683786084103843</v>
      </c>
      <c r="E46" s="38">
        <f>C46*(1-Data!$D$4)</f>
        <v>2413325.7642379981</v>
      </c>
    </row>
    <row r="47" spans="1:5" x14ac:dyDescent="0.3">
      <c r="A47" s="37">
        <f t="shared" si="0"/>
        <v>5200000</v>
      </c>
      <c r="B47" s="36">
        <f t="shared" si="3"/>
        <v>782.848482724934</v>
      </c>
      <c r="C47" s="38">
        <f>B47*Data!$D$5</f>
        <v>3245017.4206410674</v>
      </c>
      <c r="D47" s="39">
        <f t="shared" si="4"/>
        <v>0.62404181166174377</v>
      </c>
      <c r="E47" s="38">
        <f>C47*(1-Data!$D$4)</f>
        <v>2498663.4138936219</v>
      </c>
    </row>
    <row r="48" spans="1:5" x14ac:dyDescent="0.3">
      <c r="A48" s="37">
        <f t="shared" si="0"/>
        <v>5400000</v>
      </c>
      <c r="B48" s="36">
        <f t="shared" si="3"/>
        <v>809.32801591678071</v>
      </c>
      <c r="C48" s="38">
        <f>B48*Data!$D$5</f>
        <v>3354778.8219774966</v>
      </c>
      <c r="D48" s="39">
        <f t="shared" si="4"/>
        <v>0.62125533740324013</v>
      </c>
      <c r="E48" s="38">
        <f>C48*(1-Data!$D$4)</f>
        <v>2583179.6929226723</v>
      </c>
    </row>
    <row r="49" spans="1:5" x14ac:dyDescent="0.3">
      <c r="A49" s="37">
        <f t="shared" si="0"/>
        <v>5600000</v>
      </c>
      <c r="B49" s="36">
        <f t="shared" si="3"/>
        <v>835.55171571367646</v>
      </c>
      <c r="C49" s="38">
        <f>B49*Data!$D$5</f>
        <v>3463479.7577938186</v>
      </c>
      <c r="D49" s="39">
        <f t="shared" si="4"/>
        <v>0.61847852817746762</v>
      </c>
      <c r="E49" s="38">
        <f>C49*(1-Data!$D$4)</f>
        <v>2666879.4135012403</v>
      </c>
    </row>
    <row r="50" spans="1:5" x14ac:dyDescent="0.3">
      <c r="A50" s="37">
        <f t="shared" si="0"/>
        <v>5800000</v>
      </c>
      <c r="B50" s="36">
        <f t="shared" si="3"/>
        <v>861.52110332863049</v>
      </c>
      <c r="C50" s="38">
        <f>B50*Data!$D$5</f>
        <v>3571126.5337326005</v>
      </c>
      <c r="D50" s="39">
        <f t="shared" si="4"/>
        <v>0.61571147133320703</v>
      </c>
      <c r="E50" s="38">
        <f>C50*(1-Data!$D$4)</f>
        <v>2749767.4309741026</v>
      </c>
    </row>
    <row r="51" spans="1:5" x14ac:dyDescent="0.3">
      <c r="A51" s="37">
        <f t="shared" si="0"/>
        <v>6000000</v>
      </c>
      <c r="B51" s="36">
        <f t="shared" si="3"/>
        <v>887.23771287603995</v>
      </c>
      <c r="C51" s="38">
        <f>B51*Data!$D$5</f>
        <v>3677725.5089144809</v>
      </c>
      <c r="D51" s="39">
        <f t="shared" si="4"/>
        <v>0.61295425148574678</v>
      </c>
      <c r="E51" s="38">
        <f>C51*(1-Data!$D$4)</f>
        <v>2831848.6418641503</v>
      </c>
    </row>
    <row r="52" spans="1:5" x14ac:dyDescent="0.3">
      <c r="A52" s="37"/>
      <c r="B52" s="36"/>
      <c r="C52" s="38"/>
      <c r="D52" s="39"/>
      <c r="E52" s="38"/>
    </row>
    <row r="53" spans="1:5" x14ac:dyDescent="0.3">
      <c r="A53" s="37"/>
      <c r="B53" s="36"/>
      <c r="C53" s="38"/>
      <c r="D53" s="39"/>
      <c r="E53" s="38"/>
    </row>
    <row r="54" spans="1:5" x14ac:dyDescent="0.3">
      <c r="A54" s="37"/>
      <c r="B54" s="36"/>
      <c r="C54" s="38"/>
      <c r="D54" s="39"/>
      <c r="E54" s="38"/>
    </row>
    <row r="55" spans="1:5" x14ac:dyDescent="0.3">
      <c r="A55" s="37"/>
      <c r="B55" s="36"/>
      <c r="C55" s="38"/>
      <c r="D55" s="39"/>
      <c r="E55" s="38"/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6:A17"/>
    <mergeCell ref="A19:B19"/>
    <mergeCell ref="A11:A1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609BA7C1-5824-4555-886D-193184375E1C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MCM</vt:lpstr>
      <vt:lpstr>Media plan Summary</vt:lpstr>
      <vt:lpstr>Data</vt:lpstr>
      <vt:lpstr>Sheet2</vt:lpstr>
      <vt:lpstr>HCC MCM 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2023-08-14T16:53:36Z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7d46631a-1208-41be-ad2e-fb74dd41efe1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</Properties>
</file>