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filterPrivacy="1" codeName="ThisWorkbook" defaultThemeVersion="124226"/>
  <xr:revisionPtr revIDLastSave="0" documentId="13_ncr:1_{199CA466-74C8-4B52-B95A-C5AC3D19EF83}" xr6:coauthVersionLast="47" xr6:coauthVersionMax="47" xr10:uidLastSave="{00000000-0000-0000-0000-000000000000}"/>
  <bookViews>
    <workbookView xWindow="-120" yWindow="-120" windowWidth="20730" windowHeight="11160" tabRatio="667" xr2:uid="{00000000-000D-0000-FFFF-FFFF00000000}"/>
  </bookViews>
  <sheets>
    <sheet name="verquvo Sample curve" sheetId="15" r:id="rId1"/>
    <sheet name="GAM" sheetId="18" state="hidden" r:id="rId2"/>
    <sheet name="Sheet1" sheetId="19" state="hidden" r:id="rId3"/>
    <sheet name=" Model Estimate" sheetId="17" state="hidden" r:id="rId4"/>
  </sheets>
  <functionGroups builtInGroupCount="19"/>
  <externalReferences>
    <externalReference r:id="rId5"/>
    <externalReference r:id="rId6"/>
    <externalReference r:id="rId7"/>
    <externalReference r:id="rId8"/>
    <externalReference r:id="rId9"/>
    <externalReference r:id="rId10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7" i="15" l="1"/>
  <c r="O29" i="19"/>
  <c r="N29" i="19"/>
  <c r="M29" i="19"/>
  <c r="L29" i="19"/>
  <c r="K29" i="19"/>
  <c r="B29" i="19"/>
  <c r="O28" i="19"/>
  <c r="N28" i="19"/>
  <c r="M28" i="19"/>
  <c r="L28" i="19"/>
  <c r="K28" i="19"/>
  <c r="J28" i="19"/>
  <c r="S22" i="19" s="1"/>
  <c r="B28" i="19"/>
  <c r="J27" i="19"/>
  <c r="O26" i="19"/>
  <c r="N26" i="19"/>
  <c r="M26" i="19"/>
  <c r="L26" i="19"/>
  <c r="K26" i="19"/>
  <c r="J26" i="19"/>
  <c r="S21" i="19" s="1"/>
  <c r="B26" i="19"/>
  <c r="O25" i="19"/>
  <c r="N25" i="19"/>
  <c r="M25" i="19"/>
  <c r="S20" i="19" s="1"/>
  <c r="L25" i="19"/>
  <c r="K25" i="19"/>
  <c r="J25" i="19"/>
  <c r="B25" i="19"/>
  <c r="O24" i="19"/>
  <c r="N24" i="19"/>
  <c r="M24" i="19"/>
  <c r="L24" i="19"/>
  <c r="K24" i="19"/>
  <c r="J24" i="19"/>
  <c r="B24" i="19"/>
  <c r="O23" i="19"/>
  <c r="N23" i="19"/>
  <c r="M23" i="19"/>
  <c r="L23" i="19"/>
  <c r="K23" i="19"/>
  <c r="J23" i="19"/>
  <c r="B23" i="19"/>
  <c r="O22" i="19"/>
  <c r="N22" i="19"/>
  <c r="M22" i="19"/>
  <c r="L22" i="19"/>
  <c r="K22" i="19"/>
  <c r="J22" i="19"/>
  <c r="B22" i="19"/>
  <c r="O21" i="19"/>
  <c r="N21" i="19"/>
  <c r="M21" i="19"/>
  <c r="L21" i="19"/>
  <c r="K21" i="19"/>
  <c r="S19" i="19" s="1"/>
  <c r="J21" i="19"/>
  <c r="B21" i="19"/>
  <c r="O20" i="19"/>
  <c r="N20" i="19"/>
  <c r="M20" i="19"/>
  <c r="L20" i="19"/>
  <c r="K20" i="19"/>
  <c r="J20" i="19"/>
  <c r="B20" i="19"/>
  <c r="O19" i="19"/>
  <c r="N19" i="19"/>
  <c r="M19" i="19"/>
  <c r="L19" i="19"/>
  <c r="K19" i="19"/>
  <c r="J19" i="19"/>
  <c r="B19" i="19"/>
  <c r="O18" i="19"/>
  <c r="N18" i="19"/>
  <c r="M18" i="19"/>
  <c r="L18" i="19"/>
  <c r="K18" i="19"/>
  <c r="S18" i="19" s="1"/>
  <c r="J18" i="19"/>
  <c r="B18" i="19"/>
  <c r="J14" i="19"/>
  <c r="J13" i="19"/>
  <c r="J12" i="19"/>
  <c r="J11" i="19"/>
  <c r="J10" i="19"/>
  <c r="J9" i="19"/>
  <c r="J8" i="19"/>
  <c r="J7" i="19"/>
  <c r="J6" i="19"/>
  <c r="J5" i="19"/>
  <c r="J4" i="19"/>
  <c r="J3" i="19"/>
  <c r="E6" i="15" l="1"/>
  <c r="A136" i="17"/>
  <c r="A137" i="17"/>
  <c r="A138" i="17"/>
  <c r="A139" i="17"/>
  <c r="A140" i="17"/>
  <c r="A141" i="17"/>
  <c r="A142" i="17"/>
  <c r="A143" i="17"/>
  <c r="A135" i="17"/>
  <c r="N21" i="15" l="1"/>
  <c r="B21" i="15"/>
  <c r="C21" i="15"/>
  <c r="D21" i="15" s="1"/>
  <c r="A121" i="17"/>
  <c r="A122" i="17"/>
  <c r="A123" i="17"/>
  <c r="A124" i="17"/>
  <c r="A125" i="17"/>
  <c r="A126" i="17"/>
  <c r="A127" i="17"/>
  <c r="A128" i="17"/>
  <c r="A120" i="17"/>
  <c r="A106" i="17"/>
  <c r="A107" i="17"/>
  <c r="A108" i="17"/>
  <c r="A109" i="17"/>
  <c r="A110" i="17"/>
  <c r="A111" i="17"/>
  <c r="A112" i="17"/>
  <c r="A113" i="17"/>
  <c r="A105" i="17"/>
  <c r="A21" i="15" l="1"/>
  <c r="L21" i="15" l="1"/>
  <c r="K21" i="15"/>
  <c r="G21" i="15"/>
  <c r="F21" i="15"/>
  <c r="I21" i="15"/>
  <c r="J21" i="15"/>
  <c r="M21" i="15"/>
  <c r="H21" i="15"/>
  <c r="W28" i="17"/>
  <c r="X28" i="17" s="1"/>
  <c r="K22" i="17"/>
  <c r="L22" i="17" s="1"/>
  <c r="K23" i="17"/>
  <c r="L23" i="17" s="1"/>
  <c r="K24" i="17"/>
  <c r="L24" i="17" s="1"/>
  <c r="K25" i="17"/>
  <c r="L25" i="17" s="1"/>
  <c r="K26" i="17"/>
  <c r="L26" i="17" s="1"/>
  <c r="K27" i="17"/>
  <c r="L27" i="17" s="1"/>
  <c r="L20" i="17"/>
  <c r="K21" i="17"/>
  <c r="L21" i="17" s="1"/>
  <c r="L7" i="17"/>
  <c r="K9" i="17"/>
  <c r="L9" i="17" s="1"/>
  <c r="K10" i="17"/>
  <c r="L10" i="17" s="1"/>
  <c r="K11" i="17"/>
  <c r="L11" i="17" s="1"/>
  <c r="K12" i="17"/>
  <c r="L12" i="17" s="1"/>
  <c r="K13" i="17"/>
  <c r="L13" i="17" s="1"/>
  <c r="K8" i="17"/>
  <c r="L8" i="17" s="1"/>
  <c r="X20" i="17"/>
  <c r="W22" i="17"/>
  <c r="X22" i="17" s="1"/>
  <c r="W23" i="17"/>
  <c r="X23" i="17" s="1"/>
  <c r="W24" i="17"/>
  <c r="X24" i="17" s="1"/>
  <c r="W25" i="17"/>
  <c r="X25" i="17" s="1"/>
  <c r="W26" i="17"/>
  <c r="X26" i="17" s="1"/>
  <c r="W27" i="17"/>
  <c r="X27" i="17" s="1"/>
  <c r="W21" i="17"/>
  <c r="X21" i="17" s="1"/>
  <c r="W35" i="17"/>
  <c r="X34" i="17"/>
  <c r="L34" i="17"/>
  <c r="X29" i="17" l="1"/>
  <c r="L28" i="17"/>
  <c r="K35" i="17"/>
  <c r="L35" i="17" s="1"/>
  <c r="K36" i="17"/>
  <c r="L36" i="17" s="1"/>
  <c r="K37" i="17"/>
  <c r="L37" i="17" s="1"/>
  <c r="K38" i="17"/>
  <c r="L38" i="17" s="1"/>
  <c r="K39" i="17"/>
  <c r="L39" i="17" s="1"/>
  <c r="K40" i="17"/>
  <c r="L40" i="17" s="1"/>
  <c r="K41" i="17"/>
  <c r="L41" i="17" s="1"/>
  <c r="X35" i="17"/>
  <c r="W36" i="17"/>
  <c r="X36" i="17" s="1"/>
  <c r="W37" i="17"/>
  <c r="X37" i="17" s="1"/>
  <c r="W38" i="17"/>
  <c r="X38" i="17" s="1"/>
  <c r="W39" i="17"/>
  <c r="X39" i="17" s="1"/>
  <c r="W40" i="17"/>
  <c r="X40" i="17" s="1"/>
  <c r="W41" i="17"/>
  <c r="X41" i="17" s="1"/>
  <c r="W42" i="17"/>
  <c r="X42" i="17" s="1"/>
  <c r="N50" i="17"/>
  <c r="N51" i="17"/>
  <c r="N52" i="17"/>
  <c r="N45" i="17"/>
  <c r="N46" i="17"/>
  <c r="N47" i="17"/>
  <c r="N48" i="17"/>
  <c r="N49" i="17"/>
  <c r="N44" i="17"/>
  <c r="X43" i="17" l="1"/>
  <c r="L42" i="17"/>
  <c r="G30" i="15" l="1"/>
  <c r="P34" i="15" s="1"/>
  <c r="O27" i="15"/>
  <c r="O30" i="15" s="1"/>
  <c r="M27" i="15"/>
  <c r="L27" i="15" l="1"/>
  <c r="J27" i="15" l="1"/>
  <c r="R10" i="15"/>
  <c r="R9" i="15"/>
  <c r="Q10" i="15"/>
  <c r="Q9" i="15"/>
  <c r="L43" i="17" l="1"/>
  <c r="X44" i="17"/>
  <c r="N12" i="15"/>
  <c r="N13" i="15"/>
  <c r="N14" i="15"/>
  <c r="N15" i="15"/>
  <c r="N16" i="15"/>
  <c r="N17" i="15"/>
  <c r="N18" i="15"/>
  <c r="N19" i="15"/>
  <c r="N20" i="15"/>
  <c r="N11" i="15"/>
  <c r="A91" i="17"/>
  <c r="A92" i="17"/>
  <c r="A93" i="17"/>
  <c r="A94" i="17"/>
  <c r="A95" i="17"/>
  <c r="A96" i="17"/>
  <c r="A97" i="17"/>
  <c r="A98" i="17"/>
  <c r="A90" i="17"/>
  <c r="A78" i="17"/>
  <c r="A79" i="17"/>
  <c r="A80" i="17"/>
  <c r="A81" i="17"/>
  <c r="A82" i="17"/>
  <c r="A83" i="17"/>
  <c r="A77" i="17"/>
  <c r="B10" i="15"/>
  <c r="B11" i="15"/>
  <c r="B12" i="15"/>
  <c r="B13" i="15"/>
  <c r="B14" i="15"/>
  <c r="B15" i="15"/>
  <c r="B16" i="15"/>
  <c r="B17" i="15"/>
  <c r="B18" i="15"/>
  <c r="B19" i="15"/>
  <c r="B20" i="15"/>
  <c r="B9" i="15"/>
  <c r="C17" i="15"/>
  <c r="D17" i="15" s="1"/>
  <c r="C18" i="15"/>
  <c r="D18" i="15" s="1"/>
  <c r="C19" i="15"/>
  <c r="D19" i="15" s="1"/>
  <c r="C20" i="15"/>
  <c r="D20" i="15" s="1"/>
  <c r="C10" i="15"/>
  <c r="D10" i="15" s="1"/>
  <c r="C11" i="15"/>
  <c r="D11" i="15" s="1"/>
  <c r="C12" i="15"/>
  <c r="D12" i="15" s="1"/>
  <c r="C13" i="15"/>
  <c r="D13" i="15" s="1"/>
  <c r="C14" i="15"/>
  <c r="D14" i="15" s="1"/>
  <c r="C15" i="15"/>
  <c r="D15" i="15" s="1"/>
  <c r="C16" i="15"/>
  <c r="D16" i="15" s="1"/>
  <c r="C9" i="15"/>
  <c r="D9" i="15" s="1"/>
  <c r="A70" i="17"/>
  <c r="A69" i="17"/>
  <c r="A68" i="17"/>
  <c r="A67" i="17"/>
  <c r="A66" i="17"/>
  <c r="A65" i="17"/>
  <c r="A64" i="17"/>
  <c r="A57" i="17"/>
  <c r="A56" i="17"/>
  <c r="A55" i="17"/>
  <c r="A54" i="17"/>
  <c r="A53" i="17"/>
  <c r="A52" i="17"/>
  <c r="A51" i="17"/>
  <c r="A50" i="17"/>
  <c r="A49" i="17"/>
  <c r="A41" i="17"/>
  <c r="A40" i="17"/>
  <c r="A39" i="17"/>
  <c r="A38" i="17"/>
  <c r="A37" i="17"/>
  <c r="A36" i="17"/>
  <c r="A35" i="17"/>
  <c r="A34" i="17"/>
  <c r="A27" i="17"/>
  <c r="A26" i="17"/>
  <c r="A25" i="17"/>
  <c r="A24" i="17"/>
  <c r="A23" i="17"/>
  <c r="A22" i="17"/>
  <c r="A21" i="17"/>
  <c r="A20" i="17"/>
  <c r="A13" i="17"/>
  <c r="A12" i="17"/>
  <c r="A11" i="17"/>
  <c r="A10" i="17"/>
  <c r="A9" i="17"/>
  <c r="A8" i="17"/>
  <c r="A7" i="17"/>
  <c r="O21" i="15" l="1"/>
  <c r="A17" i="15"/>
  <c r="A9" i="15"/>
  <c r="A16" i="15"/>
  <c r="A12" i="15"/>
  <c r="A19" i="15"/>
  <c r="A15" i="15"/>
  <c r="A11" i="15"/>
  <c r="A20" i="15"/>
  <c r="A18" i="15"/>
  <c r="A14" i="15"/>
  <c r="A10" i="15"/>
  <c r="A13" i="15"/>
  <c r="I10" i="15" l="1"/>
  <c r="J10" i="15"/>
  <c r="M10" i="15"/>
  <c r="H10" i="15"/>
  <c r="L10" i="15"/>
  <c r="K10" i="15"/>
  <c r="G10" i="15"/>
  <c r="F10" i="15"/>
  <c r="I11" i="15"/>
  <c r="J11" i="15"/>
  <c r="M11" i="15"/>
  <c r="H11" i="15"/>
  <c r="F11" i="15"/>
  <c r="L11" i="15"/>
  <c r="K11" i="15"/>
  <c r="G11" i="15"/>
  <c r="F16" i="15"/>
  <c r="G16" i="15"/>
  <c r="L16" i="15"/>
  <c r="I16" i="15"/>
  <c r="J16" i="15"/>
  <c r="M16" i="15"/>
  <c r="H16" i="15"/>
  <c r="K16" i="15"/>
  <c r="I14" i="15"/>
  <c r="J14" i="15"/>
  <c r="M14" i="15"/>
  <c r="H14" i="15"/>
  <c r="L14" i="15"/>
  <c r="K14" i="15"/>
  <c r="G14" i="15"/>
  <c r="F14" i="15"/>
  <c r="I15" i="15"/>
  <c r="J15" i="15"/>
  <c r="M15" i="15"/>
  <c r="H15" i="15"/>
  <c r="L15" i="15"/>
  <c r="K15" i="15"/>
  <c r="G15" i="15"/>
  <c r="F15" i="15"/>
  <c r="M9" i="15"/>
  <c r="H9" i="15"/>
  <c r="I9" i="15"/>
  <c r="L9" i="15"/>
  <c r="G9" i="15"/>
  <c r="J9" i="15"/>
  <c r="F9" i="15"/>
  <c r="I18" i="15"/>
  <c r="J18" i="15"/>
  <c r="M18" i="15"/>
  <c r="H18" i="15"/>
  <c r="L18" i="15"/>
  <c r="K18" i="15"/>
  <c r="G18" i="15"/>
  <c r="F18" i="15"/>
  <c r="I19" i="15"/>
  <c r="J19" i="15"/>
  <c r="M19" i="15"/>
  <c r="H19" i="15"/>
  <c r="F19" i="15"/>
  <c r="L19" i="15"/>
  <c r="K19" i="15"/>
  <c r="G19" i="15"/>
  <c r="L17" i="15"/>
  <c r="K17" i="15"/>
  <c r="G17" i="15"/>
  <c r="F17" i="15"/>
  <c r="I17" i="15"/>
  <c r="J17" i="15"/>
  <c r="M17" i="15"/>
  <c r="H17" i="15"/>
  <c r="L13" i="15"/>
  <c r="K13" i="15"/>
  <c r="G13" i="15"/>
  <c r="F13" i="15"/>
  <c r="I13" i="15"/>
  <c r="J13" i="15"/>
  <c r="M13" i="15"/>
  <c r="H13" i="15"/>
  <c r="F20" i="15"/>
  <c r="K20" i="15"/>
  <c r="I20" i="15"/>
  <c r="J20" i="15"/>
  <c r="M20" i="15"/>
  <c r="H20" i="15"/>
  <c r="L20" i="15"/>
  <c r="G20" i="15"/>
  <c r="O20" i="15" s="1"/>
  <c r="F12" i="15"/>
  <c r="L12" i="15"/>
  <c r="K12" i="15"/>
  <c r="G12" i="15"/>
  <c r="O12" i="15" s="1"/>
  <c r="I12" i="15"/>
  <c r="J12" i="15"/>
  <c r="M12" i="15"/>
  <c r="H12" i="15"/>
  <c r="O11" i="15"/>
  <c r="O16" i="15"/>
  <c r="O15" i="15"/>
  <c r="O9" i="15"/>
  <c r="O19" i="15"/>
  <c r="O17" i="15"/>
  <c r="O13" i="15"/>
  <c r="O14" i="15"/>
  <c r="O18" i="15"/>
  <c r="O10" i="15"/>
  <c r="D35" i="15" l="1"/>
  <c r="D39" i="15"/>
  <c r="D43" i="15"/>
  <c r="D47" i="15"/>
  <c r="D51" i="15"/>
  <c r="D55" i="15"/>
  <c r="D59" i="15"/>
  <c r="D63" i="15"/>
  <c r="D67" i="15"/>
  <c r="D71" i="15"/>
  <c r="D75" i="15"/>
  <c r="D79" i="15"/>
  <c r="D83" i="15"/>
  <c r="D87" i="15"/>
  <c r="D91" i="15"/>
  <c r="D95" i="15"/>
  <c r="D99" i="15"/>
  <c r="D103" i="15"/>
  <c r="D107" i="15"/>
  <c r="D111" i="15"/>
  <c r="D115" i="15"/>
  <c r="D119" i="15"/>
  <c r="D123" i="15"/>
  <c r="D127" i="15"/>
  <c r="D131" i="15"/>
  <c r="D135" i="15"/>
  <c r="D139" i="15"/>
  <c r="D143" i="15"/>
  <c r="D147" i="15"/>
  <c r="D46" i="15"/>
  <c r="D58" i="15"/>
  <c r="D74" i="15"/>
  <c r="D36" i="15"/>
  <c r="D40" i="15"/>
  <c r="D44" i="15"/>
  <c r="D48" i="15"/>
  <c r="D52" i="15"/>
  <c r="D56" i="15"/>
  <c r="D60" i="15"/>
  <c r="D64" i="15"/>
  <c r="D68" i="15"/>
  <c r="D72" i="15"/>
  <c r="D76" i="15"/>
  <c r="D80" i="15"/>
  <c r="D84" i="15"/>
  <c r="D88" i="15"/>
  <c r="D92" i="15"/>
  <c r="D96" i="15"/>
  <c r="D100" i="15"/>
  <c r="D104" i="15"/>
  <c r="D108" i="15"/>
  <c r="D112" i="15"/>
  <c r="D116" i="15"/>
  <c r="D120" i="15"/>
  <c r="D124" i="15"/>
  <c r="D128" i="15"/>
  <c r="D132" i="15"/>
  <c r="D136" i="15"/>
  <c r="D140" i="15"/>
  <c r="D144" i="15"/>
  <c r="D148" i="15"/>
  <c r="D42" i="15"/>
  <c r="D50" i="15"/>
  <c r="D62" i="15"/>
  <c r="D70" i="15"/>
  <c r="D82" i="15"/>
  <c r="D37" i="15"/>
  <c r="D41" i="15"/>
  <c r="D45" i="15"/>
  <c r="D49" i="15"/>
  <c r="D53" i="15"/>
  <c r="D57" i="15"/>
  <c r="D61" i="15"/>
  <c r="D65" i="15"/>
  <c r="D69" i="15"/>
  <c r="D73" i="15"/>
  <c r="D77" i="15"/>
  <c r="D81" i="15"/>
  <c r="D85" i="15"/>
  <c r="D89" i="15"/>
  <c r="D93" i="15"/>
  <c r="D97" i="15"/>
  <c r="D101" i="15"/>
  <c r="D105" i="15"/>
  <c r="D109" i="15"/>
  <c r="D113" i="15"/>
  <c r="D117" i="15"/>
  <c r="D121" i="15"/>
  <c r="D125" i="15"/>
  <c r="D129" i="15"/>
  <c r="D133" i="15"/>
  <c r="D137" i="15"/>
  <c r="D141" i="15"/>
  <c r="D145" i="15"/>
  <c r="D149" i="15"/>
  <c r="D38" i="15"/>
  <c r="D54" i="15"/>
  <c r="D66" i="15"/>
  <c r="D78" i="15"/>
  <c r="D86" i="15"/>
  <c r="D102" i="15"/>
  <c r="D118" i="15"/>
  <c r="D134" i="15"/>
  <c r="D34" i="15"/>
  <c r="D90" i="15"/>
  <c r="D106" i="15"/>
  <c r="D122" i="15"/>
  <c r="D138" i="15"/>
  <c r="D98" i="15"/>
  <c r="D130" i="15"/>
  <c r="D146" i="15"/>
  <c r="D94" i="15"/>
  <c r="D110" i="15"/>
  <c r="D126" i="15"/>
  <c r="D142" i="15"/>
  <c r="D114" i="15"/>
  <c r="R3" i="15"/>
  <c r="S3" i="15"/>
  <c r="S4" i="15" l="1"/>
  <c r="R4" i="15"/>
  <c r="S9" i="15"/>
  <c r="S10" i="15"/>
  <c r="I27" i="15"/>
  <c r="I30" i="15" l="1"/>
  <c r="Y15" i="15" s="1"/>
  <c r="G27" i="15"/>
  <c r="F27" i="15"/>
  <c r="E35" i="15" l="1"/>
  <c r="F35" i="15" s="1"/>
  <c r="E34" i="15"/>
  <c r="F34" i="15" s="1"/>
  <c r="K27" i="15" l="1"/>
  <c r="AC15" i="15" l="1"/>
  <c r="C27" i="15" l="1"/>
  <c r="H27" i="15"/>
  <c r="E27" i="15" l="1"/>
  <c r="D27" i="15"/>
  <c r="M30" i="15"/>
  <c r="N30" i="15" l="1"/>
  <c r="Y16" i="15" s="1"/>
  <c r="E66" i="15"/>
  <c r="F66" i="15" s="1"/>
  <c r="E67" i="15"/>
  <c r="F67" i="15" s="1"/>
  <c r="E149" i="15"/>
  <c r="F149" i="15" s="1"/>
  <c r="E146" i="15"/>
  <c r="F146" i="15" s="1"/>
  <c r="E147" i="15"/>
  <c r="F147" i="15" s="1"/>
  <c r="E148" i="15"/>
  <c r="F148" i="15" s="1"/>
  <c r="E139" i="15"/>
  <c r="F139" i="15" s="1"/>
  <c r="E140" i="15"/>
  <c r="F140" i="15" s="1"/>
  <c r="E141" i="15"/>
  <c r="F141" i="15" s="1"/>
  <c r="E142" i="15"/>
  <c r="F142" i="15" s="1"/>
  <c r="E143" i="15"/>
  <c r="F143" i="15" s="1"/>
  <c r="E144" i="15"/>
  <c r="F144" i="15" s="1"/>
  <c r="E145" i="15"/>
  <c r="F145" i="15" s="1"/>
  <c r="E132" i="15"/>
  <c r="F132" i="15" s="1"/>
  <c r="E133" i="15"/>
  <c r="F133" i="15" s="1"/>
  <c r="E134" i="15"/>
  <c r="F134" i="15" s="1"/>
  <c r="E135" i="15"/>
  <c r="F135" i="15" s="1"/>
  <c r="E136" i="15"/>
  <c r="F136" i="15" s="1"/>
  <c r="E137" i="15"/>
  <c r="F137" i="15" s="1"/>
  <c r="E138" i="15"/>
  <c r="F138" i="15" s="1"/>
  <c r="E111" i="15"/>
  <c r="F111" i="15" s="1"/>
  <c r="E112" i="15"/>
  <c r="F112" i="15" s="1"/>
  <c r="E113" i="15"/>
  <c r="F113" i="15" s="1"/>
  <c r="E114" i="15"/>
  <c r="F114" i="15" s="1"/>
  <c r="E115" i="15"/>
  <c r="F115" i="15" s="1"/>
  <c r="E116" i="15"/>
  <c r="F116" i="15" s="1"/>
  <c r="E117" i="15"/>
  <c r="F117" i="15" s="1"/>
  <c r="E118" i="15"/>
  <c r="F118" i="15" s="1"/>
  <c r="E119" i="15"/>
  <c r="F119" i="15" s="1"/>
  <c r="E120" i="15"/>
  <c r="F120" i="15" s="1"/>
  <c r="E121" i="15"/>
  <c r="F121" i="15" s="1"/>
  <c r="E122" i="15"/>
  <c r="F122" i="15" s="1"/>
  <c r="E123" i="15"/>
  <c r="F123" i="15" s="1"/>
  <c r="E124" i="15"/>
  <c r="F124" i="15" s="1"/>
  <c r="E125" i="15"/>
  <c r="F125" i="15" s="1"/>
  <c r="E126" i="15"/>
  <c r="F126" i="15" s="1"/>
  <c r="E127" i="15"/>
  <c r="F127" i="15" s="1"/>
  <c r="E128" i="15"/>
  <c r="F128" i="15" s="1"/>
  <c r="E129" i="15"/>
  <c r="F129" i="15" s="1"/>
  <c r="E130" i="15"/>
  <c r="F130" i="15" s="1"/>
  <c r="E131" i="15"/>
  <c r="F131" i="15" s="1"/>
  <c r="E85" i="15"/>
  <c r="F85" i="15" s="1"/>
  <c r="E86" i="15"/>
  <c r="F86" i="15" s="1"/>
  <c r="E87" i="15"/>
  <c r="F87" i="15" s="1"/>
  <c r="E88" i="15"/>
  <c r="F88" i="15" s="1"/>
  <c r="E89" i="15"/>
  <c r="F89" i="15" s="1"/>
  <c r="E90" i="15"/>
  <c r="F90" i="15" s="1"/>
  <c r="E91" i="15"/>
  <c r="F91" i="15" s="1"/>
  <c r="E92" i="15"/>
  <c r="F92" i="15" s="1"/>
  <c r="E93" i="15"/>
  <c r="F93" i="15" s="1"/>
  <c r="E94" i="15"/>
  <c r="F94" i="15" s="1"/>
  <c r="E95" i="15"/>
  <c r="F95" i="15" s="1"/>
  <c r="E96" i="15"/>
  <c r="F96" i="15" s="1"/>
  <c r="E97" i="15"/>
  <c r="F97" i="15" s="1"/>
  <c r="E98" i="15"/>
  <c r="F98" i="15" s="1"/>
  <c r="E99" i="15"/>
  <c r="F99" i="15" s="1"/>
  <c r="E100" i="15"/>
  <c r="F100" i="15" s="1"/>
  <c r="E101" i="15"/>
  <c r="F101" i="15" s="1"/>
  <c r="E102" i="15"/>
  <c r="F102" i="15" s="1"/>
  <c r="E103" i="15"/>
  <c r="F103" i="15" s="1"/>
  <c r="E104" i="15"/>
  <c r="F104" i="15" s="1"/>
  <c r="E105" i="15"/>
  <c r="F105" i="15" s="1"/>
  <c r="E106" i="15"/>
  <c r="F106" i="15" s="1"/>
  <c r="E107" i="15"/>
  <c r="F107" i="15" s="1"/>
  <c r="E108" i="15"/>
  <c r="F108" i="15" s="1"/>
  <c r="E109" i="15"/>
  <c r="F109" i="15" s="1"/>
  <c r="E110" i="15"/>
  <c r="F110" i="15" s="1"/>
  <c r="E84" i="15"/>
  <c r="F84" i="15" s="1"/>
  <c r="E83" i="15"/>
  <c r="F83" i="15" s="1"/>
  <c r="E82" i="15"/>
  <c r="F82" i="15" s="1"/>
  <c r="E81" i="15"/>
  <c r="F81" i="15" s="1"/>
  <c r="E80" i="15"/>
  <c r="F80" i="15" s="1"/>
  <c r="E79" i="15"/>
  <c r="F79" i="15" s="1"/>
  <c r="E78" i="15"/>
  <c r="F78" i="15" s="1"/>
  <c r="E77" i="15"/>
  <c r="F77" i="15" s="1"/>
  <c r="E76" i="15"/>
  <c r="F76" i="15" s="1"/>
  <c r="E75" i="15"/>
  <c r="F75" i="15" s="1"/>
  <c r="E74" i="15"/>
  <c r="F74" i="15" s="1"/>
  <c r="E73" i="15"/>
  <c r="F73" i="15" s="1"/>
  <c r="E72" i="15"/>
  <c r="F72" i="15" s="1"/>
  <c r="E71" i="15"/>
  <c r="F71" i="15" s="1"/>
  <c r="E70" i="15"/>
  <c r="F70" i="15" s="1"/>
  <c r="E69" i="15"/>
  <c r="F69" i="15" s="1"/>
  <c r="E68" i="15"/>
  <c r="F68" i="15" s="1"/>
  <c r="E65" i="15"/>
  <c r="F65" i="15" s="1"/>
  <c r="E64" i="15"/>
  <c r="F64" i="15" s="1"/>
  <c r="E63" i="15"/>
  <c r="F63" i="15" s="1"/>
  <c r="E62" i="15"/>
  <c r="F62" i="15" s="1"/>
  <c r="E61" i="15"/>
  <c r="F61" i="15" s="1"/>
  <c r="E60" i="15"/>
  <c r="F60" i="15" s="1"/>
  <c r="E59" i="15"/>
  <c r="F59" i="15" s="1"/>
  <c r="E58" i="15"/>
  <c r="F58" i="15" s="1"/>
  <c r="E57" i="15"/>
  <c r="F57" i="15" s="1"/>
  <c r="E56" i="15"/>
  <c r="F56" i="15" s="1"/>
  <c r="E55" i="15"/>
  <c r="F55" i="15" s="1"/>
  <c r="E54" i="15"/>
  <c r="F54" i="15" s="1"/>
  <c r="E53" i="15"/>
  <c r="F53" i="15" s="1"/>
  <c r="E52" i="15"/>
  <c r="F52" i="15" s="1"/>
  <c r="E51" i="15"/>
  <c r="F51" i="15" s="1"/>
  <c r="E50" i="15"/>
  <c r="F50" i="15" s="1"/>
  <c r="E49" i="15"/>
  <c r="F49" i="15" s="1"/>
  <c r="E48" i="15"/>
  <c r="F48" i="15" s="1"/>
  <c r="E47" i="15"/>
  <c r="F47" i="15" s="1"/>
  <c r="E46" i="15"/>
  <c r="F46" i="15" s="1"/>
  <c r="E45" i="15"/>
  <c r="F45" i="15" s="1"/>
  <c r="E44" i="15"/>
  <c r="F44" i="15" s="1"/>
  <c r="E43" i="15"/>
  <c r="F43" i="15" s="1"/>
  <c r="E42" i="15"/>
  <c r="F42" i="15" s="1"/>
  <c r="E41" i="15"/>
  <c r="F41" i="15" s="1"/>
  <c r="E40" i="15"/>
  <c r="F40" i="15" s="1"/>
  <c r="E39" i="15"/>
  <c r="F39" i="15" s="1"/>
  <c r="E38" i="15"/>
  <c r="F38" i="15" s="1"/>
  <c r="E37" i="15"/>
  <c r="F37" i="15" s="1"/>
  <c r="E36" i="15"/>
  <c r="F36" i="15" s="1"/>
  <c r="L30" i="15"/>
  <c r="G61" i="15" l="1"/>
  <c r="G104" i="15"/>
  <c r="I104" i="15" s="1"/>
  <c r="J104" i="15" s="1"/>
  <c r="G88" i="15"/>
  <c r="G67" i="15"/>
  <c r="AC16" i="15"/>
  <c r="G45" i="15"/>
  <c r="I45" i="15" s="1"/>
  <c r="J45" i="15" s="1"/>
  <c r="AC17" i="15"/>
  <c r="H42" i="15"/>
  <c r="K42" i="15" s="1"/>
  <c r="L42" i="15" s="1"/>
  <c r="H54" i="15"/>
  <c r="K54" i="15" s="1"/>
  <c r="L54" i="15" s="1"/>
  <c r="H68" i="15"/>
  <c r="K68" i="15" s="1"/>
  <c r="L68" i="15" s="1"/>
  <c r="H72" i="15"/>
  <c r="K72" i="15" s="1"/>
  <c r="L72" i="15" s="1"/>
  <c r="H76" i="15"/>
  <c r="K76" i="15" s="1"/>
  <c r="L76" i="15" s="1"/>
  <c r="H80" i="15"/>
  <c r="K80" i="15" s="1"/>
  <c r="L80" i="15" s="1"/>
  <c r="H84" i="15"/>
  <c r="K84" i="15" s="1"/>
  <c r="L84" i="15" s="1"/>
  <c r="H107" i="15"/>
  <c r="K107" i="15" s="1"/>
  <c r="L107" i="15" s="1"/>
  <c r="H103" i="15"/>
  <c r="K103" i="15" s="1"/>
  <c r="L103" i="15" s="1"/>
  <c r="H99" i="15"/>
  <c r="K99" i="15" s="1"/>
  <c r="L99" i="15" s="1"/>
  <c r="H95" i="15"/>
  <c r="K95" i="15" s="1"/>
  <c r="L95" i="15" s="1"/>
  <c r="H91" i="15"/>
  <c r="K91" i="15" s="1"/>
  <c r="L91" i="15" s="1"/>
  <c r="H87" i="15"/>
  <c r="K87" i="15" s="1"/>
  <c r="L87" i="15" s="1"/>
  <c r="H130" i="15"/>
  <c r="K130" i="15" s="1"/>
  <c r="L130" i="15" s="1"/>
  <c r="H126" i="15"/>
  <c r="K126" i="15" s="1"/>
  <c r="L126" i="15" s="1"/>
  <c r="H122" i="15"/>
  <c r="K122" i="15" s="1"/>
  <c r="L122" i="15" s="1"/>
  <c r="H118" i="15"/>
  <c r="K118" i="15" s="1"/>
  <c r="L118" i="15" s="1"/>
  <c r="H114" i="15"/>
  <c r="K114" i="15" s="1"/>
  <c r="L114" i="15" s="1"/>
  <c r="H138" i="15"/>
  <c r="K138" i="15" s="1"/>
  <c r="L138" i="15" s="1"/>
  <c r="H134" i="15"/>
  <c r="K134" i="15" s="1"/>
  <c r="L134" i="15" s="1"/>
  <c r="H144" i="15"/>
  <c r="K144" i="15" s="1"/>
  <c r="L144" i="15" s="1"/>
  <c r="H140" i="15"/>
  <c r="K140" i="15" s="1"/>
  <c r="L140" i="15" s="1"/>
  <c r="H146" i="15"/>
  <c r="K146" i="15" s="1"/>
  <c r="L146" i="15" s="1"/>
  <c r="H66" i="15"/>
  <c r="K66" i="15" s="1"/>
  <c r="L66" i="15" s="1"/>
  <c r="H63" i="15"/>
  <c r="K63" i="15" s="1"/>
  <c r="L63" i="15" s="1"/>
  <c r="H110" i="15"/>
  <c r="K110" i="15" s="1"/>
  <c r="L110" i="15" s="1"/>
  <c r="H98" i="15"/>
  <c r="K98" i="15" s="1"/>
  <c r="L98" i="15" s="1"/>
  <c r="H94" i="15"/>
  <c r="K94" i="15" s="1"/>
  <c r="L94" i="15" s="1"/>
  <c r="H90" i="15"/>
  <c r="K90" i="15" s="1"/>
  <c r="L90" i="15" s="1"/>
  <c r="H86" i="15"/>
  <c r="K86" i="15" s="1"/>
  <c r="L86" i="15" s="1"/>
  <c r="H129" i="15"/>
  <c r="K129" i="15" s="1"/>
  <c r="L129" i="15" s="1"/>
  <c r="H125" i="15"/>
  <c r="K125" i="15" s="1"/>
  <c r="L125" i="15" s="1"/>
  <c r="H121" i="15"/>
  <c r="K121" i="15" s="1"/>
  <c r="L121" i="15" s="1"/>
  <c r="H117" i="15"/>
  <c r="K117" i="15" s="1"/>
  <c r="L117" i="15" s="1"/>
  <c r="H113" i="15"/>
  <c r="K113" i="15" s="1"/>
  <c r="L113" i="15" s="1"/>
  <c r="H137" i="15"/>
  <c r="K137" i="15" s="1"/>
  <c r="L137" i="15" s="1"/>
  <c r="H133" i="15"/>
  <c r="K133" i="15" s="1"/>
  <c r="L133" i="15" s="1"/>
  <c r="H143" i="15"/>
  <c r="K143" i="15" s="1"/>
  <c r="L143" i="15" s="1"/>
  <c r="H139" i="15"/>
  <c r="K139" i="15" s="1"/>
  <c r="L139" i="15" s="1"/>
  <c r="H149" i="15"/>
  <c r="K149" i="15" s="1"/>
  <c r="L149" i="15" s="1"/>
  <c r="H38" i="15"/>
  <c r="K38" i="15" s="1"/>
  <c r="L38" i="15" s="1"/>
  <c r="H50" i="15"/>
  <c r="K50" i="15" s="1"/>
  <c r="L50" i="15" s="1"/>
  <c r="H62" i="15"/>
  <c r="K62" i="15" s="1"/>
  <c r="L62" i="15" s="1"/>
  <c r="H35" i="15"/>
  <c r="K35" i="15" s="1"/>
  <c r="L35" i="15" s="1"/>
  <c r="H43" i="15"/>
  <c r="K43" i="15" s="1"/>
  <c r="L43" i="15" s="1"/>
  <c r="H51" i="15"/>
  <c r="K51" i="15" s="1"/>
  <c r="L51" i="15" s="1"/>
  <c r="H59" i="15"/>
  <c r="K59" i="15" s="1"/>
  <c r="L59" i="15" s="1"/>
  <c r="H73" i="15"/>
  <c r="K73" i="15" s="1"/>
  <c r="L73" i="15" s="1"/>
  <c r="H81" i="15"/>
  <c r="K81" i="15" s="1"/>
  <c r="L81" i="15" s="1"/>
  <c r="H102" i="15"/>
  <c r="K102" i="15" s="1"/>
  <c r="L102" i="15" s="1"/>
  <c r="H36" i="15"/>
  <c r="K36" i="15" s="1"/>
  <c r="L36" i="15" s="1"/>
  <c r="H40" i="15"/>
  <c r="K40" i="15" s="1"/>
  <c r="L40" i="15" s="1"/>
  <c r="H44" i="15"/>
  <c r="K44" i="15" s="1"/>
  <c r="L44" i="15" s="1"/>
  <c r="H48" i="15"/>
  <c r="K48" i="15" s="1"/>
  <c r="L48" i="15" s="1"/>
  <c r="H52" i="15"/>
  <c r="K52" i="15" s="1"/>
  <c r="L52" i="15" s="1"/>
  <c r="H56" i="15"/>
  <c r="K56" i="15" s="1"/>
  <c r="L56" i="15" s="1"/>
  <c r="H60" i="15"/>
  <c r="K60" i="15" s="1"/>
  <c r="L60" i="15" s="1"/>
  <c r="H64" i="15"/>
  <c r="K64" i="15" s="1"/>
  <c r="L64" i="15" s="1"/>
  <c r="H70" i="15"/>
  <c r="K70" i="15" s="1"/>
  <c r="L70" i="15" s="1"/>
  <c r="H74" i="15"/>
  <c r="K74" i="15" s="1"/>
  <c r="L74" i="15" s="1"/>
  <c r="H78" i="15"/>
  <c r="K78" i="15" s="1"/>
  <c r="L78" i="15" s="1"/>
  <c r="H82" i="15"/>
  <c r="K82" i="15" s="1"/>
  <c r="L82" i="15" s="1"/>
  <c r="H109" i="15"/>
  <c r="K109" i="15" s="1"/>
  <c r="L109" i="15" s="1"/>
  <c r="H105" i="15"/>
  <c r="K105" i="15" s="1"/>
  <c r="L105" i="15" s="1"/>
  <c r="H101" i="15"/>
  <c r="K101" i="15" s="1"/>
  <c r="L101" i="15" s="1"/>
  <c r="H97" i="15"/>
  <c r="K97" i="15" s="1"/>
  <c r="L97" i="15" s="1"/>
  <c r="H93" i="15"/>
  <c r="K93" i="15" s="1"/>
  <c r="L93" i="15" s="1"/>
  <c r="H89" i="15"/>
  <c r="K89" i="15" s="1"/>
  <c r="L89" i="15" s="1"/>
  <c r="H85" i="15"/>
  <c r="K85" i="15" s="1"/>
  <c r="L85" i="15" s="1"/>
  <c r="H128" i="15"/>
  <c r="K128" i="15" s="1"/>
  <c r="L128" i="15" s="1"/>
  <c r="H124" i="15"/>
  <c r="K124" i="15" s="1"/>
  <c r="L124" i="15" s="1"/>
  <c r="H120" i="15"/>
  <c r="K120" i="15" s="1"/>
  <c r="L120" i="15" s="1"/>
  <c r="H116" i="15"/>
  <c r="K116" i="15" s="1"/>
  <c r="L116" i="15" s="1"/>
  <c r="H112" i="15"/>
  <c r="K112" i="15" s="1"/>
  <c r="L112" i="15" s="1"/>
  <c r="H136" i="15"/>
  <c r="K136" i="15" s="1"/>
  <c r="L136" i="15" s="1"/>
  <c r="H132" i="15"/>
  <c r="K132" i="15" s="1"/>
  <c r="L132" i="15" s="1"/>
  <c r="H142" i="15"/>
  <c r="K142" i="15" s="1"/>
  <c r="L142" i="15" s="1"/>
  <c r="H148" i="15"/>
  <c r="K148" i="15" s="1"/>
  <c r="L148" i="15" s="1"/>
  <c r="H34" i="15"/>
  <c r="K34" i="15" s="1"/>
  <c r="L34" i="15" s="1"/>
  <c r="H46" i="15"/>
  <c r="K46" i="15" s="1"/>
  <c r="L46" i="15" s="1"/>
  <c r="H58" i="15"/>
  <c r="K58" i="15" s="1"/>
  <c r="L58" i="15" s="1"/>
  <c r="H39" i="15"/>
  <c r="K39" i="15" s="1"/>
  <c r="L39" i="15" s="1"/>
  <c r="H47" i="15"/>
  <c r="K47" i="15" s="1"/>
  <c r="L47" i="15" s="1"/>
  <c r="H55" i="15"/>
  <c r="K55" i="15" s="1"/>
  <c r="L55" i="15" s="1"/>
  <c r="H69" i="15"/>
  <c r="K69" i="15" s="1"/>
  <c r="L69" i="15" s="1"/>
  <c r="H77" i="15"/>
  <c r="K77" i="15" s="1"/>
  <c r="L77" i="15" s="1"/>
  <c r="H106" i="15"/>
  <c r="K106" i="15" s="1"/>
  <c r="L106" i="15" s="1"/>
  <c r="H37" i="15"/>
  <c r="K37" i="15" s="1"/>
  <c r="L37" i="15" s="1"/>
  <c r="H41" i="15"/>
  <c r="K41" i="15" s="1"/>
  <c r="L41" i="15" s="1"/>
  <c r="H45" i="15"/>
  <c r="K45" i="15" s="1"/>
  <c r="L45" i="15" s="1"/>
  <c r="H49" i="15"/>
  <c r="K49" i="15" s="1"/>
  <c r="L49" i="15" s="1"/>
  <c r="H53" i="15"/>
  <c r="K53" i="15" s="1"/>
  <c r="L53" i="15" s="1"/>
  <c r="H57" i="15"/>
  <c r="K57" i="15" s="1"/>
  <c r="L57" i="15" s="1"/>
  <c r="H61" i="15"/>
  <c r="K61" i="15" s="1"/>
  <c r="L61" i="15" s="1"/>
  <c r="H65" i="15"/>
  <c r="K65" i="15" s="1"/>
  <c r="L65" i="15" s="1"/>
  <c r="H71" i="15"/>
  <c r="K71" i="15" s="1"/>
  <c r="L71" i="15" s="1"/>
  <c r="H75" i="15"/>
  <c r="K75" i="15" s="1"/>
  <c r="L75" i="15" s="1"/>
  <c r="H79" i="15"/>
  <c r="K79" i="15" s="1"/>
  <c r="L79" i="15" s="1"/>
  <c r="H83" i="15"/>
  <c r="K83" i="15" s="1"/>
  <c r="L83" i="15" s="1"/>
  <c r="H108" i="15"/>
  <c r="K108" i="15" s="1"/>
  <c r="L108" i="15" s="1"/>
  <c r="H104" i="15"/>
  <c r="K104" i="15" s="1"/>
  <c r="L104" i="15" s="1"/>
  <c r="H100" i="15"/>
  <c r="K100" i="15" s="1"/>
  <c r="L100" i="15" s="1"/>
  <c r="H96" i="15"/>
  <c r="K96" i="15" s="1"/>
  <c r="L96" i="15" s="1"/>
  <c r="H92" i="15"/>
  <c r="K92" i="15" s="1"/>
  <c r="L92" i="15" s="1"/>
  <c r="H88" i="15"/>
  <c r="K88" i="15" s="1"/>
  <c r="L88" i="15" s="1"/>
  <c r="H131" i="15"/>
  <c r="K131" i="15" s="1"/>
  <c r="L131" i="15" s="1"/>
  <c r="H127" i="15"/>
  <c r="K127" i="15" s="1"/>
  <c r="L127" i="15" s="1"/>
  <c r="H123" i="15"/>
  <c r="K123" i="15" s="1"/>
  <c r="L123" i="15" s="1"/>
  <c r="H119" i="15"/>
  <c r="K119" i="15" s="1"/>
  <c r="L119" i="15" s="1"/>
  <c r="H115" i="15"/>
  <c r="K115" i="15" s="1"/>
  <c r="L115" i="15" s="1"/>
  <c r="H111" i="15"/>
  <c r="K111" i="15" s="1"/>
  <c r="L111" i="15" s="1"/>
  <c r="H135" i="15"/>
  <c r="K135" i="15" s="1"/>
  <c r="L135" i="15" s="1"/>
  <c r="H145" i="15"/>
  <c r="K145" i="15" s="1"/>
  <c r="L145" i="15" s="1"/>
  <c r="H141" i="15"/>
  <c r="K141" i="15" s="1"/>
  <c r="L141" i="15" s="1"/>
  <c r="H147" i="15"/>
  <c r="K147" i="15" s="1"/>
  <c r="L147" i="15" s="1"/>
  <c r="G143" i="15"/>
  <c r="I143" i="15" s="1"/>
  <c r="J143" i="15" s="1"/>
  <c r="H67" i="15"/>
  <c r="K67" i="15" s="1"/>
  <c r="L67" i="15" s="1"/>
  <c r="G138" i="15"/>
  <c r="I138" i="15" s="1"/>
  <c r="J138" i="15" s="1"/>
  <c r="G113" i="15"/>
  <c r="I113" i="15" s="1"/>
  <c r="J113" i="15" s="1"/>
  <c r="G79" i="15"/>
  <c r="I79" i="15" s="1"/>
  <c r="J79" i="15" s="1"/>
  <c r="G58" i="15"/>
  <c r="I58" i="15" s="1"/>
  <c r="J58" i="15" s="1"/>
  <c r="G42" i="15"/>
  <c r="G129" i="15"/>
  <c r="I129" i="15" s="1"/>
  <c r="J129" i="15" s="1"/>
  <c r="G111" i="15"/>
  <c r="I111" i="15" s="1"/>
  <c r="J111" i="15" s="1"/>
  <c r="G95" i="15"/>
  <c r="I95" i="15" s="1"/>
  <c r="J95" i="15" s="1"/>
  <c r="G74" i="15"/>
  <c r="I74" i="15" s="1"/>
  <c r="J74" i="15" s="1"/>
  <c r="G53" i="15"/>
  <c r="I53" i="15" s="1"/>
  <c r="J53" i="15" s="1"/>
  <c r="G122" i="15"/>
  <c r="I122" i="15" s="1"/>
  <c r="J122" i="15" s="1"/>
  <c r="G34" i="15"/>
  <c r="I34" i="15" s="1"/>
  <c r="J34" i="15" s="1"/>
  <c r="G145" i="15"/>
  <c r="I145" i="15" s="1"/>
  <c r="J145" i="15" s="1"/>
  <c r="G127" i="15"/>
  <c r="I127" i="15" s="1"/>
  <c r="J127" i="15" s="1"/>
  <c r="G106" i="15"/>
  <c r="I106" i="15" s="1"/>
  <c r="J106" i="15" s="1"/>
  <c r="G90" i="15"/>
  <c r="I90" i="15" s="1"/>
  <c r="J90" i="15" s="1"/>
  <c r="G72" i="15"/>
  <c r="I72" i="15" s="1"/>
  <c r="J72" i="15" s="1"/>
  <c r="G50" i="15"/>
  <c r="I50" i="15" s="1"/>
  <c r="J50" i="15" s="1"/>
  <c r="G136" i="15"/>
  <c r="I136" i="15" s="1"/>
  <c r="J136" i="15" s="1"/>
  <c r="G120" i="15"/>
  <c r="I120" i="15" s="1"/>
  <c r="J120" i="15" s="1"/>
  <c r="G97" i="15"/>
  <c r="I97" i="15" s="1"/>
  <c r="J97" i="15" s="1"/>
  <c r="G39" i="15"/>
  <c r="I39" i="15" s="1"/>
  <c r="J39" i="15" s="1"/>
  <c r="G149" i="15"/>
  <c r="I149" i="15" s="1"/>
  <c r="J149" i="15" s="1"/>
  <c r="G147" i="15"/>
  <c r="I147" i="15" s="1"/>
  <c r="J147" i="15" s="1"/>
  <c r="G142" i="15"/>
  <c r="I142" i="15" s="1"/>
  <c r="J142" i="15" s="1"/>
  <c r="G140" i="15"/>
  <c r="I140" i="15" s="1"/>
  <c r="J140" i="15" s="1"/>
  <c r="G133" i="15"/>
  <c r="I133" i="15" s="1"/>
  <c r="J133" i="15" s="1"/>
  <c r="G131" i="15"/>
  <c r="I131" i="15" s="1"/>
  <c r="J131" i="15" s="1"/>
  <c r="G126" i="15"/>
  <c r="I126" i="15" s="1"/>
  <c r="J126" i="15" s="1"/>
  <c r="G124" i="15"/>
  <c r="I124" i="15" s="1"/>
  <c r="J124" i="15" s="1"/>
  <c r="G117" i="15"/>
  <c r="I117" i="15" s="1"/>
  <c r="J117" i="15" s="1"/>
  <c r="G115" i="15"/>
  <c r="I115" i="15" s="1"/>
  <c r="J115" i="15" s="1"/>
  <c r="G110" i="15"/>
  <c r="I110" i="15" s="1"/>
  <c r="J110" i="15" s="1"/>
  <c r="G108" i="15"/>
  <c r="I108" i="15" s="1"/>
  <c r="J108" i="15" s="1"/>
  <c r="G101" i="15"/>
  <c r="I101" i="15" s="1"/>
  <c r="J101" i="15" s="1"/>
  <c r="G99" i="15"/>
  <c r="I99" i="15" s="1"/>
  <c r="J99" i="15" s="1"/>
  <c r="G94" i="15"/>
  <c r="I94" i="15" s="1"/>
  <c r="J94" i="15" s="1"/>
  <c r="G92" i="15"/>
  <c r="I92" i="15" s="1"/>
  <c r="J92" i="15" s="1"/>
  <c r="G85" i="15"/>
  <c r="I85" i="15" s="1"/>
  <c r="J85" i="15" s="1"/>
  <c r="G83" i="15"/>
  <c r="I83" i="15" s="1"/>
  <c r="J83" i="15" s="1"/>
  <c r="G78" i="15"/>
  <c r="I78" i="15" s="1"/>
  <c r="J78" i="15" s="1"/>
  <c r="G76" i="15"/>
  <c r="I76" i="15" s="1"/>
  <c r="J76" i="15" s="1"/>
  <c r="G69" i="15"/>
  <c r="I69" i="15" s="1"/>
  <c r="J69" i="15" s="1"/>
  <c r="G63" i="15"/>
  <c r="I63" i="15" s="1"/>
  <c r="J63" i="15" s="1"/>
  <c r="G60" i="15"/>
  <c r="I60" i="15" s="1"/>
  <c r="J60" i="15" s="1"/>
  <c r="G55" i="15"/>
  <c r="I55" i="15" s="1"/>
  <c r="J55" i="15" s="1"/>
  <c r="G52" i="15"/>
  <c r="I52" i="15" s="1"/>
  <c r="J52" i="15" s="1"/>
  <c r="G47" i="15"/>
  <c r="I47" i="15" s="1"/>
  <c r="J47" i="15" s="1"/>
  <c r="G44" i="15"/>
  <c r="I44" i="15" s="1"/>
  <c r="J44" i="15" s="1"/>
  <c r="G41" i="15"/>
  <c r="I41" i="15" s="1"/>
  <c r="J41" i="15" s="1"/>
  <c r="G38" i="15"/>
  <c r="I38" i="15" s="1"/>
  <c r="J38" i="15" s="1"/>
  <c r="G35" i="15"/>
  <c r="G81" i="15"/>
  <c r="I81" i="15" s="1"/>
  <c r="J81" i="15" s="1"/>
  <c r="G146" i="15"/>
  <c r="I146" i="15" s="1"/>
  <c r="J146" i="15" s="1"/>
  <c r="G144" i="15"/>
  <c r="I144" i="15" s="1"/>
  <c r="J144" i="15" s="1"/>
  <c r="G137" i="15"/>
  <c r="I137" i="15" s="1"/>
  <c r="J137" i="15" s="1"/>
  <c r="G135" i="15"/>
  <c r="I135" i="15" s="1"/>
  <c r="J135" i="15" s="1"/>
  <c r="G130" i="15"/>
  <c r="I130" i="15" s="1"/>
  <c r="J130" i="15" s="1"/>
  <c r="G128" i="15"/>
  <c r="I128" i="15" s="1"/>
  <c r="J128" i="15" s="1"/>
  <c r="G121" i="15"/>
  <c r="I121" i="15" s="1"/>
  <c r="J121" i="15" s="1"/>
  <c r="G119" i="15"/>
  <c r="I119" i="15" s="1"/>
  <c r="J119" i="15" s="1"/>
  <c r="G114" i="15"/>
  <c r="I114" i="15" s="1"/>
  <c r="J114" i="15" s="1"/>
  <c r="G112" i="15"/>
  <c r="I112" i="15" s="1"/>
  <c r="J112" i="15" s="1"/>
  <c r="G105" i="15"/>
  <c r="I105" i="15" s="1"/>
  <c r="J105" i="15" s="1"/>
  <c r="G103" i="15"/>
  <c r="I103" i="15" s="1"/>
  <c r="J103" i="15" s="1"/>
  <c r="G98" i="15"/>
  <c r="I98" i="15" s="1"/>
  <c r="J98" i="15" s="1"/>
  <c r="G96" i="15"/>
  <c r="I96" i="15" s="1"/>
  <c r="J96" i="15" s="1"/>
  <c r="G89" i="15"/>
  <c r="I89" i="15" s="1"/>
  <c r="J89" i="15" s="1"/>
  <c r="G87" i="15"/>
  <c r="I87" i="15" s="1"/>
  <c r="J87" i="15" s="1"/>
  <c r="G82" i="15"/>
  <c r="I82" i="15" s="1"/>
  <c r="J82" i="15" s="1"/>
  <c r="G80" i="15"/>
  <c r="I80" i="15" s="1"/>
  <c r="J80" i="15" s="1"/>
  <c r="G73" i="15"/>
  <c r="I73" i="15" s="1"/>
  <c r="J73" i="15" s="1"/>
  <c r="G71" i="15"/>
  <c r="I71" i="15" s="1"/>
  <c r="J71" i="15" s="1"/>
  <c r="G65" i="15"/>
  <c r="I65" i="15" s="1"/>
  <c r="J65" i="15" s="1"/>
  <c r="G62" i="15"/>
  <c r="I62" i="15" s="1"/>
  <c r="J62" i="15" s="1"/>
  <c r="G57" i="15"/>
  <c r="I57" i="15" s="1"/>
  <c r="J57" i="15" s="1"/>
  <c r="G54" i="15"/>
  <c r="I54" i="15" s="1"/>
  <c r="J54" i="15" s="1"/>
  <c r="G49" i="15"/>
  <c r="I49" i="15" s="1"/>
  <c r="J49" i="15" s="1"/>
  <c r="G46" i="15"/>
  <c r="I46" i="15" s="1"/>
  <c r="J46" i="15" s="1"/>
  <c r="G40" i="15"/>
  <c r="I40" i="15" s="1"/>
  <c r="J40" i="15" s="1"/>
  <c r="G37" i="15"/>
  <c r="I37" i="15" s="1"/>
  <c r="J37" i="15" s="1"/>
  <c r="G148" i="15"/>
  <c r="I148" i="15" s="1"/>
  <c r="J148" i="15" s="1"/>
  <c r="G141" i="15"/>
  <c r="I141" i="15" s="1"/>
  <c r="J141" i="15" s="1"/>
  <c r="G139" i="15"/>
  <c r="I139" i="15" s="1"/>
  <c r="J139" i="15" s="1"/>
  <c r="G134" i="15"/>
  <c r="I134" i="15" s="1"/>
  <c r="J134" i="15" s="1"/>
  <c r="G132" i="15"/>
  <c r="I132" i="15" s="1"/>
  <c r="J132" i="15" s="1"/>
  <c r="G125" i="15"/>
  <c r="I125" i="15" s="1"/>
  <c r="J125" i="15" s="1"/>
  <c r="G123" i="15"/>
  <c r="I123" i="15" s="1"/>
  <c r="J123" i="15" s="1"/>
  <c r="G118" i="15"/>
  <c r="I118" i="15" s="1"/>
  <c r="J118" i="15" s="1"/>
  <c r="G116" i="15"/>
  <c r="I116" i="15" s="1"/>
  <c r="J116" i="15" s="1"/>
  <c r="G109" i="15"/>
  <c r="I109" i="15" s="1"/>
  <c r="J109" i="15" s="1"/>
  <c r="G107" i="15"/>
  <c r="I107" i="15" s="1"/>
  <c r="J107" i="15" s="1"/>
  <c r="G102" i="15"/>
  <c r="I102" i="15" s="1"/>
  <c r="J102" i="15" s="1"/>
  <c r="G100" i="15"/>
  <c r="I100" i="15" s="1"/>
  <c r="J100" i="15" s="1"/>
  <c r="G93" i="15"/>
  <c r="I93" i="15" s="1"/>
  <c r="J93" i="15" s="1"/>
  <c r="G91" i="15"/>
  <c r="I91" i="15" s="1"/>
  <c r="J91" i="15" s="1"/>
  <c r="G86" i="15"/>
  <c r="I86" i="15" s="1"/>
  <c r="J86" i="15" s="1"/>
  <c r="G84" i="15"/>
  <c r="I84" i="15" s="1"/>
  <c r="J84" i="15" s="1"/>
  <c r="G77" i="15"/>
  <c r="I77" i="15" s="1"/>
  <c r="J77" i="15" s="1"/>
  <c r="G75" i="15"/>
  <c r="I75" i="15" s="1"/>
  <c r="J75" i="15" s="1"/>
  <c r="G70" i="15"/>
  <c r="I70" i="15" s="1"/>
  <c r="J70" i="15" s="1"/>
  <c r="G68" i="15"/>
  <c r="I68" i="15" s="1"/>
  <c r="J68" i="15" s="1"/>
  <c r="G66" i="15"/>
  <c r="I66" i="15" s="1"/>
  <c r="J66" i="15" s="1"/>
  <c r="G64" i="15"/>
  <c r="I64" i="15" s="1"/>
  <c r="J64" i="15" s="1"/>
  <c r="G59" i="15"/>
  <c r="I59" i="15" s="1"/>
  <c r="J59" i="15" s="1"/>
  <c r="G56" i="15"/>
  <c r="I56" i="15" s="1"/>
  <c r="J56" i="15" s="1"/>
  <c r="G51" i="15"/>
  <c r="I51" i="15" s="1"/>
  <c r="J51" i="15" s="1"/>
  <c r="G48" i="15"/>
  <c r="I48" i="15" s="1"/>
  <c r="J48" i="15" s="1"/>
  <c r="G43" i="15"/>
  <c r="I43" i="15" s="1"/>
  <c r="J43" i="15" s="1"/>
  <c r="G36" i="15"/>
  <c r="I36" i="15" s="1"/>
  <c r="J36" i="15" s="1"/>
  <c r="I88" i="15"/>
  <c r="J88" i="15" s="1"/>
  <c r="I67" i="15"/>
  <c r="J67" i="15" s="1"/>
  <c r="I42" i="15"/>
  <c r="J42" i="15" s="1"/>
  <c r="I61" i="15"/>
  <c r="J61" i="15" s="1"/>
  <c r="O41" i="15" l="1"/>
  <c r="P41" i="15" s="1"/>
  <c r="O142" i="15"/>
  <c r="P142" i="15" s="1"/>
  <c r="O85" i="15"/>
  <c r="P85" i="15" s="1"/>
  <c r="O78" i="15"/>
  <c r="P78" i="15" s="1"/>
  <c r="O76" i="15"/>
  <c r="P76" i="15" s="1"/>
  <c r="O45" i="15"/>
  <c r="P45" i="15" s="1"/>
  <c r="O135" i="15"/>
  <c r="P135" i="15" s="1"/>
  <c r="O92" i="15"/>
  <c r="P92" i="15" s="1"/>
  <c r="O108" i="15"/>
  <c r="P108" i="15" s="1"/>
  <c r="O37" i="15"/>
  <c r="P37" i="15" s="1"/>
  <c r="O46" i="15"/>
  <c r="P46" i="15" s="1"/>
  <c r="O120" i="15"/>
  <c r="P120" i="15" s="1"/>
  <c r="O89" i="15"/>
  <c r="P89" i="15" s="1"/>
  <c r="O74" i="15"/>
  <c r="P74" i="15" s="1"/>
  <c r="O73" i="15"/>
  <c r="P73" i="15" s="1"/>
  <c r="O66" i="15"/>
  <c r="P66" i="15" s="1"/>
  <c r="O91" i="15"/>
  <c r="P91" i="15" s="1"/>
  <c r="O72" i="15"/>
  <c r="P72" i="15" s="1"/>
  <c r="O57" i="15"/>
  <c r="P57" i="15" s="1"/>
  <c r="O58" i="15"/>
  <c r="P58" i="15" s="1"/>
  <c r="O147" i="15"/>
  <c r="P147" i="15" s="1"/>
  <c r="O127" i="15"/>
  <c r="P127" i="15" s="1"/>
  <c r="O65" i="15"/>
  <c r="P65" i="15" s="1"/>
  <c r="O93" i="15"/>
  <c r="P93" i="15" s="1"/>
  <c r="O70" i="15"/>
  <c r="P70" i="15" s="1"/>
  <c r="O62" i="15"/>
  <c r="P62" i="15" s="1"/>
  <c r="O84" i="15"/>
  <c r="P84" i="15" s="1"/>
  <c r="O68" i="15"/>
  <c r="P68" i="15" s="1"/>
  <c r="I35" i="15"/>
  <c r="O61" i="15"/>
  <c r="P61" i="15" s="1"/>
  <c r="O97" i="15"/>
  <c r="P97" i="15" s="1"/>
  <c r="O82" i="15"/>
  <c r="P82" i="15" s="1"/>
  <c r="O48" i="15"/>
  <c r="P48" i="15" s="1"/>
  <c r="O102" i="15"/>
  <c r="P102" i="15" s="1"/>
  <c r="O50" i="15"/>
  <c r="P50" i="15" s="1"/>
  <c r="O80" i="15"/>
  <c r="P80" i="15" s="1"/>
  <c r="O54" i="15"/>
  <c r="P54" i="15" s="1"/>
  <c r="M145" i="15"/>
  <c r="O145" i="15"/>
  <c r="P145" i="15" s="1"/>
  <c r="M104" i="15"/>
  <c r="O104" i="15"/>
  <c r="P104" i="15" s="1"/>
  <c r="N75" i="15"/>
  <c r="O75" i="15"/>
  <c r="P75" i="15" s="1"/>
  <c r="M69" i="15"/>
  <c r="O69" i="15"/>
  <c r="P69" i="15" s="1"/>
  <c r="N38" i="15"/>
  <c r="O38" i="15"/>
  <c r="P38" i="15" s="1"/>
  <c r="N90" i="15"/>
  <c r="O90" i="15"/>
  <c r="P90" i="15" s="1"/>
  <c r="M123" i="15"/>
  <c r="O123" i="15"/>
  <c r="P123" i="15" s="1"/>
  <c r="N71" i="15"/>
  <c r="O71" i="15"/>
  <c r="P71" i="15" s="1"/>
  <c r="M53" i="15"/>
  <c r="O53" i="15"/>
  <c r="P53" i="15" s="1"/>
  <c r="N55" i="15"/>
  <c r="O55" i="15"/>
  <c r="P55" i="15" s="1"/>
  <c r="M132" i="15"/>
  <c r="O132" i="15"/>
  <c r="P132" i="15" s="1"/>
  <c r="M105" i="15"/>
  <c r="O105" i="15"/>
  <c r="P105" i="15" s="1"/>
  <c r="N56" i="15"/>
  <c r="O56" i="15"/>
  <c r="P56" i="15" s="1"/>
  <c r="M40" i="15"/>
  <c r="O40" i="15"/>
  <c r="P40" i="15" s="1"/>
  <c r="M35" i="15"/>
  <c r="N149" i="15"/>
  <c r="O149" i="15"/>
  <c r="P149" i="15" s="1"/>
  <c r="M137" i="15"/>
  <c r="O137" i="15"/>
  <c r="P137" i="15" s="1"/>
  <c r="N125" i="15"/>
  <c r="O125" i="15"/>
  <c r="P125" i="15" s="1"/>
  <c r="N94" i="15"/>
  <c r="O94" i="15"/>
  <c r="P94" i="15" s="1"/>
  <c r="M134" i="15"/>
  <c r="O134" i="15"/>
  <c r="P134" i="15" s="1"/>
  <c r="N122" i="15"/>
  <c r="O122" i="15"/>
  <c r="P122" i="15" s="1"/>
  <c r="M107" i="15"/>
  <c r="O107" i="15"/>
  <c r="P107" i="15" s="1"/>
  <c r="N88" i="15"/>
  <c r="O88" i="15"/>
  <c r="P88" i="15" s="1"/>
  <c r="N44" i="15"/>
  <c r="O44" i="15"/>
  <c r="P44" i="15" s="1"/>
  <c r="N43" i="15"/>
  <c r="O43" i="15"/>
  <c r="P43" i="15" s="1"/>
  <c r="N121" i="15"/>
  <c r="O121" i="15"/>
  <c r="P121" i="15" s="1"/>
  <c r="M144" i="15"/>
  <c r="O144" i="15"/>
  <c r="P144" i="15" s="1"/>
  <c r="M118" i="15"/>
  <c r="O118" i="15"/>
  <c r="P118" i="15" s="1"/>
  <c r="N103" i="15"/>
  <c r="O103" i="15"/>
  <c r="P103" i="15" s="1"/>
  <c r="N111" i="15"/>
  <c r="O111" i="15"/>
  <c r="P111" i="15" s="1"/>
  <c r="M96" i="15"/>
  <c r="O96" i="15"/>
  <c r="P96" i="15" s="1"/>
  <c r="N83" i="15"/>
  <c r="O83" i="15"/>
  <c r="P83" i="15" s="1"/>
  <c r="N49" i="15"/>
  <c r="O49" i="15"/>
  <c r="P49" i="15" s="1"/>
  <c r="M106" i="15"/>
  <c r="O106" i="15"/>
  <c r="P106" i="15" s="1"/>
  <c r="M47" i="15"/>
  <c r="O47" i="15"/>
  <c r="P47" i="15" s="1"/>
  <c r="N136" i="15"/>
  <c r="O136" i="15"/>
  <c r="P136" i="15" s="1"/>
  <c r="N124" i="15"/>
  <c r="O124" i="15"/>
  <c r="P124" i="15" s="1"/>
  <c r="M109" i="15"/>
  <c r="O109" i="15"/>
  <c r="P109" i="15" s="1"/>
  <c r="N52" i="15"/>
  <c r="O52" i="15"/>
  <c r="P52" i="15" s="1"/>
  <c r="N36" i="15"/>
  <c r="O36" i="15"/>
  <c r="P36" i="15" s="1"/>
  <c r="M59" i="15"/>
  <c r="O59" i="15"/>
  <c r="P59" i="15" s="1"/>
  <c r="N139" i="15"/>
  <c r="O139" i="15"/>
  <c r="P139" i="15" s="1"/>
  <c r="N113" i="15"/>
  <c r="O113" i="15"/>
  <c r="P113" i="15" s="1"/>
  <c r="M129" i="15"/>
  <c r="O129" i="15"/>
  <c r="P129" i="15" s="1"/>
  <c r="N98" i="15"/>
  <c r="O98" i="15"/>
  <c r="P98" i="15" s="1"/>
  <c r="M146" i="15"/>
  <c r="O146" i="15"/>
  <c r="P146" i="15" s="1"/>
  <c r="M138" i="15"/>
  <c r="O138" i="15"/>
  <c r="P138" i="15" s="1"/>
  <c r="M126" i="15"/>
  <c r="O126" i="15"/>
  <c r="P126" i="15" s="1"/>
  <c r="N95" i="15"/>
  <c r="O95" i="15"/>
  <c r="P95" i="15" s="1"/>
  <c r="M67" i="15"/>
  <c r="O67" i="15"/>
  <c r="P67" i="15" s="1"/>
  <c r="N119" i="15"/>
  <c r="O119" i="15"/>
  <c r="P119" i="15" s="1"/>
  <c r="N116" i="15"/>
  <c r="O116" i="15"/>
  <c r="P116" i="15" s="1"/>
  <c r="M101" i="15"/>
  <c r="O101" i="15"/>
  <c r="P101" i="15" s="1"/>
  <c r="N60" i="15"/>
  <c r="O60" i="15"/>
  <c r="P60" i="15" s="1"/>
  <c r="N81" i="15"/>
  <c r="O81" i="15"/>
  <c r="P81" i="15" s="1"/>
  <c r="M133" i="15"/>
  <c r="O133" i="15"/>
  <c r="P133" i="15" s="1"/>
  <c r="N63" i="15"/>
  <c r="O63" i="15"/>
  <c r="P63" i="15" s="1"/>
  <c r="N87" i="15"/>
  <c r="O87" i="15"/>
  <c r="P87" i="15" s="1"/>
  <c r="N42" i="15"/>
  <c r="O42" i="15"/>
  <c r="P42" i="15" s="1"/>
  <c r="N141" i="15"/>
  <c r="O141" i="15"/>
  <c r="P141" i="15" s="1"/>
  <c r="M115" i="15"/>
  <c r="O115" i="15"/>
  <c r="P115" i="15" s="1"/>
  <c r="M131" i="15"/>
  <c r="O131" i="15"/>
  <c r="P131" i="15" s="1"/>
  <c r="M100" i="15"/>
  <c r="O100" i="15"/>
  <c r="P100" i="15" s="1"/>
  <c r="N79" i="15"/>
  <c r="O79" i="15"/>
  <c r="P79" i="15" s="1"/>
  <c r="M77" i="15"/>
  <c r="O77" i="15"/>
  <c r="P77" i="15" s="1"/>
  <c r="N39" i="15"/>
  <c r="O39" i="15"/>
  <c r="P39" i="15" s="1"/>
  <c r="N148" i="15"/>
  <c r="O148" i="15"/>
  <c r="P148" i="15" s="1"/>
  <c r="M112" i="15"/>
  <c r="O112" i="15"/>
  <c r="P112" i="15" s="1"/>
  <c r="M128" i="15"/>
  <c r="O128" i="15"/>
  <c r="P128" i="15" s="1"/>
  <c r="M64" i="15"/>
  <c r="O64" i="15"/>
  <c r="P64" i="15" s="1"/>
  <c r="M51" i="15"/>
  <c r="O51" i="15"/>
  <c r="P51" i="15" s="1"/>
  <c r="M143" i="15"/>
  <c r="O143" i="15"/>
  <c r="P143" i="15" s="1"/>
  <c r="M117" i="15"/>
  <c r="O117" i="15"/>
  <c r="P117" i="15" s="1"/>
  <c r="M86" i="15"/>
  <c r="O86" i="15"/>
  <c r="P86" i="15" s="1"/>
  <c r="N110" i="15"/>
  <c r="O110" i="15"/>
  <c r="P110" i="15" s="1"/>
  <c r="N140" i="15"/>
  <c r="O140" i="15"/>
  <c r="P140" i="15" s="1"/>
  <c r="M114" i="15"/>
  <c r="O114" i="15"/>
  <c r="P114" i="15" s="1"/>
  <c r="M130" i="15"/>
  <c r="O130" i="15"/>
  <c r="P130" i="15" s="1"/>
  <c r="N99" i="15"/>
  <c r="O99" i="15"/>
  <c r="P99" i="15" s="1"/>
  <c r="M111" i="15"/>
  <c r="N133" i="15"/>
  <c r="M42" i="15"/>
  <c r="N115" i="15"/>
  <c r="M60" i="15"/>
  <c r="M44" i="15"/>
  <c r="N130" i="15"/>
  <c r="N64" i="15"/>
  <c r="M116" i="15"/>
  <c r="M140" i="15"/>
  <c r="N104" i="15"/>
  <c r="N86" i="15"/>
  <c r="M83" i="15"/>
  <c r="N112" i="15"/>
  <c r="M141" i="15"/>
  <c r="N146" i="15"/>
  <c r="N126" i="15"/>
  <c r="M113" i="15"/>
  <c r="M79" i="15"/>
  <c r="M36" i="15"/>
  <c r="N109" i="15"/>
  <c r="N138" i="15"/>
  <c r="M55" i="15"/>
  <c r="N117" i="15"/>
  <c r="N40" i="15"/>
  <c r="N69" i="15"/>
  <c r="M90" i="15"/>
  <c r="M34" i="15"/>
  <c r="N34" i="15"/>
  <c r="M121" i="15"/>
  <c r="N35" i="15"/>
  <c r="N129" i="15"/>
  <c r="M136" i="15"/>
  <c r="N144" i="15"/>
  <c r="N77" i="15"/>
  <c r="M139" i="15"/>
  <c r="M75" i="15"/>
  <c r="M81" i="15"/>
  <c r="N128" i="15"/>
  <c r="N145" i="15"/>
  <c r="N134" i="15"/>
  <c r="M124" i="15"/>
  <c r="N100" i="15"/>
  <c r="M149" i="15"/>
  <c r="M94" i="15"/>
  <c r="M38" i="15"/>
  <c r="M103" i="15"/>
  <c r="N114" i="15"/>
  <c r="N67" i="15"/>
  <c r="N96" i="15"/>
  <c r="M119" i="15"/>
  <c r="M95" i="15"/>
  <c r="N59" i="15"/>
  <c r="N106" i="15"/>
  <c r="N53" i="15"/>
  <c r="N105" i="15"/>
  <c r="N47" i="15"/>
  <c r="N131" i="15"/>
  <c r="N91" i="15"/>
  <c r="M71" i="15"/>
  <c r="M91" i="15"/>
  <c r="M110" i="15"/>
  <c r="N132" i="15"/>
  <c r="M122" i="15"/>
  <c r="M127" i="15"/>
  <c r="N51" i="15"/>
  <c r="N143" i="15"/>
  <c r="N123" i="15"/>
  <c r="M39" i="15"/>
  <c r="M147" i="15"/>
  <c r="M148" i="15"/>
  <c r="N120" i="15"/>
  <c r="M120" i="15"/>
  <c r="M74" i="15"/>
  <c r="N74" i="15"/>
  <c r="M65" i="15"/>
  <c r="N65" i="15"/>
  <c r="N93" i="15"/>
  <c r="M61" i="15"/>
  <c r="N61" i="15"/>
  <c r="M46" i="15"/>
  <c r="N46" i="15"/>
  <c r="M93" i="15"/>
  <c r="N101" i="15"/>
  <c r="M49" i="15"/>
  <c r="M135" i="15"/>
  <c r="N137" i="15"/>
  <c r="N76" i="15"/>
  <c r="M76" i="15"/>
  <c r="M78" i="15"/>
  <c r="N78" i="15"/>
  <c r="N45" i="15"/>
  <c r="M45" i="15"/>
  <c r="N58" i="15"/>
  <c r="M58" i="15"/>
  <c r="M99" i="15"/>
  <c r="M52" i="15"/>
  <c r="M43" i="15"/>
  <c r="M56" i="15"/>
  <c r="M98" i="15"/>
  <c r="M88" i="15"/>
  <c r="N147" i="15"/>
  <c r="N127" i="15"/>
  <c r="N107" i="15"/>
  <c r="M87" i="15"/>
  <c r="M63" i="15"/>
  <c r="N135" i="15"/>
  <c r="M80" i="15"/>
  <c r="N80" i="15"/>
  <c r="M102" i="15"/>
  <c r="N102" i="15"/>
  <c r="N68" i="15"/>
  <c r="M68" i="15"/>
  <c r="M72" i="15"/>
  <c r="N72" i="15"/>
  <c r="N118" i="15"/>
  <c r="N41" i="15"/>
  <c r="M41" i="15"/>
  <c r="M50" i="15"/>
  <c r="N50" i="15"/>
  <c r="M97" i="15"/>
  <c r="N97" i="15"/>
  <c r="N73" i="15"/>
  <c r="M73" i="15"/>
  <c r="N54" i="15"/>
  <c r="M54" i="15"/>
  <c r="N70" i="15"/>
  <c r="M70" i="15"/>
  <c r="N84" i="15"/>
  <c r="M84" i="15"/>
  <c r="M85" i="15"/>
  <c r="N85" i="15"/>
  <c r="M142" i="15"/>
  <c r="N142" i="15"/>
  <c r="N82" i="15"/>
  <c r="M82" i="15"/>
  <c r="M108" i="15"/>
  <c r="N108" i="15"/>
  <c r="M92" i="15"/>
  <c r="N92" i="15"/>
  <c r="M66" i="15"/>
  <c r="N66" i="15"/>
  <c r="M37" i="15"/>
  <c r="N37" i="15"/>
  <c r="N89" i="15"/>
  <c r="M89" i="15"/>
  <c r="N57" i="15"/>
  <c r="M57" i="15"/>
  <c r="N62" i="15"/>
  <c r="M62" i="15"/>
  <c r="N48" i="15"/>
  <c r="M48" i="15"/>
  <c r="M125" i="15"/>
  <c r="J35" i="15" l="1"/>
  <c r="O35" i="15" s="1"/>
  <c r="P35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tc={4AC9103E-3C36-4BDE-9948-8A80AAB39DBF}</author>
  </authors>
  <commentList>
    <comment ref="N26" authorId="0" shapeId="0" xr:uid="{4AC9103E-3C36-4BDE-9948-8A80AAB39DBF}">
      <text>
        <t>[Threaded comment]
Your version of Excel allows you to read this threaded comment; however, any edits to it will get removed if the file is opened in a newer version of Excel. Learn more: https://go.microsoft.com/fwlink/?linkid=870924
Comment:
    Taking from MMX data (Feb22-Jan22)</t>
      </text>
    </comment>
  </commentList>
</comments>
</file>

<file path=xl/sharedStrings.xml><?xml version="1.0" encoding="utf-8"?>
<sst xmlns="http://schemas.openxmlformats.org/spreadsheetml/2006/main" count="459" uniqueCount="161">
  <si>
    <t>N</t>
  </si>
  <si>
    <t>Freq</t>
  </si>
  <si>
    <t>Specialty</t>
  </si>
  <si>
    <t>Mean Details Per Year</t>
  </si>
  <si>
    <t>Total DOT per Year (model data)</t>
  </si>
  <si>
    <t xml:space="preserve">Total Incr. NRx per Year from Model </t>
  </si>
  <si>
    <t>Projected Incr. NRx from ALLOCATED  DOT</t>
  </si>
  <si>
    <t>This transformation to Incr. TRx is done in order to bring all the response curves to same Incr. TRx scales.</t>
  </si>
  <si>
    <t>Estimated 3yr Incr. TRx</t>
  </si>
  <si>
    <t>Mean DOT of Samples per Year</t>
  </si>
  <si>
    <t>Final sample and detail curves correspond to the polynomial model with linear and quadractic terms.</t>
  </si>
  <si>
    <t>ALL</t>
  </si>
  <si>
    <t>3-Yr Adherence Rxs per New Patient (from finance NPV sheet)</t>
  </si>
  <si>
    <t>Intercept</t>
  </si>
  <si>
    <t>Total Details in Analysis period</t>
  </si>
  <si>
    <t>Total DOT of Samples in Analysis period</t>
  </si>
  <si>
    <t>Total DOT vs. Model DOT</t>
  </si>
  <si>
    <t>NPA:NRX</t>
  </si>
  <si>
    <t>DOT per MD (FY)</t>
  </si>
  <si>
    <t>Incr. NRx per MD  per Year</t>
  </si>
  <si>
    <t>Projected and Scaled NRx TO NPA NRx Scale</t>
  </si>
  <si>
    <t>TRx in a New Patient</t>
  </si>
  <si>
    <t>m01 - 12 MONTHS ONLY</t>
  </si>
  <si>
    <t>NRx per $</t>
  </si>
  <si>
    <t>TRx per $</t>
  </si>
  <si>
    <t>Model</t>
  </si>
  <si>
    <t>Dependent</t>
  </si>
  <si>
    <t>Variable</t>
  </si>
  <si>
    <t>DF</t>
  </si>
  <si>
    <t>Substituting DOTperMD from eqn [2] into eqn [1] we get the equivalent sample response equation as depicted below in terms of spend.</t>
  </si>
  <si>
    <t>Equivalent Sample Reponse Equation for Incr_NRx</t>
  </si>
  <si>
    <t>Equivalent Sample Reponse Equation for Incr_TRx</t>
  </si>
  <si>
    <t>Scaled Incr NRx = as*Spend + bs*Spend^2</t>
  </si>
  <si>
    <t>Scaled Incr TRx = Rxs per New Patient * (as*Spend + bs*Spend^2) 
[OR] 
Incr. TRx = ast*Spend + bst*Spend^2</t>
  </si>
  <si>
    <r>
      <rPr>
        <b/>
        <sz val="10"/>
        <color theme="1"/>
        <rFont val="Calibri"/>
        <family val="2"/>
        <scheme val="minor"/>
      </rPr>
      <t>bst =</t>
    </r>
    <r>
      <rPr>
        <sz val="10"/>
        <color theme="1"/>
        <rFont val="Calibri"/>
        <family val="2"/>
        <scheme val="minor"/>
      </rPr>
      <t xml:space="preserve"> bs * Rxs per New Patient</t>
    </r>
  </si>
  <si>
    <t>t Value</t>
  </si>
  <si>
    <t>Pr &gt; |t|</t>
  </si>
  <si>
    <r>
      <rPr>
        <b/>
        <sz val="10"/>
        <color theme="1"/>
        <rFont val="Calibri"/>
        <family val="2"/>
        <scheme val="minor"/>
      </rPr>
      <t>ast =</t>
    </r>
    <r>
      <rPr>
        <sz val="10"/>
        <color theme="1"/>
        <rFont val="Calibri"/>
        <family val="2"/>
        <scheme val="minor"/>
      </rPr>
      <t xml:space="preserve"> as * Rxs per New Patient</t>
    </r>
  </si>
  <si>
    <t>Total DOT in 2022</t>
  </si>
  <si>
    <t>NRx_pre1</t>
  </si>
  <si>
    <t>VNRx_cur</t>
  </si>
  <si>
    <t>tot_det_cur</t>
  </si>
  <si>
    <t>Samples_cur</t>
  </si>
  <si>
    <t>Samples_cur_sq</t>
  </si>
  <si>
    <t>Grail population  with atleast 1 detail or sample in ending Mar22 for 1 year period is used for modeling (outliers removed).</t>
  </si>
  <si>
    <t>modeled--&gt;</t>
  </si>
  <si>
    <t>universe--&gt;</t>
  </si>
  <si>
    <t>sum (modeled)</t>
  </si>
  <si>
    <t>&lt;--- universe</t>
  </si>
  <si>
    <t>Total Sample Spend in 2022</t>
  </si>
  <si>
    <t>YTD sample dot from grail univ</t>
  </si>
  <si>
    <t>Total ALLOCATED DOT in 2022</t>
  </si>
  <si>
    <t>Equivalent 2022 Sample Spend for ALLOCATED DOT (uses 2022 $/DOT value)</t>
  </si>
  <si>
    <t>Parameter Estimate</t>
  </si>
  <si>
    <t>Standard Error</t>
  </si>
  <si>
    <t>Variance Inflation</t>
  </si>
  <si>
    <t>90% Confidence Limits</t>
  </si>
  <si>
    <t>% contribution</t>
  </si>
  <si>
    <t>samples</t>
  </si>
  <si>
    <t>details</t>
  </si>
  <si>
    <t>Modeled</t>
  </si>
  <si>
    <t>Universe</t>
  </si>
  <si>
    <t>VERQUVO Sample response curve in terms of Incr. TRx</t>
  </si>
  <si>
    <t>MNRx_pre</t>
  </si>
  <si>
    <t>TOT_MMF</t>
  </si>
  <si>
    <t xml:space="preserve">3-Yr Adherence Rxs per New Patient Max (from finance NPV sheet) </t>
  </si>
  <si>
    <t>Nrx_cur1 Mean</t>
  </si>
  <si>
    <t>NRx_cur1 Sum</t>
  </si>
  <si>
    <t>Model: M33</t>
  </si>
  <si>
    <t>Model: M31</t>
  </si>
  <si>
    <t>Model: M32</t>
  </si>
  <si>
    <t>Model: M34</t>
  </si>
  <si>
    <t>Model: M35</t>
  </si>
  <si>
    <t>Model: M36</t>
  </si>
  <si>
    <t>The REG Procedure</t>
  </si>
  <si>
    <t>Dependent Variable: NRx_cur1</t>
  </si>
  <si>
    <t xml:space="preserve"> NRX_CUR1 </t>
  </si>
  <si>
    <t>Linear Model</t>
  </si>
  <si>
    <t>Linear with PCPIND Model</t>
  </si>
  <si>
    <t>Parameter</t>
  </si>
  <si>
    <t>Standard</t>
  </si>
  <si>
    <t>Variance</t>
  </si>
  <si>
    <t>Square Model</t>
  </si>
  <si>
    <t>Square with PCPIND Model</t>
  </si>
  <si>
    <t>Log Model</t>
  </si>
  <si>
    <t>Root Model</t>
  </si>
  <si>
    <t>PCPIND</t>
  </si>
  <si>
    <t>Dependent Variable: NRX_cur1</t>
  </si>
  <si>
    <t>Act</t>
  </si>
  <si>
    <t>Samples_cur_LN</t>
  </si>
  <si>
    <t>Samples_cur_ROOT</t>
  </si>
  <si>
    <t>Model: M37</t>
  </si>
  <si>
    <t>Samples_cur_cub</t>
  </si>
  <si>
    <t>Cube Model</t>
  </si>
  <si>
    <t>Impact</t>
  </si>
  <si>
    <t>Model Data (Jan22-Dec22)</t>
  </si>
  <si>
    <t>Total model NRx in Analysis period (Jan22-Dec22)</t>
  </si>
  <si>
    <t>Total NPA in Analysis period (Jan22-Dec22)</t>
  </si>
  <si>
    <t>Total Grail NRx in Analysis period (Jan22-Dec22)</t>
  </si>
  <si>
    <t>DOT (2022)</t>
  </si>
  <si>
    <t>Total DOT in 2023</t>
  </si>
  <si>
    <t>Total Sample Spend in 2023</t>
  </si>
  <si>
    <t>2023 $ per DOT</t>
  </si>
  <si>
    <t>DOT 2023 Forecast</t>
  </si>
  <si>
    <t>NRX_CUR1= NRx-vouchers for current period</t>
  </si>
  <si>
    <t>Incr. NRx per MD  (Jan22-Dec22)</t>
  </si>
  <si>
    <t>MMx Results 2023</t>
  </si>
  <si>
    <t>2022 $ per DOT</t>
  </si>
  <si>
    <t>&lt;.0001</t>
  </si>
  <si>
    <t>NPP_eng_cur</t>
  </si>
  <si>
    <t>impact</t>
  </si>
  <si>
    <t>Activity</t>
  </si>
  <si>
    <t>ntercept</t>
  </si>
  <si>
    <t>Model: M38</t>
  </si>
  <si>
    <t>Model: M39</t>
  </si>
  <si>
    <t>Square with NPP_cur</t>
  </si>
  <si>
    <t>Linear  with NPP_cur</t>
  </si>
  <si>
    <t>Model: M40</t>
  </si>
  <si>
    <t>DOT per MD (Jan22-Dec22)</t>
  </si>
  <si>
    <t>Projected Incr NRx. As % of NPA NRX (2023)</t>
  </si>
  <si>
    <t>2022 MMx results</t>
  </si>
  <si>
    <t>Estimate</t>
  </si>
  <si>
    <t>Error</t>
  </si>
  <si>
    <t>Linear(Samples_cur_sq)</t>
  </si>
  <si>
    <t>Linear(Samples_cur)</t>
  </si>
  <si>
    <t>GAM Square with PPIND</t>
  </si>
  <si>
    <t>Sample Packs</t>
  </si>
  <si>
    <t># Tablets per Pack</t>
  </si>
  <si>
    <t>Product</t>
  </si>
  <si>
    <t>BELSOMRA 10MG C IV ONE BLISTER</t>
  </si>
  <si>
    <t>Data from Casey Roache</t>
  </si>
  <si>
    <t>BELSOMRA 15MG C IV ONE BLISTER</t>
  </si>
  <si>
    <t>BELSOMRA 20MG C IV ONE BLISTER</t>
  </si>
  <si>
    <t>JANUMET 50/1000MG 28 tab in bottles</t>
  </si>
  <si>
    <t>Missing Data</t>
  </si>
  <si>
    <t>JANUMET 50/500MG 28 tab in bottles</t>
  </si>
  <si>
    <t>JANUMET XR 100/1000 MG/MG TAB</t>
  </si>
  <si>
    <t>Data pulled from iads_rpt.v_smpl_trans</t>
  </si>
  <si>
    <t>JANUMET XR 50/1000 MG/MG TAB</t>
  </si>
  <si>
    <t>JANUVIA 100MG 2 BLISTERS OF 7 TABS</t>
  </si>
  <si>
    <t>STEGLATRO 5MG (14 CT)</t>
  </si>
  <si>
    <t>STEGLATRO TABLET 15 MG (2 X 7)</t>
  </si>
  <si>
    <t>Incomplete month, current data+25%</t>
  </si>
  <si>
    <t>VERQUVO 2.5MG 14 tab in bottle</t>
  </si>
  <si>
    <t>VERQUVO 5.0MG 14 tab in bottle</t>
  </si>
  <si>
    <t>Sample DOT</t>
  </si>
  <si>
    <t>For IPF</t>
  </si>
  <si>
    <t>2023 Sample DOT</t>
  </si>
  <si>
    <t>BELSOMRA</t>
  </si>
  <si>
    <t>JANUMET</t>
  </si>
  <si>
    <t>JANUVIA</t>
  </si>
  <si>
    <t>STEGLATRO</t>
  </si>
  <si>
    <t>VERQUVO</t>
  </si>
  <si>
    <t>Note</t>
  </si>
  <si>
    <t xml:space="preserve">There is huge aggregation bias as it is modeled on yearly level and drug is a launch brand. It is likely not fully causality and rather correlation. 1. Month level model. (can resolve this to some extent).                                                                                                                                                               2. Create a sub population of high writers with low samples at group practice level (controls) and then high writers with high samples (test). Then combine these two groups and perform modelling. </t>
  </si>
  <si>
    <t xml:space="preserve">Suggestion to consider in next analysis </t>
  </si>
  <si>
    <t>as = (NPA NRx Scaling Ratio * lin.est) / (2023 $perDOT)</t>
  </si>
  <si>
    <t>Here, NPA NRx Scaling ratio = 1.22 and Missing Samples Projection Ratio = 1.06</t>
  </si>
  <si>
    <t xml:space="preserve"> [1] Scaled Incr. NRx = 1.22 * 1.06 * N * (lin.est * DOTperMD  + quad.est * (DOTperMD ^ 2))</t>
  </si>
  <si>
    <t xml:space="preserve"> [2] Spend = $perDOT * 1.06 * N * DOTperMD</t>
  </si>
  <si>
    <t>bs = (NPA NRx Scaling Ratio * quad.est) / (2023 $perDOT^2 * N * Missing Sample Projection ratio)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</si>
</sst>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0.0"/>
    <numFmt numFmtId="166" formatCode="_(* #,##0_);_(* \(#,##0\);_(* &quot;-&quot;??_);_(@_)"/>
    <numFmt numFmtId="167" formatCode="0.0000E+00"/>
    <numFmt numFmtId="168" formatCode="0.000"/>
    <numFmt numFmtId="169" formatCode="_(* #,##0.0_);_(* \(#,##0.0\);_(* &quot;-&quot;??_);_(@_)"/>
    <numFmt numFmtId="170" formatCode="_(* #,##0.000_);_(* \(#,##0.000\);_(* &quot;-&quot;??_);_(@_)"/>
    <numFmt numFmtId="171" formatCode="_(&quot;$&quot;* #,##0_);_(&quot;$&quot;* \(#,##0\);_(&quot;$&quot;* &quot;-&quot;??_);_(@_)"/>
    <numFmt numFmtId="172" formatCode="_(* #,##0.000000_);_(* \(#,##0.000000\);_(* &quot;-&quot;??_);_(@_)"/>
    <numFmt numFmtId="173" formatCode="#,##0.0000_);\(#,##0.0000\)"/>
    <numFmt numFmtId="174" formatCode="0.0%"/>
    <numFmt numFmtId="175" formatCode="0.00_);\(0.00\)"/>
    <numFmt numFmtId="176" formatCode="###0.0000;\-###0.0000;"/>
    <numFmt numFmtId="177" formatCode="0.000000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MS Sans Serif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rgb="FF0000FF"/>
      <name val="Arial Narrow"/>
      <family val="2"/>
    </font>
    <font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0"/>
      <color theme="1"/>
      <name val="Arial Narrow"/>
      <family val="2"/>
    </font>
    <font>
      <b/>
      <sz val="10"/>
      <color rgb="FFFF0000"/>
      <name val="Arial Narrow"/>
      <family val="2"/>
    </font>
    <font>
      <b/>
      <sz val="10"/>
      <color rgb="FFC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Arial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Arial Narrow"/>
      <family val="2"/>
    </font>
    <font>
      <b/>
      <sz val="10"/>
      <color rgb="FF112277"/>
      <name val="Arial"/>
      <family val="2"/>
    </font>
    <font>
      <sz val="10"/>
      <color rgb="FF000000"/>
      <name val="Arial"/>
      <family val="2"/>
    </font>
    <font>
      <b/>
      <sz val="8"/>
      <color rgb="FF000000"/>
      <name val="Arial"/>
      <family val="2"/>
    </font>
    <font>
      <b/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rgb="FFFF0000"/>
      <name val="Arial"/>
      <family val="2"/>
    </font>
    <font>
      <i/>
      <sz val="8"/>
      <color rgb="FFFF0000"/>
      <name val="Arial"/>
      <family val="2"/>
    </font>
    <font>
      <sz val="1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DF2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</fills>
  <borders count="6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medium">
        <color rgb="FFC1C1C1"/>
      </left>
      <right/>
      <top style="medium">
        <color rgb="FFC1C1C1"/>
      </top>
      <bottom/>
      <diagonal/>
    </border>
    <border>
      <left/>
      <right/>
      <top style="medium">
        <color rgb="FFC1C1C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/>
      <right style="medium">
        <color rgb="FFB0B7BB"/>
      </right>
      <top/>
      <bottom style="medium">
        <color rgb="FFB0B7BB"/>
      </bottom>
      <diagonal/>
    </border>
    <border>
      <left/>
      <right style="medium">
        <color rgb="FFC1C1C1"/>
      </right>
      <top/>
      <bottom style="medium">
        <color rgb="FFC1C1C1"/>
      </bottom>
      <diagonal/>
    </border>
    <border>
      <left style="medium">
        <color rgb="FFC1C1C1"/>
      </left>
      <right style="medium">
        <color rgb="FFB0B7BB"/>
      </right>
      <top style="medium">
        <color rgb="FFC1C1C1"/>
      </top>
      <bottom/>
      <diagonal/>
    </border>
    <border>
      <left/>
      <right style="medium">
        <color rgb="FFB0B7BB"/>
      </right>
      <top style="medium">
        <color rgb="FFC1C1C1"/>
      </top>
      <bottom/>
      <diagonal/>
    </border>
    <border>
      <left style="medium">
        <color rgb="FFC1C1C1"/>
      </left>
      <right style="medium">
        <color rgb="FFB0B7BB"/>
      </right>
      <top/>
      <bottom style="medium">
        <color rgb="FFB0B7BB"/>
      </bottom>
      <diagonal/>
    </border>
    <border>
      <left/>
      <right/>
      <top/>
      <bottom style="medium">
        <color rgb="FFC1C1C1"/>
      </bottom>
      <diagonal/>
    </border>
    <border>
      <left style="medium">
        <color rgb="FFC1C1C1"/>
      </left>
      <right style="medium">
        <color rgb="FFB0B7BB"/>
      </right>
      <top/>
      <bottom/>
      <diagonal/>
    </border>
    <border>
      <left/>
      <right style="medium">
        <color rgb="FFC1C1C1"/>
      </right>
      <top/>
      <bottom/>
      <diagonal/>
    </border>
    <border>
      <left style="medium">
        <color rgb="FFB0B7BB"/>
      </left>
      <right style="medium">
        <color rgb="FFB0B7BB"/>
      </right>
      <top style="medium">
        <color rgb="FFC1C1C1"/>
      </top>
      <bottom/>
      <diagonal/>
    </border>
    <border>
      <left style="medium">
        <color rgb="FFB0B7BB"/>
      </left>
      <right style="medium">
        <color rgb="FFB0B7BB"/>
      </right>
      <top/>
      <bottom style="medium">
        <color rgb="FFB0B7BB"/>
      </bottom>
      <diagonal/>
    </border>
    <border>
      <left style="medium">
        <color rgb="FFB0B7BB"/>
      </left>
      <right/>
      <top style="medium">
        <color rgb="FFC1C1C1"/>
      </top>
      <bottom/>
      <diagonal/>
    </border>
    <border>
      <left style="medium">
        <color rgb="FFB0B7BB"/>
      </left>
      <right/>
      <top/>
      <bottom style="medium">
        <color rgb="FFB0B7BB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2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1" fillId="0" borderId="0"/>
  </cellStyleXfs>
  <cellXfs count="266">
    <xf numFmtId="0" fontId="0" fillId="0" borderId="0" xfId="0"/>
    <xf numFmtId="0" fontId="23" fillId="33" borderId="13" xfId="45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166" fontId="24" fillId="0" borderId="13" xfId="46" applyNumberFormat="1" applyFont="1" applyBorder="1" applyAlignment="1">
      <alignment horizontal="center" vertical="center" wrapText="1"/>
    </xf>
    <xf numFmtId="43" fontId="24" fillId="33" borderId="13" xfId="45" applyNumberFormat="1" applyFont="1" applyFill="1" applyBorder="1" applyAlignment="1">
      <alignment horizontal="center" vertical="center" wrapText="1"/>
    </xf>
    <xf numFmtId="0" fontId="24" fillId="0" borderId="0" xfId="45" applyFont="1" applyAlignment="1">
      <alignment horizontal="center" vertical="center" wrapText="1"/>
    </xf>
    <xf numFmtId="0" fontId="23" fillId="0" borderId="0" xfId="45" applyFont="1" applyAlignment="1">
      <alignment horizontal="center" vertical="center" wrapText="1"/>
    </xf>
    <xf numFmtId="0" fontId="23" fillId="0" borderId="0" xfId="45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5" fillId="37" borderId="13" xfId="0" applyFont="1" applyFill="1" applyBorder="1" applyAlignment="1">
      <alignment horizontal="center" vertical="center" wrapText="1"/>
    </xf>
    <xf numFmtId="0" fontId="25" fillId="37" borderId="0" xfId="0" applyFont="1" applyFill="1" applyAlignment="1">
      <alignment horizontal="center" vertical="center" wrapText="1"/>
    </xf>
    <xf numFmtId="0" fontId="25" fillId="38" borderId="13" xfId="0" applyFont="1" applyFill="1" applyBorder="1" applyAlignment="1">
      <alignment horizontal="center" vertical="center" wrapText="1"/>
    </xf>
    <xf numFmtId="166" fontId="22" fillId="0" borderId="13" xfId="1" applyNumberFormat="1" applyFont="1" applyBorder="1" applyAlignment="1">
      <alignment horizontal="center" vertical="center" wrapText="1"/>
    </xf>
    <xf numFmtId="170" fontId="24" fillId="0" borderId="13" xfId="46" applyNumberFormat="1" applyFont="1" applyBorder="1" applyAlignment="1">
      <alignment horizontal="center" vertical="center" wrapText="1"/>
    </xf>
    <xf numFmtId="169" fontId="22" fillId="0" borderId="13" xfId="0" applyNumberFormat="1" applyFont="1" applyBorder="1" applyAlignment="1">
      <alignment horizontal="center" vertical="center" wrapText="1"/>
    </xf>
    <xf numFmtId="166" fontId="22" fillId="0" borderId="13" xfId="0" applyNumberFormat="1" applyFont="1" applyBorder="1" applyAlignment="1">
      <alignment horizontal="center" vertical="center" wrapText="1"/>
    </xf>
    <xf numFmtId="3" fontId="22" fillId="37" borderId="13" xfId="1" applyNumberFormat="1" applyFont="1" applyFill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2" fontId="22" fillId="0" borderId="0" xfId="0" applyNumberFormat="1" applyFont="1" applyAlignment="1">
      <alignment horizontal="center" vertical="center" wrapText="1"/>
    </xf>
    <xf numFmtId="43" fontId="25" fillId="0" borderId="0" xfId="0" applyNumberFormat="1" applyFont="1" applyFill="1" applyAlignment="1">
      <alignment horizontal="center" vertical="center" wrapText="1"/>
    </xf>
    <xf numFmtId="44" fontId="22" fillId="0" borderId="0" xfId="0" applyNumberFormat="1" applyFont="1" applyAlignment="1">
      <alignment horizontal="center" vertical="center" wrapText="1"/>
    </xf>
    <xf numFmtId="166" fontId="22" fillId="40" borderId="0" xfId="1" applyNumberFormat="1" applyFont="1" applyFill="1" applyBorder="1" applyAlignment="1">
      <alignment horizontal="center" vertical="center" wrapText="1"/>
    </xf>
    <xf numFmtId="170" fontId="24" fillId="40" borderId="0" xfId="46" applyNumberFormat="1" applyFont="1" applyFill="1" applyBorder="1" applyAlignment="1">
      <alignment horizontal="center" vertical="center" wrapText="1"/>
    </xf>
    <xf numFmtId="169" fontId="22" fillId="40" borderId="0" xfId="0" applyNumberFormat="1" applyFont="1" applyFill="1" applyBorder="1" applyAlignment="1">
      <alignment horizontal="center" vertical="center" wrapText="1"/>
    </xf>
    <xf numFmtId="166" fontId="24" fillId="40" borderId="0" xfId="46" applyNumberFormat="1" applyFont="1" applyFill="1" applyBorder="1" applyAlignment="1">
      <alignment horizontal="center" vertical="center" wrapText="1"/>
    </xf>
    <xf numFmtId="166" fontId="22" fillId="40" borderId="0" xfId="0" applyNumberFormat="1" applyFont="1" applyFill="1" applyBorder="1" applyAlignment="1">
      <alignment horizontal="center" vertical="center" wrapText="1"/>
    </xf>
    <xf numFmtId="3" fontId="22" fillId="40" borderId="0" xfId="0" applyNumberFormat="1" applyFont="1" applyFill="1" applyBorder="1" applyAlignment="1">
      <alignment horizontal="center" vertical="center" wrapText="1"/>
    </xf>
    <xf numFmtId="3" fontId="22" fillId="40" borderId="0" xfId="1" applyNumberFormat="1" applyFont="1" applyFill="1" applyBorder="1" applyAlignment="1">
      <alignment horizontal="center" vertical="center" wrapText="1"/>
    </xf>
    <xf numFmtId="171" fontId="22" fillId="40" borderId="0" xfId="2" applyNumberFormat="1" applyFont="1" applyFill="1" applyBorder="1" applyAlignment="1">
      <alignment horizontal="center" vertical="center" wrapText="1"/>
    </xf>
    <xf numFmtId="0" fontId="22" fillId="40" borderId="0" xfId="0" applyFont="1" applyFill="1" applyAlignment="1">
      <alignment horizontal="center" vertical="center" wrapText="1"/>
    </xf>
    <xf numFmtId="43" fontId="25" fillId="37" borderId="13" xfId="0" applyNumberFormat="1" applyFont="1" applyFill="1" applyBorder="1" applyAlignment="1">
      <alignment horizontal="center" vertical="center" wrapText="1"/>
    </xf>
    <xf numFmtId="44" fontId="25" fillId="37" borderId="13" xfId="0" applyNumberFormat="1" applyFont="1" applyFill="1" applyBorder="1" applyAlignment="1">
      <alignment horizontal="center" vertical="center" wrapText="1"/>
    </xf>
    <xf numFmtId="43" fontId="25" fillId="38" borderId="14" xfId="0" applyNumberFormat="1" applyFont="1" applyFill="1" applyBorder="1" applyAlignment="1">
      <alignment horizontal="center" vertical="center" wrapText="1"/>
    </xf>
    <xf numFmtId="3" fontId="22" fillId="40" borderId="14" xfId="1" applyNumberFormat="1" applyFont="1" applyFill="1" applyBorder="1" applyAlignment="1">
      <alignment horizontal="center" vertical="center" wrapText="1"/>
    </xf>
    <xf numFmtId="3" fontId="22" fillId="40" borderId="15" xfId="1" applyNumberFormat="1" applyFont="1" applyFill="1" applyBorder="1" applyAlignment="1">
      <alignment horizontal="center" vertical="center" wrapText="1"/>
    </xf>
    <xf numFmtId="171" fontId="22" fillId="40" borderId="16" xfId="2" applyNumberFormat="1" applyFont="1" applyFill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34" borderId="20" xfId="0" applyFont="1" applyFill="1" applyBorder="1" applyAlignment="1">
      <alignment horizontal="center" vertical="center" wrapText="1"/>
    </xf>
    <xf numFmtId="0" fontId="25" fillId="0" borderId="20" xfId="0" applyFont="1" applyFill="1" applyBorder="1" applyAlignment="1">
      <alignment horizontal="center" vertical="center" wrapText="1"/>
    </xf>
    <xf numFmtId="0" fontId="25" fillId="34" borderId="21" xfId="0" applyFont="1" applyFill="1" applyBorder="1" applyAlignment="1">
      <alignment horizontal="center" vertical="center" wrapText="1"/>
    </xf>
    <xf numFmtId="37" fontId="22" fillId="0" borderId="22" xfId="0" applyNumberFormat="1" applyFont="1" applyBorder="1" applyAlignment="1">
      <alignment horizontal="center" vertical="center" wrapText="1"/>
    </xf>
    <xf numFmtId="37" fontId="22" fillId="0" borderId="22" xfId="0" applyNumberFormat="1" applyFont="1" applyFill="1" applyBorder="1" applyAlignment="1">
      <alignment horizontal="center" vertical="center" wrapText="1"/>
    </xf>
    <xf numFmtId="37" fontId="22" fillId="34" borderId="22" xfId="0" applyNumberFormat="1" applyFont="1" applyFill="1" applyBorder="1" applyAlignment="1">
      <alignment horizontal="center" vertical="center" wrapText="1"/>
    </xf>
    <xf numFmtId="10" fontId="22" fillId="0" borderId="22" xfId="3" applyNumberFormat="1" applyFont="1" applyBorder="1" applyAlignment="1">
      <alignment horizontal="center" vertical="center" wrapText="1"/>
    </xf>
    <xf numFmtId="37" fontId="22" fillId="34" borderId="23" xfId="0" applyNumberFormat="1" applyFont="1" applyFill="1" applyBorder="1" applyAlignment="1">
      <alignment horizontal="center" vertical="center" wrapText="1"/>
    </xf>
    <xf numFmtId="171" fontId="22" fillId="34" borderId="22" xfId="0" applyNumberFormat="1" applyFont="1" applyFill="1" applyBorder="1" applyAlignment="1">
      <alignment horizontal="center" vertical="center" wrapText="1"/>
    </xf>
    <xf numFmtId="37" fontId="22" fillId="0" borderId="24" xfId="0" applyNumberFormat="1" applyFont="1" applyBorder="1" applyAlignment="1">
      <alignment horizontal="center" vertical="center" wrapText="1"/>
    </xf>
    <xf numFmtId="37" fontId="22" fillId="0" borderId="24" xfId="0" applyNumberFormat="1" applyFont="1" applyFill="1" applyBorder="1" applyAlignment="1">
      <alignment horizontal="center" vertical="center" wrapText="1"/>
    </xf>
    <xf numFmtId="37" fontId="22" fillId="34" borderId="24" xfId="0" applyNumberFormat="1" applyFont="1" applyFill="1" applyBorder="1" applyAlignment="1">
      <alignment horizontal="center" vertical="center" wrapText="1"/>
    </xf>
    <xf numFmtId="10" fontId="22" fillId="0" borderId="24" xfId="3" applyNumberFormat="1" applyFont="1" applyBorder="1" applyAlignment="1">
      <alignment horizontal="center" vertical="center" wrapText="1"/>
    </xf>
    <xf numFmtId="37" fontId="22" fillId="34" borderId="25" xfId="0" applyNumberFormat="1" applyFont="1" applyFill="1" applyBorder="1" applyAlignment="1">
      <alignment horizontal="center" vertical="center" wrapText="1"/>
    </xf>
    <xf numFmtId="0" fontId="22" fillId="0" borderId="27" xfId="0" applyFont="1" applyBorder="1" applyAlignment="1">
      <alignment horizontal="center" vertical="center" wrapText="1"/>
    </xf>
    <xf numFmtId="37" fontId="22" fillId="0" borderId="26" xfId="0" applyNumberFormat="1" applyFont="1" applyBorder="1" applyAlignment="1">
      <alignment horizontal="center" vertical="center" wrapText="1"/>
    </xf>
    <xf numFmtId="37" fontId="22" fillId="0" borderId="26" xfId="0" applyNumberFormat="1" applyFont="1" applyFill="1" applyBorder="1" applyAlignment="1">
      <alignment horizontal="center" vertical="center" wrapText="1"/>
    </xf>
    <xf numFmtId="37" fontId="22" fillId="34" borderId="26" xfId="0" applyNumberFormat="1" applyFont="1" applyFill="1" applyBorder="1" applyAlignment="1">
      <alignment horizontal="center" vertical="center" wrapText="1"/>
    </xf>
    <xf numFmtId="10" fontId="22" fillId="0" borderId="26" xfId="3" applyNumberFormat="1" applyFont="1" applyBorder="1" applyAlignment="1">
      <alignment horizontal="center" vertical="center" wrapText="1"/>
    </xf>
    <xf numFmtId="37" fontId="22" fillId="34" borderId="28" xfId="0" applyNumberFormat="1" applyFont="1" applyFill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2" fontId="25" fillId="36" borderId="11" xfId="0" applyNumberFormat="1" applyFont="1" applyFill="1" applyBorder="1" applyAlignment="1">
      <alignment horizontal="center" vertical="center" wrapText="1"/>
    </xf>
    <xf numFmtId="0" fontId="24" fillId="40" borderId="13" xfId="0" applyFont="1" applyFill="1" applyBorder="1" applyAlignment="1">
      <alignment horizontal="center" vertical="center" wrapText="1"/>
    </xf>
    <xf numFmtId="166" fontId="22" fillId="40" borderId="13" xfId="0" applyNumberFormat="1" applyFont="1" applyFill="1" applyBorder="1" applyAlignment="1">
      <alignment horizontal="center" vertical="center" wrapText="1"/>
    </xf>
    <xf numFmtId="171" fontId="24" fillId="38" borderId="13" xfId="2" applyNumberFormat="1" applyFont="1" applyFill="1" applyBorder="1" applyAlignment="1">
      <alignment horizontal="center" vertical="center" wrapText="1"/>
    </xf>
    <xf numFmtId="171" fontId="24" fillId="37" borderId="13" xfId="2" applyNumberFormat="1" applyFont="1" applyFill="1" applyBorder="1" applyAlignment="1">
      <alignment horizontal="center" vertical="center" wrapText="1"/>
    </xf>
    <xf numFmtId="2" fontId="24" fillId="39" borderId="0" xfId="0" applyNumberFormat="1" applyFont="1" applyFill="1" applyBorder="1" applyAlignment="1">
      <alignment horizontal="center" vertical="center" wrapText="1"/>
    </xf>
    <xf numFmtId="0" fontId="19" fillId="0" borderId="0" xfId="0" applyFont="1"/>
    <xf numFmtId="172" fontId="28" fillId="41" borderId="13" xfId="1" applyNumberFormat="1" applyFont="1" applyFill="1" applyBorder="1"/>
    <xf numFmtId="2" fontId="28" fillId="41" borderId="13" xfId="0" applyNumberFormat="1" applyFont="1" applyFill="1" applyBorder="1"/>
    <xf numFmtId="167" fontId="28" fillId="41" borderId="13" xfId="0" applyNumberFormat="1" applyFont="1" applyFill="1" applyBorder="1"/>
    <xf numFmtId="0" fontId="29" fillId="0" borderId="30" xfId="0" applyFont="1" applyBorder="1" applyAlignment="1">
      <alignment vertical="top" wrapText="1"/>
    </xf>
    <xf numFmtId="0" fontId="29" fillId="0" borderId="29" xfId="0" applyFont="1" applyBorder="1" applyAlignment="1">
      <alignment vertical="top" wrapText="1"/>
    </xf>
    <xf numFmtId="43" fontId="28" fillId="41" borderId="13" xfId="0" applyNumberFormat="1" applyFont="1" applyFill="1" applyBorder="1"/>
    <xf numFmtId="173" fontId="22" fillId="0" borderId="0" xfId="2" applyNumberFormat="1" applyFont="1" applyAlignment="1">
      <alignment horizontal="center" vertical="center" wrapText="1"/>
    </xf>
    <xf numFmtId="0" fontId="22" fillId="0" borderId="0" xfId="0" applyFont="1" applyFill="1" applyAlignment="1">
      <alignment horizontal="center" vertical="center" wrapText="1"/>
    </xf>
    <xf numFmtId="0" fontId="19" fillId="0" borderId="0" xfId="0" applyFont="1" applyFill="1"/>
    <xf numFmtId="0" fontId="22" fillId="0" borderId="0" xfId="0" applyFont="1" applyAlignment="1">
      <alignment horizontal="right" vertical="center" wrapText="1"/>
    </xf>
    <xf numFmtId="0" fontId="23" fillId="0" borderId="0" xfId="45" applyFont="1" applyAlignment="1">
      <alignment horizontal="left" vertical="center" wrapText="1"/>
    </xf>
    <xf numFmtId="0" fontId="25" fillId="42" borderId="13" xfId="0" applyFont="1" applyFill="1" applyBorder="1" applyAlignment="1">
      <alignment horizontal="center" vertical="center" wrapText="1"/>
    </xf>
    <xf numFmtId="174" fontId="23" fillId="42" borderId="13" xfId="3" applyNumberFormat="1" applyFont="1" applyFill="1" applyBorder="1" applyAlignment="1">
      <alignment horizontal="center" vertical="center" wrapText="1"/>
    </xf>
    <xf numFmtId="0" fontId="26" fillId="38" borderId="0" xfId="0" applyFont="1" applyFill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166" fontId="25" fillId="0" borderId="13" xfId="46" applyNumberFormat="1" applyFont="1" applyBorder="1" applyAlignment="1">
      <alignment horizontal="center" vertical="center" wrapText="1"/>
    </xf>
    <xf numFmtId="0" fontId="17" fillId="0" borderId="0" xfId="0" applyFont="1"/>
    <xf numFmtId="0" fontId="1" fillId="0" borderId="13" xfId="51" applyBorder="1" applyAlignment="1">
      <alignment horizontal="center"/>
    </xf>
    <xf numFmtId="0" fontId="1" fillId="0" borderId="0" xfId="51"/>
    <xf numFmtId="0" fontId="1" fillId="0" borderId="13" xfId="51" applyBorder="1"/>
    <xf numFmtId="0" fontId="20" fillId="0" borderId="13" xfId="0" applyFont="1" applyBorder="1"/>
    <xf numFmtId="0" fontId="0" fillId="0" borderId="13" xfId="0" applyBorder="1"/>
    <xf numFmtId="0" fontId="17" fillId="0" borderId="13" xfId="51" applyFont="1" applyBorder="1" applyAlignment="1">
      <alignment horizontal="center"/>
    </xf>
    <xf numFmtId="0" fontId="0" fillId="0" borderId="31" xfId="0" applyBorder="1"/>
    <xf numFmtId="0" fontId="0" fillId="0" borderId="32" xfId="0" applyBorder="1"/>
    <xf numFmtId="2" fontId="0" fillId="0" borderId="27" xfId="0" applyNumberFormat="1" applyBorder="1" applyAlignment="1">
      <alignment horizontal="center"/>
    </xf>
    <xf numFmtId="9" fontId="0" fillId="0" borderId="27" xfId="3" applyFon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0" fontId="0" fillId="0" borderId="17" xfId="0" applyBorder="1"/>
    <xf numFmtId="0" fontId="0" fillId="0" borderId="18" xfId="0" applyBorder="1"/>
    <xf numFmtId="2" fontId="0" fillId="0" borderId="0" xfId="0" applyNumberFormat="1" applyAlignment="1">
      <alignment horizontal="center"/>
    </xf>
    <xf numFmtId="9" fontId="0" fillId="0" borderId="0" xfId="3" applyFon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0" fontId="0" fillId="0" borderId="33" xfId="0" applyBorder="1"/>
    <xf numFmtId="0" fontId="0" fillId="0" borderId="34" xfId="0" applyBorder="1"/>
    <xf numFmtId="2" fontId="0" fillId="0" borderId="12" xfId="0" applyNumberFormat="1" applyBorder="1" applyAlignment="1">
      <alignment horizontal="center"/>
    </xf>
    <xf numFmtId="9" fontId="0" fillId="0" borderId="12" xfId="3" applyFon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0" fontId="0" fillId="0" borderId="27" xfId="0" applyBorder="1"/>
    <xf numFmtId="0" fontId="0" fillId="0" borderId="12" xfId="0" applyBorder="1"/>
    <xf numFmtId="0" fontId="0" fillId="35" borderId="31" xfId="0" applyFill="1" applyBorder="1"/>
    <xf numFmtId="0" fontId="0" fillId="35" borderId="32" xfId="0" applyFill="1" applyBorder="1"/>
    <xf numFmtId="0" fontId="0" fillId="35" borderId="27" xfId="0" applyFill="1" applyBorder="1"/>
    <xf numFmtId="175" fontId="0" fillId="0" borderId="0" xfId="0" applyNumberFormat="1" applyAlignment="1">
      <alignment horizontal="center"/>
    </xf>
    <xf numFmtId="175" fontId="0" fillId="0" borderId="18" xfId="0" applyNumberFormat="1" applyBorder="1" applyAlignment="1">
      <alignment horizontal="center"/>
    </xf>
    <xf numFmtId="175" fontId="0" fillId="0" borderId="12" xfId="0" applyNumberFormat="1" applyBorder="1" applyAlignment="1">
      <alignment horizontal="center"/>
    </xf>
    <xf numFmtId="175" fontId="0" fillId="0" borderId="34" xfId="0" applyNumberFormat="1" applyBorder="1" applyAlignment="1">
      <alignment horizontal="center"/>
    </xf>
    <xf numFmtId="0" fontId="0" fillId="0" borderId="14" xfId="0" applyBorder="1"/>
    <xf numFmtId="0" fontId="0" fillId="0" borderId="16" xfId="0" applyBorder="1"/>
    <xf numFmtId="0" fontId="0" fillId="0" borderId="15" xfId="0" applyBorder="1"/>
    <xf numFmtId="0" fontId="0" fillId="0" borderId="10" xfId="0" applyFill="1" applyBorder="1"/>
    <xf numFmtId="0" fontId="26" fillId="0" borderId="13" xfId="0" applyFont="1" applyBorder="1" applyAlignment="1">
      <alignment horizontal="center" vertical="center" wrapText="1"/>
    </xf>
    <xf numFmtId="164" fontId="24" fillId="40" borderId="0" xfId="45" applyNumberFormat="1" applyFont="1" applyFill="1" applyBorder="1" applyAlignment="1">
      <alignment horizontal="center" vertical="center"/>
    </xf>
    <xf numFmtId="3" fontId="30" fillId="34" borderId="18" xfId="46" applyNumberFormat="1" applyFont="1" applyFill="1" applyBorder="1" applyAlignment="1">
      <alignment horizontal="right" vertical="center" wrapText="1"/>
    </xf>
    <xf numFmtId="0" fontId="23" fillId="33" borderId="35" xfId="45" applyFont="1" applyFill="1" applyBorder="1" applyAlignment="1">
      <alignment horizontal="center" vertical="center" wrapText="1"/>
    </xf>
    <xf numFmtId="0" fontId="24" fillId="40" borderId="0" xfId="45" applyFont="1" applyFill="1" applyBorder="1" applyAlignment="1">
      <alignment horizontal="center" vertical="center"/>
    </xf>
    <xf numFmtId="3" fontId="30" fillId="40" borderId="0" xfId="46" applyNumberFormat="1" applyFont="1" applyFill="1" applyBorder="1" applyAlignment="1">
      <alignment horizontal="center" vertical="center" wrapText="1"/>
    </xf>
    <xf numFmtId="1" fontId="24" fillId="40" borderId="0" xfId="45" applyNumberFormat="1" applyFont="1" applyFill="1" applyBorder="1" applyAlignment="1">
      <alignment horizontal="center" vertical="center"/>
    </xf>
    <xf numFmtId="0" fontId="24" fillId="40" borderId="35" xfId="45" applyFont="1" applyFill="1" applyBorder="1" applyAlignment="1">
      <alignment horizontal="center" vertical="center"/>
    </xf>
    <xf numFmtId="0" fontId="24" fillId="40" borderId="10" xfId="45" applyFont="1" applyFill="1" applyBorder="1" applyAlignment="1">
      <alignment horizontal="center" vertical="center"/>
    </xf>
    <xf numFmtId="0" fontId="24" fillId="40" borderId="11" xfId="45" applyFont="1" applyFill="1" applyBorder="1" applyAlignment="1">
      <alignment horizontal="center" vertical="center"/>
    </xf>
    <xf numFmtId="165" fontId="24" fillId="0" borderId="35" xfId="45" applyNumberFormat="1" applyFont="1" applyBorder="1" applyAlignment="1">
      <alignment horizontal="center" vertical="center"/>
    </xf>
    <xf numFmtId="3" fontId="30" fillId="40" borderId="35" xfId="46" applyNumberFormat="1" applyFont="1" applyFill="1" applyBorder="1" applyAlignment="1">
      <alignment horizontal="center" vertical="center" wrapText="1"/>
    </xf>
    <xf numFmtId="3" fontId="30" fillId="40" borderId="10" xfId="46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3" fontId="30" fillId="40" borderId="11" xfId="46" applyNumberFormat="1" applyFont="1" applyFill="1" applyBorder="1" applyAlignment="1">
      <alignment horizontal="center" vertical="center" wrapText="1"/>
    </xf>
    <xf numFmtId="10" fontId="23" fillId="42" borderId="13" xfId="3" applyNumberFormat="1" applyFont="1" applyFill="1" applyBorder="1" applyAlignment="1">
      <alignment horizontal="center" vertical="center" wrapText="1"/>
    </xf>
    <xf numFmtId="43" fontId="22" fillId="0" borderId="0" xfId="0" applyNumberFormat="1" applyFont="1" applyAlignment="1">
      <alignment horizontal="center" vertical="center" wrapText="1"/>
    </xf>
    <xf numFmtId="3" fontId="22" fillId="43" borderId="13" xfId="0" applyNumberFormat="1" applyFont="1" applyFill="1" applyBorder="1" applyAlignment="1">
      <alignment horizontal="center" vertical="center" wrapText="1"/>
    </xf>
    <xf numFmtId="0" fontId="22" fillId="0" borderId="31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33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168" fontId="22" fillId="0" borderId="35" xfId="0" applyNumberFormat="1" applyFont="1" applyBorder="1" applyAlignment="1">
      <alignment horizontal="center" vertical="center" wrapText="1"/>
    </xf>
    <xf numFmtId="168" fontId="22" fillId="0" borderId="10" xfId="0" applyNumberFormat="1" applyFont="1" applyBorder="1" applyAlignment="1">
      <alignment horizontal="center" vertical="center" wrapText="1"/>
    </xf>
    <xf numFmtId="168" fontId="22" fillId="0" borderId="11" xfId="0" applyNumberFormat="1" applyFont="1" applyBorder="1" applyAlignment="1">
      <alignment horizontal="center" vertical="center" wrapText="1"/>
    </xf>
    <xf numFmtId="37" fontId="22" fillId="0" borderId="37" xfId="0" applyNumberFormat="1" applyFont="1" applyBorder="1" applyAlignment="1">
      <alignment horizontal="center" vertical="center" wrapText="1"/>
    </xf>
    <xf numFmtId="37" fontId="22" fillId="0" borderId="38" xfId="0" applyNumberFormat="1" applyFont="1" applyBorder="1" applyAlignment="1">
      <alignment horizontal="center" vertical="center" wrapText="1"/>
    </xf>
    <xf numFmtId="37" fontId="22" fillId="0" borderId="39" xfId="0" applyNumberFormat="1" applyFont="1" applyBorder="1" applyAlignment="1">
      <alignment horizontal="center" vertical="center" wrapText="1"/>
    </xf>
    <xf numFmtId="164" fontId="22" fillId="0" borderId="36" xfId="0" applyNumberFormat="1" applyFont="1" applyBorder="1" applyAlignment="1">
      <alignment horizontal="center" vertical="center" wrapText="1"/>
    </xf>
    <xf numFmtId="164" fontId="22" fillId="0" borderId="35" xfId="0" applyNumberFormat="1" applyFont="1" applyBorder="1" applyAlignment="1">
      <alignment horizontal="center" vertical="center" wrapText="1"/>
    </xf>
    <xf numFmtId="164" fontId="22" fillId="0" borderId="10" xfId="0" applyNumberFormat="1" applyFont="1" applyBorder="1" applyAlignment="1">
      <alignment horizontal="center" vertical="center" wrapText="1"/>
    </xf>
    <xf numFmtId="164" fontId="22" fillId="0" borderId="11" xfId="0" applyNumberFormat="1" applyFont="1" applyBorder="1" applyAlignment="1">
      <alignment horizontal="center" vertical="center" wrapText="1"/>
    </xf>
    <xf numFmtId="0" fontId="0" fillId="0" borderId="27" xfId="0" applyBorder="1"/>
    <xf numFmtId="0" fontId="0" fillId="0" borderId="32" xfId="0" applyBorder="1"/>
    <xf numFmtId="0" fontId="0" fillId="35" borderId="27" xfId="0" applyFill="1" applyBorder="1"/>
    <xf numFmtId="0" fontId="0" fillId="35" borderId="32" xfId="0" applyFill="1" applyBorder="1"/>
    <xf numFmtId="43" fontId="25" fillId="38" borderId="13" xfId="0" applyNumberFormat="1" applyFont="1" applyFill="1" applyBorder="1" applyAlignment="1">
      <alignment horizontal="center" vertical="center" wrapText="1"/>
    </xf>
    <xf numFmtId="11" fontId="0" fillId="0" borderId="0" xfId="0" applyNumberFormat="1"/>
    <xf numFmtId="177" fontId="0" fillId="0" borderId="27" xfId="0" applyNumberFormat="1" applyBorder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12" xfId="0" applyNumberFormat="1" applyBorder="1" applyAlignment="1">
      <alignment horizontal="center"/>
    </xf>
    <xf numFmtId="177" fontId="0" fillId="0" borderId="0" xfId="0" applyNumberFormat="1"/>
    <xf numFmtId="3" fontId="0" fillId="0" borderId="0" xfId="0" applyNumberFormat="1"/>
    <xf numFmtId="0" fontId="0" fillId="35" borderId="0" xfId="0" applyFill="1" applyBorder="1"/>
    <xf numFmtId="3" fontId="0" fillId="44" borderId="0" xfId="0" applyNumberFormat="1" applyFill="1"/>
    <xf numFmtId="0" fontId="22" fillId="0" borderId="13" xfId="0" applyFont="1" applyBorder="1" applyAlignment="1">
      <alignment horizontal="center" vertical="center" wrapText="1"/>
    </xf>
    <xf numFmtId="174" fontId="22" fillId="0" borderId="13" xfId="0" applyNumberFormat="1" applyFont="1" applyBorder="1" applyAlignment="1">
      <alignment horizontal="center" vertical="center" wrapText="1"/>
    </xf>
    <xf numFmtId="174" fontId="22" fillId="0" borderId="13" xfId="3" applyNumberFormat="1" applyFont="1" applyBorder="1" applyAlignment="1">
      <alignment horizontal="center" vertical="center" wrapText="1"/>
    </xf>
    <xf numFmtId="9" fontId="0" fillId="0" borderId="0" xfId="3" applyFont="1"/>
    <xf numFmtId="3" fontId="22" fillId="0" borderId="0" xfId="0" applyNumberFormat="1" applyFont="1" applyAlignment="1">
      <alignment horizontal="center" vertical="center" wrapText="1"/>
    </xf>
    <xf numFmtId="165" fontId="24" fillId="0" borderId="10" xfId="45" applyNumberFormat="1" applyFont="1" applyBorder="1" applyAlignment="1">
      <alignment horizontal="center" vertical="center"/>
    </xf>
    <xf numFmtId="165" fontId="24" fillId="0" borderId="11" xfId="45" applyNumberFormat="1" applyFont="1" applyBorder="1" applyAlignment="1">
      <alignment horizontal="center" vertical="center"/>
    </xf>
    <xf numFmtId="1" fontId="24" fillId="0" borderId="35" xfId="45" applyNumberFormat="1" applyFont="1" applyBorder="1" applyAlignment="1">
      <alignment horizontal="center" vertical="center"/>
    </xf>
    <xf numFmtId="1" fontId="24" fillId="0" borderId="10" xfId="45" applyNumberFormat="1" applyFont="1" applyBorder="1" applyAlignment="1">
      <alignment horizontal="center" vertical="center"/>
    </xf>
    <xf numFmtId="1" fontId="24" fillId="0" borderId="11" xfId="45" applyNumberFormat="1" applyFont="1" applyBorder="1" applyAlignment="1">
      <alignment horizontal="center" vertical="center"/>
    </xf>
    <xf numFmtId="0" fontId="25" fillId="36" borderId="13" xfId="0" applyFont="1" applyFill="1" applyBorder="1" applyAlignment="1">
      <alignment horizontal="center" vertical="center" wrapText="1"/>
    </xf>
    <xf numFmtId="0" fontId="0" fillId="35" borderId="27" xfId="0" applyFill="1" applyBorder="1"/>
    <xf numFmtId="0" fontId="0" fillId="35" borderId="32" xfId="0" applyFill="1" applyBorder="1"/>
    <xf numFmtId="0" fontId="33" fillId="45" borderId="40" xfId="0" applyFont="1" applyFill="1" applyBorder="1" applyAlignment="1">
      <alignment horizontal="right" wrapText="1"/>
    </xf>
    <xf numFmtId="0" fontId="34" fillId="46" borderId="41" xfId="0" applyFont="1" applyFill="1" applyBorder="1" applyAlignment="1">
      <alignment horizontal="right" vertical="top"/>
    </xf>
    <xf numFmtId="0" fontId="34" fillId="46" borderId="41" xfId="0" applyFont="1" applyFill="1" applyBorder="1" applyAlignment="1">
      <alignment horizontal="right" vertical="top" wrapText="1"/>
    </xf>
    <xf numFmtId="11" fontId="34" fillId="46" borderId="41" xfId="0" applyNumberFormat="1" applyFont="1" applyFill="1" applyBorder="1" applyAlignment="1">
      <alignment horizontal="right" vertical="top"/>
    </xf>
    <xf numFmtId="0" fontId="33" fillId="45" borderId="43" xfId="0" applyFont="1" applyFill="1" applyBorder="1" applyAlignment="1">
      <alignment horizontal="right" wrapText="1"/>
    </xf>
    <xf numFmtId="0" fontId="33" fillId="45" borderId="44" xfId="0" applyFont="1" applyFill="1" applyBorder="1" applyAlignment="1">
      <alignment horizontal="left" vertical="top" wrapText="1"/>
    </xf>
    <xf numFmtId="0" fontId="34" fillId="46" borderId="45" xfId="0" applyFont="1" applyFill="1" applyBorder="1" applyAlignment="1">
      <alignment horizontal="right" vertical="top" wrapText="1"/>
    </xf>
    <xf numFmtId="0" fontId="33" fillId="45" borderId="46" xfId="0" applyFont="1" applyFill="1" applyBorder="1" applyAlignment="1">
      <alignment horizontal="left" vertical="top" wrapText="1"/>
    </xf>
    <xf numFmtId="0" fontId="34" fillId="46" borderId="47" xfId="0" applyFont="1" applyFill="1" applyBorder="1" applyAlignment="1">
      <alignment horizontal="right" vertical="top" wrapText="1"/>
    </xf>
    <xf numFmtId="0" fontId="34" fillId="46" borderId="0" xfId="0" applyFont="1" applyFill="1" applyBorder="1" applyAlignment="1">
      <alignment horizontal="right" vertical="top" wrapText="1"/>
    </xf>
    <xf numFmtId="3" fontId="30" fillId="40" borderId="27" xfId="46" applyNumberFormat="1" applyFont="1" applyFill="1" applyBorder="1" applyAlignment="1">
      <alignment horizontal="center" vertical="center" wrapText="1"/>
    </xf>
    <xf numFmtId="3" fontId="30" fillId="40" borderId="12" xfId="46" applyNumberFormat="1" applyFont="1" applyFill="1" applyBorder="1" applyAlignment="1">
      <alignment horizontal="center" vertical="center" wrapText="1"/>
    </xf>
    <xf numFmtId="176" fontId="24" fillId="0" borderId="32" xfId="45" applyNumberFormat="1" applyFont="1" applyBorder="1" applyAlignment="1">
      <alignment horizontal="center" vertical="center"/>
    </xf>
    <xf numFmtId="176" fontId="24" fillId="0" borderId="18" xfId="45" applyNumberFormat="1" applyFont="1" applyBorder="1" applyAlignment="1">
      <alignment horizontal="center" vertical="center"/>
    </xf>
    <xf numFmtId="176" fontId="24" fillId="0" borderId="34" xfId="45" applyNumberFormat="1" applyFont="1" applyBorder="1" applyAlignment="1">
      <alignment horizontal="center" vertical="center"/>
    </xf>
    <xf numFmtId="9" fontId="24" fillId="0" borderId="32" xfId="3" applyFont="1" applyFill="1" applyBorder="1" applyAlignment="1">
      <alignment horizontal="center" vertical="center"/>
    </xf>
    <xf numFmtId="9" fontId="24" fillId="0" borderId="18" xfId="3" applyFont="1" applyFill="1" applyBorder="1" applyAlignment="1">
      <alignment horizontal="center" vertical="center"/>
    </xf>
    <xf numFmtId="9" fontId="24" fillId="0" borderId="34" xfId="3" applyFont="1" applyFill="1" applyBorder="1" applyAlignment="1">
      <alignment horizontal="center" vertical="center"/>
    </xf>
    <xf numFmtId="0" fontId="24" fillId="40" borderId="17" xfId="45" applyFont="1" applyFill="1" applyBorder="1" applyAlignment="1">
      <alignment horizontal="center" vertical="center"/>
    </xf>
    <xf numFmtId="0" fontId="24" fillId="40" borderId="31" xfId="45" applyFont="1" applyFill="1" applyBorder="1" applyAlignment="1">
      <alignment horizontal="center" vertical="center"/>
    </xf>
    <xf numFmtId="0" fontId="24" fillId="40" borderId="33" xfId="45" applyFont="1" applyFill="1" applyBorder="1" applyAlignment="1">
      <alignment horizontal="center" vertical="center"/>
    </xf>
    <xf numFmtId="164" fontId="24" fillId="40" borderId="27" xfId="45" applyNumberFormat="1" applyFont="1" applyFill="1" applyBorder="1" applyAlignment="1">
      <alignment horizontal="center" vertical="center"/>
    </xf>
    <xf numFmtId="164" fontId="24" fillId="40" borderId="12" xfId="45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5" fillId="47" borderId="53" xfId="0" applyFont="1" applyFill="1" applyBorder="1" applyAlignment="1">
      <alignment horizontal="center" vertical="center"/>
    </xf>
    <xf numFmtId="0" fontId="35" fillId="47" borderId="54" xfId="0" applyFont="1" applyFill="1" applyBorder="1" applyAlignment="1">
      <alignment horizontal="center" vertical="center"/>
    </xf>
    <xf numFmtId="0" fontId="36" fillId="47" borderId="53" xfId="0" applyFont="1" applyFill="1" applyBorder="1" applyAlignment="1">
      <alignment horizontal="center" vertical="center"/>
    </xf>
    <xf numFmtId="0" fontId="35" fillId="38" borderId="53" xfId="0" applyFont="1" applyFill="1" applyBorder="1" applyAlignment="1">
      <alignment horizontal="center" vertical="center"/>
    </xf>
    <xf numFmtId="0" fontId="37" fillId="0" borderId="55" xfId="0" applyFont="1" applyBorder="1" applyAlignment="1">
      <alignment horizontal="center" vertical="center"/>
    </xf>
    <xf numFmtId="0" fontId="37" fillId="0" borderId="56" xfId="0" applyFont="1" applyBorder="1" applyAlignment="1">
      <alignment horizontal="center" vertical="center"/>
    </xf>
    <xf numFmtId="3" fontId="37" fillId="48" borderId="55" xfId="0" applyNumberFormat="1" applyFont="1" applyFill="1" applyBorder="1" applyAlignment="1">
      <alignment horizontal="center" vertical="center"/>
    </xf>
    <xf numFmtId="3" fontId="38" fillId="36" borderId="55" xfId="0" applyNumberFormat="1" applyFont="1" applyFill="1" applyBorder="1" applyAlignment="1">
      <alignment horizontal="center" vertical="center"/>
    </xf>
    <xf numFmtId="3" fontId="37" fillId="38" borderId="55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39" fillId="0" borderId="55" xfId="0" applyFont="1" applyBorder="1" applyAlignment="1">
      <alignment horizontal="center" vertical="center"/>
    </xf>
    <xf numFmtId="0" fontId="39" fillId="0" borderId="56" xfId="0" applyFont="1" applyBorder="1" applyAlignment="1">
      <alignment horizontal="center" vertical="center"/>
    </xf>
    <xf numFmtId="3" fontId="39" fillId="48" borderId="55" xfId="0" applyNumberFormat="1" applyFont="1" applyFill="1" applyBorder="1" applyAlignment="1">
      <alignment horizontal="center" vertical="center"/>
    </xf>
    <xf numFmtId="3" fontId="40" fillId="36" borderId="55" xfId="0" applyNumberFormat="1" applyFont="1" applyFill="1" applyBorder="1" applyAlignment="1">
      <alignment horizontal="center" vertical="center"/>
    </xf>
    <xf numFmtId="3" fontId="39" fillId="49" borderId="55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57" xfId="0" applyFont="1" applyBorder="1" applyAlignment="1">
      <alignment horizontal="center" vertical="center"/>
    </xf>
    <xf numFmtId="0" fontId="16" fillId="0" borderId="58" xfId="0" applyFont="1" applyBorder="1" applyAlignment="1">
      <alignment horizontal="center" vertical="center"/>
    </xf>
    <xf numFmtId="3" fontId="37" fillId="0" borderId="55" xfId="0" applyNumberFormat="1" applyFont="1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3" fontId="0" fillId="0" borderId="60" xfId="0" applyNumberFormat="1" applyBorder="1" applyAlignment="1">
      <alignment horizontal="center" vertical="center"/>
    </xf>
    <xf numFmtId="0" fontId="14" fillId="0" borderId="59" xfId="0" applyFont="1" applyBorder="1" applyAlignment="1">
      <alignment horizontal="center" vertical="center"/>
    </xf>
    <xf numFmtId="3" fontId="14" fillId="0" borderId="60" xfId="0" applyNumberFormat="1" applyFont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3" fontId="0" fillId="0" borderId="62" xfId="0" applyNumberForma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2" fillId="48" borderId="13" xfId="0" applyFont="1" applyFill="1" applyBorder="1" applyAlignment="1">
      <alignment horizontal="center" vertical="center" wrapText="1"/>
    </xf>
    <xf numFmtId="0" fontId="19" fillId="41" borderId="14" xfId="0" applyFont="1" applyFill="1" applyBorder="1" applyAlignment="1">
      <alignment horizontal="left" wrapText="1"/>
    </xf>
    <xf numFmtId="0" fontId="19" fillId="41" borderId="16" xfId="0" applyFont="1" applyFill="1" applyBorder="1" applyAlignment="1">
      <alignment horizontal="left" wrapText="1"/>
    </xf>
    <xf numFmtId="0" fontId="27" fillId="41" borderId="13" xfId="0" applyFont="1" applyFill="1" applyBorder="1" applyAlignment="1">
      <alignment horizontal="center" wrapText="1"/>
    </xf>
    <xf numFmtId="0" fontId="28" fillId="41" borderId="13" xfId="0" applyFont="1" applyFill="1" applyBorder="1" applyAlignment="1">
      <alignment horizontal="center"/>
    </xf>
    <xf numFmtId="0" fontId="28" fillId="41" borderId="14" xfId="0" applyFont="1" applyFill="1" applyBorder="1" applyAlignment="1">
      <alignment horizontal="center" wrapText="1"/>
    </xf>
    <xf numFmtId="0" fontId="28" fillId="41" borderId="15" xfId="0" applyFont="1" applyFill="1" applyBorder="1" applyAlignment="1">
      <alignment horizontal="center" wrapText="1"/>
    </xf>
    <xf numFmtId="0" fontId="28" fillId="41" borderId="16" xfId="0" applyFont="1" applyFill="1" applyBorder="1" applyAlignment="1">
      <alignment horizontal="center" wrapText="1"/>
    </xf>
    <xf numFmtId="0" fontId="19" fillId="41" borderId="14" xfId="0" applyFont="1" applyFill="1" applyBorder="1" applyAlignment="1">
      <alignment horizontal="left"/>
    </xf>
    <xf numFmtId="0" fontId="19" fillId="41" borderId="16" xfId="0" applyFont="1" applyFill="1" applyBorder="1" applyAlignment="1">
      <alignment horizontal="left"/>
    </xf>
    <xf numFmtId="0" fontId="25" fillId="38" borderId="13" xfId="0" applyFont="1" applyFill="1" applyBorder="1" applyAlignment="1">
      <alignment horizontal="center" vertical="center" wrapText="1"/>
    </xf>
    <xf numFmtId="164" fontId="24" fillId="44" borderId="13" xfId="45" applyNumberFormat="1" applyFont="1" applyFill="1" applyBorder="1" applyAlignment="1">
      <alignment horizontal="center" vertical="center"/>
    </xf>
    <xf numFmtId="0" fontId="25" fillId="35" borderId="13" xfId="0" applyFont="1" applyFill="1" applyBorder="1" applyAlignment="1">
      <alignment horizontal="center" vertical="center" wrapText="1"/>
    </xf>
    <xf numFmtId="0" fontId="25" fillId="37" borderId="14" xfId="0" applyFont="1" applyFill="1" applyBorder="1" applyAlignment="1">
      <alignment horizontal="center" vertical="center" wrapText="1"/>
    </xf>
    <xf numFmtId="0" fontId="25" fillId="37" borderId="16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0" fillId="34" borderId="13" xfId="0" applyFill="1" applyBorder="1" applyAlignment="1">
      <alignment horizontal="left" vertical="center" wrapText="1"/>
    </xf>
    <xf numFmtId="0" fontId="22" fillId="48" borderId="13" xfId="0" applyFont="1" applyFill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 wrapText="1"/>
    </xf>
    <xf numFmtId="0" fontId="22" fillId="41" borderId="0" xfId="0" applyFont="1" applyFill="1" applyAlignment="1">
      <alignment horizontal="center" vertical="center" wrapText="1"/>
    </xf>
    <xf numFmtId="0" fontId="23" fillId="33" borderId="31" xfId="45" applyFont="1" applyFill="1" applyBorder="1" applyAlignment="1">
      <alignment horizontal="center" vertical="center" wrapText="1"/>
    </xf>
    <xf numFmtId="0" fontId="23" fillId="33" borderId="32" xfId="45" applyFont="1" applyFill="1" applyBorder="1" applyAlignment="1">
      <alignment horizontal="center" vertical="center" wrapText="1"/>
    </xf>
    <xf numFmtId="0" fontId="33" fillId="45" borderId="42" xfId="0" applyFont="1" applyFill="1" applyBorder="1" applyAlignment="1">
      <alignment horizontal="left" wrapText="1"/>
    </xf>
    <xf numFmtId="0" fontId="33" fillId="45" borderId="44" xfId="0" applyFont="1" applyFill="1" applyBorder="1" applyAlignment="1">
      <alignment horizontal="left" wrapText="1"/>
    </xf>
    <xf numFmtId="0" fontId="33" fillId="45" borderId="48" xfId="0" applyFont="1" applyFill="1" applyBorder="1" applyAlignment="1">
      <alignment horizontal="right" wrapText="1"/>
    </xf>
    <xf numFmtId="0" fontId="33" fillId="45" borderId="49" xfId="0" applyFont="1" applyFill="1" applyBorder="1" applyAlignment="1">
      <alignment horizontal="right" wrapText="1"/>
    </xf>
    <xf numFmtId="0" fontId="33" fillId="45" borderId="50" xfId="0" applyFont="1" applyFill="1" applyBorder="1" applyAlignment="1">
      <alignment horizontal="right" wrapText="1"/>
    </xf>
    <xf numFmtId="0" fontId="33" fillId="45" borderId="51" xfId="0" applyFont="1" applyFill="1" applyBorder="1" applyAlignment="1">
      <alignment horizontal="right" wrapText="1"/>
    </xf>
    <xf numFmtId="0" fontId="16" fillId="0" borderId="52" xfId="0" applyFont="1" applyBorder="1" applyAlignment="1">
      <alignment horizontal="center" vertical="center"/>
    </xf>
    <xf numFmtId="0" fontId="16" fillId="38" borderId="0" xfId="0" applyFont="1" applyFill="1" applyAlignment="1">
      <alignment horizontal="center" vertical="center" wrapText="1"/>
    </xf>
    <xf numFmtId="0" fontId="16" fillId="49" borderId="0" xfId="0" applyFont="1" applyFill="1" applyAlignment="1">
      <alignment horizontal="center" vertical="center"/>
    </xf>
    <xf numFmtId="0" fontId="0" fillId="48" borderId="0" xfId="0" applyFill="1" applyAlignment="1">
      <alignment horizontal="center" vertical="center" wrapText="1"/>
    </xf>
    <xf numFmtId="0" fontId="41" fillId="36" borderId="0" xfId="0" applyFont="1" applyFill="1" applyAlignment="1">
      <alignment horizontal="center" vertical="center" wrapText="1"/>
    </xf>
    <xf numFmtId="0" fontId="0" fillId="0" borderId="27" xfId="0" applyBorder="1"/>
    <xf numFmtId="0" fontId="0" fillId="0" borderId="32" xfId="0" applyBorder="1"/>
    <xf numFmtId="0" fontId="0" fillId="35" borderId="27" xfId="0" applyFill="1" applyBorder="1"/>
    <xf numFmtId="0" fontId="0" fillId="35" borderId="32" xfId="0" applyFill="1" applyBorder="1"/>
    <xf numFmtId="0" fontId="0" fillId="0" borderId="15" xfId="0" applyBorder="1"/>
    <xf numFmtId="0" fontId="0" fillId="0" borderId="16" xfId="0" applyBorder="1"/>
  </cellXfs>
  <cellStyles count="52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Comma" xfId="1" builtinId="3"/>
    <cellStyle name="Comma 2" xfId="46" xr:uid="{00000000-0005-0000-0000-00001C000000}"/>
    <cellStyle name="Comma 2 2" xfId="49" xr:uid="{00000000-0005-0000-0000-00001D000000}"/>
    <cellStyle name="Currency" xfId="2" builtinId="4"/>
    <cellStyle name="Currency 2" xfId="50" xr:uid="{00000000-0005-0000-0000-00001F000000}"/>
    <cellStyle name="Explanatory Text" xfId="19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45" xr:uid="{00000000-0005-0000-0000-00002A000000}"/>
    <cellStyle name="Normal 2 2" xfId="48" xr:uid="{00000000-0005-0000-0000-00002B000000}"/>
    <cellStyle name="Normal 3" xfId="51" xr:uid="{5D186E79-EF17-424F-AECF-31F67CB9E2E9}"/>
    <cellStyle name="Note" xfId="18" builtinId="10" customBuiltin="1"/>
    <cellStyle name="Output" xfId="13" builtinId="21" customBuiltin="1"/>
    <cellStyle name="Percent" xfId="3" builtinId="5"/>
    <cellStyle name="Percent 2" xfId="47" xr:uid="{00000000-0005-0000-0000-00002F000000}"/>
    <cellStyle name="Title" xfId="4" builtinId="15" customBuiltin="1"/>
    <cellStyle name="Total" xfId="20" builtinId="25" customBuiltin="1"/>
    <cellStyle name="Warning Text" xfId="17" builtinId="11" customBuiltin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>
                <a:latin typeface="Arial Narrow" panose="020B0606020202030204" pitchFamily="34" charset="0"/>
              </a:defRPr>
            </a:pPr>
            <a:r>
              <a:rPr lang="en-US" sz="1050">
                <a:latin typeface="Arial Narrow" panose="020B0606020202030204" pitchFamily="34" charset="0"/>
              </a:rPr>
              <a:t>VERQUVO:-</a:t>
            </a:r>
            <a:r>
              <a:rPr lang="en-US" sz="1050" baseline="0">
                <a:latin typeface="Arial Narrow" panose="020B0606020202030204" pitchFamily="34" charset="0"/>
              </a:rPr>
              <a:t> </a:t>
            </a:r>
            <a:r>
              <a:rPr lang="en-US" sz="1050">
                <a:latin typeface="Arial Narrow" panose="020B0606020202030204" pitchFamily="34" charset="0"/>
              </a:rPr>
              <a:t>Projected 3year Incr. TRx vs Sample Spend</a:t>
            </a:r>
          </a:p>
        </c:rich>
      </c:tx>
      <c:layout>
        <c:manualLayout>
          <c:xMode val="edge"/>
          <c:yMode val="edge"/>
          <c:x val="0.2243783517373294"/>
          <c:y val="4.018654028670444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360128718874883"/>
          <c:y val="0.12067402047717009"/>
          <c:w val="0.69974863677088062"/>
          <c:h val="0.70568974486297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'verquvo Sample curve'!$N$33</c:f>
              <c:strCache>
                <c:ptCount val="1"/>
                <c:pt idx="0">
                  <c:v>Estimated 3yr Incr. TRx</c:v>
                </c:pt>
              </c:strCache>
            </c:strRef>
          </c:tx>
          <c:marker>
            <c:symbol val="none"/>
          </c:marker>
          <c:xVal>
            <c:numRef>
              <c:f>'verquvo Sample curve'!$J$34:$J$149</c:f>
              <c:numCache>
                <c:formatCode>_("$"* #,##0_);_("$"* \(#,##0\);_("$"* "-"??_);_(@_)</c:formatCode>
                <c:ptCount val="116"/>
                <c:pt idx="0">
                  <c:v>0</c:v>
                </c:pt>
                <c:pt idx="1">
                  <c:v>215423.36644074644</c:v>
                </c:pt>
                <c:pt idx="2">
                  <c:v>430846.73288149288</c:v>
                </c:pt>
                <c:pt idx="3">
                  <c:v>646270.0993222394</c:v>
                </c:pt>
                <c:pt idx="4">
                  <c:v>861693.46576298575</c:v>
                </c:pt>
                <c:pt idx="5">
                  <c:v>969405.1489833591</c:v>
                </c:pt>
                <c:pt idx="6">
                  <c:v>1077116.8322037323</c:v>
                </c:pt>
                <c:pt idx="7">
                  <c:v>1292540.1986444788</c:v>
                </c:pt>
                <c:pt idx="8">
                  <c:v>1507963.5650852253</c:v>
                </c:pt>
                <c:pt idx="9">
                  <c:v>1723386.9315259715</c:v>
                </c:pt>
                <c:pt idx="10">
                  <c:v>1938810.2979667182</c:v>
                </c:pt>
                <c:pt idx="11">
                  <c:v>2154233.6644074647</c:v>
                </c:pt>
                <c:pt idx="12">
                  <c:v>2369657.0308482111</c:v>
                </c:pt>
                <c:pt idx="13">
                  <c:v>2585080.3972889576</c:v>
                </c:pt>
                <c:pt idx="14">
                  <c:v>2800503.7637297041</c:v>
                </c:pt>
                <c:pt idx="15">
                  <c:v>3015927.1301704505</c:v>
                </c:pt>
                <c:pt idx="16">
                  <c:v>3231350.4966111965</c:v>
                </c:pt>
                <c:pt idx="17">
                  <c:v>3446773.863051943</c:v>
                </c:pt>
                <c:pt idx="18">
                  <c:v>3662197.2294926895</c:v>
                </c:pt>
                <c:pt idx="19">
                  <c:v>3877620.5959334364</c:v>
                </c:pt>
                <c:pt idx="20">
                  <c:v>4093043.9623741829</c:v>
                </c:pt>
                <c:pt idx="21">
                  <c:v>4308467.3288149294</c:v>
                </c:pt>
                <c:pt idx="22">
                  <c:v>4523890.6952556754</c:v>
                </c:pt>
                <c:pt idx="23">
                  <c:v>4739314.0616964223</c:v>
                </c:pt>
                <c:pt idx="24">
                  <c:v>4954737.4281371683</c:v>
                </c:pt>
                <c:pt idx="25">
                  <c:v>5170160.7945779152</c:v>
                </c:pt>
                <c:pt idx="26">
                  <c:v>5385584.1610186622</c:v>
                </c:pt>
                <c:pt idx="27">
                  <c:v>5601007.5274594082</c:v>
                </c:pt>
                <c:pt idx="28">
                  <c:v>5816430.8939001551</c:v>
                </c:pt>
                <c:pt idx="29">
                  <c:v>6031854.2603409011</c:v>
                </c:pt>
                <c:pt idx="30">
                  <c:v>6247277.626781648</c:v>
                </c:pt>
                <c:pt idx="31">
                  <c:v>6462700.9932223931</c:v>
                </c:pt>
                <c:pt idx="32">
                  <c:v>6678124.359663141</c:v>
                </c:pt>
                <c:pt idx="33">
                  <c:v>6893547.726103886</c:v>
                </c:pt>
                <c:pt idx="34">
                  <c:v>7108971.092544633</c:v>
                </c:pt>
                <c:pt idx="35">
                  <c:v>7324394.458985379</c:v>
                </c:pt>
                <c:pt idx="36">
                  <c:v>7539817.8254261259</c:v>
                </c:pt>
                <c:pt idx="37">
                  <c:v>7755241.1918668728</c:v>
                </c:pt>
                <c:pt idx="38">
                  <c:v>7970664.5583076188</c:v>
                </c:pt>
                <c:pt idx="39">
                  <c:v>8186087.9247483658</c:v>
                </c:pt>
                <c:pt idx="40">
                  <c:v>8401511.2911891118</c:v>
                </c:pt>
                <c:pt idx="41">
                  <c:v>8616934.6576298587</c:v>
                </c:pt>
                <c:pt idx="42">
                  <c:v>8832358.0240706038</c:v>
                </c:pt>
                <c:pt idx="43">
                  <c:v>9047781.3905113507</c:v>
                </c:pt>
                <c:pt idx="44">
                  <c:v>9263204.7569520976</c:v>
                </c:pt>
                <c:pt idx="45">
                  <c:v>9478628.1233928446</c:v>
                </c:pt>
                <c:pt idx="46">
                  <c:v>9694051.4898335896</c:v>
                </c:pt>
                <c:pt idx="47">
                  <c:v>9909474.8562743366</c:v>
                </c:pt>
                <c:pt idx="48">
                  <c:v>10124898.222715084</c:v>
                </c:pt>
                <c:pt idx="49">
                  <c:v>10340321.58915583</c:v>
                </c:pt>
                <c:pt idx="50">
                  <c:v>10555744.955596577</c:v>
                </c:pt>
                <c:pt idx="51">
                  <c:v>10771168.322037324</c:v>
                </c:pt>
                <c:pt idx="52">
                  <c:v>10986591.688478069</c:v>
                </c:pt>
                <c:pt idx="53">
                  <c:v>11202015.054918816</c:v>
                </c:pt>
                <c:pt idx="54">
                  <c:v>11417438.421359563</c:v>
                </c:pt>
                <c:pt idx="55">
                  <c:v>11632861.78780031</c:v>
                </c:pt>
                <c:pt idx="56">
                  <c:v>11848285.154241055</c:v>
                </c:pt>
                <c:pt idx="57">
                  <c:v>12063708.520681802</c:v>
                </c:pt>
                <c:pt idx="58">
                  <c:v>12279131.887122549</c:v>
                </c:pt>
                <c:pt idx="59">
                  <c:v>12494555.253563296</c:v>
                </c:pt>
                <c:pt idx="60">
                  <c:v>12709978.620004043</c:v>
                </c:pt>
                <c:pt idx="61">
                  <c:v>12925401.986444786</c:v>
                </c:pt>
                <c:pt idx="62">
                  <c:v>13140825.352885533</c:v>
                </c:pt>
                <c:pt idx="63">
                  <c:v>13356248.719326282</c:v>
                </c:pt>
                <c:pt idx="64">
                  <c:v>13571672.085767029</c:v>
                </c:pt>
                <c:pt idx="65">
                  <c:v>13787095.452207772</c:v>
                </c:pt>
                <c:pt idx="66">
                  <c:v>14002518.818648519</c:v>
                </c:pt>
                <c:pt idx="67">
                  <c:v>14217942.185089266</c:v>
                </c:pt>
                <c:pt idx="68">
                  <c:v>14433365.551530013</c:v>
                </c:pt>
                <c:pt idx="69">
                  <c:v>14648788.917970758</c:v>
                </c:pt>
                <c:pt idx="70">
                  <c:v>14864212.284411505</c:v>
                </c:pt>
                <c:pt idx="71">
                  <c:v>15079635.650852252</c:v>
                </c:pt>
                <c:pt idx="72">
                  <c:v>15295059.017292999</c:v>
                </c:pt>
                <c:pt idx="73">
                  <c:v>15510482.383733746</c:v>
                </c:pt>
                <c:pt idx="74">
                  <c:v>15725905.750174491</c:v>
                </c:pt>
                <c:pt idx="75">
                  <c:v>15941329.116615238</c:v>
                </c:pt>
                <c:pt idx="76">
                  <c:v>16156752.483055985</c:v>
                </c:pt>
                <c:pt idx="77">
                  <c:v>16372175.849496732</c:v>
                </c:pt>
                <c:pt idx="78">
                  <c:v>16587599.215937477</c:v>
                </c:pt>
                <c:pt idx="79">
                  <c:v>16803022.582378224</c:v>
                </c:pt>
                <c:pt idx="80">
                  <c:v>17018445.94881897</c:v>
                </c:pt>
                <c:pt idx="81">
                  <c:v>17233869.315259717</c:v>
                </c:pt>
                <c:pt idx="82">
                  <c:v>17449292.681700461</c:v>
                </c:pt>
                <c:pt idx="83">
                  <c:v>17664716.048141208</c:v>
                </c:pt>
                <c:pt idx="84">
                  <c:v>17880139.414581954</c:v>
                </c:pt>
                <c:pt idx="85">
                  <c:v>18095562.781022701</c:v>
                </c:pt>
                <c:pt idx="86">
                  <c:v>18310986.147463452</c:v>
                </c:pt>
                <c:pt idx="87">
                  <c:v>18526409.513904195</c:v>
                </c:pt>
                <c:pt idx="88">
                  <c:v>18741832.880344942</c:v>
                </c:pt>
                <c:pt idx="89">
                  <c:v>18957256.246785689</c:v>
                </c:pt>
                <c:pt idx="90">
                  <c:v>19172679.613226436</c:v>
                </c:pt>
                <c:pt idx="91">
                  <c:v>19388102.979667179</c:v>
                </c:pt>
                <c:pt idx="92">
                  <c:v>19603526.346107926</c:v>
                </c:pt>
                <c:pt idx="93">
                  <c:v>19818949.712548673</c:v>
                </c:pt>
                <c:pt idx="94">
                  <c:v>20034373.07898942</c:v>
                </c:pt>
                <c:pt idx="95">
                  <c:v>20249796.445430167</c:v>
                </c:pt>
                <c:pt idx="96">
                  <c:v>20465219.811870914</c:v>
                </c:pt>
                <c:pt idx="97">
                  <c:v>20680643.178311661</c:v>
                </c:pt>
                <c:pt idx="98">
                  <c:v>20896066.544752408</c:v>
                </c:pt>
                <c:pt idx="99">
                  <c:v>21111489.911193155</c:v>
                </c:pt>
                <c:pt idx="100">
                  <c:v>21326913.277633902</c:v>
                </c:pt>
                <c:pt idx="101">
                  <c:v>21542336.644074649</c:v>
                </c:pt>
                <c:pt idx="102">
                  <c:v>21757760.010515392</c:v>
                </c:pt>
                <c:pt idx="103">
                  <c:v>21973183.376956139</c:v>
                </c:pt>
                <c:pt idx="104">
                  <c:v>22188606.743396886</c:v>
                </c:pt>
                <c:pt idx="105">
                  <c:v>22404030.109837633</c:v>
                </c:pt>
                <c:pt idx="106">
                  <c:v>22619453.47627838</c:v>
                </c:pt>
                <c:pt idx="107">
                  <c:v>22834876.842719126</c:v>
                </c:pt>
                <c:pt idx="108">
                  <c:v>23050300.209159873</c:v>
                </c:pt>
                <c:pt idx="109">
                  <c:v>23265723.57560062</c:v>
                </c:pt>
                <c:pt idx="110">
                  <c:v>23481146.942041367</c:v>
                </c:pt>
                <c:pt idx="111">
                  <c:v>23696570.308482111</c:v>
                </c:pt>
                <c:pt idx="112">
                  <c:v>23911993.674922857</c:v>
                </c:pt>
                <c:pt idx="113">
                  <c:v>24127417.041363604</c:v>
                </c:pt>
                <c:pt idx="114">
                  <c:v>24342840.407804351</c:v>
                </c:pt>
                <c:pt idx="115">
                  <c:v>24558263.774245098</c:v>
                </c:pt>
              </c:numCache>
            </c:numRef>
          </c:xVal>
          <c:yVal>
            <c:numRef>
              <c:f>'verquvo Sample curve'!$N$34:$N$149</c:f>
              <c:numCache>
                <c:formatCode>#,##0_);\(#,##0\)</c:formatCode>
                <c:ptCount val="116"/>
                <c:pt idx="0">
                  <c:v>0</c:v>
                </c:pt>
                <c:pt idx="1">
                  <c:v>16146.91187231306</c:v>
                </c:pt>
                <c:pt idx="2">
                  <c:v>32349.525640774904</c:v>
                </c:pt>
                <c:pt idx="3">
                  <c:v>48607.841305385533</c:v>
                </c:pt>
                <c:pt idx="4">
                  <c:v>64921.858866144947</c:v>
                </c:pt>
                <c:pt idx="5">
                  <c:v>73099.755857580443</c:v>
                </c:pt>
                <c:pt idx="6">
                  <c:v>81291.578323053152</c:v>
                </c:pt>
                <c:pt idx="7">
                  <c:v>97716.999676110107</c:v>
                </c:pt>
                <c:pt idx="8">
                  <c:v>114198.1229253159</c:v>
                </c:pt>
                <c:pt idx="9">
                  <c:v>130734.94807067043</c:v>
                </c:pt>
                <c:pt idx="10">
                  <c:v>147327.47511217374</c:v>
                </c:pt>
                <c:pt idx="11">
                  <c:v>163975.7040498259</c:v>
                </c:pt>
                <c:pt idx="12">
                  <c:v>180679.63488362677</c:v>
                </c:pt>
                <c:pt idx="13">
                  <c:v>197439.26761357646</c:v>
                </c:pt>
                <c:pt idx="14">
                  <c:v>214254.60223967495</c:v>
                </c:pt>
                <c:pt idx="15">
                  <c:v>231125.63876192222</c:v>
                </c:pt>
                <c:pt idx="16">
                  <c:v>248052.3771803182</c:v>
                </c:pt>
                <c:pt idx="17">
                  <c:v>265034.81749486306</c:v>
                </c:pt>
                <c:pt idx="18">
                  <c:v>282072.95970555668</c:v>
                </c:pt>
                <c:pt idx="19">
                  <c:v>299166.80381239904</c:v>
                </c:pt>
                <c:pt idx="20">
                  <c:v>316316.34981539019</c:v>
                </c:pt>
                <c:pt idx="21">
                  <c:v>333521.59771453013</c:v>
                </c:pt>
                <c:pt idx="22">
                  <c:v>350782.54750981886</c:v>
                </c:pt>
                <c:pt idx="23">
                  <c:v>368099.19920125639</c:v>
                </c:pt>
                <c:pt idx="24">
                  <c:v>385471.5527888427</c:v>
                </c:pt>
                <c:pt idx="25">
                  <c:v>402899.60827257781</c:v>
                </c:pt>
                <c:pt idx="26">
                  <c:v>420383.36565246171</c:v>
                </c:pt>
                <c:pt idx="27">
                  <c:v>437922.82492849429</c:v>
                </c:pt>
                <c:pt idx="28">
                  <c:v>455517.98610067583</c:v>
                </c:pt>
                <c:pt idx="29">
                  <c:v>473168.84916900611</c:v>
                </c:pt>
                <c:pt idx="30">
                  <c:v>490875.41413348512</c:v>
                </c:pt>
                <c:pt idx="31">
                  <c:v>508637.68099411292</c:v>
                </c:pt>
                <c:pt idx="32">
                  <c:v>526455.64975088951</c:v>
                </c:pt>
                <c:pt idx="33">
                  <c:v>544329.3204038149</c:v>
                </c:pt>
                <c:pt idx="34">
                  <c:v>562258.6929528889</c:v>
                </c:pt>
                <c:pt idx="35">
                  <c:v>580243.76739811199</c:v>
                </c:pt>
                <c:pt idx="36">
                  <c:v>598284.54373948369</c:v>
                </c:pt>
                <c:pt idx="37">
                  <c:v>616381.02197700401</c:v>
                </c:pt>
                <c:pt idx="38">
                  <c:v>634533.20211067342</c:v>
                </c:pt>
                <c:pt idx="39">
                  <c:v>652741.08414049156</c:v>
                </c:pt>
                <c:pt idx="40">
                  <c:v>671004.66806645854</c:v>
                </c:pt>
                <c:pt idx="41">
                  <c:v>689323.95388857392</c:v>
                </c:pt>
                <c:pt idx="42">
                  <c:v>707698.94160683861</c:v>
                </c:pt>
                <c:pt idx="43">
                  <c:v>726129.63122125156</c:v>
                </c:pt>
                <c:pt idx="44">
                  <c:v>744616.02273181372</c:v>
                </c:pt>
                <c:pt idx="45">
                  <c:v>763158.11613852438</c:v>
                </c:pt>
                <c:pt idx="46">
                  <c:v>781755.91144138412</c:v>
                </c:pt>
                <c:pt idx="47">
                  <c:v>800409.40864039224</c:v>
                </c:pt>
                <c:pt idx="48">
                  <c:v>819118.60773554957</c:v>
                </c:pt>
                <c:pt idx="49">
                  <c:v>837883.50872685527</c:v>
                </c:pt>
                <c:pt idx="50">
                  <c:v>856704.11161431007</c:v>
                </c:pt>
                <c:pt idx="51">
                  <c:v>875580.41639791359</c:v>
                </c:pt>
                <c:pt idx="52">
                  <c:v>894512.42307766585</c:v>
                </c:pt>
                <c:pt idx="53">
                  <c:v>913500.13165356684</c:v>
                </c:pt>
                <c:pt idx="54">
                  <c:v>932543.54212561669</c:v>
                </c:pt>
                <c:pt idx="55">
                  <c:v>951642.65449381515</c:v>
                </c:pt>
                <c:pt idx="56">
                  <c:v>970797.46875816281</c:v>
                </c:pt>
                <c:pt idx="57">
                  <c:v>990007.98491865909</c:v>
                </c:pt>
                <c:pt idx="58">
                  <c:v>1009274.2029753039</c:v>
                </c:pt>
                <c:pt idx="59">
                  <c:v>1028596.1229280977</c:v>
                </c:pt>
                <c:pt idx="60">
                  <c:v>1047973.7447770402</c:v>
                </c:pt>
                <c:pt idx="61">
                  <c:v>1067407.0685221315</c:v>
                </c:pt>
                <c:pt idx="62">
                  <c:v>1086896.0941633715</c:v>
                </c:pt>
                <c:pt idx="63">
                  <c:v>1106440.8217007606</c:v>
                </c:pt>
                <c:pt idx="64">
                  <c:v>1126041.2511342978</c:v>
                </c:pt>
                <c:pt idx="65">
                  <c:v>1145697.3824639844</c:v>
                </c:pt>
                <c:pt idx="66">
                  <c:v>1165409.21568982</c:v>
                </c:pt>
                <c:pt idx="67">
                  <c:v>1185176.7508118041</c:v>
                </c:pt>
                <c:pt idx="68">
                  <c:v>1204999.9878299367</c:v>
                </c:pt>
                <c:pt idx="69">
                  <c:v>1224878.9267442182</c:v>
                </c:pt>
                <c:pt idx="70">
                  <c:v>1244813.567554649</c:v>
                </c:pt>
                <c:pt idx="71">
                  <c:v>1264803.910261228</c:v>
                </c:pt>
                <c:pt idx="72">
                  <c:v>1284849.9548639557</c:v>
                </c:pt>
                <c:pt idx="73">
                  <c:v>1304951.7013628327</c:v>
                </c:pt>
                <c:pt idx="74">
                  <c:v>1325109.1497578579</c:v>
                </c:pt>
                <c:pt idx="75">
                  <c:v>1345322.3000490326</c:v>
                </c:pt>
                <c:pt idx="76">
                  <c:v>1365591.1522363552</c:v>
                </c:pt>
                <c:pt idx="77">
                  <c:v>1385915.7063198271</c:v>
                </c:pt>
                <c:pt idx="78">
                  <c:v>1406295.9622994482</c:v>
                </c:pt>
                <c:pt idx="79">
                  <c:v>1426731.9201752173</c:v>
                </c:pt>
                <c:pt idx="80">
                  <c:v>1447223.5799471356</c:v>
                </c:pt>
                <c:pt idx="81">
                  <c:v>1467770.9416152027</c:v>
                </c:pt>
                <c:pt idx="82">
                  <c:v>1488374.0051794185</c:v>
                </c:pt>
                <c:pt idx="83">
                  <c:v>1509032.770639783</c:v>
                </c:pt>
                <c:pt idx="84">
                  <c:v>1529747.2379962963</c:v>
                </c:pt>
                <c:pt idx="85">
                  <c:v>1550517.4072489585</c:v>
                </c:pt>
                <c:pt idx="86">
                  <c:v>1571343.2783977692</c:v>
                </c:pt>
                <c:pt idx="87">
                  <c:v>1592224.8514427291</c:v>
                </c:pt>
                <c:pt idx="88">
                  <c:v>1613162.1263838378</c:v>
                </c:pt>
                <c:pt idx="89">
                  <c:v>1634155.1032210949</c:v>
                </c:pt>
                <c:pt idx="90">
                  <c:v>1655203.7819545008</c:v>
                </c:pt>
                <c:pt idx="91">
                  <c:v>1676308.1625840561</c:v>
                </c:pt>
                <c:pt idx="92">
                  <c:v>1697468.2451097593</c:v>
                </c:pt>
                <c:pt idx="93">
                  <c:v>1718684.0295316121</c:v>
                </c:pt>
                <c:pt idx="94">
                  <c:v>1739955.5158496131</c:v>
                </c:pt>
                <c:pt idx="95">
                  <c:v>1761282.7040637629</c:v>
                </c:pt>
                <c:pt idx="96">
                  <c:v>1782665.5941740619</c:v>
                </c:pt>
                <c:pt idx="97">
                  <c:v>1804104.1861805096</c:v>
                </c:pt>
                <c:pt idx="98">
                  <c:v>1825598.4800831056</c:v>
                </c:pt>
                <c:pt idx="99">
                  <c:v>1847148.4758818506</c:v>
                </c:pt>
                <c:pt idx="100">
                  <c:v>1868754.1735767452</c:v>
                </c:pt>
                <c:pt idx="101">
                  <c:v>1890415.5731677872</c:v>
                </c:pt>
                <c:pt idx="102">
                  <c:v>1912132.674654979</c:v>
                </c:pt>
                <c:pt idx="103">
                  <c:v>1933905.4780383192</c:v>
                </c:pt>
                <c:pt idx="104">
                  <c:v>1955733.983317808</c:v>
                </c:pt>
                <c:pt idx="105">
                  <c:v>1977618.1904934458</c:v>
                </c:pt>
                <c:pt idx="106">
                  <c:v>1999558.0995652326</c:v>
                </c:pt>
                <c:pt idx="107">
                  <c:v>2021553.7105331682</c:v>
                </c:pt>
                <c:pt idx="108">
                  <c:v>2043605.0233972522</c:v>
                </c:pt>
                <c:pt idx="109">
                  <c:v>2065712.0381574852</c:v>
                </c:pt>
                <c:pt idx="110">
                  <c:v>2087874.7548138669</c:v>
                </c:pt>
                <c:pt idx="111">
                  <c:v>2110093.1733663976</c:v>
                </c:pt>
                <c:pt idx="112">
                  <c:v>2132367.2938150768</c:v>
                </c:pt>
                <c:pt idx="113">
                  <c:v>2154697.1161599047</c:v>
                </c:pt>
                <c:pt idx="114">
                  <c:v>2177082.6404008809</c:v>
                </c:pt>
                <c:pt idx="115">
                  <c:v>2199523.8665380073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17-4B73-A787-50C81071E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647360"/>
        <c:axId val="409649536"/>
      </c:scatterChart>
      <c:valAx>
        <c:axId val="409647360"/>
        <c:scaling>
          <c:orientation val="minMax"/>
          <c:max val="20000000"/>
          <c:min val="0"/>
        </c:scaling>
        <c:delete val="0"/>
        <c:axPos val="b"/>
        <c:numFmt formatCode="_(&quot;$&quot;* #,##0_);_(&quot;$&quot;* \(#,##0\);_(&quot;$&quot;* &quot;-&quot;_);_(@_)" sourceLinked="0"/>
        <c:majorTickMark val="out"/>
        <c:minorTickMark val="none"/>
        <c:tickLblPos val="nextTo"/>
        <c:crossAx val="409649536"/>
        <c:crosses val="autoZero"/>
        <c:crossBetween val="midCat"/>
        <c:dispUnits>
          <c:builtInUnit val="millions"/>
        </c:dispUnits>
      </c:valAx>
      <c:valAx>
        <c:axId val="409649536"/>
        <c:scaling>
          <c:orientation val="minMax"/>
          <c:max val="1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Incremental TRx ('000)</a:t>
                </a:r>
              </a:p>
            </c:rich>
          </c:tx>
          <c:layout>
            <c:manualLayout>
              <c:xMode val="edge"/>
              <c:yMode val="edge"/>
              <c:x val="3.1480822259308004E-2"/>
              <c:y val="0.27767610129814857"/>
            </c:manualLayout>
          </c:layout>
          <c:overlay val="0"/>
        </c:title>
        <c:numFmt formatCode="#,##0_);\(#,##0\)" sourceLinked="1"/>
        <c:majorTickMark val="out"/>
        <c:minorTickMark val="none"/>
        <c:tickLblPos val="nextTo"/>
        <c:crossAx val="409647360"/>
        <c:crosses val="autoZero"/>
        <c:crossBetween val="midCat"/>
        <c:dispUnits>
          <c:builtInUnit val="thousands"/>
        </c:dispUnits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>
                <a:latin typeface="Arial Narrow" panose="020B0606020202030204" pitchFamily="34" charset="0"/>
              </a:defRPr>
            </a:pPr>
            <a:r>
              <a:rPr lang="en-US" sz="1050">
                <a:latin typeface="Arial Narrow" panose="020B0606020202030204" pitchFamily="34" charset="0"/>
              </a:rPr>
              <a:t>VERQUVO:-</a:t>
            </a:r>
            <a:r>
              <a:rPr lang="en-US" sz="1050" baseline="0">
                <a:latin typeface="Arial Narrow" panose="020B0606020202030204" pitchFamily="34" charset="0"/>
              </a:rPr>
              <a:t> </a:t>
            </a:r>
            <a:r>
              <a:rPr lang="en-US" sz="1050">
                <a:latin typeface="Arial Narrow" panose="020B0606020202030204" pitchFamily="34" charset="0"/>
              </a:rPr>
              <a:t>Projected 3year Incr. NRx vs Sample Spend</a:t>
            </a:r>
          </a:p>
        </c:rich>
      </c:tx>
      <c:layout>
        <c:manualLayout>
          <c:xMode val="edge"/>
          <c:yMode val="edge"/>
          <c:x val="0.2243783517373294"/>
          <c:y val="4.018654028670444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360128718874883"/>
          <c:y val="0.12067402047717009"/>
          <c:w val="0.69974863677088062"/>
          <c:h val="0.70568974486297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'verquvo Sample curve'!$L$33</c:f>
              <c:strCache>
                <c:ptCount val="1"/>
                <c:pt idx="0">
                  <c:v>Projected and Scaled NRx TO NPA NRx Scale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'verquvo Sample curve'!$J$34:$J$149</c:f>
              <c:numCache>
                <c:formatCode>_("$"* #,##0_);_("$"* \(#,##0\);_("$"* "-"??_);_(@_)</c:formatCode>
                <c:ptCount val="116"/>
                <c:pt idx="0">
                  <c:v>0</c:v>
                </c:pt>
                <c:pt idx="1">
                  <c:v>215423.36644074644</c:v>
                </c:pt>
                <c:pt idx="2">
                  <c:v>430846.73288149288</c:v>
                </c:pt>
                <c:pt idx="3">
                  <c:v>646270.0993222394</c:v>
                </c:pt>
                <c:pt idx="4">
                  <c:v>861693.46576298575</c:v>
                </c:pt>
                <c:pt idx="5">
                  <c:v>969405.1489833591</c:v>
                </c:pt>
                <c:pt idx="6">
                  <c:v>1077116.8322037323</c:v>
                </c:pt>
                <c:pt idx="7">
                  <c:v>1292540.1986444788</c:v>
                </c:pt>
                <c:pt idx="8">
                  <c:v>1507963.5650852253</c:v>
                </c:pt>
                <c:pt idx="9">
                  <c:v>1723386.9315259715</c:v>
                </c:pt>
                <c:pt idx="10">
                  <c:v>1938810.2979667182</c:v>
                </c:pt>
                <c:pt idx="11">
                  <c:v>2154233.6644074647</c:v>
                </c:pt>
                <c:pt idx="12">
                  <c:v>2369657.0308482111</c:v>
                </c:pt>
                <c:pt idx="13">
                  <c:v>2585080.3972889576</c:v>
                </c:pt>
                <c:pt idx="14">
                  <c:v>2800503.7637297041</c:v>
                </c:pt>
                <c:pt idx="15">
                  <c:v>3015927.1301704505</c:v>
                </c:pt>
                <c:pt idx="16">
                  <c:v>3231350.4966111965</c:v>
                </c:pt>
                <c:pt idx="17">
                  <c:v>3446773.863051943</c:v>
                </c:pt>
                <c:pt idx="18">
                  <c:v>3662197.2294926895</c:v>
                </c:pt>
                <c:pt idx="19">
                  <c:v>3877620.5959334364</c:v>
                </c:pt>
                <c:pt idx="20">
                  <c:v>4093043.9623741829</c:v>
                </c:pt>
                <c:pt idx="21">
                  <c:v>4308467.3288149294</c:v>
                </c:pt>
                <c:pt idx="22">
                  <c:v>4523890.6952556754</c:v>
                </c:pt>
                <c:pt idx="23">
                  <c:v>4739314.0616964223</c:v>
                </c:pt>
                <c:pt idx="24">
                  <c:v>4954737.4281371683</c:v>
                </c:pt>
                <c:pt idx="25">
                  <c:v>5170160.7945779152</c:v>
                </c:pt>
                <c:pt idx="26">
                  <c:v>5385584.1610186622</c:v>
                </c:pt>
                <c:pt idx="27">
                  <c:v>5601007.5274594082</c:v>
                </c:pt>
                <c:pt idx="28">
                  <c:v>5816430.8939001551</c:v>
                </c:pt>
                <c:pt idx="29">
                  <c:v>6031854.2603409011</c:v>
                </c:pt>
                <c:pt idx="30">
                  <c:v>6247277.626781648</c:v>
                </c:pt>
                <c:pt idx="31">
                  <c:v>6462700.9932223931</c:v>
                </c:pt>
                <c:pt idx="32">
                  <c:v>6678124.359663141</c:v>
                </c:pt>
                <c:pt idx="33">
                  <c:v>6893547.726103886</c:v>
                </c:pt>
                <c:pt idx="34">
                  <c:v>7108971.092544633</c:v>
                </c:pt>
                <c:pt idx="35">
                  <c:v>7324394.458985379</c:v>
                </c:pt>
                <c:pt idx="36">
                  <c:v>7539817.8254261259</c:v>
                </c:pt>
                <c:pt idx="37">
                  <c:v>7755241.1918668728</c:v>
                </c:pt>
                <c:pt idx="38">
                  <c:v>7970664.5583076188</c:v>
                </c:pt>
                <c:pt idx="39">
                  <c:v>8186087.9247483658</c:v>
                </c:pt>
                <c:pt idx="40">
                  <c:v>8401511.2911891118</c:v>
                </c:pt>
                <c:pt idx="41">
                  <c:v>8616934.6576298587</c:v>
                </c:pt>
                <c:pt idx="42">
                  <c:v>8832358.0240706038</c:v>
                </c:pt>
                <c:pt idx="43">
                  <c:v>9047781.3905113507</c:v>
                </c:pt>
                <c:pt idx="44">
                  <c:v>9263204.7569520976</c:v>
                </c:pt>
                <c:pt idx="45">
                  <c:v>9478628.1233928446</c:v>
                </c:pt>
                <c:pt idx="46">
                  <c:v>9694051.4898335896</c:v>
                </c:pt>
                <c:pt idx="47">
                  <c:v>9909474.8562743366</c:v>
                </c:pt>
                <c:pt idx="48">
                  <c:v>10124898.222715084</c:v>
                </c:pt>
                <c:pt idx="49">
                  <c:v>10340321.58915583</c:v>
                </c:pt>
                <c:pt idx="50">
                  <c:v>10555744.955596577</c:v>
                </c:pt>
                <c:pt idx="51">
                  <c:v>10771168.322037324</c:v>
                </c:pt>
                <c:pt idx="52">
                  <c:v>10986591.688478069</c:v>
                </c:pt>
                <c:pt idx="53">
                  <c:v>11202015.054918816</c:v>
                </c:pt>
                <c:pt idx="54">
                  <c:v>11417438.421359563</c:v>
                </c:pt>
                <c:pt idx="55">
                  <c:v>11632861.78780031</c:v>
                </c:pt>
                <c:pt idx="56">
                  <c:v>11848285.154241055</c:v>
                </c:pt>
                <c:pt idx="57">
                  <c:v>12063708.520681802</c:v>
                </c:pt>
                <c:pt idx="58">
                  <c:v>12279131.887122549</c:v>
                </c:pt>
                <c:pt idx="59">
                  <c:v>12494555.253563296</c:v>
                </c:pt>
                <c:pt idx="60">
                  <c:v>12709978.620004043</c:v>
                </c:pt>
                <c:pt idx="61">
                  <c:v>12925401.986444786</c:v>
                </c:pt>
                <c:pt idx="62">
                  <c:v>13140825.352885533</c:v>
                </c:pt>
                <c:pt idx="63">
                  <c:v>13356248.719326282</c:v>
                </c:pt>
                <c:pt idx="64">
                  <c:v>13571672.085767029</c:v>
                </c:pt>
                <c:pt idx="65">
                  <c:v>13787095.452207772</c:v>
                </c:pt>
                <c:pt idx="66">
                  <c:v>14002518.818648519</c:v>
                </c:pt>
                <c:pt idx="67">
                  <c:v>14217942.185089266</c:v>
                </c:pt>
                <c:pt idx="68">
                  <c:v>14433365.551530013</c:v>
                </c:pt>
                <c:pt idx="69">
                  <c:v>14648788.917970758</c:v>
                </c:pt>
                <c:pt idx="70">
                  <c:v>14864212.284411505</c:v>
                </c:pt>
                <c:pt idx="71">
                  <c:v>15079635.650852252</c:v>
                </c:pt>
                <c:pt idx="72">
                  <c:v>15295059.017292999</c:v>
                </c:pt>
                <c:pt idx="73">
                  <c:v>15510482.383733746</c:v>
                </c:pt>
                <c:pt idx="74">
                  <c:v>15725905.750174491</c:v>
                </c:pt>
                <c:pt idx="75">
                  <c:v>15941329.116615238</c:v>
                </c:pt>
                <c:pt idx="76">
                  <c:v>16156752.483055985</c:v>
                </c:pt>
                <c:pt idx="77">
                  <c:v>16372175.849496732</c:v>
                </c:pt>
                <c:pt idx="78">
                  <c:v>16587599.215937477</c:v>
                </c:pt>
                <c:pt idx="79">
                  <c:v>16803022.582378224</c:v>
                </c:pt>
                <c:pt idx="80">
                  <c:v>17018445.94881897</c:v>
                </c:pt>
                <c:pt idx="81">
                  <c:v>17233869.315259717</c:v>
                </c:pt>
                <c:pt idx="82">
                  <c:v>17449292.681700461</c:v>
                </c:pt>
                <c:pt idx="83">
                  <c:v>17664716.048141208</c:v>
                </c:pt>
                <c:pt idx="84">
                  <c:v>17880139.414581954</c:v>
                </c:pt>
                <c:pt idx="85">
                  <c:v>18095562.781022701</c:v>
                </c:pt>
                <c:pt idx="86">
                  <c:v>18310986.147463452</c:v>
                </c:pt>
                <c:pt idx="87">
                  <c:v>18526409.513904195</c:v>
                </c:pt>
                <c:pt idx="88">
                  <c:v>18741832.880344942</c:v>
                </c:pt>
                <c:pt idx="89">
                  <c:v>18957256.246785689</c:v>
                </c:pt>
                <c:pt idx="90">
                  <c:v>19172679.613226436</c:v>
                </c:pt>
                <c:pt idx="91">
                  <c:v>19388102.979667179</c:v>
                </c:pt>
                <c:pt idx="92">
                  <c:v>19603526.346107926</c:v>
                </c:pt>
                <c:pt idx="93">
                  <c:v>19818949.712548673</c:v>
                </c:pt>
                <c:pt idx="94">
                  <c:v>20034373.07898942</c:v>
                </c:pt>
                <c:pt idx="95">
                  <c:v>20249796.445430167</c:v>
                </c:pt>
                <c:pt idx="96">
                  <c:v>20465219.811870914</c:v>
                </c:pt>
                <c:pt idx="97">
                  <c:v>20680643.178311661</c:v>
                </c:pt>
                <c:pt idx="98">
                  <c:v>20896066.544752408</c:v>
                </c:pt>
                <c:pt idx="99">
                  <c:v>21111489.911193155</c:v>
                </c:pt>
                <c:pt idx="100">
                  <c:v>21326913.277633902</c:v>
                </c:pt>
                <c:pt idx="101">
                  <c:v>21542336.644074649</c:v>
                </c:pt>
                <c:pt idx="102">
                  <c:v>21757760.010515392</c:v>
                </c:pt>
                <c:pt idx="103">
                  <c:v>21973183.376956139</c:v>
                </c:pt>
                <c:pt idx="104">
                  <c:v>22188606.743396886</c:v>
                </c:pt>
                <c:pt idx="105">
                  <c:v>22404030.109837633</c:v>
                </c:pt>
                <c:pt idx="106">
                  <c:v>22619453.47627838</c:v>
                </c:pt>
                <c:pt idx="107">
                  <c:v>22834876.842719126</c:v>
                </c:pt>
                <c:pt idx="108">
                  <c:v>23050300.209159873</c:v>
                </c:pt>
                <c:pt idx="109">
                  <c:v>23265723.57560062</c:v>
                </c:pt>
                <c:pt idx="110">
                  <c:v>23481146.942041367</c:v>
                </c:pt>
                <c:pt idx="111">
                  <c:v>23696570.308482111</c:v>
                </c:pt>
                <c:pt idx="112">
                  <c:v>23911993.674922857</c:v>
                </c:pt>
                <c:pt idx="113">
                  <c:v>24127417.041363604</c:v>
                </c:pt>
                <c:pt idx="114">
                  <c:v>24342840.407804351</c:v>
                </c:pt>
                <c:pt idx="115">
                  <c:v>24558263.774245098</c:v>
                </c:pt>
              </c:numCache>
            </c:numRef>
          </c:xVal>
          <c:yVal>
            <c:numRef>
              <c:f>'verquvo Sample curve'!$L$34:$L$149</c:f>
              <c:numCache>
                <c:formatCode>#,##0_);\(#,##0\)</c:formatCode>
                <c:ptCount val="116"/>
                <c:pt idx="0">
                  <c:v>0</c:v>
                </c:pt>
                <c:pt idx="1">
                  <c:v>1218.0010144690102</c:v>
                </c:pt>
                <c:pt idx="2">
                  <c:v>2440.2037590616237</c:v>
                </c:pt>
                <c:pt idx="3">
                  <c:v>3666.6082337778407</c:v>
                </c:pt>
                <c:pt idx="4">
                  <c:v>4897.2144386176615</c:v>
                </c:pt>
                <c:pt idx="5">
                  <c:v>5514.0931898339222</c:v>
                </c:pt>
                <c:pt idx="6">
                  <c:v>6132.022373581085</c:v>
                </c:pt>
                <c:pt idx="7">
                  <c:v>7371.0320386681105</c:v>
                </c:pt>
                <c:pt idx="8">
                  <c:v>8614.2434338787425</c:v>
                </c:pt>
                <c:pt idx="9">
                  <c:v>9861.6565592129755</c:v>
                </c:pt>
                <c:pt idx="10">
                  <c:v>11113.271414670811</c:v>
                </c:pt>
                <c:pt idx="11">
                  <c:v>12369.088000252254</c:v>
                </c:pt>
                <c:pt idx="12">
                  <c:v>13629.106315957297</c:v>
                </c:pt>
                <c:pt idx="13">
                  <c:v>14893.326361785943</c:v>
                </c:pt>
                <c:pt idx="14">
                  <c:v>16161.748137738196</c:v>
                </c:pt>
                <c:pt idx="15">
                  <c:v>17434.371643814051</c:v>
                </c:pt>
                <c:pt idx="16">
                  <c:v>18711.196880013504</c:v>
                </c:pt>
                <c:pt idx="17">
                  <c:v>19992.223846336568</c:v>
                </c:pt>
                <c:pt idx="18">
                  <c:v>21277.452542783234</c:v>
                </c:pt>
                <c:pt idx="19">
                  <c:v>22566.882969353497</c:v>
                </c:pt>
                <c:pt idx="20">
                  <c:v>23860.515126047365</c:v>
                </c:pt>
                <c:pt idx="21">
                  <c:v>25158.349012864841</c:v>
                </c:pt>
                <c:pt idx="22">
                  <c:v>26460.384629805914</c:v>
                </c:pt>
                <c:pt idx="23">
                  <c:v>27766.621976870596</c:v>
                </c:pt>
                <c:pt idx="24">
                  <c:v>29077.061054058882</c:v>
                </c:pt>
                <c:pt idx="25">
                  <c:v>30391.70186137077</c:v>
                </c:pt>
                <c:pt idx="26">
                  <c:v>31710.544398806262</c:v>
                </c:pt>
                <c:pt idx="27">
                  <c:v>33033.588666365351</c:v>
                </c:pt>
                <c:pt idx="28">
                  <c:v>34360.834664048052</c:v>
                </c:pt>
                <c:pt idx="29">
                  <c:v>35692.282391854358</c:v>
                </c:pt>
                <c:pt idx="30">
                  <c:v>37027.931849784261</c:v>
                </c:pt>
                <c:pt idx="31">
                  <c:v>38367.783037837769</c:v>
                </c:pt>
                <c:pt idx="32">
                  <c:v>39711.835956014882</c:v>
                </c:pt>
                <c:pt idx="33">
                  <c:v>41060.090604315599</c:v>
                </c:pt>
                <c:pt idx="34">
                  <c:v>42412.546982739907</c:v>
                </c:pt>
                <c:pt idx="35">
                  <c:v>43769.205091287833</c:v>
                </c:pt>
                <c:pt idx="36">
                  <c:v>45130.064929959357</c:v>
                </c:pt>
                <c:pt idx="37">
                  <c:v>46495.126498754478</c:v>
                </c:pt>
                <c:pt idx="38">
                  <c:v>47864.389797673211</c:v>
                </c:pt>
                <c:pt idx="39">
                  <c:v>49237.854826715557</c:v>
                </c:pt>
                <c:pt idx="40">
                  <c:v>50615.521585881499</c:v>
                </c:pt>
                <c:pt idx="41">
                  <c:v>51997.390075171024</c:v>
                </c:pt>
                <c:pt idx="42">
                  <c:v>53383.460294584183</c:v>
                </c:pt>
                <c:pt idx="43">
                  <c:v>54773.732244120918</c:v>
                </c:pt>
                <c:pt idx="44">
                  <c:v>56168.205923781279</c:v>
                </c:pt>
                <c:pt idx="45">
                  <c:v>57566.881333565223</c:v>
                </c:pt>
                <c:pt idx="46">
                  <c:v>58969.758473472793</c:v>
                </c:pt>
                <c:pt idx="47">
                  <c:v>60376.837343503939</c:v>
                </c:pt>
                <c:pt idx="48">
                  <c:v>61788.117943658719</c:v>
                </c:pt>
                <c:pt idx="49">
                  <c:v>63203.600273937074</c:v>
                </c:pt>
                <c:pt idx="50">
                  <c:v>64623.284334339056</c:v>
                </c:pt>
                <c:pt idx="51">
                  <c:v>66047.170124864628</c:v>
                </c:pt>
                <c:pt idx="52">
                  <c:v>67475.257645513804</c:v>
                </c:pt>
                <c:pt idx="53">
                  <c:v>68907.546896286585</c:v>
                </c:pt>
                <c:pt idx="54">
                  <c:v>70344.037877182971</c:v>
                </c:pt>
                <c:pt idx="55">
                  <c:v>71784.730588202947</c:v>
                </c:pt>
                <c:pt idx="56">
                  <c:v>73229.625029346556</c:v>
                </c:pt>
                <c:pt idx="57">
                  <c:v>74678.721200613756</c:v>
                </c:pt>
                <c:pt idx="58">
                  <c:v>76132.019102004546</c:v>
                </c:pt>
                <c:pt idx="59">
                  <c:v>77589.518733518955</c:v>
                </c:pt>
                <c:pt idx="60">
                  <c:v>79051.220095156954</c:v>
                </c:pt>
                <c:pt idx="61">
                  <c:v>80517.123186918558</c:v>
                </c:pt>
                <c:pt idx="62">
                  <c:v>81987.228008803766</c:v>
                </c:pt>
                <c:pt idx="63">
                  <c:v>83461.534560812594</c:v>
                </c:pt>
                <c:pt idx="64">
                  <c:v>84940.042842944982</c:v>
                </c:pt>
                <c:pt idx="65">
                  <c:v>86422.752855201019</c:v>
                </c:pt>
                <c:pt idx="66">
                  <c:v>87909.66459758066</c:v>
                </c:pt>
                <c:pt idx="67">
                  <c:v>89400.778070083892</c:v>
                </c:pt>
                <c:pt idx="68">
                  <c:v>90896.093272710714</c:v>
                </c:pt>
                <c:pt idx="69">
                  <c:v>92395.61020546114</c:v>
                </c:pt>
                <c:pt idx="70">
                  <c:v>93899.3288683352</c:v>
                </c:pt>
                <c:pt idx="71">
                  <c:v>95407.249261332836</c:v>
                </c:pt>
                <c:pt idx="72">
                  <c:v>96919.371384454076</c:v>
                </c:pt>
                <c:pt idx="73">
                  <c:v>98435.695237698936</c:v>
                </c:pt>
                <c:pt idx="74">
                  <c:v>99956.220821067371</c:v>
                </c:pt>
                <c:pt idx="75">
                  <c:v>101480.94813455945</c:v>
                </c:pt>
                <c:pt idx="76">
                  <c:v>103009.87717817507</c:v>
                </c:pt>
                <c:pt idx="77">
                  <c:v>104543.00795191435</c:v>
                </c:pt>
                <c:pt idx="78">
                  <c:v>106080.34045577723</c:v>
                </c:pt>
                <c:pt idx="79">
                  <c:v>107621.87468976367</c:v>
                </c:pt>
                <c:pt idx="80">
                  <c:v>109167.61065387377</c:v>
                </c:pt>
                <c:pt idx="81">
                  <c:v>110717.54834810743</c:v>
                </c:pt>
                <c:pt idx="82">
                  <c:v>112271.68777246472</c:v>
                </c:pt>
                <c:pt idx="83">
                  <c:v>113830.0289269456</c:v>
                </c:pt>
                <c:pt idx="84">
                  <c:v>115392.57181155008</c:v>
                </c:pt>
                <c:pt idx="85">
                  <c:v>116959.31642627818</c:v>
                </c:pt>
                <c:pt idx="86">
                  <c:v>118530.26277112986</c:v>
                </c:pt>
                <c:pt idx="87">
                  <c:v>120105.41084610517</c:v>
                </c:pt>
                <c:pt idx="88">
                  <c:v>121684.76065120407</c:v>
                </c:pt>
                <c:pt idx="89">
                  <c:v>123268.31218642656</c:v>
                </c:pt>
                <c:pt idx="90">
                  <c:v>124856.06545177267</c:v>
                </c:pt>
                <c:pt idx="91">
                  <c:v>126448.02044724239</c:v>
                </c:pt>
                <c:pt idx="92">
                  <c:v>128044.17717283568</c:v>
                </c:pt>
                <c:pt idx="93">
                  <c:v>129644.53562855262</c:v>
                </c:pt>
                <c:pt idx="94">
                  <c:v>131249.09581439313</c:v>
                </c:pt>
                <c:pt idx="95">
                  <c:v>132857.85773035724</c:v>
                </c:pt>
                <c:pt idx="96">
                  <c:v>134470.82137644498</c:v>
                </c:pt>
                <c:pt idx="97">
                  <c:v>136087.98675265632</c:v>
                </c:pt>
                <c:pt idx="98">
                  <c:v>137709.35385899124</c:v>
                </c:pt>
                <c:pt idx="99">
                  <c:v>139334.92269544976</c:v>
                </c:pt>
                <c:pt idx="100">
                  <c:v>140964.69326203194</c:v>
                </c:pt>
                <c:pt idx="101">
                  <c:v>142598.66555873764</c:v>
                </c:pt>
                <c:pt idx="102">
                  <c:v>144236.83958556701</c:v>
                </c:pt>
                <c:pt idx="103">
                  <c:v>145879.21534251995</c:v>
                </c:pt>
                <c:pt idx="104">
                  <c:v>147525.7928295965</c:v>
                </c:pt>
                <c:pt idx="105">
                  <c:v>149176.57204679665</c:v>
                </c:pt>
                <c:pt idx="106">
                  <c:v>150831.55299412043</c:v>
                </c:pt>
                <c:pt idx="107">
                  <c:v>152490.73567156779</c:v>
                </c:pt>
                <c:pt idx="108">
                  <c:v>154154.12007913875</c:v>
                </c:pt>
                <c:pt idx="109">
                  <c:v>155821.70621683332</c:v>
                </c:pt>
                <c:pt idx="110">
                  <c:v>157493.49408465149</c:v>
                </c:pt>
                <c:pt idx="111">
                  <c:v>159169.48368259327</c:v>
                </c:pt>
                <c:pt idx="112">
                  <c:v>160849.67501065866</c:v>
                </c:pt>
                <c:pt idx="113">
                  <c:v>162534.06806884761</c:v>
                </c:pt>
                <c:pt idx="114">
                  <c:v>164222.66285716018</c:v>
                </c:pt>
                <c:pt idx="115">
                  <c:v>165915.4593755964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91-4F6E-9309-B4C4A0776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490176"/>
        <c:axId val="409492096"/>
      </c:scatterChart>
      <c:valAx>
        <c:axId val="409490176"/>
        <c:scaling>
          <c:orientation val="minMax"/>
          <c:max val="20000000"/>
          <c:min val="0"/>
        </c:scaling>
        <c:delete val="0"/>
        <c:axPos val="b"/>
        <c:numFmt formatCode="_(&quot;$&quot;* #,##0_);_(&quot;$&quot;* \(#,##0\);_(&quot;$&quot;* &quot;-&quot;_);_(@_)" sourceLinked="0"/>
        <c:majorTickMark val="out"/>
        <c:minorTickMark val="none"/>
        <c:tickLblPos val="nextTo"/>
        <c:crossAx val="409492096"/>
        <c:crosses val="autoZero"/>
        <c:crossBetween val="midCat"/>
        <c:dispUnits>
          <c:builtInUnit val="millions"/>
        </c:dispUnits>
      </c:valAx>
      <c:valAx>
        <c:axId val="409492096"/>
        <c:scaling>
          <c:orientation val="minMax"/>
          <c:max val="6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Incremental</a:t>
                </a:r>
                <a:r>
                  <a:rPr lang="en-US" sz="1050" baseline="0"/>
                  <a:t> NRx (000)</a:t>
                </a:r>
                <a:endParaRPr lang="en-US" sz="1050"/>
              </a:p>
            </c:rich>
          </c:tx>
          <c:layout>
            <c:manualLayout>
              <c:xMode val="edge"/>
              <c:yMode val="edge"/>
              <c:x val="3.8711461357666253E-2"/>
              <c:y val="0.2877736988957461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09490176"/>
        <c:crosses val="autoZero"/>
        <c:crossBetween val="midCat"/>
        <c:dispUnits>
          <c:builtInUnit val="thousands"/>
        </c:dispUnits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493395</xdr:colOff>
      <xdr:row>31</xdr:row>
      <xdr:rowOff>150495</xdr:rowOff>
    </xdr:from>
    <xdr:to>
      <xdr:col>22</xdr:col>
      <xdr:colOff>1381125</xdr:colOff>
      <xdr:row>45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495300</xdr:colOff>
      <xdr:row>46</xdr:row>
      <xdr:rowOff>19050</xdr:rowOff>
    </xdr:from>
    <xdr:to>
      <xdr:col>22</xdr:col>
      <xdr:colOff>1383030</xdr:colOff>
      <xdr:row>67</xdr:row>
      <xdr:rowOff>1905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762000</xdr:colOff>
      <xdr:row>20</xdr:row>
      <xdr:rowOff>142875</xdr:rowOff>
    </xdr:from>
    <xdr:to>
      <xdr:col>28</xdr:col>
      <xdr:colOff>47625</xdr:colOff>
      <xdr:row>31</xdr:row>
      <xdr:rowOff>40043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9FC47C-D5B0-48C1-BB47-42FAD35B9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716000" y="4202906"/>
          <a:ext cx="10048875" cy="35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16</xdr:col>
      <xdr:colOff>599314</xdr:colOff>
      <xdr:row>16</xdr:row>
      <xdr:rowOff>75671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C76CB8-C6C3-9018-E911-8A85C541F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81650" y="390525"/>
          <a:ext cx="6085714" cy="4228571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2</xdr:row>
      <xdr:rowOff>0</xdr:rowOff>
    </xdr:from>
    <xdr:to>
      <xdr:col>28</xdr:col>
      <xdr:colOff>275429</xdr:colOff>
      <xdr:row>16</xdr:row>
      <xdr:rowOff>9005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62CE519-DAF6-CB4F-FAA2-03A55F4EA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87250" y="390525"/>
          <a:ext cx="6371429" cy="41619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MktMixPP/Samples%20and%20vouchers%20optimization/2024/Verquvo/VER_Samples_Estimate_with_outliers_V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Inputs/OneView/CC%20NPA%20Totals%2020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MktMixPP/2024%20Planning/Verquvo/Output/VERQUVO_HCP_yearmo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1%202023%20AB/Products/Verquvo/Budget%20Report%20for%20Verquvo%202022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MktMixPP/Samples%20and%20vouchers%20optimization/2024/Sample%20voucher%20SAP%202023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Inputs/Financial%20Inputs/Financial%20Inputs%20for%20Opt%20Tool%20(NPV%20and%20TRxNRx%20rati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AMPLE CURVES"/>
      <sheetName val="All curves"/>
      <sheetName val="GAM1-NRXCHG1"/>
      <sheetName val="GAM2-NRXCUR1"/>
      <sheetName val="QC"/>
      <sheetName val="Sheet2"/>
      <sheetName val="Model Estimate"/>
      <sheetName val="Model Insights"/>
      <sheetName val="SAMPLE STAT"/>
      <sheetName val="GAM"/>
    </sheetNames>
    <sheetDataSet>
      <sheetData sheetId="0"/>
      <sheetData sheetId="1"/>
      <sheetData sheetId="2"/>
      <sheetData sheetId="3"/>
      <sheetData sheetId="4"/>
      <sheetData sheetId="5">
        <row r="4">
          <cell r="A4" t="str">
            <v>party_id</v>
          </cell>
          <cell r="B4">
            <v>1180585</v>
          </cell>
          <cell r="K4" t="str">
            <v>party_id</v>
          </cell>
          <cell r="L4">
            <v>32090</v>
          </cell>
        </row>
        <row r="5">
          <cell r="K5" t="str">
            <v>rdtl_pre</v>
          </cell>
          <cell r="L5">
            <v>56842</v>
          </cell>
        </row>
        <row r="6">
          <cell r="K6" t="str">
            <v>nbg_pre</v>
          </cell>
          <cell r="L6">
            <v>0</v>
          </cell>
        </row>
        <row r="7">
          <cell r="K7" t="str">
            <v>rfm_pre</v>
          </cell>
          <cell r="L7">
            <v>33237</v>
          </cell>
        </row>
        <row r="8">
          <cell r="K8" t="str">
            <v>tot_det_pre</v>
          </cell>
          <cell r="L8">
            <v>90079</v>
          </cell>
        </row>
        <row r="9">
          <cell r="K9" t="str">
            <v>NRx_pre</v>
          </cell>
          <cell r="L9">
            <v>3437.98</v>
          </cell>
        </row>
        <row r="10">
          <cell r="K10" t="str">
            <v>TRx_pre</v>
          </cell>
          <cell r="L10">
            <v>5729.99</v>
          </cell>
        </row>
        <row r="11">
          <cell r="K11" t="str">
            <v>VNRx_pre</v>
          </cell>
          <cell r="L11">
            <v>100</v>
          </cell>
        </row>
        <row r="12">
          <cell r="K12" t="str">
            <v>Samples_pre</v>
          </cell>
          <cell r="L12">
            <v>1326822</v>
          </cell>
        </row>
        <row r="13">
          <cell r="K13" t="str">
            <v>mmf_pre</v>
          </cell>
          <cell r="L13">
            <v>281</v>
          </cell>
        </row>
        <row r="14">
          <cell r="K14" t="str">
            <v>MNRx_pre</v>
          </cell>
          <cell r="L14">
            <v>33373665.190000001</v>
          </cell>
        </row>
        <row r="15">
          <cell r="K15" t="str">
            <v>NPP_eng_pre</v>
          </cell>
          <cell r="L15">
            <v>79677</v>
          </cell>
        </row>
        <row r="16">
          <cell r="K16" t="str">
            <v>rdtl_cur</v>
          </cell>
          <cell r="L16">
            <v>134830</v>
          </cell>
        </row>
        <row r="17">
          <cell r="K17" t="str">
            <v>nbg_cur</v>
          </cell>
          <cell r="L17">
            <v>0</v>
          </cell>
        </row>
        <row r="18">
          <cell r="K18" t="str">
            <v>rfm_cur</v>
          </cell>
          <cell r="L18">
            <v>67403</v>
          </cell>
        </row>
        <row r="19">
          <cell r="K19" t="str">
            <v>tot_det_cur</v>
          </cell>
          <cell r="L19">
            <v>202233</v>
          </cell>
        </row>
        <row r="20">
          <cell r="K20" t="str">
            <v>NRx_cur</v>
          </cell>
          <cell r="L20">
            <v>12122.23</v>
          </cell>
        </row>
        <row r="21">
          <cell r="K21" t="str">
            <v>TRx_cur</v>
          </cell>
          <cell r="L21">
            <v>25773.599999999999</v>
          </cell>
        </row>
        <row r="22">
          <cell r="K22" t="str">
            <v>VNRx_cur</v>
          </cell>
          <cell r="L22">
            <v>334</v>
          </cell>
        </row>
        <row r="23">
          <cell r="K23" t="str">
            <v>Samples_cur</v>
          </cell>
          <cell r="L23">
            <v>2028740</v>
          </cell>
        </row>
        <row r="24">
          <cell r="K24" t="str">
            <v>mmf_cur</v>
          </cell>
          <cell r="L24">
            <v>1690</v>
          </cell>
        </row>
        <row r="25">
          <cell r="K25" t="str">
            <v>MNRx_cur</v>
          </cell>
          <cell r="L25">
            <v>34153988.259999998</v>
          </cell>
        </row>
        <row r="26">
          <cell r="K26" t="str">
            <v>NPP_eng_cur</v>
          </cell>
          <cell r="L26">
            <v>179486</v>
          </cell>
        </row>
        <row r="27">
          <cell r="K27" t="str">
            <v>PCPIND</v>
          </cell>
          <cell r="L27">
            <v>31978</v>
          </cell>
        </row>
        <row r="28">
          <cell r="K28" t="str">
            <v>Vnrx_cur_sq</v>
          </cell>
          <cell r="L28">
            <v>1350</v>
          </cell>
        </row>
        <row r="29">
          <cell r="K29" t="str">
            <v>Samples_cur_sq</v>
          </cell>
          <cell r="L29">
            <v>886306512</v>
          </cell>
        </row>
        <row r="30">
          <cell r="K30" t="str">
            <v>rdtl_cur_sq</v>
          </cell>
          <cell r="L30">
            <v>2064130</v>
          </cell>
        </row>
        <row r="31">
          <cell r="K31" t="str">
            <v>nbg_cur_sq</v>
          </cell>
          <cell r="L31">
            <v>0</v>
          </cell>
        </row>
        <row r="32">
          <cell r="K32" t="str">
            <v>rfm_cur_sq</v>
          </cell>
          <cell r="L32">
            <v>383585</v>
          </cell>
        </row>
        <row r="33">
          <cell r="K33" t="str">
            <v>tot_det_cur_sq</v>
          </cell>
          <cell r="L33">
            <v>3519157</v>
          </cell>
        </row>
        <row r="34">
          <cell r="K34" t="str">
            <v>Vnrx_cur_cub</v>
          </cell>
          <cell r="L34">
            <v>8578</v>
          </cell>
        </row>
        <row r="35">
          <cell r="K35" t="str">
            <v>Samples_cur_cub</v>
          </cell>
          <cell r="L35">
            <v>974091484352</v>
          </cell>
        </row>
        <row r="36">
          <cell r="K36" t="str">
            <v>Vnrx_cur_LN</v>
          </cell>
          <cell r="L36">
            <v>153.25414269999999</v>
          </cell>
        </row>
        <row r="37">
          <cell r="K37" t="str">
            <v>Samples_cur_LN</v>
          </cell>
          <cell r="L37">
            <v>62055.18</v>
          </cell>
        </row>
        <row r="38">
          <cell r="K38" t="str">
            <v>rdtl_cur_LN</v>
          </cell>
          <cell r="L38">
            <v>33814.74</v>
          </cell>
        </row>
        <row r="39">
          <cell r="K39" t="str">
            <v>nbg_cur_LN</v>
          </cell>
          <cell r="L39">
            <v>0</v>
          </cell>
        </row>
        <row r="40">
          <cell r="K40" t="str">
            <v>rfm_cur_LN</v>
          </cell>
          <cell r="L40">
            <v>25938.080000000002</v>
          </cell>
        </row>
        <row r="41">
          <cell r="K41" t="str">
            <v>tot_det_cur_LN</v>
          </cell>
          <cell r="L41">
            <v>46778.09</v>
          </cell>
        </row>
        <row r="42">
          <cell r="K42" t="str">
            <v>Vnrx_cur_ROOT</v>
          </cell>
          <cell r="L42">
            <v>200.48912369999999</v>
          </cell>
        </row>
        <row r="43">
          <cell r="K43" t="str">
            <v>Samples_cur_ROOT</v>
          </cell>
          <cell r="L43">
            <v>146651.93</v>
          </cell>
        </row>
        <row r="44">
          <cell r="K44" t="str">
            <v>rdtl_cur_ROOT</v>
          </cell>
          <cell r="L44">
            <v>46085.81</v>
          </cell>
        </row>
        <row r="45">
          <cell r="K45" t="str">
            <v>nbg_cur_ROOT</v>
          </cell>
          <cell r="L45">
            <v>0</v>
          </cell>
        </row>
        <row r="46">
          <cell r="K46" t="str">
            <v>rfm_cur_ROOT</v>
          </cell>
          <cell r="L46">
            <v>33879.699999999997</v>
          </cell>
        </row>
        <row r="47">
          <cell r="K47" t="str">
            <v>tot_det_cur_ROOT</v>
          </cell>
          <cell r="L47">
            <v>64441.07</v>
          </cell>
        </row>
        <row r="48">
          <cell r="K48" t="str">
            <v>NRx_chg</v>
          </cell>
          <cell r="L48">
            <v>8684.24</v>
          </cell>
        </row>
        <row r="49">
          <cell r="K49" t="str">
            <v>NRx_pre1</v>
          </cell>
          <cell r="L49">
            <v>3337.98</v>
          </cell>
        </row>
        <row r="50">
          <cell r="B50">
            <v>13517.37</v>
          </cell>
          <cell r="K50" t="str">
            <v>NRx_cur1</v>
          </cell>
          <cell r="L50">
            <v>11788.23</v>
          </cell>
        </row>
        <row r="51">
          <cell r="K51" t="str">
            <v>NRX_chg1</v>
          </cell>
          <cell r="L51">
            <v>8450.24</v>
          </cell>
        </row>
        <row r="52">
          <cell r="K52" t="str">
            <v>TOT_MMF</v>
          </cell>
          <cell r="L52">
            <v>1971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PA Totals 2022 (CSV - Pivot Re"/>
    </sheetNames>
    <sheetDataSet>
      <sheetData sheetId="0">
        <row r="146">
          <cell r="E146">
            <v>21045</v>
          </cell>
        </row>
        <row r="242">
          <cell r="E242">
            <v>867</v>
          </cell>
        </row>
        <row r="243">
          <cell r="E243">
            <v>862</v>
          </cell>
        </row>
        <row r="244">
          <cell r="E244">
            <v>1225</v>
          </cell>
        </row>
        <row r="245">
          <cell r="E245">
            <v>1169</v>
          </cell>
        </row>
        <row r="246">
          <cell r="E246">
            <v>1228</v>
          </cell>
        </row>
        <row r="247">
          <cell r="E247">
            <v>1363</v>
          </cell>
        </row>
        <row r="248">
          <cell r="E248">
            <v>1385</v>
          </cell>
        </row>
        <row r="249">
          <cell r="E249">
            <v>1472</v>
          </cell>
        </row>
        <row r="250">
          <cell r="E250">
            <v>1606</v>
          </cell>
        </row>
        <row r="251">
          <cell r="E251">
            <v>1647</v>
          </cell>
        </row>
        <row r="252">
          <cell r="E252">
            <v>1782</v>
          </cell>
        </row>
        <row r="253">
          <cell r="E253">
            <v>1866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quvo_HCP_YearMo"/>
    </sheetNames>
    <sheetDataSet>
      <sheetData sheetId="0">
        <row r="20">
          <cell r="I20">
            <v>164178</v>
          </cell>
        </row>
        <row r="21">
          <cell r="I21">
            <v>177786</v>
          </cell>
        </row>
        <row r="22">
          <cell r="I22">
            <v>166880</v>
          </cell>
        </row>
        <row r="23">
          <cell r="I23">
            <v>168658</v>
          </cell>
        </row>
        <row r="24">
          <cell r="I24">
            <v>181230</v>
          </cell>
        </row>
        <row r="25">
          <cell r="I25">
            <v>156436</v>
          </cell>
        </row>
        <row r="26">
          <cell r="I26">
            <v>209426</v>
          </cell>
        </row>
        <row r="27">
          <cell r="I27">
            <v>181062</v>
          </cell>
        </row>
        <row r="28">
          <cell r="I28">
            <v>188524</v>
          </cell>
        </row>
        <row r="29">
          <cell r="I29">
            <v>171192</v>
          </cell>
        </row>
        <row r="30">
          <cell r="I30">
            <v>152670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P Report (July)"/>
      <sheetName val="comparison"/>
      <sheetName val="Media Plans HCC"/>
      <sheetName val="Media Plans MCM_New"/>
      <sheetName val="Questions"/>
      <sheetName val="Media Plans MCM_old"/>
      <sheetName val="Sheet1"/>
      <sheetName val="Media Plans MCM"/>
    </sheetNames>
    <sheetDataSet>
      <sheetData sheetId="0"/>
      <sheetData sheetId="1">
        <row r="15">
          <cell r="G15">
            <v>1622742.56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D3">
            <v>126305.05</v>
          </cell>
        </row>
        <row r="4">
          <cell r="D4">
            <v>1361913.37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4 NPV"/>
      <sheetName val="2023 NPV"/>
      <sheetName val="2022 NPV"/>
      <sheetName val="2021 NPV"/>
      <sheetName val="2020 NPV"/>
      <sheetName val="2019 NPV"/>
      <sheetName val="2018 NPV"/>
      <sheetName val="2017 NPV"/>
      <sheetName val="2016 NPV"/>
      <sheetName val="2015 NPV"/>
    </sheetNames>
    <sheetDataSet>
      <sheetData sheetId="0">
        <row r="21">
          <cell r="E21">
            <v>12.390139201861635</v>
          </cell>
        </row>
        <row r="23">
          <cell r="E23">
            <v>13.256895257474261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26" dT="2022-08-25T18:06:00.15" personId="{00000000-0000-0000-0000-000000000000}" id="{4AC9103E-3C36-4BDE-9948-8A80AAB39DBF}">
    <text>Taking from MMX data (Feb22-Jan22)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FF00"/>
    <pageSetUpPr autoPageBreaks="0"/>
  </sheetPr>
  <dimension ref="A1:AJ149"/>
  <sheetViews>
    <sheetView showGridLines="0" tabSelected="1" topLeftCell="M1" zoomScale="80" zoomScaleNormal="80" workbookViewId="0">
      <selection activeCell="W16" sqref="W16:X16"/>
    </sheetView>
  </sheetViews>
  <sheetFormatPr defaultColWidth="8.85546875" defaultRowHeight="12.75" x14ac:dyDescent="0.25"/>
  <cols>
    <col min="1" max="1" width="3.85546875" style="3" customWidth="1"/>
    <col min="2" max="2" width="2" style="3" customWidth="1"/>
    <col min="3" max="3" width="10.140625" style="3" bestFit="1" customWidth="1"/>
    <col min="4" max="4" width="20.5703125" style="3" bestFit="1" customWidth="1"/>
    <col min="5" max="5" width="19.42578125" style="3" customWidth="1"/>
    <col min="6" max="6" width="10.140625" style="3" customWidth="1"/>
    <col min="7" max="7" width="11.7109375" style="3" customWidth="1"/>
    <col min="8" max="8" width="14.28515625" style="3" bestFit="1" customWidth="1"/>
    <col min="9" max="9" width="13.5703125" style="3" bestFit="1" customWidth="1"/>
    <col min="10" max="11" width="12.28515625" style="3" bestFit="1" customWidth="1"/>
    <col min="12" max="13" width="12.42578125" style="3" customWidth="1"/>
    <col min="14" max="14" width="15.5703125" style="3" bestFit="1" customWidth="1"/>
    <col min="15" max="15" width="15.5703125" style="3" customWidth="1"/>
    <col min="16" max="16" width="7.140625" style="3" customWidth="1"/>
    <col min="17" max="17" width="15.7109375" style="3" customWidth="1"/>
    <col min="18" max="18" width="14.85546875" style="3" customWidth="1"/>
    <col min="19" max="19" width="14.140625" style="3" customWidth="1"/>
    <col min="20" max="20" width="8.85546875" style="3"/>
    <col min="21" max="21" width="16.28515625" style="3" customWidth="1"/>
    <col min="22" max="22" width="8.85546875" style="3"/>
    <col min="23" max="23" width="5" style="3" customWidth="1"/>
    <col min="24" max="24" width="13.85546875" style="3" customWidth="1"/>
    <col min="25" max="25" width="11.28515625" style="3" bestFit="1" customWidth="1"/>
    <col min="26" max="26" width="8.85546875" style="3"/>
    <col min="27" max="27" width="22.140625" style="3" customWidth="1"/>
    <col min="28" max="28" width="10" style="3" customWidth="1"/>
    <col min="29" max="29" width="11" style="3" bestFit="1" customWidth="1"/>
    <col min="30" max="16384" width="8.85546875" style="3"/>
  </cols>
  <sheetData>
    <row r="1" spans="1:36" ht="19.5" customHeight="1" x14ac:dyDescent="0.25">
      <c r="C1" s="241" t="s">
        <v>62</v>
      </c>
      <c r="D1" s="241"/>
      <c r="E1" s="241"/>
      <c r="F1" s="241"/>
      <c r="G1" s="241"/>
      <c r="H1" s="241"/>
      <c r="I1" s="241"/>
      <c r="J1" s="241"/>
      <c r="K1" s="241"/>
      <c r="L1" s="241"/>
    </row>
    <row r="2" spans="1:36" x14ac:dyDescent="0.25">
      <c r="C2" s="241" t="s">
        <v>10</v>
      </c>
      <c r="D2" s="241"/>
      <c r="E2" s="241"/>
      <c r="F2" s="241"/>
      <c r="G2" s="241"/>
      <c r="H2" s="241"/>
      <c r="I2" s="241"/>
      <c r="J2" s="241"/>
      <c r="K2" s="241"/>
      <c r="L2" s="241"/>
      <c r="Q2" s="78" t="s">
        <v>57</v>
      </c>
      <c r="R2" s="78" t="s">
        <v>60</v>
      </c>
      <c r="S2" s="78" t="s">
        <v>61</v>
      </c>
      <c r="U2" s="163" t="s">
        <v>106</v>
      </c>
      <c r="V2" s="163">
        <v>2022</v>
      </c>
      <c r="X2" s="226" t="s">
        <v>153</v>
      </c>
      <c r="Y2" s="244" t="s">
        <v>155</v>
      </c>
      <c r="Z2" s="244"/>
      <c r="AA2" s="244"/>
    </row>
    <row r="3" spans="1:36" ht="15" customHeight="1" x14ac:dyDescent="0.25">
      <c r="C3" s="241" t="s">
        <v>44</v>
      </c>
      <c r="D3" s="241"/>
      <c r="E3" s="241"/>
      <c r="F3" s="241"/>
      <c r="G3" s="241"/>
      <c r="H3" s="241"/>
      <c r="I3" s="241"/>
      <c r="J3" s="241"/>
      <c r="K3" s="241"/>
      <c r="L3" s="241"/>
      <c r="M3" s="3">
        <v>2.9299999999999999E-3</v>
      </c>
      <c r="N3" s="134"/>
      <c r="O3" s="167"/>
      <c r="Q3" s="78" t="s">
        <v>58</v>
      </c>
      <c r="R3" s="133">
        <f>SUMIFS($O$9:$O$20,$B$9:$B$20,"Samples",$O$9:$O$20,"&gt;0")/Q9</f>
        <v>0.54231244186035477</v>
      </c>
      <c r="S3" s="133">
        <f>SUMIFS($O$9:$O$20,$B$9:$B$20,"Samples",$O$9:$O$20,"&gt;0")/Q10</f>
        <v>0.47293991334937852</v>
      </c>
      <c r="U3" s="164">
        <v>0.16600000000000001</v>
      </c>
      <c r="V3" s="165">
        <v>0.8163444440625931</v>
      </c>
      <c r="X3" s="243" t="s">
        <v>154</v>
      </c>
      <c r="Y3" s="243"/>
      <c r="Z3" s="243"/>
      <c r="AA3" s="243"/>
      <c r="AB3" s="243"/>
      <c r="AC3" s="243"/>
      <c r="AD3" s="243"/>
      <c r="AE3" s="243"/>
      <c r="AF3" s="243"/>
      <c r="AG3" s="243"/>
      <c r="AH3" s="243"/>
      <c r="AI3" s="243"/>
      <c r="AJ3" s="243"/>
    </row>
    <row r="4" spans="1:36" ht="15" customHeight="1" x14ac:dyDescent="0.25">
      <c r="C4" s="241" t="s">
        <v>7</v>
      </c>
      <c r="D4" s="241"/>
      <c r="E4" s="241"/>
      <c r="F4" s="241"/>
      <c r="G4" s="241"/>
      <c r="H4" s="241"/>
      <c r="I4" s="241"/>
      <c r="J4" s="241"/>
      <c r="K4" s="241"/>
      <c r="L4" s="241"/>
      <c r="M4" s="3">
        <v>5.0625330000000003E-7</v>
      </c>
      <c r="O4" s="134"/>
      <c r="Q4" s="78" t="s">
        <v>59</v>
      </c>
      <c r="R4" s="79">
        <f>($G$12*$N$12)/Q9</f>
        <v>0.33830649385022182</v>
      </c>
      <c r="S4" s="79">
        <f>($G$12*$N$12)/Q10</f>
        <v>0.2950303764711627</v>
      </c>
      <c r="U4" s="164">
        <v>0.20799999999999999</v>
      </c>
      <c r="V4" s="165">
        <v>0.29494904575343095</v>
      </c>
      <c r="X4" s="243"/>
      <c r="Y4" s="243"/>
      <c r="Z4" s="243"/>
      <c r="AA4" s="243"/>
      <c r="AB4" s="243"/>
      <c r="AC4" s="243"/>
      <c r="AD4" s="243"/>
      <c r="AE4" s="243"/>
      <c r="AF4" s="243"/>
      <c r="AG4" s="243"/>
      <c r="AH4" s="243"/>
      <c r="AI4" s="243"/>
      <c r="AJ4" s="243"/>
    </row>
    <row r="5" spans="1:36" ht="12.95" customHeight="1" x14ac:dyDescent="0.25">
      <c r="C5" s="242" t="s">
        <v>22</v>
      </c>
      <c r="D5" s="242"/>
      <c r="E5" s="242"/>
      <c r="F5" s="242"/>
      <c r="G5" s="242"/>
      <c r="H5" s="242"/>
      <c r="I5" s="242"/>
      <c r="J5" s="242"/>
      <c r="K5" s="242"/>
      <c r="L5" s="242"/>
      <c r="X5" s="243"/>
      <c r="Y5" s="243"/>
      <c r="Z5" s="243"/>
      <c r="AA5" s="243"/>
      <c r="AB5" s="243"/>
      <c r="AC5" s="243"/>
      <c r="AD5" s="243"/>
      <c r="AE5" s="243"/>
      <c r="AF5" s="243"/>
      <c r="AG5" s="243"/>
      <c r="AH5" s="243"/>
      <c r="AI5" s="243"/>
      <c r="AJ5" s="243"/>
    </row>
    <row r="6" spans="1:36" ht="12.95" customHeight="1" x14ac:dyDescent="0.25">
      <c r="C6" s="118" t="s">
        <v>25</v>
      </c>
      <c r="D6" s="118" t="s">
        <v>71</v>
      </c>
      <c r="E6" s="245" t="str">
        <f>VLOOKUP(D6,' Model Estimate'!$M$4:$O$13,3,0)</f>
        <v>Square with PCPIND Model</v>
      </c>
      <c r="F6" s="245"/>
      <c r="G6" s="81"/>
      <c r="H6" s="81"/>
      <c r="I6" s="81"/>
      <c r="J6" s="81"/>
      <c r="K6" s="81"/>
      <c r="L6" s="81"/>
      <c r="X6" s="243"/>
      <c r="Y6" s="243"/>
      <c r="Z6" s="243"/>
      <c r="AA6" s="243"/>
      <c r="AB6" s="243"/>
      <c r="AC6" s="243"/>
      <c r="AD6" s="243"/>
      <c r="AE6" s="243"/>
      <c r="AF6" s="243"/>
      <c r="AG6" s="243"/>
      <c r="AH6" s="243"/>
      <c r="AI6" s="243"/>
      <c r="AJ6" s="243"/>
    </row>
    <row r="7" spans="1:36" x14ac:dyDescent="0.25">
      <c r="F7" s="3">
        <v>2</v>
      </c>
      <c r="G7" s="3">
        <v>3</v>
      </c>
      <c r="H7" s="3">
        <v>4</v>
      </c>
      <c r="I7" s="3">
        <v>5</v>
      </c>
      <c r="J7" s="3">
        <v>6</v>
      </c>
      <c r="K7" s="3">
        <v>7</v>
      </c>
      <c r="L7" s="3">
        <v>8</v>
      </c>
      <c r="M7" s="3">
        <v>9</v>
      </c>
      <c r="N7" s="3">
        <v>10</v>
      </c>
    </row>
    <row r="8" spans="1:36" ht="41.45" customHeight="1" x14ac:dyDescent="0.2">
      <c r="C8" s="121" t="s">
        <v>25</v>
      </c>
      <c r="D8" s="121" t="s">
        <v>26</v>
      </c>
      <c r="E8" s="121" t="s">
        <v>27</v>
      </c>
      <c r="F8" s="121" t="s">
        <v>28</v>
      </c>
      <c r="G8" s="121" t="s">
        <v>53</v>
      </c>
      <c r="H8" s="121" t="s">
        <v>54</v>
      </c>
      <c r="I8" s="121" t="s">
        <v>35</v>
      </c>
      <c r="J8" s="121" t="s">
        <v>36</v>
      </c>
      <c r="K8" s="121" t="s">
        <v>55</v>
      </c>
      <c r="L8" s="247" t="s">
        <v>56</v>
      </c>
      <c r="M8" s="248"/>
      <c r="N8" s="121" t="s">
        <v>47</v>
      </c>
      <c r="O8" s="121" t="s">
        <v>94</v>
      </c>
      <c r="Q8" s="1" t="s">
        <v>67</v>
      </c>
      <c r="R8" s="1" t="s">
        <v>1</v>
      </c>
      <c r="S8" s="1" t="s">
        <v>66</v>
      </c>
      <c r="T8" s="1" t="s">
        <v>2</v>
      </c>
      <c r="W8" s="66" t="s">
        <v>158</v>
      </c>
      <c r="X8" s="66"/>
      <c r="Y8" s="66"/>
      <c r="Z8" s="66"/>
      <c r="AA8" s="66"/>
      <c r="AB8" s="66"/>
      <c r="AC8" s="66"/>
    </row>
    <row r="9" spans="1:36" ht="15" customHeight="1" x14ac:dyDescent="0.2">
      <c r="A9" s="131" t="str">
        <f>_xlfn.CONCAT(C9,E9)</f>
        <v>Model: M34Intercept</v>
      </c>
      <c r="B9" s="131" t="str">
        <f>LEFT(E9,7)</f>
        <v>Interce</v>
      </c>
      <c r="C9" s="195" t="str">
        <f>$D$6</f>
        <v>Model: M34</v>
      </c>
      <c r="D9" s="125" t="str">
        <f>VLOOKUP(C9,' Model Estimate'!$M$4:$O$13,2,0)</f>
        <v xml:space="preserve"> NRX_CUR1 </v>
      </c>
      <c r="E9" s="197" t="s">
        <v>13</v>
      </c>
      <c r="F9" s="170">
        <f>_xlfn.IFNA(VLOOKUP($A9,' Model Estimate'!$A$6:$J$50,3,0)," ")</f>
        <v>1</v>
      </c>
      <c r="G9" s="188">
        <f>_xlfn.IFNA(VLOOKUP($A9,' Model Estimate'!$A$6:$J$150,4,0),0)</f>
        <v>-0.20738999999999999</v>
      </c>
      <c r="H9" s="188">
        <f>_xlfn.IFNA(VLOOKUP($A9,' Model Estimate'!$A$6:$J$150,5,0),0)</f>
        <v>0.1338</v>
      </c>
      <c r="I9" s="188">
        <f>_xlfn.IFNA(VLOOKUP($A9,' Model Estimate'!$A$6:$J$150,6,0),0)</f>
        <v>-1.55</v>
      </c>
      <c r="J9" s="191">
        <f>_xlfn.IFNA(VLOOKUP($A9,' Model Estimate'!$A$6:$J$150,7,0)," ")</f>
        <v>0.1212</v>
      </c>
      <c r="K9" s="188">
        <v>0</v>
      </c>
      <c r="L9" s="128">
        <f>_xlfn.IFNA(VLOOKUP($A9,' Model Estimate'!$A$6:$J$150,9,0)," ")</f>
        <v>-0.42748000000000003</v>
      </c>
      <c r="M9" s="128">
        <f>_xlfn.IFNA(VLOOKUP($A9,' Model Estimate'!$A$6:$J$150,8,0)," ")</f>
        <v>0</v>
      </c>
      <c r="N9" s="186"/>
      <c r="O9" s="129">
        <f>IFERROR(G9*N9," ")</f>
        <v>0</v>
      </c>
      <c r="P9" s="76" t="s">
        <v>45</v>
      </c>
      <c r="Q9" s="82">
        <f>[1]QC!$L$50</f>
        <v>11788.23</v>
      </c>
      <c r="R9" s="4">
        <f>[1]QC!$L$4</f>
        <v>32090</v>
      </c>
      <c r="S9" s="5">
        <f>Q9/R9</f>
        <v>0.36734901838578993</v>
      </c>
      <c r="T9" s="1" t="s">
        <v>11</v>
      </c>
      <c r="W9" s="66" t="s">
        <v>159</v>
      </c>
      <c r="X9" s="66"/>
      <c r="Y9" s="66"/>
      <c r="Z9" s="66"/>
      <c r="AA9" s="66"/>
      <c r="AB9" s="66"/>
      <c r="AC9" s="66"/>
    </row>
    <row r="10" spans="1:36" ht="15" customHeight="1" x14ac:dyDescent="0.2">
      <c r="A10" s="131" t="str">
        <f t="shared" ref="A10:A20" si="0">_xlfn.CONCAT(C10,E10)</f>
        <v>Model: M34NRx_pre1</v>
      </c>
      <c r="B10" s="131" t="str">
        <f t="shared" ref="B10:B20" si="1">LEFT(E10,7)</f>
        <v>NRx_pre</v>
      </c>
      <c r="C10" s="194" t="str">
        <f t="shared" ref="C10:C21" si="2">$D$6</f>
        <v>Model: M34</v>
      </c>
      <c r="D10" s="126" t="str">
        <f>VLOOKUP(C10,' Model Estimate'!$M$4:$O$13,2,0)</f>
        <v xml:space="preserve"> NRX_CUR1 </v>
      </c>
      <c r="E10" s="119" t="s">
        <v>39</v>
      </c>
      <c r="F10" s="171">
        <f>_xlfn.IFNA(VLOOKUP($A10,' Model Estimate'!$A$6:$J$50,3,0)," ")</f>
        <v>1</v>
      </c>
      <c r="G10" s="189">
        <f>_xlfn.IFNA(VLOOKUP($A10,' Model Estimate'!$A$6:$J$150,4,0),0)</f>
        <v>1.0552999999999999</v>
      </c>
      <c r="H10" s="189">
        <f>_xlfn.IFNA(VLOOKUP($A10,' Model Estimate'!$A$6:$J$150,5,0),0)</f>
        <v>1.0359999999999999E-2</v>
      </c>
      <c r="I10" s="189">
        <f>_xlfn.IFNA(VLOOKUP($A10,' Model Estimate'!$A$6:$J$150,6,0),0)</f>
        <v>101.82</v>
      </c>
      <c r="J10" s="192">
        <f>_xlfn.IFNA(VLOOKUP($A10,' Model Estimate'!$A$6:$J$150,7,0)," ")</f>
        <v>0</v>
      </c>
      <c r="K10" s="189">
        <f>_xlfn.IFNA(VLOOKUP($A10,' Model Estimate'!$A$6:$J$150,8,0),0)</f>
        <v>1.1650700000000001</v>
      </c>
      <c r="L10" s="168">
        <f>_xlfn.IFNA(VLOOKUP($A10,' Model Estimate'!$A$6:$J$150,9,0)," ")</f>
        <v>1.0382499999999999</v>
      </c>
      <c r="M10" s="168">
        <f>_xlfn.IFNA(VLOOKUP($A10,' Model Estimate'!$A$6:$J$150,8,0)," ")</f>
        <v>1.1650700000000001</v>
      </c>
      <c r="N10" s="123"/>
      <c r="O10" s="130">
        <f t="shared" ref="O10:O21" si="3">IFERROR(G10*N10," ")</f>
        <v>0</v>
      </c>
      <c r="P10" s="76" t="s">
        <v>46</v>
      </c>
      <c r="Q10" s="82">
        <f>[1]QC!$B$50</f>
        <v>13517.37</v>
      </c>
      <c r="R10" s="4">
        <f>[1]QC!$B$4</f>
        <v>1180585</v>
      </c>
      <c r="S10" s="5">
        <f>Q10/R10</f>
        <v>1.1449721959875824E-2</v>
      </c>
      <c r="W10" s="66" t="s">
        <v>29</v>
      </c>
      <c r="X10" s="66"/>
      <c r="Y10" s="66"/>
      <c r="Z10" s="66"/>
      <c r="AA10" s="66"/>
      <c r="AB10" s="66"/>
      <c r="AC10" s="66"/>
    </row>
    <row r="11" spans="1:36" ht="15" customHeight="1" x14ac:dyDescent="0.2">
      <c r="A11" s="131" t="str">
        <f t="shared" si="0"/>
        <v>Model: M34VNRx_cur</v>
      </c>
      <c r="B11" s="131" t="str">
        <f t="shared" si="1"/>
        <v>VNRx_cu</v>
      </c>
      <c r="C11" s="194" t="str">
        <f t="shared" si="2"/>
        <v>Model: M34</v>
      </c>
      <c r="D11" s="126" t="str">
        <f>VLOOKUP(C11,' Model Estimate'!$M$4:$O$13,2,0)</f>
        <v xml:space="preserve"> NRX_CUR1 </v>
      </c>
      <c r="E11" s="119" t="s">
        <v>40</v>
      </c>
      <c r="F11" s="171" t="str">
        <f>_xlfn.IFNA(VLOOKUP($A11,' Model Estimate'!$A$6:$J$50,3,0)," ")</f>
        <v xml:space="preserve"> </v>
      </c>
      <c r="G11" s="189">
        <f>_xlfn.IFNA(VLOOKUP($A11,' Model Estimate'!$A$6:$J$150,4,0),0)</f>
        <v>1.0328900000000001</v>
      </c>
      <c r="H11" s="189">
        <f>_xlfn.IFNA(VLOOKUP($A11,' Model Estimate'!$A$6:$J$150,5,0),0)</f>
        <v>4.0070000000000001E-2</v>
      </c>
      <c r="I11" s="189">
        <f>_xlfn.IFNA(VLOOKUP($A11,' Model Estimate'!$A$6:$J$150,6,0),0)</f>
        <v>25.77</v>
      </c>
      <c r="J11" s="192">
        <f>_xlfn.IFNA(VLOOKUP($A11,' Model Estimate'!$A$6:$J$150,7,0)," ")</f>
        <v>0</v>
      </c>
      <c r="K11" s="189">
        <f>_xlfn.IFNA(VLOOKUP($A11,' Model Estimate'!$A$6:$J$150,8,0),0)</f>
        <v>1.0799700000000001</v>
      </c>
      <c r="L11" s="168">
        <f>_xlfn.IFNA(VLOOKUP($A11,' Model Estimate'!$A$6:$J$150,9,0)," ")</f>
        <v>0.96697</v>
      </c>
      <c r="M11" s="168">
        <f>_xlfn.IFNA(VLOOKUP($A11,' Model Estimate'!$A$6:$J$150,8,0)," ")</f>
        <v>1.0799700000000001</v>
      </c>
      <c r="N11" s="123">
        <f>VLOOKUP(E11,[1]QC!$K$4:$L$52,2,0)</f>
        <v>334</v>
      </c>
      <c r="O11" s="130">
        <f t="shared" si="3"/>
        <v>344.98526000000004</v>
      </c>
      <c r="Q11" s="6"/>
      <c r="W11" s="66" t="s">
        <v>157</v>
      </c>
      <c r="X11" s="66"/>
      <c r="Y11" s="66"/>
      <c r="Z11" s="66"/>
      <c r="AA11" s="66"/>
      <c r="AB11" s="66"/>
      <c r="AC11" s="66"/>
    </row>
    <row r="12" spans="1:36" ht="15" customHeight="1" x14ac:dyDescent="0.2">
      <c r="A12" s="131" t="str">
        <f t="shared" si="0"/>
        <v>Model: M34tot_det_cur</v>
      </c>
      <c r="B12" s="131" t="str">
        <f t="shared" si="1"/>
        <v>tot_det</v>
      </c>
      <c r="C12" s="194" t="str">
        <f t="shared" si="2"/>
        <v>Model: M34</v>
      </c>
      <c r="D12" s="126" t="str">
        <f>VLOOKUP(C12,' Model Estimate'!$M$4:$O$13,2,0)</f>
        <v xml:space="preserve"> NRX_CUR1 </v>
      </c>
      <c r="E12" s="119" t="s">
        <v>41</v>
      </c>
      <c r="F12" s="171" t="str">
        <f>_xlfn.IFNA(VLOOKUP($A12,' Model Estimate'!$A$6:$J$50,3,0)," ")</f>
        <v xml:space="preserve"> </v>
      </c>
      <c r="G12" s="189">
        <f>_xlfn.IFNA(VLOOKUP($A12,' Model Estimate'!$A$6:$J$150,4,0),0)</f>
        <v>1.9720000000000001E-2</v>
      </c>
      <c r="H12" s="189">
        <f>_xlfn.IFNA(VLOOKUP($A12,' Model Estimate'!$A$6:$J$150,5,0),0)</f>
        <v>1.1299999999999999E-3</v>
      </c>
      <c r="I12" s="189">
        <f>_xlfn.IFNA(VLOOKUP($A12,' Model Estimate'!$A$6:$J$150,6,0),0)</f>
        <v>17.440000000000001</v>
      </c>
      <c r="J12" s="192">
        <f>_xlfn.IFNA(VLOOKUP($A12,' Model Estimate'!$A$6:$J$150,7,0)," ")</f>
        <v>0</v>
      </c>
      <c r="K12" s="189">
        <f>_xlfn.IFNA(VLOOKUP($A12,' Model Estimate'!$A$6:$J$150,8,0),0)</f>
        <v>1.4336599999999999</v>
      </c>
      <c r="L12" s="168">
        <f>_xlfn.IFNA(VLOOKUP($A12,' Model Estimate'!$A$6:$J$150,9,0)," ")</f>
        <v>1.7860000000000001E-2</v>
      </c>
      <c r="M12" s="168">
        <f>_xlfn.IFNA(VLOOKUP($A12,' Model Estimate'!$A$6:$J$150,8,0)," ")</f>
        <v>1.4336599999999999</v>
      </c>
      <c r="N12" s="123">
        <f>VLOOKUP(E12,[1]QC!$K$4:$L$52,2,0)</f>
        <v>202233</v>
      </c>
      <c r="O12" s="130">
        <f t="shared" si="3"/>
        <v>3988.0347600000005</v>
      </c>
      <c r="Q12" s="7"/>
      <c r="R12" s="73"/>
      <c r="W12" s="66"/>
      <c r="X12" s="66"/>
      <c r="Y12" s="66"/>
      <c r="Z12" s="66"/>
      <c r="AA12" s="66"/>
      <c r="AB12" s="66"/>
      <c r="AC12" s="66"/>
    </row>
    <row r="13" spans="1:36" ht="15" customHeight="1" x14ac:dyDescent="0.2">
      <c r="A13" s="131" t="str">
        <f t="shared" si="0"/>
        <v>Model: M34Samples_cur</v>
      </c>
      <c r="B13" s="131" t="str">
        <f t="shared" si="1"/>
        <v>Samples</v>
      </c>
      <c r="C13" s="194" t="str">
        <f t="shared" si="2"/>
        <v>Model: M34</v>
      </c>
      <c r="D13" s="126" t="str">
        <f>VLOOKUP(C13,' Model Estimate'!$M$4:$O$13,2,0)</f>
        <v xml:space="preserve"> NRX_CUR1 </v>
      </c>
      <c r="E13" s="119" t="s">
        <v>42</v>
      </c>
      <c r="F13" s="171" t="str">
        <f>_xlfn.IFNA(VLOOKUP($A13,' Model Estimate'!$A$6:$J$50,3,0)," ")</f>
        <v xml:space="preserve"> </v>
      </c>
      <c r="G13" s="189">
        <f>_xlfn.IFNA(VLOOKUP($A13,' Model Estimate'!$A$6:$J$150,4,0),0)</f>
        <v>2.9299999999999999E-3</v>
      </c>
      <c r="H13" s="189">
        <f>_xlfn.IFNA(VLOOKUP($A13,' Model Estimate'!$A$6:$J$150,5,0),0)</f>
        <v>9.2730000000000002E-5</v>
      </c>
      <c r="I13" s="189">
        <f>_xlfn.IFNA(VLOOKUP($A13,' Model Estimate'!$A$6:$J$150,6,0),0)</f>
        <v>31.61</v>
      </c>
      <c r="J13" s="192">
        <f>_xlfn.IFNA(VLOOKUP($A13,' Model Estimate'!$A$6:$J$150,7,0)," ")</f>
        <v>0</v>
      </c>
      <c r="K13" s="189">
        <f>_xlfn.IFNA(VLOOKUP($A13,' Model Estimate'!$A$6:$J$150,8,0),0)</f>
        <v>3.25562</v>
      </c>
      <c r="L13" s="168">
        <f>_xlfn.IFNA(VLOOKUP($A13,' Model Estimate'!$A$6:$J$150,9,0)," ")</f>
        <v>2.7799999999999999E-3</v>
      </c>
      <c r="M13" s="168">
        <f>_xlfn.IFNA(VLOOKUP($A13,' Model Estimate'!$A$6:$J$150,8,0)," ")</f>
        <v>3.25562</v>
      </c>
      <c r="N13" s="123">
        <f>VLOOKUP(E13,[1]QC!$K$4:$L$52,2,0)</f>
        <v>2028740</v>
      </c>
      <c r="O13" s="130">
        <f t="shared" si="3"/>
        <v>5944.2082</v>
      </c>
      <c r="P13" s="120">
        <v>2051896</v>
      </c>
      <c r="Q13" s="77" t="s">
        <v>48</v>
      </c>
      <c r="W13" s="229" t="s">
        <v>30</v>
      </c>
      <c r="X13" s="229"/>
      <c r="Y13" s="229"/>
      <c r="Z13" s="66"/>
      <c r="AA13" s="229" t="s">
        <v>31</v>
      </c>
      <c r="AB13" s="229"/>
      <c r="AC13" s="229"/>
    </row>
    <row r="14" spans="1:36" ht="15" customHeight="1" x14ac:dyDescent="0.2">
      <c r="A14" s="131" t="str">
        <f t="shared" si="0"/>
        <v>Model: M34Samples_cur_sq</v>
      </c>
      <c r="B14" s="131" t="str">
        <f t="shared" si="1"/>
        <v>Samples</v>
      </c>
      <c r="C14" s="194" t="str">
        <f t="shared" si="2"/>
        <v>Model: M34</v>
      </c>
      <c r="D14" s="126" t="str">
        <f>VLOOKUP(C14,' Model Estimate'!$M$4:$O$13,2,0)</f>
        <v xml:space="preserve"> NRX_CUR1 </v>
      </c>
      <c r="E14" s="119" t="s">
        <v>43</v>
      </c>
      <c r="F14" s="171" t="str">
        <f>_xlfn.IFNA(VLOOKUP($A14,' Model Estimate'!$A$6:$J$50,3,0)," ")</f>
        <v xml:space="preserve"> </v>
      </c>
      <c r="G14" s="189">
        <f>_xlfn.IFNA(VLOOKUP($A14,' Model Estimate'!$A$6:$J$150,4,0),0)</f>
        <v>5.0625330000000003E-7</v>
      </c>
      <c r="H14" s="189">
        <f>_xlfn.IFNA(VLOOKUP($A14,' Model Estimate'!$A$6:$J$150,5,0),0)</f>
        <v>5.5418650000000002E-8</v>
      </c>
      <c r="I14" s="189">
        <f>_xlfn.IFNA(VLOOKUP($A14,' Model Estimate'!$A$6:$J$150,6,0),0)</f>
        <v>9.14</v>
      </c>
      <c r="J14" s="192">
        <f>_xlfn.IFNA(VLOOKUP($A14,' Model Estimate'!$A$6:$J$150,7,0)," ")</f>
        <v>0</v>
      </c>
      <c r="K14" s="189">
        <f>_xlfn.IFNA(VLOOKUP($A14,' Model Estimate'!$A$6:$J$150,8,0),0)</f>
        <v>2.7660300000000002</v>
      </c>
      <c r="L14" s="168">
        <f>_xlfn.IFNA(VLOOKUP($A14,' Model Estimate'!$A$6:$J$150,9,0)," ")</f>
        <v>4.1509510000000002E-7</v>
      </c>
      <c r="M14" s="168">
        <f>_xlfn.IFNA(VLOOKUP($A14,' Model Estimate'!$A$6:$J$150,8,0)," ")</f>
        <v>2.7660300000000002</v>
      </c>
      <c r="N14" s="123">
        <f>VLOOKUP(E14,[1]QC!$K$4:$L$52,2,0)</f>
        <v>886306512</v>
      </c>
      <c r="O14" s="130">
        <f t="shared" si="3"/>
        <v>448.69559651148961</v>
      </c>
      <c r="P14" s="80"/>
      <c r="Q14" s="7"/>
      <c r="W14" s="230" t="s">
        <v>32</v>
      </c>
      <c r="X14" s="230"/>
      <c r="Y14" s="230"/>
      <c r="Z14" s="66"/>
      <c r="AA14" s="231" t="s">
        <v>33</v>
      </c>
      <c r="AB14" s="232"/>
      <c r="AC14" s="233"/>
    </row>
    <row r="15" spans="1:36" ht="15" customHeight="1" x14ac:dyDescent="0.2">
      <c r="A15" s="131" t="str">
        <f t="shared" si="0"/>
        <v>Model: M34MNRx_pre</v>
      </c>
      <c r="B15" s="131" t="str">
        <f t="shared" si="1"/>
        <v>MNRx_pr</v>
      </c>
      <c r="C15" s="194" t="str">
        <f t="shared" si="2"/>
        <v>Model: M34</v>
      </c>
      <c r="D15" s="126" t="str">
        <f>VLOOKUP(C15,' Model Estimate'!$M$4:$O$13,2,0)</f>
        <v xml:space="preserve"> NRX_CUR1 </v>
      </c>
      <c r="E15" s="119" t="s">
        <v>63</v>
      </c>
      <c r="F15" s="171" t="str">
        <f>_xlfn.IFNA(VLOOKUP($A15,' Model Estimate'!$A$6:$J$50,3,0)," ")</f>
        <v xml:space="preserve"> </v>
      </c>
      <c r="G15" s="189">
        <f>_xlfn.IFNA(VLOOKUP($A15,' Model Estimate'!$A$6:$J$150,4,0),0)</f>
        <v>1.967E-5</v>
      </c>
      <c r="H15" s="189">
        <f>_xlfn.IFNA(VLOOKUP($A15,' Model Estimate'!$A$6:$J$150,5,0),0)</f>
        <v>8.9400000000000008E-6</v>
      </c>
      <c r="I15" s="189">
        <f>_xlfn.IFNA(VLOOKUP($A15,' Model Estimate'!$A$6:$J$150,6,0),0)</f>
        <v>2.2000000000000002</v>
      </c>
      <c r="J15" s="192">
        <f>_xlfn.IFNA(VLOOKUP($A15,' Model Estimate'!$A$6:$J$150,7,0)," ")</f>
        <v>2.7799999999999998E-2</v>
      </c>
      <c r="K15" s="189">
        <f>_xlfn.IFNA(VLOOKUP($A15,' Model Estimate'!$A$6:$J$150,8,0),0)</f>
        <v>1.13618</v>
      </c>
      <c r="L15" s="168">
        <f>_xlfn.IFNA(VLOOKUP($A15,' Model Estimate'!$A$6:$J$150,9,0)," ")</f>
        <v>4.9599999999999999E-6</v>
      </c>
      <c r="M15" s="168">
        <f>_xlfn.IFNA(VLOOKUP($A15,' Model Estimate'!$A$6:$J$150,8,0)," ")</f>
        <v>1.13618</v>
      </c>
      <c r="N15" s="123">
        <f>VLOOKUP(E15,[1]QC!$K$4:$L$52,2,0)</f>
        <v>33373665.190000001</v>
      </c>
      <c r="O15" s="130">
        <f t="shared" si="3"/>
        <v>656.45999428729999</v>
      </c>
      <c r="Q15" s="7"/>
      <c r="W15" s="234" t="s">
        <v>156</v>
      </c>
      <c r="X15" s="235"/>
      <c r="Y15" s="67">
        <f>($I$30*$G$13) / $O$30</f>
        <v>5.6442352076122131E-3</v>
      </c>
      <c r="Z15" s="66"/>
      <c r="AA15" s="227" t="s">
        <v>12</v>
      </c>
      <c r="AB15" s="228"/>
      <c r="AC15" s="68">
        <f>G30</f>
        <v>13.256895257474261</v>
      </c>
    </row>
    <row r="16" spans="1:36" ht="15" customHeight="1" x14ac:dyDescent="0.2">
      <c r="A16" s="131" t="str">
        <f t="shared" si="0"/>
        <v>Model: M34TOT_MMF</v>
      </c>
      <c r="B16" s="131" t="str">
        <f t="shared" si="1"/>
        <v>TOT_MMF</v>
      </c>
      <c r="C16" s="194" t="str">
        <f t="shared" si="2"/>
        <v>Model: M34</v>
      </c>
      <c r="D16" s="126" t="str">
        <f>VLOOKUP(C16,' Model Estimate'!$M$4:$O$13,2,0)</f>
        <v xml:space="preserve"> NRX_CUR1 </v>
      </c>
      <c r="E16" s="119" t="s">
        <v>64</v>
      </c>
      <c r="F16" s="171" t="str">
        <f>_xlfn.IFNA(VLOOKUP($A16,' Model Estimate'!$A$6:$J$50,3,0)," ")</f>
        <v xml:space="preserve"> </v>
      </c>
      <c r="G16" s="189">
        <f>_xlfn.IFNA(VLOOKUP($A16,' Model Estimate'!$A$6:$J$150,4,0),0)</f>
        <v>0.11624</v>
      </c>
      <c r="H16" s="189">
        <f>_xlfn.IFNA(VLOOKUP($A16,' Model Estimate'!$A$6:$J$150,5,0),0)</f>
        <v>3.075E-2</v>
      </c>
      <c r="I16" s="189">
        <f>_xlfn.IFNA(VLOOKUP($A16,' Model Estimate'!$A$6:$J$150,6,0),0)</f>
        <v>3.78</v>
      </c>
      <c r="J16" s="192">
        <f>_xlfn.IFNA(VLOOKUP($A16,' Model Estimate'!$A$6:$J$150,7,0)," ")</f>
        <v>2.0000000000000001E-4</v>
      </c>
      <c r="K16" s="189">
        <f>_xlfn.IFNA(VLOOKUP($A16,' Model Estimate'!$A$6:$J$150,8,0),0)</f>
        <v>1.0626800000000001</v>
      </c>
      <c r="L16" s="168">
        <f>_xlfn.IFNA(VLOOKUP($A16,' Model Estimate'!$A$6:$J$150,9,0)," ")</f>
        <v>6.5659999999999996E-2</v>
      </c>
      <c r="M16" s="168">
        <f>_xlfn.IFNA(VLOOKUP($A16,' Model Estimate'!$A$6:$J$150,8,0)," ")</f>
        <v>1.0626800000000001</v>
      </c>
      <c r="N16" s="123">
        <f>VLOOKUP(E16,[1]QC!$K$4:$L$52,2,0)</f>
        <v>1971</v>
      </c>
      <c r="O16" s="130">
        <f t="shared" si="3"/>
        <v>229.10903999999999</v>
      </c>
      <c r="Q16" s="7"/>
      <c r="R16" s="246" t="s">
        <v>50</v>
      </c>
      <c r="S16" s="246"/>
      <c r="T16" s="246"/>
      <c r="W16" s="227" t="s">
        <v>160</v>
      </c>
      <c r="X16" s="228"/>
      <c r="Y16" s="69">
        <f>($I$30*$G$14) / ($O$30^2*$C$27*$N$30)</f>
        <v>4.5270213418774108E-11</v>
      </c>
      <c r="Z16" s="66"/>
      <c r="AA16" s="227" t="s">
        <v>37</v>
      </c>
      <c r="AB16" s="228"/>
      <c r="AC16" s="72">
        <f>Y15*$AC$15</f>
        <v>7.4825034955863595E-2</v>
      </c>
    </row>
    <row r="17" spans="1:29" ht="15" customHeight="1" x14ac:dyDescent="0.2">
      <c r="A17" s="131" t="str">
        <f t="shared" si="0"/>
        <v>Model: M34PCPIND</v>
      </c>
      <c r="B17" s="131" t="str">
        <f t="shared" si="1"/>
        <v>PCPIND</v>
      </c>
      <c r="C17" s="194" t="str">
        <f t="shared" si="2"/>
        <v>Model: M34</v>
      </c>
      <c r="D17" s="126" t="str">
        <f>VLOOKUP(C17,' Model Estimate'!$M$4:$O$13,2,0)</f>
        <v xml:space="preserve"> NRX_CUR1 </v>
      </c>
      <c r="E17" s="122" t="s">
        <v>86</v>
      </c>
      <c r="F17" s="171" t="str">
        <f>_xlfn.IFNA(VLOOKUP($A17,' Model Estimate'!$A$6:$J$50,3,0)," ")</f>
        <v xml:space="preserve"> </v>
      </c>
      <c r="G17" s="189">
        <f>_xlfn.IFNA(VLOOKUP($A17,' Model Estimate'!$A$6:$J$150,4,0),0)</f>
        <v>0.10340000000000001</v>
      </c>
      <c r="H17" s="189">
        <f>_xlfn.IFNA(VLOOKUP($A17,' Model Estimate'!$A$6:$J$150,5,0),0)</f>
        <v>0.13411999999999999</v>
      </c>
      <c r="I17" s="189">
        <f>_xlfn.IFNA(VLOOKUP($A17,' Model Estimate'!$A$6:$J$150,6,0),0)</f>
        <v>0.77</v>
      </c>
      <c r="J17" s="192">
        <f>_xlfn.IFNA(VLOOKUP($A17,' Model Estimate'!$A$6:$J$150,7,0)," ")</f>
        <v>0.44069999999999998</v>
      </c>
      <c r="K17" s="189">
        <f>_xlfn.IFNA(VLOOKUP($A17,' Model Estimate'!$A$6:$J$150,8,0),0)</f>
        <v>1.0026900000000001</v>
      </c>
      <c r="L17" s="168">
        <f>_xlfn.IFNA(VLOOKUP($A17,' Model Estimate'!$A$6:$J$150,9,0)," ")</f>
        <v>-0.11720999999999999</v>
      </c>
      <c r="M17" s="168">
        <f>_xlfn.IFNA(VLOOKUP($A17,' Model Estimate'!$A$6:$J$150,8,0)," ")</f>
        <v>1.0026900000000001</v>
      </c>
      <c r="N17" s="123">
        <f>VLOOKUP(E17,[1]QC!$K$4:$L$52,2,0)</f>
        <v>31978</v>
      </c>
      <c r="O17" s="130">
        <f t="shared" si="3"/>
        <v>3306.5252</v>
      </c>
      <c r="Q17" s="7"/>
      <c r="W17" s="66"/>
      <c r="X17" s="66"/>
      <c r="Y17" s="66"/>
      <c r="Z17" s="66"/>
      <c r="AA17" s="227" t="s">
        <v>34</v>
      </c>
      <c r="AB17" s="228"/>
      <c r="AC17" s="72">
        <f>Y16*$AC$15</f>
        <v>6.0014247757619407E-10</v>
      </c>
    </row>
    <row r="18" spans="1:29" ht="15" customHeight="1" x14ac:dyDescent="0.2">
      <c r="A18" s="131" t="str">
        <f t="shared" si="0"/>
        <v>Model: M34Samples_cur_cub</v>
      </c>
      <c r="B18" s="131" t="str">
        <f t="shared" si="1"/>
        <v>Samples</v>
      </c>
      <c r="C18" s="194" t="str">
        <f t="shared" si="2"/>
        <v>Model: M34</v>
      </c>
      <c r="D18" s="126" t="str">
        <f>VLOOKUP(C18,' Model Estimate'!$M$4:$O$13,2,0)</f>
        <v xml:space="preserve"> NRX_CUR1 </v>
      </c>
      <c r="E18" s="119" t="s">
        <v>92</v>
      </c>
      <c r="F18" s="171" t="str">
        <f>_xlfn.IFNA(VLOOKUP($A18,' Model Estimate'!$A$6:$J$50,3,0)," ")</f>
        <v xml:space="preserve"> </v>
      </c>
      <c r="G18" s="189">
        <f>_xlfn.IFNA(VLOOKUP($A18,' Model Estimate'!$A$6:$J$150,4,0),0)</f>
        <v>0</v>
      </c>
      <c r="H18" s="189">
        <f>_xlfn.IFNA(VLOOKUP($A18,' Model Estimate'!$A$6:$J$150,5,0),0)</f>
        <v>0</v>
      </c>
      <c r="I18" s="189">
        <f>_xlfn.IFNA(VLOOKUP($A18,' Model Estimate'!$A$6:$J$150,6,0),0)</f>
        <v>0</v>
      </c>
      <c r="J18" s="192" t="str">
        <f>_xlfn.IFNA(VLOOKUP($A18,' Model Estimate'!$A$6:$J$150,7,0)," ")</f>
        <v xml:space="preserve"> </v>
      </c>
      <c r="K18" s="189">
        <f>_xlfn.IFNA(VLOOKUP($A18,' Model Estimate'!$A$6:$J$150,8,0),0)</f>
        <v>0</v>
      </c>
      <c r="L18" s="168" t="str">
        <f>_xlfn.IFNA(VLOOKUP($A18,' Model Estimate'!$A$6:$J$150,9,0)," ")</f>
        <v xml:space="preserve"> </v>
      </c>
      <c r="M18" s="168" t="str">
        <f>_xlfn.IFNA(VLOOKUP($A18,' Model Estimate'!$A$6:$J$150,8,0)," ")</f>
        <v xml:space="preserve"> </v>
      </c>
      <c r="N18" s="123">
        <f>VLOOKUP(E18,[1]QC!$K$4:$L$52,2,0)</f>
        <v>974091484352</v>
      </c>
      <c r="O18" s="130">
        <f t="shared" si="3"/>
        <v>0</v>
      </c>
      <c r="Q18" s="8"/>
      <c r="Z18" s="66"/>
    </row>
    <row r="19" spans="1:29" ht="15" customHeight="1" x14ac:dyDescent="0.2">
      <c r="A19" s="131" t="str">
        <f t="shared" si="0"/>
        <v>Model: M34Samples_cur_LN</v>
      </c>
      <c r="B19" s="131" t="str">
        <f t="shared" si="1"/>
        <v>Samples</v>
      </c>
      <c r="C19" s="194" t="str">
        <f t="shared" si="2"/>
        <v>Model: M34</v>
      </c>
      <c r="D19" s="126" t="str">
        <f>VLOOKUP(C19,' Model Estimate'!$M$4:$O$13,2,0)</f>
        <v xml:space="preserve"> NRX_CUR1 </v>
      </c>
      <c r="E19" s="119" t="s">
        <v>89</v>
      </c>
      <c r="F19" s="171" t="str">
        <f>_xlfn.IFNA(VLOOKUP($A19,' Model Estimate'!$A$6:$J$50,3,0)," ")</f>
        <v xml:space="preserve"> </v>
      </c>
      <c r="G19" s="189">
        <f>_xlfn.IFNA(VLOOKUP($A19,' Model Estimate'!$A$6:$J$150,4,0),0)</f>
        <v>0</v>
      </c>
      <c r="H19" s="189">
        <f>_xlfn.IFNA(VLOOKUP($A19,' Model Estimate'!$A$6:$J$150,5,0),0)</f>
        <v>0</v>
      </c>
      <c r="I19" s="189">
        <f>_xlfn.IFNA(VLOOKUP($A19,' Model Estimate'!$A$6:$J$150,6,0),0)</f>
        <v>0</v>
      </c>
      <c r="J19" s="192" t="str">
        <f>_xlfn.IFNA(VLOOKUP($A19,' Model Estimate'!$A$6:$J$150,7,0)," ")</f>
        <v xml:space="preserve"> </v>
      </c>
      <c r="K19" s="189">
        <f>_xlfn.IFNA(VLOOKUP($A19,' Model Estimate'!$A$6:$J$150,8,0),0)</f>
        <v>0</v>
      </c>
      <c r="L19" s="168" t="str">
        <f>_xlfn.IFNA(VLOOKUP($A19,' Model Estimate'!$A$6:$J$150,9,0)," ")</f>
        <v xml:space="preserve"> </v>
      </c>
      <c r="M19" s="168" t="str">
        <f>_xlfn.IFNA(VLOOKUP($A19,' Model Estimate'!$A$6:$J$150,8,0)," ")</f>
        <v xml:space="preserve"> </v>
      </c>
      <c r="N19" s="123">
        <f>VLOOKUP(E19,[1]QC!$K$4:$L$52,2,0)</f>
        <v>62055.18</v>
      </c>
      <c r="O19" s="130">
        <f t="shared" si="3"/>
        <v>0</v>
      </c>
      <c r="Q19" s="8"/>
      <c r="Z19" s="66"/>
    </row>
    <row r="20" spans="1:29" ht="15" customHeight="1" x14ac:dyDescent="0.2">
      <c r="A20" s="131" t="str">
        <f t="shared" si="0"/>
        <v>Model: M34Samples_cur_ROOT</v>
      </c>
      <c r="B20" s="131" t="str">
        <f t="shared" si="1"/>
        <v>Samples</v>
      </c>
      <c r="C20" s="194" t="str">
        <f t="shared" si="2"/>
        <v>Model: M34</v>
      </c>
      <c r="D20" s="126" t="str">
        <f>VLOOKUP(C20,' Model Estimate'!$M$4:$O$13,2,0)</f>
        <v xml:space="preserve"> NRX_CUR1 </v>
      </c>
      <c r="E20" s="119" t="s">
        <v>90</v>
      </c>
      <c r="F20" s="171" t="str">
        <f>_xlfn.IFNA(VLOOKUP($A20,' Model Estimate'!$A$6:$J$50,3,0)," ")</f>
        <v xml:space="preserve"> </v>
      </c>
      <c r="G20" s="189">
        <f>_xlfn.IFNA(VLOOKUP($A20,' Model Estimate'!$A$6:$J$150,4,0),0)</f>
        <v>0</v>
      </c>
      <c r="H20" s="189">
        <f>_xlfn.IFNA(VLOOKUP($A20,' Model Estimate'!$A$6:$J$150,5,0),0)</f>
        <v>0</v>
      </c>
      <c r="I20" s="189">
        <f>_xlfn.IFNA(VLOOKUP($A20,' Model Estimate'!$A$6:$J$150,6,0),0)</f>
        <v>0</v>
      </c>
      <c r="J20" s="192" t="str">
        <f>_xlfn.IFNA(VLOOKUP($A20,' Model Estimate'!$A$6:$J$150,7,0)," ")</f>
        <v xml:space="preserve"> </v>
      </c>
      <c r="K20" s="189">
        <f>_xlfn.IFNA(VLOOKUP($A20,' Model Estimate'!$A$6:$J$150,8,0),0)</f>
        <v>0</v>
      </c>
      <c r="L20" s="168" t="str">
        <f>_xlfn.IFNA(VLOOKUP($A20,' Model Estimate'!$A$6:$J$150,9,0)," ")</f>
        <v xml:space="preserve"> </v>
      </c>
      <c r="M20" s="168" t="str">
        <f>_xlfn.IFNA(VLOOKUP($A20,' Model Estimate'!$A$6:$J$150,8,0)," ")</f>
        <v xml:space="preserve"> </v>
      </c>
      <c r="N20" s="123">
        <f>VLOOKUP(E20,[1]QC!$K$4:$L$52,2,0)</f>
        <v>146651.93</v>
      </c>
      <c r="O20" s="130">
        <f t="shared" si="3"/>
        <v>0</v>
      </c>
      <c r="Q20" s="173" t="s">
        <v>120</v>
      </c>
      <c r="Z20" s="66"/>
    </row>
    <row r="21" spans="1:29" ht="15" customHeight="1" x14ac:dyDescent="0.2">
      <c r="A21" s="131" t="str">
        <f t="shared" ref="A21" si="4">_xlfn.CONCAT(C21,E21)</f>
        <v>Model: M34NPP_eng_cur</v>
      </c>
      <c r="B21" s="131" t="str">
        <f t="shared" ref="B21" si="5">LEFT(E21,7)</f>
        <v>NPP_eng</v>
      </c>
      <c r="C21" s="196" t="str">
        <f t="shared" si="2"/>
        <v>Model: M34</v>
      </c>
      <c r="D21" s="127" t="str">
        <f>VLOOKUP(C21,' Model Estimate'!$M$4:$O$13,2,0)</f>
        <v xml:space="preserve"> NRX_CUR1 </v>
      </c>
      <c r="E21" s="198" t="s">
        <v>109</v>
      </c>
      <c r="F21" s="172" t="str">
        <f>_xlfn.IFNA(VLOOKUP($A21,' Model Estimate'!$A$6:$J$50,3,0)," ")</f>
        <v xml:space="preserve"> </v>
      </c>
      <c r="G21" s="190">
        <f>_xlfn.IFNA(VLOOKUP($A21,' Model Estimate'!$A$6:$J$150,4,0),0)</f>
        <v>0</v>
      </c>
      <c r="H21" s="190">
        <f>_xlfn.IFNA(VLOOKUP($A21,' Model Estimate'!$A$6:$J$150,5,0),0)</f>
        <v>0</v>
      </c>
      <c r="I21" s="190">
        <f>_xlfn.IFNA(VLOOKUP($A21,' Model Estimate'!$A$6:$J$150,6,0),0)</f>
        <v>0</v>
      </c>
      <c r="J21" s="193" t="str">
        <f>_xlfn.IFNA(VLOOKUP($A21,' Model Estimate'!$A$6:$J$150,7,0)," ")</f>
        <v xml:space="preserve"> </v>
      </c>
      <c r="K21" s="190">
        <f>_xlfn.IFNA(VLOOKUP($A21,' Model Estimate'!$A$6:$J$150,8,0),0)</f>
        <v>0</v>
      </c>
      <c r="L21" s="169" t="str">
        <f>_xlfn.IFNA(VLOOKUP($A21,' Model Estimate'!$A$6:$J$150,9,0)," ")</f>
        <v xml:space="preserve"> </v>
      </c>
      <c r="M21" s="169" t="str">
        <f>_xlfn.IFNA(VLOOKUP($A21,' Model Estimate'!$A$6:$J$150,8,0)," ")</f>
        <v xml:space="preserve"> </v>
      </c>
      <c r="N21" s="187">
        <f>VLOOKUP(E21,[1]QC!$K$4:$L$52,2,0)</f>
        <v>179486</v>
      </c>
      <c r="O21" s="132">
        <f t="shared" si="3"/>
        <v>0</v>
      </c>
      <c r="Q21" s="8"/>
      <c r="Z21" s="66"/>
    </row>
    <row r="22" spans="1:29" ht="15" customHeight="1" x14ac:dyDescent="0.2">
      <c r="A22" s="131"/>
      <c r="B22" s="131"/>
      <c r="C22" s="122"/>
      <c r="D22" s="122"/>
      <c r="E22" s="119"/>
      <c r="F22" s="124"/>
      <c r="G22" s="119"/>
      <c r="H22" s="119"/>
      <c r="I22" s="119"/>
      <c r="J22" s="119"/>
      <c r="K22" s="119"/>
      <c r="L22" s="119"/>
      <c r="M22" s="119"/>
      <c r="N22" s="123"/>
      <c r="O22" s="123"/>
      <c r="Q22" s="8"/>
      <c r="Z22" s="66"/>
    </row>
    <row r="23" spans="1:29" ht="12.6" customHeight="1" x14ac:dyDescent="0.2">
      <c r="C23" s="237" t="s">
        <v>104</v>
      </c>
      <c r="D23" s="237"/>
      <c r="E23" s="237"/>
      <c r="Z23" s="66"/>
    </row>
    <row r="24" spans="1:29" s="74" customFormat="1" ht="12.6" customHeight="1" x14ac:dyDescent="0.25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Z24" s="75"/>
    </row>
    <row r="25" spans="1:29" ht="27.6" customHeight="1" thickBot="1" x14ac:dyDescent="0.3">
      <c r="C25" s="238" t="s">
        <v>95</v>
      </c>
      <c r="D25" s="238"/>
      <c r="E25" s="238"/>
      <c r="F25" s="238"/>
      <c r="G25" s="238"/>
      <c r="H25" s="238"/>
      <c r="I25" s="238"/>
      <c r="J25" s="238"/>
      <c r="K25" s="238"/>
      <c r="L25" s="239" t="s">
        <v>99</v>
      </c>
      <c r="M25" s="240"/>
      <c r="N25" s="236" t="s">
        <v>103</v>
      </c>
      <c r="O25" s="236"/>
      <c r="P25"/>
      <c r="AA25" s="30"/>
      <c r="AB25" s="30"/>
      <c r="AC25" s="30"/>
    </row>
    <row r="26" spans="1:29" ht="63.75" customHeight="1" x14ac:dyDescent="0.25">
      <c r="C26" s="9" t="s">
        <v>0</v>
      </c>
      <c r="D26" s="9" t="s">
        <v>3</v>
      </c>
      <c r="E26" s="9" t="s">
        <v>9</v>
      </c>
      <c r="F26" s="9" t="s">
        <v>14</v>
      </c>
      <c r="G26" s="9" t="s">
        <v>15</v>
      </c>
      <c r="H26" s="9" t="s">
        <v>96</v>
      </c>
      <c r="I26" s="9" t="s">
        <v>98</v>
      </c>
      <c r="J26" s="9" t="s">
        <v>97</v>
      </c>
      <c r="K26" s="9" t="s">
        <v>97</v>
      </c>
      <c r="L26" s="10" t="s">
        <v>38</v>
      </c>
      <c r="M26" s="11" t="s">
        <v>49</v>
      </c>
      <c r="N26" s="12" t="s">
        <v>100</v>
      </c>
      <c r="O26" s="12" t="s">
        <v>101</v>
      </c>
      <c r="P26"/>
      <c r="Q26" s="71"/>
      <c r="R26" s="70"/>
      <c r="W26" s="30"/>
      <c r="X26" s="30"/>
      <c r="Y26" s="30"/>
      <c r="AA26" s="30"/>
      <c r="AB26" s="30"/>
      <c r="AC26" s="30"/>
    </row>
    <row r="27" spans="1:29" ht="12.75" customHeight="1" x14ac:dyDescent="0.25">
      <c r="C27" s="13">
        <f>R9</f>
        <v>32090</v>
      </c>
      <c r="D27" s="14">
        <f>F27/C27</f>
        <v>6.3020567154876908</v>
      </c>
      <c r="E27" s="15">
        <f>G27/C27</f>
        <v>63.220317856029915</v>
      </c>
      <c r="F27" s="4">
        <f>N12</f>
        <v>202233</v>
      </c>
      <c r="G27" s="4">
        <f>N13</f>
        <v>2028740</v>
      </c>
      <c r="H27" s="16">
        <f>Q9</f>
        <v>11788.23</v>
      </c>
      <c r="I27" s="16">
        <f>Q10</f>
        <v>13517.37</v>
      </c>
      <c r="J27" s="16">
        <f>SUM('[2]NPA Totals 2022 (CSV - Pivot Re'!$E$242:$E$253)</f>
        <v>16472</v>
      </c>
      <c r="K27" s="16">
        <f>J27</f>
        <v>16472</v>
      </c>
      <c r="L27" s="17">
        <f>SUM([3]Verquvo_HCP_YearMo!$I$20:$I$30)</f>
        <v>1918042</v>
      </c>
      <c r="M27" s="64">
        <f>[4]comparison!$G$15</f>
        <v>1622742.56</v>
      </c>
      <c r="N27" s="135">
        <f>Sheet1!S22</f>
        <v>2152944.5</v>
      </c>
      <c r="O27" s="63">
        <f>[5]Sheet1!$D$4</f>
        <v>1361913.37</v>
      </c>
      <c r="P27"/>
      <c r="W27" s="30"/>
      <c r="X27" s="30"/>
      <c r="Y27" s="30"/>
    </row>
    <row r="28" spans="1:29" s="30" customFormat="1" ht="17.25" customHeight="1" x14ac:dyDescent="0.25">
      <c r="C28" s="22"/>
      <c r="D28" s="23"/>
      <c r="E28" s="24"/>
      <c r="F28" s="25"/>
      <c r="G28" s="25"/>
      <c r="H28" s="26"/>
      <c r="I28" s="26"/>
      <c r="J28" s="26"/>
      <c r="L28" s="27"/>
      <c r="M28" s="28"/>
      <c r="N28" s="29"/>
      <c r="O28" s="29"/>
      <c r="P28"/>
      <c r="Q28" s="3"/>
      <c r="R28" s="3"/>
      <c r="S28" s="3"/>
      <c r="W28" s="3"/>
      <c r="X28" s="3"/>
      <c r="Y28" s="3"/>
      <c r="AA28" s="3"/>
      <c r="AB28" s="3"/>
      <c r="AC28" s="3"/>
    </row>
    <row r="29" spans="1:29" s="30" customFormat="1" ht="33" customHeight="1" x14ac:dyDescent="0.25">
      <c r="C29" s="22"/>
      <c r="D29" s="23"/>
      <c r="E29" s="24"/>
      <c r="F29" s="25"/>
      <c r="G29" s="61" t="s">
        <v>21</v>
      </c>
      <c r="H29" s="26"/>
      <c r="I29" s="62" t="s">
        <v>17</v>
      </c>
      <c r="J29" s="27"/>
      <c r="L29" s="34" t="s">
        <v>16</v>
      </c>
      <c r="M29" s="36" t="s">
        <v>107</v>
      </c>
      <c r="N29" s="35" t="s">
        <v>16</v>
      </c>
      <c r="O29" s="36" t="s">
        <v>102</v>
      </c>
      <c r="P29"/>
      <c r="Q29" s="29"/>
      <c r="S29" s="28"/>
      <c r="W29" s="3"/>
      <c r="X29" s="3"/>
      <c r="Y29" s="3"/>
      <c r="AA29" s="3"/>
      <c r="AB29" s="3"/>
      <c r="AC29" s="3"/>
    </row>
    <row r="30" spans="1:29" ht="51" customHeight="1" x14ac:dyDescent="0.25">
      <c r="C30" s="18"/>
      <c r="D30" s="18"/>
      <c r="E30" s="227" t="s">
        <v>65</v>
      </c>
      <c r="F30" s="228"/>
      <c r="G30" s="65">
        <f>'[6]2024 NPV'!$E$23</f>
        <v>13.256895257474261</v>
      </c>
      <c r="H30" s="18"/>
      <c r="I30" s="60">
        <f>J27/I27</f>
        <v>1.2185802415706606</v>
      </c>
      <c r="L30" s="31">
        <f>L27/G27</f>
        <v>0.94543509764681521</v>
      </c>
      <c r="M30" s="32">
        <f>M27/L27</f>
        <v>0.84604120243456615</v>
      </c>
      <c r="N30" s="33">
        <f>N27/G27</f>
        <v>1.0612224829204333</v>
      </c>
      <c r="O30" s="154">
        <f>O27/N27</f>
        <v>0.63258173631507919</v>
      </c>
      <c r="P30"/>
    </row>
    <row r="31" spans="1:29" ht="25.5" customHeight="1" x14ac:dyDescent="0.25">
      <c r="E31" s="18"/>
      <c r="F31" s="18"/>
      <c r="G31" s="18"/>
      <c r="H31" s="18"/>
      <c r="L31" s="20"/>
      <c r="M31" s="21"/>
      <c r="P31" s="19"/>
      <c r="Q31" s="19"/>
      <c r="R31" s="19"/>
    </row>
    <row r="32" spans="1:29" x14ac:dyDescent="0.25">
      <c r="C32" s="2"/>
    </row>
    <row r="33" spans="3:16" ht="102.75" customHeight="1" x14ac:dyDescent="0.25">
      <c r="C33" s="37" t="s">
        <v>118</v>
      </c>
      <c r="D33" s="139" t="s">
        <v>105</v>
      </c>
      <c r="E33" s="37" t="s">
        <v>18</v>
      </c>
      <c r="F33" s="139" t="s">
        <v>19</v>
      </c>
      <c r="G33" s="38" t="s">
        <v>4</v>
      </c>
      <c r="H33" s="38" t="s">
        <v>5</v>
      </c>
      <c r="I33" s="38" t="s">
        <v>51</v>
      </c>
      <c r="J33" s="39" t="s">
        <v>52</v>
      </c>
      <c r="K33" s="40" t="s">
        <v>6</v>
      </c>
      <c r="L33" s="39" t="s">
        <v>20</v>
      </c>
      <c r="M33" s="38" t="s">
        <v>119</v>
      </c>
      <c r="N33" s="41" t="s">
        <v>8</v>
      </c>
      <c r="O33" s="38" t="s">
        <v>23</v>
      </c>
      <c r="P33" s="139" t="s">
        <v>24</v>
      </c>
    </row>
    <row r="34" spans="3:16" x14ac:dyDescent="0.25">
      <c r="C34" s="136">
        <v>0</v>
      </c>
      <c r="D34" s="140">
        <f>$G$13*C34+$G$14*C34*C34+$G$18*C34*C34*C34</f>
        <v>0</v>
      </c>
      <c r="E34" s="53">
        <f>C34*1</f>
        <v>0</v>
      </c>
      <c r="F34" s="140">
        <f>$G$13*E34+$G$14*E34*E34+$G$18*E34*E34*E34</f>
        <v>0</v>
      </c>
      <c r="G34" s="143">
        <f>E34*$C$27</f>
        <v>0</v>
      </c>
      <c r="H34" s="54">
        <f>F34*$C$27</f>
        <v>0</v>
      </c>
      <c r="I34" s="54">
        <f>G34*$N$30</f>
        <v>0</v>
      </c>
      <c r="J34" s="47">
        <f>I34*$O$30</f>
        <v>0</v>
      </c>
      <c r="K34" s="55">
        <f>H34*$N$30</f>
        <v>0</v>
      </c>
      <c r="L34" s="56">
        <f>K34*$I$30</f>
        <v>0</v>
      </c>
      <c r="M34" s="57">
        <f>L34/$K$27</f>
        <v>0</v>
      </c>
      <c r="N34" s="58">
        <f>L34*$G$30</f>
        <v>0</v>
      </c>
      <c r="O34" s="146"/>
      <c r="P34" s="147">
        <f>O34*$G$30</f>
        <v>0</v>
      </c>
    </row>
    <row r="35" spans="3:16" x14ac:dyDescent="0.25">
      <c r="C35" s="137">
        <v>10</v>
      </c>
      <c r="D35" s="141">
        <f t="shared" ref="D35:D98" si="6">$G$13*C35+$G$14*C35*C35+$G$18*C35*C35*C35</f>
        <v>2.9350625330000001E-2</v>
      </c>
      <c r="E35" s="18">
        <f>C35*1</f>
        <v>10</v>
      </c>
      <c r="F35" s="141">
        <f t="shared" ref="F35:F98" si="7">$G$13*E35+$G$14*E35*E35+$G$18*E35*E35*E35</f>
        <v>2.9350625330000001E-2</v>
      </c>
      <c r="G35" s="144">
        <f t="shared" ref="G35:G75" si="8">E35*$C$27</f>
        <v>320900</v>
      </c>
      <c r="H35" s="42">
        <f>F35*$C$27</f>
        <v>941.8615668397</v>
      </c>
      <c r="I35" s="42">
        <f>G35*$N$30</f>
        <v>340546.29476916703</v>
      </c>
      <c r="J35" s="47">
        <f>I35*$O$30</f>
        <v>215423.36644074644</v>
      </c>
      <c r="K35" s="43">
        <f t="shared" ref="K35:K75" si="9">H35*$N$30</f>
        <v>999.52467052895611</v>
      </c>
      <c r="L35" s="44">
        <f t="shared" ref="L35:L84" si="10">K35*$I$30</f>
        <v>1218.0010144690102</v>
      </c>
      <c r="M35" s="45">
        <f t="shared" ref="M35:M84" si="11">L35/$K$27</f>
        <v>7.394372355931339E-2</v>
      </c>
      <c r="N35" s="46">
        <f t="shared" ref="N35:N75" si="12">L35*$G$30</f>
        <v>16146.91187231306</v>
      </c>
      <c r="O35" s="146">
        <f>L35/J35</f>
        <v>5.6539874693863771E-3</v>
      </c>
      <c r="P35" s="148">
        <f t="shared" ref="P35:P98" si="13">O35*$G$30</f>
        <v>7.4954319668727162E-2</v>
      </c>
    </row>
    <row r="36" spans="3:16" x14ac:dyDescent="0.25">
      <c r="C36" s="137">
        <v>20</v>
      </c>
      <c r="D36" s="141">
        <f t="shared" si="6"/>
        <v>5.8802501319999999E-2</v>
      </c>
      <c r="E36" s="18">
        <f t="shared" ref="E36:E84" si="14">C36*1</f>
        <v>20</v>
      </c>
      <c r="F36" s="141">
        <f t="shared" si="7"/>
        <v>5.8802501319999999E-2</v>
      </c>
      <c r="G36" s="144">
        <f t="shared" si="8"/>
        <v>641800</v>
      </c>
      <c r="H36" s="42">
        <f t="shared" ref="H36:H75" si="15">F36*$C$27</f>
        <v>1886.9722673587999</v>
      </c>
      <c r="I36" s="42">
        <f t="shared" ref="I36:I75" si="16">G36*$N$30</f>
        <v>681092.58953833405</v>
      </c>
      <c r="J36" s="47">
        <f t="shared" ref="J36:J99" si="17">I36*$O$30</f>
        <v>430846.73288149288</v>
      </c>
      <c r="K36" s="43">
        <f t="shared" si="9"/>
        <v>2002.4973947685053</v>
      </c>
      <c r="L36" s="44">
        <f t="shared" si="10"/>
        <v>2440.2037590616237</v>
      </c>
      <c r="M36" s="45">
        <f t="shared" si="11"/>
        <v>0.14814253029757307</v>
      </c>
      <c r="N36" s="46">
        <f t="shared" si="12"/>
        <v>32349.525640774904</v>
      </c>
      <c r="O36" s="146">
        <f t="shared" ref="O36:O99" si="18">L36/J36</f>
        <v>5.6637397311605402E-3</v>
      </c>
      <c r="P36" s="148">
        <f t="shared" si="13"/>
        <v>7.5083604381590716E-2</v>
      </c>
    </row>
    <row r="37" spans="3:16" x14ac:dyDescent="0.25">
      <c r="C37" s="137">
        <v>30</v>
      </c>
      <c r="D37" s="141">
        <f t="shared" si="6"/>
        <v>8.8355627969999989E-2</v>
      </c>
      <c r="E37" s="18">
        <f t="shared" si="14"/>
        <v>30</v>
      </c>
      <c r="F37" s="141">
        <f t="shared" si="7"/>
        <v>8.8355627969999989E-2</v>
      </c>
      <c r="G37" s="144">
        <f t="shared" si="8"/>
        <v>962700</v>
      </c>
      <c r="H37" s="42">
        <f t="shared" si="15"/>
        <v>2835.3321015572997</v>
      </c>
      <c r="I37" s="42">
        <f t="shared" si="16"/>
        <v>1021638.8843075011</v>
      </c>
      <c r="J37" s="47">
        <f t="shared" si="17"/>
        <v>646270.0993222394</v>
      </c>
      <c r="K37" s="43">
        <f t="shared" si="9"/>
        <v>3008.9181727186478</v>
      </c>
      <c r="L37" s="44">
        <f t="shared" si="10"/>
        <v>3666.6082337778407</v>
      </c>
      <c r="M37" s="45">
        <f t="shared" si="11"/>
        <v>0.22259642021477907</v>
      </c>
      <c r="N37" s="46">
        <f t="shared" si="12"/>
        <v>48607.841305385533</v>
      </c>
      <c r="O37" s="146">
        <f t="shared" si="18"/>
        <v>5.6734919929347033E-3</v>
      </c>
      <c r="P37" s="148">
        <f t="shared" si="13"/>
        <v>7.5212889094454255E-2</v>
      </c>
    </row>
    <row r="38" spans="3:16" x14ac:dyDescent="0.25">
      <c r="C38" s="137">
        <v>40</v>
      </c>
      <c r="D38" s="141">
        <f t="shared" si="6"/>
        <v>0.11801000528</v>
      </c>
      <c r="E38" s="18">
        <f t="shared" si="14"/>
        <v>40</v>
      </c>
      <c r="F38" s="141">
        <f t="shared" si="7"/>
        <v>0.11801000528</v>
      </c>
      <c r="G38" s="144">
        <f t="shared" si="8"/>
        <v>1283600</v>
      </c>
      <c r="H38" s="42">
        <f t="shared" si="15"/>
        <v>3786.9410694352</v>
      </c>
      <c r="I38" s="42">
        <f t="shared" si="16"/>
        <v>1362185.1790766681</v>
      </c>
      <c r="J38" s="47">
        <f t="shared" si="17"/>
        <v>861693.46576298575</v>
      </c>
      <c r="K38" s="43">
        <f t="shared" si="9"/>
        <v>4018.7870043793841</v>
      </c>
      <c r="L38" s="44">
        <f t="shared" si="10"/>
        <v>4897.2144386176615</v>
      </c>
      <c r="M38" s="45">
        <f t="shared" si="11"/>
        <v>0.29730539331093137</v>
      </c>
      <c r="N38" s="46">
        <f t="shared" si="12"/>
        <v>64921.858866144947</v>
      </c>
      <c r="O38" s="146">
        <f t="shared" si="18"/>
        <v>5.6832442547088682E-3</v>
      </c>
      <c r="P38" s="148">
        <f t="shared" si="13"/>
        <v>7.5342173807317836E-2</v>
      </c>
    </row>
    <row r="39" spans="3:16" x14ac:dyDescent="0.25">
      <c r="C39" s="137">
        <v>45</v>
      </c>
      <c r="D39" s="141">
        <f t="shared" si="6"/>
        <v>0.13287516293249999</v>
      </c>
      <c r="E39" s="18">
        <f t="shared" si="14"/>
        <v>45</v>
      </c>
      <c r="F39" s="141">
        <f t="shared" si="7"/>
        <v>0.13287516293249999</v>
      </c>
      <c r="G39" s="144">
        <f t="shared" si="8"/>
        <v>1444050</v>
      </c>
      <c r="H39" s="42">
        <f t="shared" si="15"/>
        <v>4263.9639785039244</v>
      </c>
      <c r="I39" s="42">
        <f t="shared" si="16"/>
        <v>1532458.3264612518</v>
      </c>
      <c r="J39" s="47">
        <f t="shared" si="17"/>
        <v>969405.1489833591</v>
      </c>
      <c r="K39" s="43">
        <f t="shared" si="9"/>
        <v>4525.014440351224</v>
      </c>
      <c r="L39" s="44">
        <f t="shared" si="10"/>
        <v>5514.0931898339222</v>
      </c>
      <c r="M39" s="45">
        <f t="shared" si="11"/>
        <v>0.3347555360511123</v>
      </c>
      <c r="N39" s="46">
        <f t="shared" si="12"/>
        <v>73099.755857580443</v>
      </c>
      <c r="O39" s="146">
        <f t="shared" si="18"/>
        <v>5.688120385595948E-3</v>
      </c>
      <c r="P39" s="148">
        <f t="shared" si="13"/>
        <v>7.5406816163749585E-2</v>
      </c>
    </row>
    <row r="40" spans="3:16" x14ac:dyDescent="0.25">
      <c r="C40" s="137">
        <v>50</v>
      </c>
      <c r="D40" s="141">
        <f t="shared" si="6"/>
        <v>0.14776563325</v>
      </c>
      <c r="E40" s="18">
        <f t="shared" si="14"/>
        <v>50</v>
      </c>
      <c r="F40" s="141">
        <f t="shared" si="7"/>
        <v>0.14776563325</v>
      </c>
      <c r="G40" s="144">
        <f t="shared" si="8"/>
        <v>1604500</v>
      </c>
      <c r="H40" s="42">
        <f t="shared" si="15"/>
        <v>4741.7991709925</v>
      </c>
      <c r="I40" s="42">
        <f t="shared" si="16"/>
        <v>1702731.4738458353</v>
      </c>
      <c r="J40" s="47">
        <f t="shared" si="17"/>
        <v>1077116.8322037323</v>
      </c>
      <c r="K40" s="43">
        <f t="shared" si="9"/>
        <v>5032.1038897507133</v>
      </c>
      <c r="L40" s="44">
        <f t="shared" si="10"/>
        <v>6132.022373581085</v>
      </c>
      <c r="M40" s="45">
        <f t="shared" si="11"/>
        <v>0.37226944958602992</v>
      </c>
      <c r="N40" s="46">
        <f t="shared" si="12"/>
        <v>81291.578323053152</v>
      </c>
      <c r="O40" s="146">
        <f t="shared" si="18"/>
        <v>5.6929965164830305E-3</v>
      </c>
      <c r="P40" s="148">
        <f t="shared" si="13"/>
        <v>7.5471458520181375E-2</v>
      </c>
    </row>
    <row r="41" spans="3:16" x14ac:dyDescent="0.25">
      <c r="C41" s="137">
        <v>60</v>
      </c>
      <c r="D41" s="141">
        <f t="shared" si="6"/>
        <v>0.17762251187999997</v>
      </c>
      <c r="E41" s="18">
        <f t="shared" si="14"/>
        <v>60</v>
      </c>
      <c r="F41" s="141">
        <f t="shared" si="7"/>
        <v>0.17762251187999997</v>
      </c>
      <c r="G41" s="144">
        <f t="shared" si="8"/>
        <v>1925400</v>
      </c>
      <c r="H41" s="42">
        <f t="shared" si="15"/>
        <v>5699.9064062291991</v>
      </c>
      <c r="I41" s="42">
        <f t="shared" si="16"/>
        <v>2043277.7686150023</v>
      </c>
      <c r="J41" s="47">
        <f t="shared" si="17"/>
        <v>1292540.1986444788</v>
      </c>
      <c r="K41" s="43">
        <f t="shared" si="9"/>
        <v>6048.8688288326348</v>
      </c>
      <c r="L41" s="44">
        <f t="shared" si="10"/>
        <v>7371.0320386681105</v>
      </c>
      <c r="M41" s="45">
        <f t="shared" si="11"/>
        <v>0.44748858904007471</v>
      </c>
      <c r="N41" s="46">
        <f t="shared" si="12"/>
        <v>97716.999676110107</v>
      </c>
      <c r="O41" s="146">
        <f t="shared" si="18"/>
        <v>5.7027487782571927E-3</v>
      </c>
      <c r="P41" s="148">
        <f t="shared" si="13"/>
        <v>7.5600743233044915E-2</v>
      </c>
    </row>
    <row r="42" spans="3:16" x14ac:dyDescent="0.25">
      <c r="C42" s="137">
        <v>70</v>
      </c>
      <c r="D42" s="141">
        <f t="shared" si="6"/>
        <v>0.20758064117</v>
      </c>
      <c r="E42" s="18">
        <f t="shared" si="14"/>
        <v>70</v>
      </c>
      <c r="F42" s="141">
        <f t="shared" si="7"/>
        <v>0.20758064117</v>
      </c>
      <c r="G42" s="144">
        <f t="shared" si="8"/>
        <v>2246300</v>
      </c>
      <c r="H42" s="42">
        <f t="shared" si="15"/>
        <v>6661.2627751453001</v>
      </c>
      <c r="I42" s="42">
        <f t="shared" si="16"/>
        <v>2383824.0633841692</v>
      </c>
      <c r="J42" s="47">
        <f t="shared" si="17"/>
        <v>1507963.5650852253</v>
      </c>
      <c r="K42" s="43">
        <f t="shared" si="9"/>
        <v>7069.0818216251519</v>
      </c>
      <c r="L42" s="44">
        <f t="shared" si="10"/>
        <v>8614.2434338787425</v>
      </c>
      <c r="M42" s="45">
        <f t="shared" si="11"/>
        <v>0.52296281167306591</v>
      </c>
      <c r="N42" s="46">
        <f t="shared" si="12"/>
        <v>114198.1229253159</v>
      </c>
      <c r="O42" s="146">
        <f t="shared" si="18"/>
        <v>5.7125010400313567E-3</v>
      </c>
      <c r="P42" s="148">
        <f t="shared" si="13"/>
        <v>7.5730027945908468E-2</v>
      </c>
    </row>
    <row r="43" spans="3:16" x14ac:dyDescent="0.25">
      <c r="C43" s="137">
        <v>80</v>
      </c>
      <c r="D43" s="141">
        <f t="shared" si="6"/>
        <v>0.23764002111999999</v>
      </c>
      <c r="E43" s="18">
        <f t="shared" si="14"/>
        <v>80</v>
      </c>
      <c r="F43" s="141">
        <f t="shared" si="7"/>
        <v>0.23764002111999999</v>
      </c>
      <c r="G43" s="144">
        <f t="shared" si="8"/>
        <v>2567200</v>
      </c>
      <c r="H43" s="42">
        <f t="shared" si="15"/>
        <v>7625.8682777407994</v>
      </c>
      <c r="I43" s="42">
        <f t="shared" si="16"/>
        <v>2724370.3581533362</v>
      </c>
      <c r="J43" s="47">
        <f t="shared" si="17"/>
        <v>1723386.9315259715</v>
      </c>
      <c r="K43" s="43">
        <f t="shared" si="9"/>
        <v>8092.7428681282599</v>
      </c>
      <c r="L43" s="44">
        <f t="shared" si="10"/>
        <v>9861.6565592129755</v>
      </c>
      <c r="M43" s="45">
        <f t="shared" si="11"/>
        <v>0.59869211748500339</v>
      </c>
      <c r="N43" s="46">
        <f t="shared" si="12"/>
        <v>130734.94807067043</v>
      </c>
      <c r="O43" s="146">
        <f t="shared" si="18"/>
        <v>5.7222533018055207E-3</v>
      </c>
      <c r="P43" s="148">
        <f t="shared" si="13"/>
        <v>7.5859312658772035E-2</v>
      </c>
    </row>
    <row r="44" spans="3:16" x14ac:dyDescent="0.25">
      <c r="C44" s="137">
        <v>90</v>
      </c>
      <c r="D44" s="141">
        <f t="shared" si="6"/>
        <v>0.26780065173000001</v>
      </c>
      <c r="E44" s="18">
        <f t="shared" si="14"/>
        <v>90</v>
      </c>
      <c r="F44" s="141">
        <f t="shared" si="7"/>
        <v>0.26780065173000001</v>
      </c>
      <c r="G44" s="144">
        <f t="shared" si="8"/>
        <v>2888100</v>
      </c>
      <c r="H44" s="42">
        <f t="shared" si="15"/>
        <v>8593.7229140156996</v>
      </c>
      <c r="I44" s="42">
        <f t="shared" si="16"/>
        <v>3064916.6529225037</v>
      </c>
      <c r="J44" s="47">
        <f t="shared" si="17"/>
        <v>1938810.2979667182</v>
      </c>
      <c r="K44" s="43">
        <f t="shared" si="9"/>
        <v>9119.8519683419618</v>
      </c>
      <c r="L44" s="44">
        <f t="shared" si="10"/>
        <v>11113.271414670811</v>
      </c>
      <c r="M44" s="45">
        <f t="shared" si="11"/>
        <v>0.67467650647588706</v>
      </c>
      <c r="N44" s="46">
        <f t="shared" si="12"/>
        <v>147327.47511217374</v>
      </c>
      <c r="O44" s="146">
        <f t="shared" si="18"/>
        <v>5.732005563579683E-3</v>
      </c>
      <c r="P44" s="148">
        <f t="shared" si="13"/>
        <v>7.5988597371635574E-2</v>
      </c>
    </row>
    <row r="45" spans="3:16" x14ac:dyDescent="0.25">
      <c r="C45" s="137">
        <v>100</v>
      </c>
      <c r="D45" s="141">
        <f t="shared" si="6"/>
        <v>0.29806253299999996</v>
      </c>
      <c r="E45" s="18">
        <f t="shared" si="14"/>
        <v>100</v>
      </c>
      <c r="F45" s="141">
        <f t="shared" si="7"/>
        <v>0.29806253299999996</v>
      </c>
      <c r="G45" s="144">
        <f t="shared" si="8"/>
        <v>3209000</v>
      </c>
      <c r="H45" s="42">
        <f t="shared" si="15"/>
        <v>9564.8266839699991</v>
      </c>
      <c r="I45" s="42">
        <f t="shared" si="16"/>
        <v>3405462.9476916706</v>
      </c>
      <c r="J45" s="47">
        <f t="shared" si="17"/>
        <v>2154233.6644074647</v>
      </c>
      <c r="K45" s="43">
        <f t="shared" si="9"/>
        <v>10150.409122266257</v>
      </c>
      <c r="L45" s="44">
        <f t="shared" si="10"/>
        <v>12369.088000252254</v>
      </c>
      <c r="M45" s="45">
        <f t="shared" si="11"/>
        <v>0.75091597864571724</v>
      </c>
      <c r="N45" s="46">
        <f t="shared" si="12"/>
        <v>163975.7040498259</v>
      </c>
      <c r="O45" s="146">
        <f t="shared" si="18"/>
        <v>5.741757825353847E-3</v>
      </c>
      <c r="P45" s="148">
        <f t="shared" si="13"/>
        <v>7.6117882084499142E-2</v>
      </c>
    </row>
    <row r="46" spans="3:16" x14ac:dyDescent="0.25">
      <c r="C46" s="137">
        <v>110</v>
      </c>
      <c r="D46" s="141">
        <f t="shared" si="6"/>
        <v>0.32842566492999997</v>
      </c>
      <c r="E46" s="18">
        <f t="shared" si="14"/>
        <v>110</v>
      </c>
      <c r="F46" s="141">
        <f t="shared" si="7"/>
        <v>0.32842566492999997</v>
      </c>
      <c r="G46" s="144">
        <f t="shared" si="8"/>
        <v>3529900</v>
      </c>
      <c r="H46" s="42">
        <f t="shared" si="15"/>
        <v>10539.179587603699</v>
      </c>
      <c r="I46" s="42">
        <f t="shared" si="16"/>
        <v>3746009.2424608376</v>
      </c>
      <c r="J46" s="47">
        <f t="shared" si="17"/>
        <v>2369657.0308482111</v>
      </c>
      <c r="K46" s="43">
        <f t="shared" si="9"/>
        <v>11184.414329901147</v>
      </c>
      <c r="L46" s="44">
        <f t="shared" si="10"/>
        <v>13629.106315957297</v>
      </c>
      <c r="M46" s="45">
        <f t="shared" si="11"/>
        <v>0.82741053399449349</v>
      </c>
      <c r="N46" s="46">
        <f t="shared" si="12"/>
        <v>180679.63488362677</v>
      </c>
      <c r="O46" s="146">
        <f t="shared" si="18"/>
        <v>5.7515100871280101E-3</v>
      </c>
      <c r="P46" s="148">
        <f t="shared" si="13"/>
        <v>7.6247166797362695E-2</v>
      </c>
    </row>
    <row r="47" spans="3:16" x14ac:dyDescent="0.25">
      <c r="C47" s="137">
        <v>120</v>
      </c>
      <c r="D47" s="141">
        <f t="shared" si="6"/>
        <v>0.35889004751999998</v>
      </c>
      <c r="E47" s="18">
        <f t="shared" si="14"/>
        <v>120</v>
      </c>
      <c r="F47" s="141">
        <f t="shared" si="7"/>
        <v>0.35889004751999998</v>
      </c>
      <c r="G47" s="144">
        <f t="shared" si="8"/>
        <v>3850800</v>
      </c>
      <c r="H47" s="42">
        <f t="shared" si="15"/>
        <v>11516.781624916799</v>
      </c>
      <c r="I47" s="42">
        <f t="shared" si="16"/>
        <v>4086555.5372300046</v>
      </c>
      <c r="J47" s="47">
        <f t="shared" si="17"/>
        <v>2585080.3972889576</v>
      </c>
      <c r="K47" s="43">
        <f t="shared" si="9"/>
        <v>12221.867591246628</v>
      </c>
      <c r="L47" s="44">
        <f t="shared" si="10"/>
        <v>14893.326361785943</v>
      </c>
      <c r="M47" s="45">
        <f t="shared" si="11"/>
        <v>0.90416017252221603</v>
      </c>
      <c r="N47" s="46">
        <f t="shared" si="12"/>
        <v>197439.26761357646</v>
      </c>
      <c r="O47" s="146">
        <f t="shared" si="18"/>
        <v>5.7612623489021733E-3</v>
      </c>
      <c r="P47" s="148">
        <f t="shared" si="13"/>
        <v>7.6376451510226234E-2</v>
      </c>
    </row>
    <row r="48" spans="3:16" x14ac:dyDescent="0.25">
      <c r="C48" s="137">
        <v>130</v>
      </c>
      <c r="D48" s="141">
        <f t="shared" si="6"/>
        <v>0.38945568076999998</v>
      </c>
      <c r="E48" s="18">
        <f t="shared" si="14"/>
        <v>130</v>
      </c>
      <c r="F48" s="141">
        <f t="shared" si="7"/>
        <v>0.38945568076999998</v>
      </c>
      <c r="G48" s="144">
        <f t="shared" si="8"/>
        <v>4171700</v>
      </c>
      <c r="H48" s="42">
        <f t="shared" si="15"/>
        <v>12497.6327959093</v>
      </c>
      <c r="I48" s="42">
        <f t="shared" si="16"/>
        <v>4427101.8319991715</v>
      </c>
      <c r="J48" s="47">
        <f t="shared" si="17"/>
        <v>2800503.7637297041</v>
      </c>
      <c r="K48" s="43">
        <f t="shared" si="9"/>
        <v>13262.768906302705</v>
      </c>
      <c r="L48" s="44">
        <f t="shared" si="10"/>
        <v>16161.748137738196</v>
      </c>
      <c r="M48" s="45">
        <f t="shared" si="11"/>
        <v>0.98116489422888509</v>
      </c>
      <c r="N48" s="46">
        <f t="shared" si="12"/>
        <v>214254.60223967495</v>
      </c>
      <c r="O48" s="146">
        <f t="shared" si="18"/>
        <v>5.7710146106763373E-3</v>
      </c>
      <c r="P48" s="148">
        <f t="shared" si="13"/>
        <v>7.6505736223089801E-2</v>
      </c>
    </row>
    <row r="49" spans="3:16" x14ac:dyDescent="0.25">
      <c r="C49" s="137">
        <v>140</v>
      </c>
      <c r="D49" s="141">
        <f t="shared" si="6"/>
        <v>0.42012256468000003</v>
      </c>
      <c r="E49" s="18">
        <f t="shared" si="14"/>
        <v>140</v>
      </c>
      <c r="F49" s="141">
        <f t="shared" si="7"/>
        <v>0.42012256468000003</v>
      </c>
      <c r="G49" s="144">
        <f t="shared" si="8"/>
        <v>4492600</v>
      </c>
      <c r="H49" s="42">
        <f t="shared" si="15"/>
        <v>13481.733100581201</v>
      </c>
      <c r="I49" s="42">
        <f t="shared" si="16"/>
        <v>4767648.1267683385</v>
      </c>
      <c r="J49" s="47">
        <f t="shared" si="17"/>
        <v>3015927.1301704505</v>
      </c>
      <c r="K49" s="43">
        <f t="shared" si="9"/>
        <v>14307.118275069373</v>
      </c>
      <c r="L49" s="44">
        <f t="shared" si="10"/>
        <v>17434.371643814051</v>
      </c>
      <c r="M49" s="45">
        <f t="shared" si="11"/>
        <v>1.0584246991145003</v>
      </c>
      <c r="N49" s="46">
        <f t="shared" si="12"/>
        <v>231125.63876192222</v>
      </c>
      <c r="O49" s="146">
        <f t="shared" si="18"/>
        <v>5.7807668724505013E-3</v>
      </c>
      <c r="P49" s="148">
        <f t="shared" si="13"/>
        <v>7.6635020935953369E-2</v>
      </c>
    </row>
    <row r="50" spans="3:16" x14ac:dyDescent="0.25">
      <c r="C50" s="137">
        <v>150</v>
      </c>
      <c r="D50" s="141">
        <f t="shared" si="6"/>
        <v>0.45089069925000003</v>
      </c>
      <c r="E50" s="18">
        <f t="shared" si="14"/>
        <v>150</v>
      </c>
      <c r="F50" s="141">
        <f t="shared" si="7"/>
        <v>0.45089069925000003</v>
      </c>
      <c r="G50" s="144">
        <f t="shared" si="8"/>
        <v>4813500</v>
      </c>
      <c r="H50" s="42">
        <f t="shared" si="15"/>
        <v>14469.0825389325</v>
      </c>
      <c r="I50" s="42">
        <f t="shared" si="16"/>
        <v>5108194.4215375055</v>
      </c>
      <c r="J50" s="47">
        <f t="shared" si="17"/>
        <v>3231350.4966111965</v>
      </c>
      <c r="K50" s="43">
        <f t="shared" si="9"/>
        <v>15354.915697546634</v>
      </c>
      <c r="L50" s="44">
        <f t="shared" si="10"/>
        <v>18711.196880013504</v>
      </c>
      <c r="M50" s="45">
        <f t="shared" si="11"/>
        <v>1.1359395871790616</v>
      </c>
      <c r="N50" s="46">
        <f t="shared" si="12"/>
        <v>248052.3771803182</v>
      </c>
      <c r="O50" s="146">
        <f t="shared" si="18"/>
        <v>5.7905191342246635E-3</v>
      </c>
      <c r="P50" s="148">
        <f t="shared" si="13"/>
        <v>7.6764305648816908E-2</v>
      </c>
    </row>
    <row r="51" spans="3:16" x14ac:dyDescent="0.25">
      <c r="C51" s="137">
        <v>160</v>
      </c>
      <c r="D51" s="141">
        <f t="shared" si="6"/>
        <v>0.48176008448000002</v>
      </c>
      <c r="E51" s="18">
        <f t="shared" si="14"/>
        <v>160</v>
      </c>
      <c r="F51" s="141">
        <f t="shared" si="7"/>
        <v>0.48176008448000002</v>
      </c>
      <c r="G51" s="144">
        <f t="shared" si="8"/>
        <v>5134400</v>
      </c>
      <c r="H51" s="42">
        <f t="shared" si="15"/>
        <v>15459.6811109632</v>
      </c>
      <c r="I51" s="42">
        <f t="shared" si="16"/>
        <v>5448740.7163066724</v>
      </c>
      <c r="J51" s="47">
        <f t="shared" si="17"/>
        <v>3446773.863051943</v>
      </c>
      <c r="K51" s="43">
        <f t="shared" si="9"/>
        <v>16406.16117373449</v>
      </c>
      <c r="L51" s="44">
        <f t="shared" si="10"/>
        <v>19992.223846336568</v>
      </c>
      <c r="M51" s="45">
        <f t="shared" si="11"/>
        <v>1.2137095584225697</v>
      </c>
      <c r="N51" s="46">
        <f t="shared" si="12"/>
        <v>265034.81749486306</v>
      </c>
      <c r="O51" s="146">
        <f t="shared" si="18"/>
        <v>5.8002713959988284E-3</v>
      </c>
      <c r="P51" s="148">
        <f t="shared" si="13"/>
        <v>7.6893590361680475E-2</v>
      </c>
    </row>
    <row r="52" spans="3:16" x14ac:dyDescent="0.25">
      <c r="C52" s="137">
        <v>170</v>
      </c>
      <c r="D52" s="141">
        <f t="shared" si="6"/>
        <v>0.51273072037</v>
      </c>
      <c r="E52" s="18">
        <f t="shared" si="14"/>
        <v>170</v>
      </c>
      <c r="F52" s="141">
        <f t="shared" si="7"/>
        <v>0.51273072037</v>
      </c>
      <c r="G52" s="144">
        <f t="shared" si="8"/>
        <v>5455300</v>
      </c>
      <c r="H52" s="42">
        <f t="shared" si="15"/>
        <v>16453.528816673301</v>
      </c>
      <c r="I52" s="42">
        <f t="shared" si="16"/>
        <v>5789287.0110758394</v>
      </c>
      <c r="J52" s="47">
        <f t="shared" si="17"/>
        <v>3662197.2294926895</v>
      </c>
      <c r="K52" s="43">
        <f t="shared" si="9"/>
        <v>17460.85470363294</v>
      </c>
      <c r="L52" s="44">
        <f t="shared" si="10"/>
        <v>21277.452542783234</v>
      </c>
      <c r="M52" s="45">
        <f t="shared" si="11"/>
        <v>1.291734612845024</v>
      </c>
      <c r="N52" s="46">
        <f t="shared" si="12"/>
        <v>282072.95970555668</v>
      </c>
      <c r="O52" s="146">
        <f t="shared" si="18"/>
        <v>5.8100236577729924E-3</v>
      </c>
      <c r="P52" s="148">
        <f t="shared" si="13"/>
        <v>7.7022875074544042E-2</v>
      </c>
    </row>
    <row r="53" spans="3:16" x14ac:dyDescent="0.25">
      <c r="C53" s="137">
        <v>180</v>
      </c>
      <c r="D53" s="141">
        <f t="shared" si="6"/>
        <v>0.54380260691999993</v>
      </c>
      <c r="E53" s="18">
        <f t="shared" si="14"/>
        <v>180</v>
      </c>
      <c r="F53" s="141">
        <f t="shared" si="7"/>
        <v>0.54380260691999993</v>
      </c>
      <c r="G53" s="144">
        <f t="shared" si="8"/>
        <v>5776200</v>
      </c>
      <c r="H53" s="42">
        <f t="shared" si="15"/>
        <v>17450.625656062799</v>
      </c>
      <c r="I53" s="42">
        <f t="shared" si="16"/>
        <v>6129833.3058450073</v>
      </c>
      <c r="J53" s="47">
        <f t="shared" si="17"/>
        <v>3877620.5959334364</v>
      </c>
      <c r="K53" s="43">
        <f t="shared" si="9"/>
        <v>18518.996287241978</v>
      </c>
      <c r="L53" s="44">
        <f t="shared" si="10"/>
        <v>22566.882969353497</v>
      </c>
      <c r="M53" s="45">
        <f t="shared" si="11"/>
        <v>1.370014750446424</v>
      </c>
      <c r="N53" s="46">
        <f t="shared" si="12"/>
        <v>299166.80381239904</v>
      </c>
      <c r="O53" s="146">
        <f t="shared" si="18"/>
        <v>5.8197759195471538E-3</v>
      </c>
      <c r="P53" s="148">
        <f t="shared" si="13"/>
        <v>7.7152159787407568E-2</v>
      </c>
    </row>
    <row r="54" spans="3:16" x14ac:dyDescent="0.25">
      <c r="C54" s="137">
        <v>190</v>
      </c>
      <c r="D54" s="141">
        <f t="shared" si="6"/>
        <v>0.57497574412999997</v>
      </c>
      <c r="E54" s="18">
        <f t="shared" si="14"/>
        <v>190</v>
      </c>
      <c r="F54" s="141">
        <f t="shared" si="7"/>
        <v>0.57497574412999997</v>
      </c>
      <c r="G54" s="144">
        <f t="shared" si="8"/>
        <v>6097100</v>
      </c>
      <c r="H54" s="42">
        <f t="shared" si="15"/>
        <v>18450.971629131698</v>
      </c>
      <c r="I54" s="42">
        <f t="shared" si="16"/>
        <v>6470379.6006141743</v>
      </c>
      <c r="J54" s="47">
        <f t="shared" si="17"/>
        <v>4093043.9623741829</v>
      </c>
      <c r="K54" s="43">
        <f t="shared" si="9"/>
        <v>19580.585924561612</v>
      </c>
      <c r="L54" s="44">
        <f t="shared" si="10"/>
        <v>23860.515126047365</v>
      </c>
      <c r="M54" s="45">
        <f t="shared" si="11"/>
        <v>1.4485499712267706</v>
      </c>
      <c r="N54" s="46">
        <f t="shared" si="12"/>
        <v>316316.34981539019</v>
      </c>
      <c r="O54" s="146">
        <f t="shared" si="18"/>
        <v>5.8295281813213161E-3</v>
      </c>
      <c r="P54" s="148">
        <f t="shared" si="13"/>
        <v>7.7281444500271107E-2</v>
      </c>
    </row>
    <row r="55" spans="3:16" x14ac:dyDescent="0.25">
      <c r="C55" s="137">
        <v>200</v>
      </c>
      <c r="D55" s="141">
        <f t="shared" si="6"/>
        <v>0.606250132</v>
      </c>
      <c r="E55" s="18">
        <f t="shared" si="14"/>
        <v>200</v>
      </c>
      <c r="F55" s="141">
        <f t="shared" si="7"/>
        <v>0.606250132</v>
      </c>
      <c r="G55" s="144">
        <f t="shared" si="8"/>
        <v>6418000</v>
      </c>
      <c r="H55" s="42">
        <f t="shared" si="15"/>
        <v>19454.566735879998</v>
      </c>
      <c r="I55" s="42">
        <f t="shared" si="16"/>
        <v>6810925.8953833412</v>
      </c>
      <c r="J55" s="47">
        <f t="shared" si="17"/>
        <v>4308467.3288149294</v>
      </c>
      <c r="K55" s="43">
        <f t="shared" si="9"/>
        <v>20645.623615591841</v>
      </c>
      <c r="L55" s="44">
        <f t="shared" si="10"/>
        <v>25158.349012864841</v>
      </c>
      <c r="M55" s="45">
        <f t="shared" si="11"/>
        <v>1.5273402751860636</v>
      </c>
      <c r="N55" s="46">
        <f t="shared" si="12"/>
        <v>333521.59771453013</v>
      </c>
      <c r="O55" s="146">
        <f t="shared" si="18"/>
        <v>5.8392804430954801E-3</v>
      </c>
      <c r="P55" s="148">
        <f t="shared" si="13"/>
        <v>7.7410729213134674E-2</v>
      </c>
    </row>
    <row r="56" spans="3:16" x14ac:dyDescent="0.25">
      <c r="C56" s="137">
        <v>210</v>
      </c>
      <c r="D56" s="141">
        <f t="shared" si="6"/>
        <v>0.63762577052999991</v>
      </c>
      <c r="E56" s="18">
        <f t="shared" si="14"/>
        <v>210</v>
      </c>
      <c r="F56" s="141">
        <f t="shared" si="7"/>
        <v>0.63762577052999991</v>
      </c>
      <c r="G56" s="144">
        <f t="shared" si="8"/>
        <v>6738900</v>
      </c>
      <c r="H56" s="42">
        <f t="shared" si="15"/>
        <v>20461.410976307696</v>
      </c>
      <c r="I56" s="42">
        <f t="shared" si="16"/>
        <v>7151472.1901525082</v>
      </c>
      <c r="J56" s="47">
        <f t="shared" si="17"/>
        <v>4523890.6952556754</v>
      </c>
      <c r="K56" s="43">
        <f t="shared" si="9"/>
        <v>21714.109360332659</v>
      </c>
      <c r="L56" s="44">
        <f t="shared" si="10"/>
        <v>26460.384629805914</v>
      </c>
      <c r="M56" s="45">
        <f t="shared" si="11"/>
        <v>1.6063856623243027</v>
      </c>
      <c r="N56" s="46">
        <f t="shared" si="12"/>
        <v>350782.54750981886</v>
      </c>
      <c r="O56" s="146">
        <f t="shared" si="18"/>
        <v>5.8490327048696432E-3</v>
      </c>
      <c r="P56" s="148">
        <f t="shared" si="13"/>
        <v>7.7540013925998214E-2</v>
      </c>
    </row>
    <row r="57" spans="3:16" x14ac:dyDescent="0.25">
      <c r="C57" s="137">
        <v>220</v>
      </c>
      <c r="D57" s="141">
        <f t="shared" si="6"/>
        <v>0.66910265971999994</v>
      </c>
      <c r="E57" s="18">
        <f t="shared" si="14"/>
        <v>220</v>
      </c>
      <c r="F57" s="141">
        <f t="shared" si="7"/>
        <v>0.66910265971999994</v>
      </c>
      <c r="G57" s="144">
        <f t="shared" si="8"/>
        <v>7059800</v>
      </c>
      <c r="H57" s="42">
        <f t="shared" si="15"/>
        <v>21471.504350414798</v>
      </c>
      <c r="I57" s="42">
        <f t="shared" si="16"/>
        <v>7492018.4849216752</v>
      </c>
      <c r="J57" s="47">
        <f t="shared" si="17"/>
        <v>4739314.0616964223</v>
      </c>
      <c r="K57" s="43">
        <f t="shared" si="9"/>
        <v>22786.043158784076</v>
      </c>
      <c r="L57" s="44">
        <f t="shared" si="10"/>
        <v>27766.621976870596</v>
      </c>
      <c r="M57" s="45">
        <f t="shared" si="11"/>
        <v>1.6856861326414883</v>
      </c>
      <c r="N57" s="46">
        <f t="shared" si="12"/>
        <v>368099.19920125639</v>
      </c>
      <c r="O57" s="146">
        <f t="shared" si="18"/>
        <v>5.8587849666438064E-3</v>
      </c>
      <c r="P57" s="148">
        <f t="shared" si="13"/>
        <v>7.7669298638861767E-2</v>
      </c>
    </row>
    <row r="58" spans="3:16" x14ac:dyDescent="0.25">
      <c r="C58" s="137">
        <v>230</v>
      </c>
      <c r="D58" s="141">
        <f t="shared" si="6"/>
        <v>0.70068079956999996</v>
      </c>
      <c r="E58" s="18">
        <f t="shared" si="14"/>
        <v>230</v>
      </c>
      <c r="F58" s="141">
        <f t="shared" si="7"/>
        <v>0.70068079956999996</v>
      </c>
      <c r="G58" s="144">
        <f t="shared" si="8"/>
        <v>7380700</v>
      </c>
      <c r="H58" s="42">
        <f t="shared" si="15"/>
        <v>22484.846858201297</v>
      </c>
      <c r="I58" s="42">
        <f t="shared" si="16"/>
        <v>7832564.7796908421</v>
      </c>
      <c r="J58" s="47">
        <f t="shared" si="17"/>
        <v>4954737.4281371683</v>
      </c>
      <c r="K58" s="43">
        <f t="shared" si="9"/>
        <v>23861.425010946085</v>
      </c>
      <c r="L58" s="44">
        <f t="shared" si="10"/>
        <v>29077.061054058882</v>
      </c>
      <c r="M58" s="45">
        <f t="shared" si="11"/>
        <v>1.7652416861376203</v>
      </c>
      <c r="N58" s="46">
        <f t="shared" si="12"/>
        <v>385471.5527888427</v>
      </c>
      <c r="O58" s="146">
        <f t="shared" si="18"/>
        <v>5.8685372284179704E-3</v>
      </c>
      <c r="P58" s="148">
        <f t="shared" si="13"/>
        <v>7.7798583351725334E-2</v>
      </c>
    </row>
    <row r="59" spans="3:16" x14ac:dyDescent="0.25">
      <c r="C59" s="137">
        <v>240</v>
      </c>
      <c r="D59" s="141">
        <f t="shared" si="6"/>
        <v>0.73236019007999997</v>
      </c>
      <c r="E59" s="18">
        <f t="shared" si="14"/>
        <v>240</v>
      </c>
      <c r="F59" s="141">
        <f t="shared" si="7"/>
        <v>0.73236019007999997</v>
      </c>
      <c r="G59" s="144">
        <f t="shared" si="8"/>
        <v>7701600</v>
      </c>
      <c r="H59" s="42">
        <f t="shared" si="15"/>
        <v>23501.438499667198</v>
      </c>
      <c r="I59" s="42">
        <f t="shared" si="16"/>
        <v>8173111.0744600091</v>
      </c>
      <c r="J59" s="47">
        <f t="shared" si="17"/>
        <v>5170160.7945779152</v>
      </c>
      <c r="K59" s="43">
        <f t="shared" si="9"/>
        <v>24940.254916818685</v>
      </c>
      <c r="L59" s="44">
        <f t="shared" si="10"/>
        <v>30391.70186137077</v>
      </c>
      <c r="M59" s="45">
        <f t="shared" si="11"/>
        <v>1.8450523228126985</v>
      </c>
      <c r="N59" s="46">
        <f t="shared" si="12"/>
        <v>402899.60827257781</v>
      </c>
      <c r="O59" s="146">
        <f t="shared" si="18"/>
        <v>5.8782894901921335E-3</v>
      </c>
      <c r="P59" s="148">
        <f t="shared" si="13"/>
        <v>7.7927868064588887E-2</v>
      </c>
    </row>
    <row r="60" spans="3:16" x14ac:dyDescent="0.25">
      <c r="C60" s="137">
        <v>250</v>
      </c>
      <c r="D60" s="141">
        <f t="shared" si="6"/>
        <v>0.76414083124999999</v>
      </c>
      <c r="E60" s="18">
        <f t="shared" si="14"/>
        <v>250</v>
      </c>
      <c r="F60" s="141">
        <f t="shared" si="7"/>
        <v>0.76414083124999999</v>
      </c>
      <c r="G60" s="144">
        <f t="shared" si="8"/>
        <v>8022500</v>
      </c>
      <c r="H60" s="42">
        <f t="shared" si="15"/>
        <v>24521.279274812499</v>
      </c>
      <c r="I60" s="42">
        <f t="shared" si="16"/>
        <v>8513657.369229177</v>
      </c>
      <c r="J60" s="47">
        <f t="shared" si="17"/>
        <v>5385584.1610186622</v>
      </c>
      <c r="K60" s="43">
        <f t="shared" si="9"/>
        <v>26022.532876401881</v>
      </c>
      <c r="L60" s="44">
        <f t="shared" si="10"/>
        <v>31710.544398806262</v>
      </c>
      <c r="M60" s="45">
        <f t="shared" si="11"/>
        <v>1.9251180426667229</v>
      </c>
      <c r="N60" s="46">
        <f t="shared" si="12"/>
        <v>420383.36565246171</v>
      </c>
      <c r="O60" s="146">
        <f t="shared" si="18"/>
        <v>5.8880417519662966E-3</v>
      </c>
      <c r="P60" s="148">
        <f t="shared" si="13"/>
        <v>7.805715277745244E-2</v>
      </c>
    </row>
    <row r="61" spans="3:16" x14ac:dyDescent="0.25">
      <c r="C61" s="137">
        <v>260</v>
      </c>
      <c r="D61" s="141">
        <f t="shared" si="6"/>
        <v>0.79602272307999988</v>
      </c>
      <c r="E61" s="18">
        <f t="shared" si="14"/>
        <v>260</v>
      </c>
      <c r="F61" s="141">
        <f t="shared" si="7"/>
        <v>0.79602272307999988</v>
      </c>
      <c r="G61" s="144">
        <f t="shared" si="8"/>
        <v>8343400</v>
      </c>
      <c r="H61" s="42">
        <f t="shared" si="15"/>
        <v>25544.369183637195</v>
      </c>
      <c r="I61" s="42">
        <f t="shared" si="16"/>
        <v>8854203.6639983431</v>
      </c>
      <c r="J61" s="47">
        <f t="shared" si="17"/>
        <v>5601007.5274594082</v>
      </c>
      <c r="K61" s="43">
        <f t="shared" si="9"/>
        <v>27108.258889695666</v>
      </c>
      <c r="L61" s="44">
        <f t="shared" si="10"/>
        <v>33033.588666365351</v>
      </c>
      <c r="M61" s="45">
        <f t="shared" si="11"/>
        <v>2.0054388456996937</v>
      </c>
      <c r="N61" s="46">
        <f t="shared" si="12"/>
        <v>437922.82492849429</v>
      </c>
      <c r="O61" s="146">
        <f t="shared" si="18"/>
        <v>5.8977940137404598E-3</v>
      </c>
      <c r="P61" s="148">
        <f t="shared" si="13"/>
        <v>7.818643749031598E-2</v>
      </c>
    </row>
    <row r="62" spans="3:16" x14ac:dyDescent="0.25">
      <c r="C62" s="137">
        <v>270</v>
      </c>
      <c r="D62" s="141">
        <f t="shared" si="6"/>
        <v>0.82800586556999989</v>
      </c>
      <c r="E62" s="18">
        <f t="shared" si="14"/>
        <v>270</v>
      </c>
      <c r="F62" s="141">
        <f t="shared" si="7"/>
        <v>0.82800586556999989</v>
      </c>
      <c r="G62" s="144">
        <f t="shared" si="8"/>
        <v>8664300</v>
      </c>
      <c r="H62" s="42">
        <f t="shared" si="15"/>
        <v>26570.708226141298</v>
      </c>
      <c r="I62" s="42">
        <f t="shared" si="16"/>
        <v>9194749.958767511</v>
      </c>
      <c r="J62" s="47">
        <f t="shared" si="17"/>
        <v>5816430.8939001551</v>
      </c>
      <c r="K62" s="43">
        <f t="shared" si="9"/>
        <v>28197.43295670005</v>
      </c>
      <c r="L62" s="44">
        <f t="shared" si="10"/>
        <v>34360.834664048052</v>
      </c>
      <c r="M62" s="45">
        <f t="shared" si="11"/>
        <v>2.0860147319116109</v>
      </c>
      <c r="N62" s="46">
        <f t="shared" si="12"/>
        <v>455517.98610067583</v>
      </c>
      <c r="O62" s="146">
        <f t="shared" si="18"/>
        <v>5.9075462755146229E-3</v>
      </c>
      <c r="P62" s="148">
        <f t="shared" si="13"/>
        <v>7.8315722203179533E-2</v>
      </c>
    </row>
    <row r="63" spans="3:16" x14ac:dyDescent="0.25">
      <c r="C63" s="137">
        <v>280</v>
      </c>
      <c r="D63" s="141">
        <f t="shared" si="6"/>
        <v>0.86009025872</v>
      </c>
      <c r="E63" s="18">
        <f t="shared" si="14"/>
        <v>280</v>
      </c>
      <c r="F63" s="141">
        <f t="shared" si="7"/>
        <v>0.86009025872</v>
      </c>
      <c r="G63" s="144">
        <f t="shared" si="8"/>
        <v>8985200</v>
      </c>
      <c r="H63" s="42">
        <f t="shared" si="15"/>
        <v>27600.296402324799</v>
      </c>
      <c r="I63" s="42">
        <f t="shared" si="16"/>
        <v>9535296.253536677</v>
      </c>
      <c r="J63" s="47">
        <f t="shared" si="17"/>
        <v>6031854.2603409011</v>
      </c>
      <c r="K63" s="43">
        <f t="shared" si="9"/>
        <v>29290.055077415025</v>
      </c>
      <c r="L63" s="44">
        <f t="shared" si="10"/>
        <v>35692.282391854358</v>
      </c>
      <c r="M63" s="45">
        <f t="shared" si="11"/>
        <v>2.1668457013024742</v>
      </c>
      <c r="N63" s="46">
        <f t="shared" si="12"/>
        <v>473168.84916900611</v>
      </c>
      <c r="O63" s="146">
        <f t="shared" si="18"/>
        <v>5.9172985372887878E-3</v>
      </c>
      <c r="P63" s="148">
        <f t="shared" si="13"/>
        <v>7.8445006916043114E-2</v>
      </c>
    </row>
    <row r="64" spans="3:16" x14ac:dyDescent="0.25">
      <c r="C64" s="137">
        <v>290</v>
      </c>
      <c r="D64" s="141">
        <f t="shared" si="6"/>
        <v>0.89227590253</v>
      </c>
      <c r="E64" s="18">
        <f t="shared" si="14"/>
        <v>290</v>
      </c>
      <c r="F64" s="141">
        <f t="shared" si="7"/>
        <v>0.89227590253</v>
      </c>
      <c r="G64" s="144">
        <f t="shared" si="8"/>
        <v>9306100</v>
      </c>
      <c r="H64" s="42">
        <f t="shared" si="15"/>
        <v>28633.1337121877</v>
      </c>
      <c r="I64" s="42">
        <f t="shared" si="16"/>
        <v>9875842.5483058449</v>
      </c>
      <c r="J64" s="47">
        <f t="shared" si="17"/>
        <v>6247277.626781648</v>
      </c>
      <c r="K64" s="43">
        <f t="shared" si="9"/>
        <v>30386.125251840596</v>
      </c>
      <c r="L64" s="44">
        <f t="shared" si="10"/>
        <v>37027.931849784261</v>
      </c>
      <c r="M64" s="45">
        <f t="shared" si="11"/>
        <v>2.2479317538722841</v>
      </c>
      <c r="N64" s="46">
        <f t="shared" si="12"/>
        <v>490875.41413348512</v>
      </c>
      <c r="O64" s="146">
        <f t="shared" si="18"/>
        <v>5.9270507990629509E-3</v>
      </c>
      <c r="P64" s="148">
        <f t="shared" si="13"/>
        <v>7.8574291628906667E-2</v>
      </c>
    </row>
    <row r="65" spans="3:16" x14ac:dyDescent="0.25">
      <c r="C65" s="137">
        <v>300</v>
      </c>
      <c r="D65" s="141">
        <f t="shared" si="6"/>
        <v>0.92456279699999999</v>
      </c>
      <c r="E65" s="18">
        <f t="shared" si="14"/>
        <v>300</v>
      </c>
      <c r="F65" s="141">
        <f t="shared" si="7"/>
        <v>0.92456279699999999</v>
      </c>
      <c r="G65" s="144">
        <f t="shared" si="8"/>
        <v>9627000</v>
      </c>
      <c r="H65" s="42">
        <f t="shared" si="15"/>
        <v>29669.22015573</v>
      </c>
      <c r="I65" s="42">
        <f t="shared" si="16"/>
        <v>10216388.843075011</v>
      </c>
      <c r="J65" s="47">
        <f t="shared" si="17"/>
        <v>6462700.9932223931</v>
      </c>
      <c r="K65" s="43">
        <f t="shared" si="9"/>
        <v>31485.643479976756</v>
      </c>
      <c r="L65" s="44">
        <f t="shared" si="10"/>
        <v>38367.783037837769</v>
      </c>
      <c r="M65" s="45">
        <f t="shared" si="11"/>
        <v>2.32927288962104</v>
      </c>
      <c r="N65" s="46">
        <f t="shared" si="12"/>
        <v>508637.68099411292</v>
      </c>
      <c r="O65" s="146">
        <f t="shared" si="18"/>
        <v>5.9368030608371158E-3</v>
      </c>
      <c r="P65" s="148">
        <f t="shared" si="13"/>
        <v>7.8703576341770234E-2</v>
      </c>
    </row>
    <row r="66" spans="3:16" x14ac:dyDescent="0.25">
      <c r="C66" s="137">
        <v>310</v>
      </c>
      <c r="D66" s="141">
        <f t="shared" si="6"/>
        <v>0.95695094212999998</v>
      </c>
      <c r="E66" s="18">
        <f t="shared" si="14"/>
        <v>310</v>
      </c>
      <c r="F66" s="141">
        <f t="shared" si="7"/>
        <v>0.95695094212999998</v>
      </c>
      <c r="G66" s="144">
        <f t="shared" si="8"/>
        <v>9947900</v>
      </c>
      <c r="H66" s="42">
        <f t="shared" si="15"/>
        <v>30708.5557329517</v>
      </c>
      <c r="I66" s="42">
        <f t="shared" si="16"/>
        <v>10556935.137844179</v>
      </c>
      <c r="J66" s="47">
        <f t="shared" si="17"/>
        <v>6678124.359663141</v>
      </c>
      <c r="K66" s="43">
        <f t="shared" si="9"/>
        <v>32588.609761823511</v>
      </c>
      <c r="L66" s="44">
        <f t="shared" si="10"/>
        <v>39711.835956014882</v>
      </c>
      <c r="M66" s="45">
        <f t="shared" si="11"/>
        <v>2.4108691085487424</v>
      </c>
      <c r="N66" s="46">
        <f t="shared" si="12"/>
        <v>526455.64975088951</v>
      </c>
      <c r="O66" s="146">
        <f t="shared" si="18"/>
        <v>5.946555322611278E-3</v>
      </c>
      <c r="P66" s="148">
        <f t="shared" si="13"/>
        <v>7.8832861054633774E-2</v>
      </c>
    </row>
    <row r="67" spans="3:16" x14ac:dyDescent="0.25">
      <c r="C67" s="137">
        <v>320</v>
      </c>
      <c r="D67" s="141">
        <f t="shared" si="6"/>
        <v>0.98944033791999997</v>
      </c>
      <c r="E67" s="18">
        <f t="shared" si="14"/>
        <v>320</v>
      </c>
      <c r="F67" s="141">
        <f t="shared" si="7"/>
        <v>0.98944033791999997</v>
      </c>
      <c r="G67" s="144">
        <f t="shared" si="8"/>
        <v>10268800</v>
      </c>
      <c r="H67" s="42">
        <f t="shared" si="15"/>
        <v>31751.140443852801</v>
      </c>
      <c r="I67" s="42">
        <f t="shared" si="16"/>
        <v>10897481.432613345</v>
      </c>
      <c r="J67" s="47">
        <f t="shared" si="17"/>
        <v>6893547.726103886</v>
      </c>
      <c r="K67" s="43">
        <f t="shared" si="9"/>
        <v>33695.024097380861</v>
      </c>
      <c r="L67" s="44">
        <f t="shared" si="10"/>
        <v>41060.090604315599</v>
      </c>
      <c r="M67" s="45">
        <f t="shared" si="11"/>
        <v>2.4927204106553909</v>
      </c>
      <c r="N67" s="46">
        <f t="shared" si="12"/>
        <v>544329.3204038149</v>
      </c>
      <c r="O67" s="146">
        <f t="shared" si="18"/>
        <v>5.9563075843854429E-3</v>
      </c>
      <c r="P67" s="148">
        <f t="shared" si="13"/>
        <v>7.8962145767497341E-2</v>
      </c>
    </row>
    <row r="68" spans="3:16" x14ac:dyDescent="0.25">
      <c r="C68" s="137">
        <v>330</v>
      </c>
      <c r="D68" s="141">
        <f t="shared" si="6"/>
        <v>1.02203098437</v>
      </c>
      <c r="E68" s="18">
        <f t="shared" si="14"/>
        <v>330</v>
      </c>
      <c r="F68" s="141">
        <f t="shared" si="7"/>
        <v>1.02203098437</v>
      </c>
      <c r="G68" s="144">
        <f t="shared" si="8"/>
        <v>10589700</v>
      </c>
      <c r="H68" s="42">
        <f t="shared" si="15"/>
        <v>32796.974288433295</v>
      </c>
      <c r="I68" s="42">
        <f t="shared" si="16"/>
        <v>11238027.727382513</v>
      </c>
      <c r="J68" s="47">
        <f t="shared" si="17"/>
        <v>7108971.092544633</v>
      </c>
      <c r="K68" s="43">
        <f t="shared" si="9"/>
        <v>34804.886486648793</v>
      </c>
      <c r="L68" s="44">
        <f t="shared" si="10"/>
        <v>42412.546982739907</v>
      </c>
      <c r="M68" s="45">
        <f t="shared" si="11"/>
        <v>2.574826795940985</v>
      </c>
      <c r="N68" s="46">
        <f t="shared" si="12"/>
        <v>562258.6929528889</v>
      </c>
      <c r="O68" s="146">
        <f t="shared" si="18"/>
        <v>5.9660598461596043E-3</v>
      </c>
      <c r="P68" s="148">
        <f t="shared" si="13"/>
        <v>7.909143048036088E-2</v>
      </c>
    </row>
    <row r="69" spans="3:16" x14ac:dyDescent="0.25">
      <c r="C69" s="137">
        <v>340</v>
      </c>
      <c r="D69" s="141">
        <f t="shared" si="6"/>
        <v>1.05472288148</v>
      </c>
      <c r="E69" s="18">
        <f t="shared" si="14"/>
        <v>340</v>
      </c>
      <c r="F69" s="141">
        <f t="shared" si="7"/>
        <v>1.05472288148</v>
      </c>
      <c r="G69" s="144">
        <f t="shared" si="8"/>
        <v>10910600</v>
      </c>
      <c r="H69" s="42">
        <f t="shared" si="15"/>
        <v>33846.057266693198</v>
      </c>
      <c r="I69" s="42">
        <f t="shared" si="16"/>
        <v>11578574.022151679</v>
      </c>
      <c r="J69" s="47">
        <f t="shared" si="17"/>
        <v>7324394.458985379</v>
      </c>
      <c r="K69" s="43">
        <f t="shared" si="9"/>
        <v>35918.196929627331</v>
      </c>
      <c r="L69" s="44">
        <f t="shared" si="10"/>
        <v>43769.205091287833</v>
      </c>
      <c r="M69" s="45">
        <f t="shared" si="11"/>
        <v>2.6571882644055265</v>
      </c>
      <c r="N69" s="46">
        <f t="shared" si="12"/>
        <v>580243.76739811199</v>
      </c>
      <c r="O69" s="146">
        <f t="shared" si="18"/>
        <v>5.9758121079337683E-3</v>
      </c>
      <c r="P69" s="148">
        <f t="shared" si="13"/>
        <v>7.9220715193224434E-2</v>
      </c>
    </row>
    <row r="70" spans="3:16" x14ac:dyDescent="0.25">
      <c r="C70" s="137">
        <v>350</v>
      </c>
      <c r="D70" s="141">
        <f t="shared" si="6"/>
        <v>1.0875160292499999</v>
      </c>
      <c r="E70" s="18">
        <f t="shared" si="14"/>
        <v>350</v>
      </c>
      <c r="F70" s="141">
        <f t="shared" si="7"/>
        <v>1.0875160292499999</v>
      </c>
      <c r="G70" s="144">
        <f t="shared" si="8"/>
        <v>11231500</v>
      </c>
      <c r="H70" s="42">
        <f t="shared" si="15"/>
        <v>34898.389378632499</v>
      </c>
      <c r="I70" s="42">
        <f t="shared" si="16"/>
        <v>11919120.316920847</v>
      </c>
      <c r="J70" s="47">
        <f t="shared" si="17"/>
        <v>7539817.8254261259</v>
      </c>
      <c r="K70" s="43">
        <f t="shared" si="9"/>
        <v>37034.955426316461</v>
      </c>
      <c r="L70" s="44">
        <f t="shared" si="10"/>
        <v>45130.064929959357</v>
      </c>
      <c r="M70" s="45">
        <f t="shared" si="11"/>
        <v>2.739804816049014</v>
      </c>
      <c r="N70" s="46">
        <f t="shared" si="12"/>
        <v>598284.54373948369</v>
      </c>
      <c r="O70" s="146">
        <f t="shared" si="18"/>
        <v>5.9855643697079314E-3</v>
      </c>
      <c r="P70" s="148">
        <f t="shared" si="13"/>
        <v>7.9349999906087987E-2</v>
      </c>
    </row>
    <row r="71" spans="3:16" x14ac:dyDescent="0.25">
      <c r="C71" s="137">
        <v>360</v>
      </c>
      <c r="D71" s="141">
        <f t="shared" si="6"/>
        <v>1.12041042768</v>
      </c>
      <c r="E71" s="18">
        <f t="shared" si="14"/>
        <v>360</v>
      </c>
      <c r="F71" s="141">
        <f t="shared" si="7"/>
        <v>1.12041042768</v>
      </c>
      <c r="G71" s="144">
        <f t="shared" si="8"/>
        <v>11552400</v>
      </c>
      <c r="H71" s="42">
        <f t="shared" si="15"/>
        <v>35953.970624251197</v>
      </c>
      <c r="I71" s="42">
        <f t="shared" si="16"/>
        <v>12259666.611690015</v>
      </c>
      <c r="J71" s="47">
        <f t="shared" si="17"/>
        <v>7755241.1918668728</v>
      </c>
      <c r="K71" s="43">
        <f t="shared" si="9"/>
        <v>38155.161976716176</v>
      </c>
      <c r="L71" s="44">
        <f t="shared" si="10"/>
        <v>46495.126498754478</v>
      </c>
      <c r="M71" s="45">
        <f t="shared" si="11"/>
        <v>2.8226764508714473</v>
      </c>
      <c r="N71" s="46">
        <f t="shared" si="12"/>
        <v>616381.02197700401</v>
      </c>
      <c r="O71" s="146">
        <f t="shared" si="18"/>
        <v>5.9953166314820937E-3</v>
      </c>
      <c r="P71" s="148">
        <f t="shared" si="13"/>
        <v>7.9479284618951526E-2</v>
      </c>
    </row>
    <row r="72" spans="3:16" x14ac:dyDescent="0.25">
      <c r="C72" s="137">
        <v>370</v>
      </c>
      <c r="D72" s="141">
        <f t="shared" si="6"/>
        <v>1.1534060767700001</v>
      </c>
      <c r="E72" s="18">
        <f t="shared" si="14"/>
        <v>370</v>
      </c>
      <c r="F72" s="141">
        <f t="shared" si="7"/>
        <v>1.1534060767700001</v>
      </c>
      <c r="G72" s="144">
        <f t="shared" si="8"/>
        <v>11873300</v>
      </c>
      <c r="H72" s="42">
        <f t="shared" si="15"/>
        <v>37012.801003549299</v>
      </c>
      <c r="I72" s="42">
        <f t="shared" si="16"/>
        <v>12600212.906459181</v>
      </c>
      <c r="J72" s="47">
        <f t="shared" si="17"/>
        <v>7970664.5583076188</v>
      </c>
      <c r="K72" s="43">
        <f t="shared" si="9"/>
        <v>39278.816580826489</v>
      </c>
      <c r="L72" s="44">
        <f t="shared" si="10"/>
        <v>47864.389797673211</v>
      </c>
      <c r="M72" s="45">
        <f t="shared" si="11"/>
        <v>2.9058031688728274</v>
      </c>
      <c r="N72" s="46">
        <f t="shared" si="12"/>
        <v>634533.20211067342</v>
      </c>
      <c r="O72" s="146">
        <f t="shared" si="18"/>
        <v>6.0050688932562577E-3</v>
      </c>
      <c r="P72" s="148">
        <f t="shared" si="13"/>
        <v>7.9608569331815093E-2</v>
      </c>
    </row>
    <row r="73" spans="3:16" x14ac:dyDescent="0.25">
      <c r="C73" s="137">
        <v>380</v>
      </c>
      <c r="D73" s="141">
        <f t="shared" si="6"/>
        <v>1.1865029765199999</v>
      </c>
      <c r="E73" s="18">
        <f t="shared" si="14"/>
        <v>380</v>
      </c>
      <c r="F73" s="141">
        <f t="shared" si="7"/>
        <v>1.1865029765199999</v>
      </c>
      <c r="G73" s="144">
        <f t="shared" si="8"/>
        <v>12194200</v>
      </c>
      <c r="H73" s="42">
        <f t="shared" si="15"/>
        <v>38074.880516526799</v>
      </c>
      <c r="I73" s="42">
        <f t="shared" si="16"/>
        <v>12940759.201228349</v>
      </c>
      <c r="J73" s="47">
        <f t="shared" si="17"/>
        <v>8186087.9247483658</v>
      </c>
      <c r="K73" s="43">
        <f t="shared" si="9"/>
        <v>40405.919238647402</v>
      </c>
      <c r="L73" s="44">
        <f t="shared" si="10"/>
        <v>49237.854826715557</v>
      </c>
      <c r="M73" s="45">
        <f t="shared" si="11"/>
        <v>2.9891849700531541</v>
      </c>
      <c r="N73" s="46">
        <f t="shared" si="12"/>
        <v>652741.08414049156</v>
      </c>
      <c r="O73" s="146">
        <f t="shared" si="18"/>
        <v>6.0148211550304217E-3</v>
      </c>
      <c r="P73" s="148">
        <f t="shared" si="13"/>
        <v>7.9737854044678647E-2</v>
      </c>
    </row>
    <row r="74" spans="3:16" x14ac:dyDescent="0.25">
      <c r="C74" s="137">
        <v>390</v>
      </c>
      <c r="D74" s="141">
        <f t="shared" si="6"/>
        <v>1.21970112693</v>
      </c>
      <c r="E74" s="18">
        <f t="shared" si="14"/>
        <v>390</v>
      </c>
      <c r="F74" s="141">
        <f t="shared" si="7"/>
        <v>1.21970112693</v>
      </c>
      <c r="G74" s="144">
        <f t="shared" si="8"/>
        <v>12515100</v>
      </c>
      <c r="H74" s="42">
        <f t="shared" si="15"/>
        <v>39140.209163183703</v>
      </c>
      <c r="I74" s="42">
        <f t="shared" si="16"/>
        <v>13281305.495997515</v>
      </c>
      <c r="J74" s="47">
        <f t="shared" si="17"/>
        <v>8401511.2911891118</v>
      </c>
      <c r="K74" s="43">
        <f t="shared" si="9"/>
        <v>41536.469950178907</v>
      </c>
      <c r="L74" s="44">
        <f t="shared" si="10"/>
        <v>50615.521585881499</v>
      </c>
      <c r="M74" s="45">
        <f t="shared" si="11"/>
        <v>3.0728218544124273</v>
      </c>
      <c r="N74" s="46">
        <f t="shared" si="12"/>
        <v>671004.66806645854</v>
      </c>
      <c r="O74" s="146">
        <f t="shared" si="18"/>
        <v>6.0245734168045866E-3</v>
      </c>
      <c r="P74" s="148">
        <f t="shared" si="13"/>
        <v>7.9867138757542228E-2</v>
      </c>
    </row>
    <row r="75" spans="3:16" x14ac:dyDescent="0.25">
      <c r="C75" s="137">
        <v>400</v>
      </c>
      <c r="D75" s="141">
        <f t="shared" si="6"/>
        <v>1.2530005279999998</v>
      </c>
      <c r="E75" s="18">
        <f t="shared" si="14"/>
        <v>400</v>
      </c>
      <c r="F75" s="141">
        <f t="shared" si="7"/>
        <v>1.2530005279999998</v>
      </c>
      <c r="G75" s="144">
        <f t="shared" si="8"/>
        <v>12836000</v>
      </c>
      <c r="H75" s="42">
        <f t="shared" si="15"/>
        <v>40208.786943519997</v>
      </c>
      <c r="I75" s="42">
        <f t="shared" si="16"/>
        <v>13621851.790766682</v>
      </c>
      <c r="J75" s="47">
        <f t="shared" si="17"/>
        <v>8616934.6576298587</v>
      </c>
      <c r="K75" s="43">
        <f t="shared" si="9"/>
        <v>42670.46871542099</v>
      </c>
      <c r="L75" s="44">
        <f t="shared" si="10"/>
        <v>51997.390075171024</v>
      </c>
      <c r="M75" s="45">
        <f t="shared" si="11"/>
        <v>3.1567138219506452</v>
      </c>
      <c r="N75" s="46">
        <f t="shared" si="12"/>
        <v>689323.95388857392</v>
      </c>
      <c r="O75" s="146">
        <f t="shared" si="18"/>
        <v>6.0343256785787471E-3</v>
      </c>
      <c r="P75" s="148">
        <f t="shared" si="13"/>
        <v>7.9996423470405739E-2</v>
      </c>
    </row>
    <row r="76" spans="3:16" x14ac:dyDescent="0.25">
      <c r="C76" s="137">
        <v>410</v>
      </c>
      <c r="D76" s="141">
        <f t="shared" si="6"/>
        <v>1.2864011797300001</v>
      </c>
      <c r="E76" s="18">
        <f t="shared" si="14"/>
        <v>410</v>
      </c>
      <c r="F76" s="141">
        <f t="shared" si="7"/>
        <v>1.2864011797300001</v>
      </c>
      <c r="G76" s="144">
        <f t="shared" ref="G76:G77" si="19">E76*$C$27</f>
        <v>13156900</v>
      </c>
      <c r="H76" s="42">
        <f t="shared" ref="H76:H77" si="20">F76*$C$27</f>
        <v>41280.613857535704</v>
      </c>
      <c r="I76" s="42">
        <f t="shared" ref="I76:I77" si="21">G76*$N$30</f>
        <v>13962398.085535849</v>
      </c>
      <c r="J76" s="47">
        <f t="shared" si="17"/>
        <v>8832358.0240706038</v>
      </c>
      <c r="K76" s="43">
        <f t="shared" ref="K76:K77" si="22">H76*$N$30</f>
        <v>43807.915534373686</v>
      </c>
      <c r="L76" s="44">
        <f t="shared" si="10"/>
        <v>53383.460294584183</v>
      </c>
      <c r="M76" s="45">
        <f t="shared" si="11"/>
        <v>3.240860872667811</v>
      </c>
      <c r="N76" s="46">
        <f t="shared" ref="N76:N77" si="23">L76*$G$30</f>
        <v>707698.94160683861</v>
      </c>
      <c r="O76" s="146">
        <f t="shared" si="18"/>
        <v>6.0440779403529137E-3</v>
      </c>
      <c r="P76" s="148">
        <f t="shared" si="13"/>
        <v>8.0125708183269334E-2</v>
      </c>
    </row>
    <row r="77" spans="3:16" x14ac:dyDescent="0.25">
      <c r="C77" s="137">
        <v>420</v>
      </c>
      <c r="D77" s="141">
        <f t="shared" si="6"/>
        <v>1.31990308212</v>
      </c>
      <c r="E77" s="18">
        <f t="shared" si="14"/>
        <v>420</v>
      </c>
      <c r="F77" s="141">
        <f t="shared" si="7"/>
        <v>1.31990308212</v>
      </c>
      <c r="G77" s="144">
        <f t="shared" si="19"/>
        <v>13477800</v>
      </c>
      <c r="H77" s="42">
        <f t="shared" si="20"/>
        <v>42355.6899052308</v>
      </c>
      <c r="I77" s="42">
        <f t="shared" si="21"/>
        <v>14302944.380305016</v>
      </c>
      <c r="J77" s="47">
        <f t="shared" si="17"/>
        <v>9047781.3905113507</v>
      </c>
      <c r="K77" s="43">
        <f t="shared" si="22"/>
        <v>44948.810407036959</v>
      </c>
      <c r="L77" s="44">
        <f t="shared" si="10"/>
        <v>54773.732244120918</v>
      </c>
      <c r="M77" s="45">
        <f t="shared" si="11"/>
        <v>3.3252630065639215</v>
      </c>
      <c r="N77" s="46">
        <f t="shared" si="23"/>
        <v>726129.63122125156</v>
      </c>
      <c r="O77" s="146">
        <f t="shared" si="18"/>
        <v>6.0538302021270751E-3</v>
      </c>
      <c r="P77" s="148">
        <f t="shared" si="13"/>
        <v>8.0254992896132873E-2</v>
      </c>
    </row>
    <row r="78" spans="3:16" x14ac:dyDescent="0.25">
      <c r="C78" s="137">
        <v>430</v>
      </c>
      <c r="D78" s="141">
        <f t="shared" si="6"/>
        <v>1.35350623517</v>
      </c>
      <c r="E78" s="18">
        <f t="shared" si="14"/>
        <v>430</v>
      </c>
      <c r="F78" s="141">
        <f t="shared" si="7"/>
        <v>1.35350623517</v>
      </c>
      <c r="G78" s="144">
        <f t="shared" ref="G78:G81" si="24">E78*$C$27</f>
        <v>13798700</v>
      </c>
      <c r="H78" s="42">
        <f t="shared" ref="H78:H81" si="25">F78*$C$27</f>
        <v>43434.015086605301</v>
      </c>
      <c r="I78" s="42">
        <f t="shared" ref="I78:I81" si="26">G78*$N$30</f>
        <v>14643490.675074182</v>
      </c>
      <c r="J78" s="47">
        <f t="shared" si="17"/>
        <v>9263204.7569520976</v>
      </c>
      <c r="K78" s="43">
        <f t="shared" ref="K78:K81" si="27">H78*$N$30</f>
        <v>46093.153333410839</v>
      </c>
      <c r="L78" s="44">
        <f t="shared" si="10"/>
        <v>56168.205923781279</v>
      </c>
      <c r="M78" s="45">
        <f t="shared" si="11"/>
        <v>3.4099202236389798</v>
      </c>
      <c r="N78" s="46">
        <f t="shared" ref="N78:N81" si="28">L78*$G$30</f>
        <v>744616.02273181372</v>
      </c>
      <c r="O78" s="146">
        <f t="shared" si="18"/>
        <v>6.0635824639012391E-3</v>
      </c>
      <c r="P78" s="148">
        <f t="shared" si="13"/>
        <v>8.0384277608996427E-2</v>
      </c>
    </row>
    <row r="79" spans="3:16" x14ac:dyDescent="0.25">
      <c r="C79" s="137">
        <v>440</v>
      </c>
      <c r="D79" s="141">
        <f t="shared" si="6"/>
        <v>1.3872106388799998</v>
      </c>
      <c r="E79" s="18">
        <f t="shared" si="14"/>
        <v>440</v>
      </c>
      <c r="F79" s="141">
        <f t="shared" si="7"/>
        <v>1.3872106388799998</v>
      </c>
      <c r="G79" s="144">
        <f t="shared" si="24"/>
        <v>14119600</v>
      </c>
      <c r="H79" s="42">
        <f t="shared" si="25"/>
        <v>44515.589401659192</v>
      </c>
      <c r="I79" s="42">
        <f t="shared" si="26"/>
        <v>14984036.96984335</v>
      </c>
      <c r="J79" s="47">
        <f t="shared" si="17"/>
        <v>9478628.1233928446</v>
      </c>
      <c r="K79" s="43">
        <f t="shared" si="27"/>
        <v>47240.944313495296</v>
      </c>
      <c r="L79" s="44">
        <f t="shared" si="10"/>
        <v>57566.881333565223</v>
      </c>
      <c r="M79" s="45">
        <f t="shared" si="11"/>
        <v>3.4948325238929834</v>
      </c>
      <c r="N79" s="46">
        <f t="shared" si="28"/>
        <v>763158.11613852438</v>
      </c>
      <c r="O79" s="146">
        <f t="shared" si="18"/>
        <v>6.0733347256754014E-3</v>
      </c>
      <c r="P79" s="148">
        <f t="shared" si="13"/>
        <v>8.0513562321859966E-2</v>
      </c>
    </row>
    <row r="80" spans="3:16" x14ac:dyDescent="0.25">
      <c r="C80" s="137">
        <v>450</v>
      </c>
      <c r="D80" s="141">
        <f t="shared" si="6"/>
        <v>1.4210162932500001</v>
      </c>
      <c r="E80" s="18">
        <f t="shared" si="14"/>
        <v>450</v>
      </c>
      <c r="F80" s="141">
        <f t="shared" si="7"/>
        <v>1.4210162932500001</v>
      </c>
      <c r="G80" s="144">
        <f t="shared" si="24"/>
        <v>14440500</v>
      </c>
      <c r="H80" s="42">
        <f t="shared" si="25"/>
        <v>45600.412850392502</v>
      </c>
      <c r="I80" s="42">
        <f t="shared" si="26"/>
        <v>15324583.264612516</v>
      </c>
      <c r="J80" s="47">
        <f t="shared" si="17"/>
        <v>9694051.4898335896</v>
      </c>
      <c r="K80" s="43">
        <f t="shared" si="27"/>
        <v>48392.183347290367</v>
      </c>
      <c r="L80" s="44">
        <f t="shared" si="10"/>
        <v>58969.758473472793</v>
      </c>
      <c r="M80" s="45">
        <f t="shared" si="11"/>
        <v>3.5799999073259343</v>
      </c>
      <c r="N80" s="46">
        <f t="shared" si="28"/>
        <v>781755.91144138412</v>
      </c>
      <c r="O80" s="146">
        <f t="shared" si="18"/>
        <v>6.0830869874495663E-3</v>
      </c>
      <c r="P80" s="148">
        <f t="shared" si="13"/>
        <v>8.0642847034723547E-2</v>
      </c>
    </row>
    <row r="81" spans="3:16" x14ac:dyDescent="0.25">
      <c r="C81" s="137">
        <v>460</v>
      </c>
      <c r="D81" s="141">
        <f t="shared" si="6"/>
        <v>1.4549231982799999</v>
      </c>
      <c r="E81" s="18">
        <f t="shared" si="14"/>
        <v>460</v>
      </c>
      <c r="F81" s="141">
        <f t="shared" si="7"/>
        <v>1.4549231982799999</v>
      </c>
      <c r="G81" s="144">
        <f t="shared" si="24"/>
        <v>14761400</v>
      </c>
      <c r="H81" s="42">
        <f t="shared" si="25"/>
        <v>46688.485432805195</v>
      </c>
      <c r="I81" s="42">
        <f t="shared" si="26"/>
        <v>15665129.559381684</v>
      </c>
      <c r="J81" s="47">
        <f t="shared" si="17"/>
        <v>9909474.8562743366</v>
      </c>
      <c r="K81" s="43">
        <f t="shared" si="27"/>
        <v>49546.870434796008</v>
      </c>
      <c r="L81" s="44">
        <f t="shared" si="10"/>
        <v>60376.837343503939</v>
      </c>
      <c r="M81" s="45">
        <f t="shared" si="11"/>
        <v>3.6654223739378304</v>
      </c>
      <c r="N81" s="46">
        <f t="shared" si="28"/>
        <v>800409.40864039224</v>
      </c>
      <c r="O81" s="146">
        <f t="shared" si="18"/>
        <v>6.0928392492237277E-3</v>
      </c>
      <c r="P81" s="148">
        <f t="shared" si="13"/>
        <v>8.0772131747587073E-2</v>
      </c>
    </row>
    <row r="82" spans="3:16" x14ac:dyDescent="0.25">
      <c r="C82" s="137">
        <v>470</v>
      </c>
      <c r="D82" s="141">
        <f t="shared" si="6"/>
        <v>1.48893135397</v>
      </c>
      <c r="E82" s="18">
        <f t="shared" si="14"/>
        <v>470</v>
      </c>
      <c r="F82" s="141">
        <f t="shared" si="7"/>
        <v>1.48893135397</v>
      </c>
      <c r="G82" s="144">
        <f t="shared" ref="G82:G84" si="29">E82*$C$27</f>
        <v>15082300</v>
      </c>
      <c r="H82" s="42">
        <f t="shared" ref="H82:H84" si="30">F82*$C$27</f>
        <v>47779.8071488973</v>
      </c>
      <c r="I82" s="42">
        <f t="shared" ref="I82:I84" si="31">G82*$N$30</f>
        <v>16005675.854150852</v>
      </c>
      <c r="J82" s="47">
        <f t="shared" si="17"/>
        <v>10124898.222715084</v>
      </c>
      <c r="K82" s="43">
        <f t="shared" ref="K82:K84" si="32">H82*$N$30</f>
        <v>50705.005576012263</v>
      </c>
      <c r="L82" s="44">
        <f t="shared" si="10"/>
        <v>61788.117943658719</v>
      </c>
      <c r="M82" s="45">
        <f t="shared" si="11"/>
        <v>3.751099923728674</v>
      </c>
      <c r="N82" s="46">
        <f t="shared" ref="N82:N84" si="33">L82*$G$30</f>
        <v>819118.60773554957</v>
      </c>
      <c r="O82" s="146">
        <f t="shared" si="18"/>
        <v>6.1025915109978925E-3</v>
      </c>
      <c r="P82" s="148">
        <f t="shared" si="13"/>
        <v>8.090141646045064E-2</v>
      </c>
    </row>
    <row r="83" spans="3:16" x14ac:dyDescent="0.25">
      <c r="C83" s="137">
        <v>480</v>
      </c>
      <c r="D83" s="141">
        <f t="shared" si="6"/>
        <v>1.5230407603199998</v>
      </c>
      <c r="E83" s="18">
        <f t="shared" si="14"/>
        <v>480</v>
      </c>
      <c r="F83" s="141">
        <f t="shared" si="7"/>
        <v>1.5230407603199998</v>
      </c>
      <c r="G83" s="144">
        <f t="shared" si="29"/>
        <v>15403200</v>
      </c>
      <c r="H83" s="42">
        <f t="shared" si="30"/>
        <v>48874.377998668795</v>
      </c>
      <c r="I83" s="42">
        <f t="shared" si="31"/>
        <v>16346222.148920018</v>
      </c>
      <c r="J83" s="47">
        <f t="shared" si="17"/>
        <v>10340321.58915583</v>
      </c>
      <c r="K83" s="43">
        <f t="shared" si="32"/>
        <v>51866.588770939095</v>
      </c>
      <c r="L83" s="44">
        <f t="shared" si="10"/>
        <v>63203.600273937074</v>
      </c>
      <c r="M83" s="45">
        <f t="shared" si="11"/>
        <v>3.8370325566984627</v>
      </c>
      <c r="N83" s="46">
        <f t="shared" si="33"/>
        <v>837883.50872685527</v>
      </c>
      <c r="O83" s="146">
        <f t="shared" si="18"/>
        <v>6.1123437727720548E-3</v>
      </c>
      <c r="P83" s="148">
        <f t="shared" si="13"/>
        <v>8.1030701173314179E-2</v>
      </c>
    </row>
    <row r="84" spans="3:16" x14ac:dyDescent="0.25">
      <c r="C84" s="137">
        <v>490</v>
      </c>
      <c r="D84" s="141">
        <f t="shared" si="6"/>
        <v>1.5572514173300001</v>
      </c>
      <c r="E84" s="18">
        <f t="shared" si="14"/>
        <v>490</v>
      </c>
      <c r="F84" s="141">
        <f t="shared" si="7"/>
        <v>1.5572514173300001</v>
      </c>
      <c r="G84" s="144">
        <f t="shared" si="29"/>
        <v>15724100</v>
      </c>
      <c r="H84" s="42">
        <f t="shared" si="30"/>
        <v>49972.197982119702</v>
      </c>
      <c r="I84" s="42">
        <f t="shared" si="31"/>
        <v>16686768.443689186</v>
      </c>
      <c r="J84" s="47">
        <f t="shared" si="17"/>
        <v>10555744.955596577</v>
      </c>
      <c r="K84" s="43">
        <f t="shared" si="32"/>
        <v>53031.620019576534</v>
      </c>
      <c r="L84" s="44">
        <f t="shared" si="10"/>
        <v>64623.284334339056</v>
      </c>
      <c r="M84" s="45">
        <f t="shared" si="11"/>
        <v>3.9232202728471988</v>
      </c>
      <c r="N84" s="46">
        <f t="shared" si="33"/>
        <v>856704.11161431007</v>
      </c>
      <c r="O84" s="146">
        <f t="shared" si="18"/>
        <v>6.1220960345462188E-3</v>
      </c>
      <c r="P84" s="148">
        <f t="shared" si="13"/>
        <v>8.1159985886177746E-2</v>
      </c>
    </row>
    <row r="85" spans="3:16" x14ac:dyDescent="0.25">
      <c r="C85" s="137">
        <v>500</v>
      </c>
      <c r="D85" s="141">
        <f t="shared" si="6"/>
        <v>1.5915633249999999</v>
      </c>
      <c r="E85" s="18">
        <f t="shared" ref="E85:E112" si="34">C85*1</f>
        <v>500</v>
      </c>
      <c r="F85" s="141">
        <f t="shared" si="7"/>
        <v>1.5915633249999999</v>
      </c>
      <c r="G85" s="144">
        <f t="shared" ref="G85:G112" si="35">E85*$C$27</f>
        <v>16045000</v>
      </c>
      <c r="H85" s="42">
        <f t="shared" ref="H85:H112" si="36">F85*$C$27</f>
        <v>51073.267099249999</v>
      </c>
      <c r="I85" s="42">
        <f t="shared" ref="I85:I112" si="37">G85*$N$30</f>
        <v>17027314.738458354</v>
      </c>
      <c r="J85" s="47">
        <f t="shared" si="17"/>
        <v>10771168.322037324</v>
      </c>
      <c r="K85" s="43">
        <f t="shared" ref="K85:K112" si="38">H85*$N$30</f>
        <v>54200.099321924557</v>
      </c>
      <c r="L85" s="44">
        <f t="shared" ref="L85:L112" si="39">K85*$I$30</f>
        <v>66047.170124864628</v>
      </c>
      <c r="M85" s="45">
        <f t="shared" ref="M85:M112" si="40">L85/$K$27</f>
        <v>4.00966307217488</v>
      </c>
      <c r="N85" s="46">
        <f t="shared" ref="N85:N112" si="41">L85*$G$30</f>
        <v>875580.41639791359</v>
      </c>
      <c r="O85" s="146">
        <f t="shared" si="18"/>
        <v>6.1318482963203811E-3</v>
      </c>
      <c r="P85" s="148">
        <f t="shared" si="13"/>
        <v>8.1289270599041286E-2</v>
      </c>
    </row>
    <row r="86" spans="3:16" x14ac:dyDescent="0.25">
      <c r="C86" s="137">
        <v>510</v>
      </c>
      <c r="D86" s="141">
        <f t="shared" si="6"/>
        <v>1.6259764833299999</v>
      </c>
      <c r="E86" s="18">
        <f t="shared" si="34"/>
        <v>510</v>
      </c>
      <c r="F86" s="141">
        <f t="shared" si="7"/>
        <v>1.6259764833299999</v>
      </c>
      <c r="G86" s="144">
        <f t="shared" si="35"/>
        <v>16365900</v>
      </c>
      <c r="H86" s="42">
        <f t="shared" si="36"/>
        <v>52177.585350059693</v>
      </c>
      <c r="I86" s="42">
        <f t="shared" si="37"/>
        <v>17367861.033227518</v>
      </c>
      <c r="J86" s="47">
        <f t="shared" si="17"/>
        <v>10986591.688478069</v>
      </c>
      <c r="K86" s="43">
        <f t="shared" si="38"/>
        <v>55372.026677983173</v>
      </c>
      <c r="L86" s="44">
        <f t="shared" si="39"/>
        <v>67475.257645513804</v>
      </c>
      <c r="M86" s="45">
        <f t="shared" si="40"/>
        <v>4.0963609546815078</v>
      </c>
      <c r="N86" s="46">
        <f t="shared" si="41"/>
        <v>894512.42307766585</v>
      </c>
      <c r="O86" s="146">
        <f t="shared" si="18"/>
        <v>6.1416005580945451E-3</v>
      </c>
      <c r="P86" s="148">
        <f t="shared" si="13"/>
        <v>8.1418555311904853E-2</v>
      </c>
    </row>
    <row r="87" spans="3:16" x14ac:dyDescent="0.25">
      <c r="C87" s="137">
        <v>520</v>
      </c>
      <c r="D87" s="141">
        <f t="shared" si="6"/>
        <v>1.6604908923199999</v>
      </c>
      <c r="E87" s="18">
        <f t="shared" si="34"/>
        <v>520</v>
      </c>
      <c r="F87" s="141">
        <f t="shared" si="7"/>
        <v>1.6604908923199999</v>
      </c>
      <c r="G87" s="144">
        <f t="shared" si="35"/>
        <v>16686800</v>
      </c>
      <c r="H87" s="42">
        <f t="shared" si="36"/>
        <v>53285.152734548799</v>
      </c>
      <c r="I87" s="42">
        <f t="shared" si="37"/>
        <v>17708407.327996686</v>
      </c>
      <c r="J87" s="47">
        <f t="shared" si="17"/>
        <v>11202015.054918816</v>
      </c>
      <c r="K87" s="43">
        <f t="shared" si="38"/>
        <v>56547.402087752394</v>
      </c>
      <c r="L87" s="44">
        <f t="shared" si="39"/>
        <v>68907.546896286585</v>
      </c>
      <c r="M87" s="45">
        <f t="shared" si="40"/>
        <v>4.183313920367083</v>
      </c>
      <c r="N87" s="46">
        <f t="shared" si="41"/>
        <v>913500.13165356684</v>
      </c>
      <c r="O87" s="146">
        <f t="shared" si="18"/>
        <v>6.1513528198687082E-3</v>
      </c>
      <c r="P87" s="148">
        <f t="shared" si="13"/>
        <v>8.1547840024768392E-2</v>
      </c>
    </row>
    <row r="88" spans="3:16" x14ac:dyDescent="0.25">
      <c r="C88" s="137">
        <v>530</v>
      </c>
      <c r="D88" s="141">
        <f t="shared" si="6"/>
        <v>1.6951065519699999</v>
      </c>
      <c r="E88" s="18">
        <f t="shared" si="34"/>
        <v>530</v>
      </c>
      <c r="F88" s="141">
        <f t="shared" si="7"/>
        <v>1.6951065519699999</v>
      </c>
      <c r="G88" s="144">
        <f t="shared" si="35"/>
        <v>17007700</v>
      </c>
      <c r="H88" s="42">
        <f t="shared" si="36"/>
        <v>54395.969252717296</v>
      </c>
      <c r="I88" s="42">
        <f t="shared" si="37"/>
        <v>18048953.622765854</v>
      </c>
      <c r="J88" s="47">
        <f t="shared" si="17"/>
        <v>11417438.421359563</v>
      </c>
      <c r="K88" s="43">
        <f t="shared" si="38"/>
        <v>57726.225551232194</v>
      </c>
      <c r="L88" s="44">
        <f t="shared" si="39"/>
        <v>70344.037877182971</v>
      </c>
      <c r="M88" s="45">
        <f t="shared" si="40"/>
        <v>4.270521969231603</v>
      </c>
      <c r="N88" s="46">
        <f t="shared" si="41"/>
        <v>932543.54212561669</v>
      </c>
      <c r="O88" s="146">
        <f t="shared" si="18"/>
        <v>6.1611050816428713E-3</v>
      </c>
      <c r="P88" s="148">
        <f t="shared" si="13"/>
        <v>8.1677124737631945E-2</v>
      </c>
    </row>
    <row r="89" spans="3:16" x14ac:dyDescent="0.25">
      <c r="C89" s="137">
        <v>540</v>
      </c>
      <c r="D89" s="141">
        <f t="shared" si="6"/>
        <v>1.7298234622799997</v>
      </c>
      <c r="E89" s="18">
        <f t="shared" si="34"/>
        <v>540</v>
      </c>
      <c r="F89" s="141">
        <f t="shared" si="7"/>
        <v>1.7298234622799997</v>
      </c>
      <c r="G89" s="144">
        <f t="shared" si="35"/>
        <v>17328600</v>
      </c>
      <c r="H89" s="42">
        <f t="shared" si="36"/>
        <v>55510.034904565189</v>
      </c>
      <c r="I89" s="42">
        <f t="shared" si="37"/>
        <v>18389499.917535022</v>
      </c>
      <c r="J89" s="47">
        <f t="shared" si="17"/>
        <v>11632861.78780031</v>
      </c>
      <c r="K89" s="43">
        <f t="shared" si="38"/>
        <v>58908.497068422592</v>
      </c>
      <c r="L89" s="44">
        <f t="shared" si="39"/>
        <v>71784.730588202947</v>
      </c>
      <c r="M89" s="45">
        <f t="shared" si="40"/>
        <v>4.3579851012750694</v>
      </c>
      <c r="N89" s="46">
        <f t="shared" si="41"/>
        <v>951642.65449381515</v>
      </c>
      <c r="O89" s="146">
        <f t="shared" si="18"/>
        <v>6.1708573434170336E-3</v>
      </c>
      <c r="P89" s="148">
        <f t="shared" si="13"/>
        <v>8.1806409450495485E-2</v>
      </c>
    </row>
    <row r="90" spans="3:16" x14ac:dyDescent="0.25">
      <c r="C90" s="137">
        <v>550</v>
      </c>
      <c r="D90" s="141">
        <f t="shared" si="6"/>
        <v>1.76464162325</v>
      </c>
      <c r="E90" s="18">
        <f t="shared" si="34"/>
        <v>550</v>
      </c>
      <c r="F90" s="141">
        <f t="shared" si="7"/>
        <v>1.76464162325</v>
      </c>
      <c r="G90" s="144">
        <f t="shared" si="35"/>
        <v>17649500</v>
      </c>
      <c r="H90" s="42">
        <f t="shared" si="36"/>
        <v>56627.349690092502</v>
      </c>
      <c r="I90" s="42">
        <f t="shared" si="37"/>
        <v>18730046.212304186</v>
      </c>
      <c r="J90" s="47">
        <f t="shared" si="17"/>
        <v>11848285.154241055</v>
      </c>
      <c r="K90" s="43">
        <f t="shared" si="38"/>
        <v>60094.216639323597</v>
      </c>
      <c r="L90" s="44">
        <f t="shared" si="39"/>
        <v>73229.625029346556</v>
      </c>
      <c r="M90" s="45">
        <f t="shared" si="40"/>
        <v>4.4457033164974842</v>
      </c>
      <c r="N90" s="46">
        <f t="shared" si="41"/>
        <v>970797.46875816281</v>
      </c>
      <c r="O90" s="146">
        <f t="shared" si="18"/>
        <v>6.1806096051911993E-3</v>
      </c>
      <c r="P90" s="148">
        <f t="shared" si="13"/>
        <v>8.193569416335908E-2</v>
      </c>
    </row>
    <row r="91" spans="3:16" x14ac:dyDescent="0.25">
      <c r="C91" s="137">
        <v>560</v>
      </c>
      <c r="D91" s="141">
        <f t="shared" si="6"/>
        <v>1.79956103488</v>
      </c>
      <c r="E91" s="18">
        <f t="shared" si="34"/>
        <v>560</v>
      </c>
      <c r="F91" s="141">
        <f t="shared" si="7"/>
        <v>1.79956103488</v>
      </c>
      <c r="G91" s="144">
        <f t="shared" si="35"/>
        <v>17970400</v>
      </c>
      <c r="H91" s="42">
        <f t="shared" si="36"/>
        <v>57747.913609299198</v>
      </c>
      <c r="I91" s="42">
        <f t="shared" si="37"/>
        <v>19070592.507073354</v>
      </c>
      <c r="J91" s="47">
        <f t="shared" si="17"/>
        <v>12063708.520681802</v>
      </c>
      <c r="K91" s="43">
        <f t="shared" si="38"/>
        <v>61283.384263935179</v>
      </c>
      <c r="L91" s="44">
        <f t="shared" si="39"/>
        <v>74678.721200613756</v>
      </c>
      <c r="M91" s="45">
        <f t="shared" si="40"/>
        <v>4.5336766148988437</v>
      </c>
      <c r="N91" s="46">
        <f t="shared" si="41"/>
        <v>990007.98491865909</v>
      </c>
      <c r="O91" s="146">
        <f t="shared" si="18"/>
        <v>6.1903618669653625E-3</v>
      </c>
      <c r="P91" s="148">
        <f t="shared" si="13"/>
        <v>8.2064978876222619E-2</v>
      </c>
    </row>
    <row r="92" spans="3:16" x14ac:dyDescent="0.25">
      <c r="C92" s="137">
        <v>570</v>
      </c>
      <c r="D92" s="141">
        <f t="shared" si="6"/>
        <v>1.83458169717</v>
      </c>
      <c r="E92" s="18">
        <f t="shared" si="34"/>
        <v>570</v>
      </c>
      <c r="F92" s="141">
        <f t="shared" si="7"/>
        <v>1.83458169717</v>
      </c>
      <c r="G92" s="144">
        <f t="shared" si="35"/>
        <v>18291300</v>
      </c>
      <c r="H92" s="42">
        <f t="shared" si="36"/>
        <v>58871.726662185298</v>
      </c>
      <c r="I92" s="42">
        <f t="shared" si="37"/>
        <v>19411138.801842522</v>
      </c>
      <c r="J92" s="47">
        <f t="shared" si="17"/>
        <v>12279131.887122549</v>
      </c>
      <c r="K92" s="43">
        <f t="shared" si="38"/>
        <v>62475.999942257353</v>
      </c>
      <c r="L92" s="44">
        <f t="shared" si="39"/>
        <v>76132.019102004546</v>
      </c>
      <c r="M92" s="45">
        <f t="shared" si="40"/>
        <v>4.6219049964791497</v>
      </c>
      <c r="N92" s="46">
        <f t="shared" si="41"/>
        <v>1009274.2029753039</v>
      </c>
      <c r="O92" s="146">
        <f t="shared" si="18"/>
        <v>6.2001141287395256E-3</v>
      </c>
      <c r="P92" s="148">
        <f t="shared" si="13"/>
        <v>8.2194263589086172E-2</v>
      </c>
    </row>
    <row r="93" spans="3:16" x14ac:dyDescent="0.25">
      <c r="C93" s="137">
        <v>580</v>
      </c>
      <c r="D93" s="141">
        <f t="shared" si="6"/>
        <v>1.86970361012</v>
      </c>
      <c r="E93" s="18">
        <f t="shared" si="34"/>
        <v>580</v>
      </c>
      <c r="F93" s="141">
        <f t="shared" si="7"/>
        <v>1.86970361012</v>
      </c>
      <c r="G93" s="144">
        <f t="shared" si="35"/>
        <v>18612200</v>
      </c>
      <c r="H93" s="42">
        <f t="shared" si="36"/>
        <v>59998.788848750803</v>
      </c>
      <c r="I93" s="42">
        <f t="shared" si="37"/>
        <v>19751685.09661169</v>
      </c>
      <c r="J93" s="47">
        <f t="shared" si="17"/>
        <v>12494555.253563296</v>
      </c>
      <c r="K93" s="43">
        <f t="shared" si="38"/>
        <v>63672.063674290133</v>
      </c>
      <c r="L93" s="44">
        <f t="shared" si="39"/>
        <v>77589.518733518955</v>
      </c>
      <c r="M93" s="45">
        <f t="shared" si="40"/>
        <v>4.7103884612384022</v>
      </c>
      <c r="N93" s="46">
        <f t="shared" si="41"/>
        <v>1028596.1229280977</v>
      </c>
      <c r="O93" s="146">
        <f t="shared" si="18"/>
        <v>6.2098663905136887E-3</v>
      </c>
      <c r="P93" s="148">
        <f t="shared" si="13"/>
        <v>8.2323548301949726E-2</v>
      </c>
    </row>
    <row r="94" spans="3:16" x14ac:dyDescent="0.25">
      <c r="C94" s="137">
        <v>590</v>
      </c>
      <c r="D94" s="141">
        <f t="shared" si="6"/>
        <v>1.90492677373</v>
      </c>
      <c r="E94" s="18">
        <f t="shared" si="34"/>
        <v>590</v>
      </c>
      <c r="F94" s="141">
        <f t="shared" si="7"/>
        <v>1.90492677373</v>
      </c>
      <c r="G94" s="144">
        <f t="shared" si="35"/>
        <v>18933100</v>
      </c>
      <c r="H94" s="42">
        <f t="shared" si="36"/>
        <v>61129.100168995697</v>
      </c>
      <c r="I94" s="42">
        <f t="shared" si="37"/>
        <v>20092231.391380858</v>
      </c>
      <c r="J94" s="47">
        <f t="shared" si="17"/>
        <v>12709978.620004043</v>
      </c>
      <c r="K94" s="43">
        <f t="shared" si="38"/>
        <v>64871.575460033491</v>
      </c>
      <c r="L94" s="44">
        <f t="shared" si="39"/>
        <v>79051.220095156954</v>
      </c>
      <c r="M94" s="45">
        <f t="shared" si="40"/>
        <v>4.7991270091766003</v>
      </c>
      <c r="N94" s="46">
        <f t="shared" si="41"/>
        <v>1047973.7447770402</v>
      </c>
      <c r="O94" s="146">
        <f t="shared" si="18"/>
        <v>6.2196186522878519E-3</v>
      </c>
      <c r="P94" s="148">
        <f t="shared" si="13"/>
        <v>8.2452833014813279E-2</v>
      </c>
    </row>
    <row r="95" spans="3:16" x14ac:dyDescent="0.25">
      <c r="C95" s="137">
        <v>600</v>
      </c>
      <c r="D95" s="141">
        <f t="shared" si="6"/>
        <v>1.940251188</v>
      </c>
      <c r="E95" s="18">
        <f t="shared" si="34"/>
        <v>600</v>
      </c>
      <c r="F95" s="141">
        <f t="shared" si="7"/>
        <v>1.940251188</v>
      </c>
      <c r="G95" s="144">
        <f t="shared" si="35"/>
        <v>19254000</v>
      </c>
      <c r="H95" s="42">
        <f t="shared" si="36"/>
        <v>62262.660622919997</v>
      </c>
      <c r="I95" s="42">
        <f t="shared" si="37"/>
        <v>20432777.686150022</v>
      </c>
      <c r="J95" s="47">
        <f t="shared" si="17"/>
        <v>12925401.986444786</v>
      </c>
      <c r="K95" s="43">
        <f t="shared" si="38"/>
        <v>66074.535299487456</v>
      </c>
      <c r="L95" s="44">
        <f t="shared" si="39"/>
        <v>80517.123186918558</v>
      </c>
      <c r="M95" s="45">
        <f t="shared" si="40"/>
        <v>4.888120640293744</v>
      </c>
      <c r="N95" s="46">
        <f t="shared" si="41"/>
        <v>1067407.0685221315</v>
      </c>
      <c r="O95" s="146">
        <f t="shared" si="18"/>
        <v>6.2293709140620159E-3</v>
      </c>
      <c r="P95" s="148">
        <f t="shared" si="13"/>
        <v>8.2582117727676832E-2</v>
      </c>
    </row>
    <row r="96" spans="3:16" x14ac:dyDescent="0.25">
      <c r="C96" s="137">
        <v>610</v>
      </c>
      <c r="D96" s="141">
        <f t="shared" si="6"/>
        <v>1.9756768529299999</v>
      </c>
      <c r="E96" s="18">
        <f t="shared" si="34"/>
        <v>610</v>
      </c>
      <c r="F96" s="141">
        <f t="shared" si="7"/>
        <v>1.9756768529299999</v>
      </c>
      <c r="G96" s="144">
        <f t="shared" si="35"/>
        <v>19574900</v>
      </c>
      <c r="H96" s="42">
        <f t="shared" si="36"/>
        <v>63399.470210523701</v>
      </c>
      <c r="I96" s="42">
        <f t="shared" si="37"/>
        <v>20773323.98091919</v>
      </c>
      <c r="J96" s="47">
        <f t="shared" si="17"/>
        <v>13140825.352885533</v>
      </c>
      <c r="K96" s="43">
        <f t="shared" si="38"/>
        <v>67280.943192652005</v>
      </c>
      <c r="L96" s="44">
        <f t="shared" si="39"/>
        <v>81987.228008803766</v>
      </c>
      <c r="M96" s="45">
        <f t="shared" si="40"/>
        <v>4.9773693545898352</v>
      </c>
      <c r="N96" s="46">
        <f t="shared" si="41"/>
        <v>1086896.0941633715</v>
      </c>
      <c r="O96" s="146">
        <f t="shared" si="18"/>
        <v>6.239123175836179E-3</v>
      </c>
      <c r="P96" s="148">
        <f t="shared" si="13"/>
        <v>8.2711402440540385E-2</v>
      </c>
    </row>
    <row r="97" spans="3:16" x14ac:dyDescent="0.25">
      <c r="C97" s="137">
        <v>620</v>
      </c>
      <c r="D97" s="141">
        <f t="shared" si="6"/>
        <v>2.0112037685200002</v>
      </c>
      <c r="E97" s="18">
        <f t="shared" si="34"/>
        <v>620</v>
      </c>
      <c r="F97" s="141">
        <f t="shared" si="7"/>
        <v>2.0112037685200002</v>
      </c>
      <c r="G97" s="144">
        <f t="shared" si="35"/>
        <v>19895800</v>
      </c>
      <c r="H97" s="42">
        <f t="shared" si="36"/>
        <v>64539.528931806803</v>
      </c>
      <c r="I97" s="42">
        <f t="shared" si="37"/>
        <v>21113870.275688358</v>
      </c>
      <c r="J97" s="47">
        <f t="shared" si="17"/>
        <v>13356248.719326282</v>
      </c>
      <c r="K97" s="43">
        <f t="shared" si="38"/>
        <v>68490.799139527153</v>
      </c>
      <c r="L97" s="44">
        <f t="shared" si="39"/>
        <v>83461.534560812594</v>
      </c>
      <c r="M97" s="45">
        <f t="shared" si="40"/>
        <v>5.0668731520648738</v>
      </c>
      <c r="N97" s="46">
        <f t="shared" si="41"/>
        <v>1106440.8217007606</v>
      </c>
      <c r="O97" s="146">
        <f t="shared" si="18"/>
        <v>6.2488754376103421E-3</v>
      </c>
      <c r="P97" s="148">
        <f t="shared" si="13"/>
        <v>8.2840687153403939E-2</v>
      </c>
    </row>
    <row r="98" spans="3:16" x14ac:dyDescent="0.25">
      <c r="C98" s="137">
        <v>630</v>
      </c>
      <c r="D98" s="141">
        <f t="shared" si="6"/>
        <v>2.0468319347699997</v>
      </c>
      <c r="E98" s="18">
        <f t="shared" si="34"/>
        <v>630</v>
      </c>
      <c r="F98" s="141">
        <f t="shared" si="7"/>
        <v>2.0468319347699997</v>
      </c>
      <c r="G98" s="144">
        <f t="shared" si="35"/>
        <v>20216700</v>
      </c>
      <c r="H98" s="42">
        <f t="shared" si="36"/>
        <v>65682.836786769287</v>
      </c>
      <c r="I98" s="42">
        <f t="shared" si="37"/>
        <v>21454416.570457526</v>
      </c>
      <c r="J98" s="47">
        <f t="shared" si="17"/>
        <v>13571672.085767029</v>
      </c>
      <c r="K98" s="43">
        <f t="shared" si="38"/>
        <v>69704.103140112871</v>
      </c>
      <c r="L98" s="44">
        <f t="shared" si="39"/>
        <v>84940.042842944982</v>
      </c>
      <c r="M98" s="45">
        <f t="shared" si="40"/>
        <v>5.1566320327188553</v>
      </c>
      <c r="N98" s="46">
        <f t="shared" si="41"/>
        <v>1126041.2511342978</v>
      </c>
      <c r="O98" s="146">
        <f t="shared" si="18"/>
        <v>6.2586276993845035E-3</v>
      </c>
      <c r="P98" s="148">
        <f t="shared" si="13"/>
        <v>8.2969971866267464E-2</v>
      </c>
    </row>
    <row r="99" spans="3:16" x14ac:dyDescent="0.25">
      <c r="C99" s="137">
        <v>640</v>
      </c>
      <c r="D99" s="141">
        <f t="shared" ref="D99:D149" si="42">$G$13*C99+$G$14*C99*C99+$G$18*C99*C99*C99</f>
        <v>2.0825613516799999</v>
      </c>
      <c r="E99" s="18">
        <f t="shared" si="34"/>
        <v>640</v>
      </c>
      <c r="F99" s="141">
        <f t="shared" ref="F99:F149" si="43">$G$13*E99+$G$14*E99*E99+$G$18*E99*E99*E99</f>
        <v>2.0825613516799999</v>
      </c>
      <c r="G99" s="144">
        <f t="shared" si="35"/>
        <v>20537600</v>
      </c>
      <c r="H99" s="42">
        <f t="shared" si="36"/>
        <v>66829.393775411198</v>
      </c>
      <c r="I99" s="42">
        <f t="shared" si="37"/>
        <v>21794962.86522669</v>
      </c>
      <c r="J99" s="47">
        <f t="shared" si="17"/>
        <v>13787095.452207772</v>
      </c>
      <c r="K99" s="43">
        <f t="shared" si="38"/>
        <v>70920.855194409218</v>
      </c>
      <c r="L99" s="44">
        <f t="shared" si="39"/>
        <v>86422.752855201019</v>
      </c>
      <c r="M99" s="45">
        <f t="shared" si="40"/>
        <v>5.246645996551786</v>
      </c>
      <c r="N99" s="46">
        <f t="shared" si="41"/>
        <v>1145697.3824639844</v>
      </c>
      <c r="O99" s="146">
        <f t="shared" si="18"/>
        <v>6.2683799611586693E-3</v>
      </c>
      <c r="P99" s="148">
        <f t="shared" ref="P99:P149" si="44">O99*$G$30</f>
        <v>8.3099256579131059E-2</v>
      </c>
    </row>
    <row r="100" spans="3:16" x14ac:dyDescent="0.25">
      <c r="C100" s="137">
        <v>650</v>
      </c>
      <c r="D100" s="141">
        <f t="shared" si="42"/>
        <v>2.1183920192499999</v>
      </c>
      <c r="E100" s="18">
        <f t="shared" si="34"/>
        <v>650</v>
      </c>
      <c r="F100" s="141">
        <f t="shared" si="43"/>
        <v>2.1183920192499999</v>
      </c>
      <c r="G100" s="144">
        <f t="shared" si="35"/>
        <v>20858500</v>
      </c>
      <c r="H100" s="42">
        <f t="shared" si="36"/>
        <v>67979.199897732498</v>
      </c>
      <c r="I100" s="42">
        <f t="shared" si="37"/>
        <v>22135509.159995858</v>
      </c>
      <c r="J100" s="47">
        <f t="shared" ref="J100:J149" si="45">I100*$O$30</f>
        <v>14002518.818648519</v>
      </c>
      <c r="K100" s="43">
        <f t="shared" si="38"/>
        <v>72141.055302416149</v>
      </c>
      <c r="L100" s="44">
        <f t="shared" si="39"/>
        <v>87909.66459758066</v>
      </c>
      <c r="M100" s="45">
        <f t="shared" si="40"/>
        <v>5.3369150435636632</v>
      </c>
      <c r="N100" s="46">
        <f t="shared" si="41"/>
        <v>1165409.21568982</v>
      </c>
      <c r="O100" s="146">
        <f t="shared" ref="O100:O149" si="46">L100/J100</f>
        <v>6.2781322229328333E-3</v>
      </c>
      <c r="P100" s="148">
        <f t="shared" si="44"/>
        <v>8.3228541291994612E-2</v>
      </c>
    </row>
    <row r="101" spans="3:16" x14ac:dyDescent="0.25">
      <c r="C101" s="137">
        <v>660</v>
      </c>
      <c r="D101" s="141">
        <f t="shared" si="42"/>
        <v>2.1543239374800001</v>
      </c>
      <c r="E101" s="18">
        <f t="shared" si="34"/>
        <v>660</v>
      </c>
      <c r="F101" s="141">
        <f t="shared" si="43"/>
        <v>2.1543239374800001</v>
      </c>
      <c r="G101" s="144">
        <f t="shared" si="35"/>
        <v>21179400</v>
      </c>
      <c r="H101" s="42">
        <f t="shared" si="36"/>
        <v>69132.255153733204</v>
      </c>
      <c r="I101" s="42">
        <f t="shared" si="37"/>
        <v>22476055.454765026</v>
      </c>
      <c r="J101" s="47">
        <f t="shared" si="45"/>
        <v>14217942.185089266</v>
      </c>
      <c r="K101" s="43">
        <f t="shared" si="38"/>
        <v>73364.70346413368</v>
      </c>
      <c r="L101" s="44">
        <f t="shared" si="39"/>
        <v>89400.778070083892</v>
      </c>
      <c r="M101" s="45">
        <f t="shared" si="40"/>
        <v>5.427439173754486</v>
      </c>
      <c r="N101" s="46">
        <f t="shared" si="41"/>
        <v>1185176.7508118041</v>
      </c>
      <c r="O101" s="146">
        <f t="shared" si="46"/>
        <v>6.2878844847069973E-3</v>
      </c>
      <c r="P101" s="148">
        <f t="shared" si="44"/>
        <v>8.3357826004858179E-2</v>
      </c>
    </row>
    <row r="102" spans="3:16" x14ac:dyDescent="0.25">
      <c r="C102" s="137">
        <v>670</v>
      </c>
      <c r="D102" s="141">
        <f t="shared" si="42"/>
        <v>2.19035710637</v>
      </c>
      <c r="E102" s="18">
        <f t="shared" si="34"/>
        <v>670</v>
      </c>
      <c r="F102" s="141">
        <f t="shared" si="43"/>
        <v>2.19035710637</v>
      </c>
      <c r="G102" s="144">
        <f t="shared" si="35"/>
        <v>21500300</v>
      </c>
      <c r="H102" s="42">
        <f t="shared" si="36"/>
        <v>70288.559543413299</v>
      </c>
      <c r="I102" s="42">
        <f t="shared" si="37"/>
        <v>22816601.749534193</v>
      </c>
      <c r="J102" s="47">
        <f t="shared" si="45"/>
        <v>14433365.551530013</v>
      </c>
      <c r="K102" s="43">
        <f t="shared" si="38"/>
        <v>74591.79967956178</v>
      </c>
      <c r="L102" s="44">
        <f t="shared" si="39"/>
        <v>90896.093272710714</v>
      </c>
      <c r="M102" s="45">
        <f t="shared" si="40"/>
        <v>5.5182183871242545</v>
      </c>
      <c r="N102" s="46">
        <f t="shared" si="41"/>
        <v>1204999.9878299367</v>
      </c>
      <c r="O102" s="146">
        <f t="shared" si="46"/>
        <v>6.2976367464811596E-3</v>
      </c>
      <c r="P102" s="148">
        <f t="shared" si="44"/>
        <v>8.3487110717721719E-2</v>
      </c>
    </row>
    <row r="103" spans="3:16" x14ac:dyDescent="0.25">
      <c r="C103" s="137">
        <v>680</v>
      </c>
      <c r="D103" s="141">
        <f t="shared" si="42"/>
        <v>2.2264915259199998</v>
      </c>
      <c r="E103" s="18">
        <f t="shared" si="34"/>
        <v>680</v>
      </c>
      <c r="F103" s="141">
        <f t="shared" si="43"/>
        <v>2.2264915259199998</v>
      </c>
      <c r="G103" s="144">
        <f t="shared" si="35"/>
        <v>21821200</v>
      </c>
      <c r="H103" s="42">
        <f t="shared" si="36"/>
        <v>71448.113066772799</v>
      </c>
      <c r="I103" s="42">
        <f t="shared" si="37"/>
        <v>23157148.044303358</v>
      </c>
      <c r="J103" s="47">
        <f t="shared" si="45"/>
        <v>14648788.917970758</v>
      </c>
      <c r="K103" s="43">
        <f t="shared" si="38"/>
        <v>75822.34394870048</v>
      </c>
      <c r="L103" s="44">
        <f t="shared" si="39"/>
        <v>92395.61020546114</v>
      </c>
      <c r="M103" s="45">
        <f t="shared" si="40"/>
        <v>5.6092526836729686</v>
      </c>
      <c r="N103" s="46">
        <f t="shared" si="41"/>
        <v>1224878.9267442182</v>
      </c>
      <c r="O103" s="146">
        <f t="shared" si="46"/>
        <v>6.3073890082553227E-3</v>
      </c>
      <c r="P103" s="148">
        <f t="shared" si="44"/>
        <v>8.3616395430585272E-2</v>
      </c>
    </row>
    <row r="104" spans="3:16" x14ac:dyDescent="0.25">
      <c r="C104" s="137">
        <v>690</v>
      </c>
      <c r="D104" s="141">
        <f t="shared" si="42"/>
        <v>2.2627271961300002</v>
      </c>
      <c r="E104" s="18">
        <f t="shared" si="34"/>
        <v>690</v>
      </c>
      <c r="F104" s="141">
        <f t="shared" si="43"/>
        <v>2.2627271961300002</v>
      </c>
      <c r="G104" s="144">
        <f t="shared" si="35"/>
        <v>22142100</v>
      </c>
      <c r="H104" s="42">
        <f t="shared" si="36"/>
        <v>72610.915723811704</v>
      </c>
      <c r="I104" s="42">
        <f t="shared" si="37"/>
        <v>23497694.339072526</v>
      </c>
      <c r="J104" s="47">
        <f t="shared" si="45"/>
        <v>14864212.284411505</v>
      </c>
      <c r="K104" s="43">
        <f t="shared" si="38"/>
        <v>77056.336271549793</v>
      </c>
      <c r="L104" s="44">
        <f t="shared" si="39"/>
        <v>93899.3288683352</v>
      </c>
      <c r="M104" s="45">
        <f t="shared" si="40"/>
        <v>5.700542063400631</v>
      </c>
      <c r="N104" s="46">
        <f t="shared" si="41"/>
        <v>1244813.567554649</v>
      </c>
      <c r="O104" s="146">
        <f t="shared" si="46"/>
        <v>6.3171412700294876E-3</v>
      </c>
      <c r="P104" s="148">
        <f t="shared" si="44"/>
        <v>8.3745680143448839E-2</v>
      </c>
    </row>
    <row r="105" spans="3:16" x14ac:dyDescent="0.25">
      <c r="C105" s="137">
        <v>700</v>
      </c>
      <c r="D105" s="141">
        <f t="shared" si="42"/>
        <v>2.2990641169999999</v>
      </c>
      <c r="E105" s="18">
        <f t="shared" si="34"/>
        <v>700</v>
      </c>
      <c r="F105" s="141">
        <f t="shared" si="43"/>
        <v>2.2990641169999999</v>
      </c>
      <c r="G105" s="144">
        <f t="shared" si="35"/>
        <v>22463000</v>
      </c>
      <c r="H105" s="42">
        <f t="shared" si="36"/>
        <v>73776.967514529999</v>
      </c>
      <c r="I105" s="42">
        <f t="shared" si="37"/>
        <v>23838240.633841693</v>
      </c>
      <c r="J105" s="47">
        <f t="shared" si="45"/>
        <v>15079635.650852252</v>
      </c>
      <c r="K105" s="43">
        <f t="shared" si="38"/>
        <v>78293.776648109677</v>
      </c>
      <c r="L105" s="44">
        <f t="shared" si="39"/>
        <v>95407.249261332836</v>
      </c>
      <c r="M105" s="45">
        <f t="shared" si="40"/>
        <v>5.792086526307239</v>
      </c>
      <c r="N105" s="46">
        <f t="shared" si="41"/>
        <v>1264803.910261228</v>
      </c>
      <c r="O105" s="146">
        <f t="shared" si="46"/>
        <v>6.3268935318036498E-3</v>
      </c>
      <c r="P105" s="148">
        <f t="shared" si="44"/>
        <v>8.3874964856312378E-2</v>
      </c>
    </row>
    <row r="106" spans="3:16" x14ac:dyDescent="0.25">
      <c r="C106" s="137">
        <v>710</v>
      </c>
      <c r="D106" s="141">
        <f t="shared" si="42"/>
        <v>2.3355022885299999</v>
      </c>
      <c r="E106" s="18">
        <f t="shared" si="34"/>
        <v>710</v>
      </c>
      <c r="F106" s="141">
        <f t="shared" si="43"/>
        <v>2.3355022885299999</v>
      </c>
      <c r="G106" s="144">
        <f t="shared" si="35"/>
        <v>22783900</v>
      </c>
      <c r="H106" s="42">
        <f t="shared" si="36"/>
        <v>74946.268438927698</v>
      </c>
      <c r="I106" s="42">
        <f t="shared" si="37"/>
        <v>24178786.928610861</v>
      </c>
      <c r="J106" s="47">
        <f t="shared" si="45"/>
        <v>15295059.017292999</v>
      </c>
      <c r="K106" s="43">
        <f t="shared" si="38"/>
        <v>79534.66507838016</v>
      </c>
      <c r="L106" s="44">
        <f t="shared" si="39"/>
        <v>96919.371384454076</v>
      </c>
      <c r="M106" s="45">
        <f t="shared" si="40"/>
        <v>5.8838860723927926</v>
      </c>
      <c r="N106" s="46">
        <f t="shared" si="41"/>
        <v>1284849.9548639557</v>
      </c>
      <c r="O106" s="146">
        <f t="shared" si="46"/>
        <v>6.336645793577813E-3</v>
      </c>
      <c r="P106" s="148">
        <f t="shared" si="44"/>
        <v>8.4004249569175932E-2</v>
      </c>
    </row>
    <row r="107" spans="3:16" x14ac:dyDescent="0.25">
      <c r="C107" s="137">
        <v>720</v>
      </c>
      <c r="D107" s="141">
        <f t="shared" si="42"/>
        <v>2.37204171072</v>
      </c>
      <c r="E107" s="18">
        <f t="shared" si="34"/>
        <v>720</v>
      </c>
      <c r="F107" s="141">
        <f t="shared" si="43"/>
        <v>2.37204171072</v>
      </c>
      <c r="G107" s="144">
        <f t="shared" si="35"/>
        <v>23104800</v>
      </c>
      <c r="H107" s="42">
        <f t="shared" si="36"/>
        <v>76118.818497004802</v>
      </c>
      <c r="I107" s="42">
        <f t="shared" si="37"/>
        <v>24519333.223380029</v>
      </c>
      <c r="J107" s="47">
        <f t="shared" si="45"/>
        <v>15510482.383733746</v>
      </c>
      <c r="K107" s="43">
        <f t="shared" si="38"/>
        <v>80779.001562361242</v>
      </c>
      <c r="L107" s="44">
        <f t="shared" si="39"/>
        <v>98435.695237698936</v>
      </c>
      <c r="M107" s="45">
        <f t="shared" si="40"/>
        <v>5.9759407016572936</v>
      </c>
      <c r="N107" s="46">
        <f t="shared" si="41"/>
        <v>1304951.7013628327</v>
      </c>
      <c r="O107" s="146">
        <f t="shared" si="46"/>
        <v>6.346398055351977E-3</v>
      </c>
      <c r="P107" s="148">
        <f t="shared" si="44"/>
        <v>8.4133534282039499E-2</v>
      </c>
    </row>
    <row r="108" spans="3:16" x14ac:dyDescent="0.25">
      <c r="C108" s="137">
        <v>730</v>
      </c>
      <c r="D108" s="141">
        <f t="shared" si="42"/>
        <v>2.40868238357</v>
      </c>
      <c r="E108" s="18">
        <f t="shared" si="34"/>
        <v>730</v>
      </c>
      <c r="F108" s="141">
        <f t="shared" si="43"/>
        <v>2.40868238357</v>
      </c>
      <c r="G108" s="144">
        <f t="shared" si="35"/>
        <v>23425700</v>
      </c>
      <c r="H108" s="42">
        <f t="shared" si="36"/>
        <v>77294.617688761296</v>
      </c>
      <c r="I108" s="42">
        <f t="shared" si="37"/>
        <v>24859879.518149193</v>
      </c>
      <c r="J108" s="47">
        <f t="shared" si="45"/>
        <v>15725905.750174491</v>
      </c>
      <c r="K108" s="43">
        <f t="shared" si="38"/>
        <v>82026.786100052908</v>
      </c>
      <c r="L108" s="44">
        <f t="shared" si="39"/>
        <v>99956.220821067371</v>
      </c>
      <c r="M108" s="45">
        <f t="shared" si="40"/>
        <v>6.0682504141007385</v>
      </c>
      <c r="N108" s="46">
        <f t="shared" si="41"/>
        <v>1325109.1497578579</v>
      </c>
      <c r="O108" s="146">
        <f t="shared" si="46"/>
        <v>6.3561503171261392E-3</v>
      </c>
      <c r="P108" s="148">
        <f t="shared" si="44"/>
        <v>8.4262818994903038E-2</v>
      </c>
    </row>
    <row r="109" spans="3:16" x14ac:dyDescent="0.25">
      <c r="C109" s="137">
        <v>740</v>
      </c>
      <c r="D109" s="141">
        <f t="shared" si="42"/>
        <v>2.4454243070800001</v>
      </c>
      <c r="E109" s="18">
        <f t="shared" si="34"/>
        <v>740</v>
      </c>
      <c r="F109" s="141">
        <f t="shared" si="43"/>
        <v>2.4454243070800001</v>
      </c>
      <c r="G109" s="144">
        <f t="shared" si="35"/>
        <v>23746600</v>
      </c>
      <c r="H109" s="42">
        <f t="shared" si="36"/>
        <v>78473.66601419721</v>
      </c>
      <c r="I109" s="42">
        <f t="shared" si="37"/>
        <v>25200425.812918361</v>
      </c>
      <c r="J109" s="47">
        <f t="shared" si="45"/>
        <v>15941329.116615238</v>
      </c>
      <c r="K109" s="43">
        <f t="shared" si="38"/>
        <v>83278.018691455189</v>
      </c>
      <c r="L109" s="44">
        <f t="shared" si="39"/>
        <v>101480.94813455945</v>
      </c>
      <c r="M109" s="45">
        <f t="shared" si="40"/>
        <v>6.1608152097231335</v>
      </c>
      <c r="N109" s="46">
        <f t="shared" si="41"/>
        <v>1345322.3000490326</v>
      </c>
      <c r="O109" s="146">
        <f t="shared" si="46"/>
        <v>6.3659025789003041E-3</v>
      </c>
      <c r="P109" s="148">
        <f t="shared" si="44"/>
        <v>8.4392103707766605E-2</v>
      </c>
    </row>
    <row r="110" spans="3:16" x14ac:dyDescent="0.25">
      <c r="C110" s="137">
        <v>750</v>
      </c>
      <c r="D110" s="141">
        <f t="shared" si="42"/>
        <v>2.4822674812499996</v>
      </c>
      <c r="E110" s="18">
        <f t="shared" si="34"/>
        <v>750</v>
      </c>
      <c r="F110" s="141">
        <f t="shared" si="43"/>
        <v>2.4822674812499996</v>
      </c>
      <c r="G110" s="144">
        <f t="shared" si="35"/>
        <v>24067500</v>
      </c>
      <c r="H110" s="42">
        <f t="shared" si="36"/>
        <v>79655.963473312484</v>
      </c>
      <c r="I110" s="42">
        <f t="shared" si="37"/>
        <v>25540972.107687529</v>
      </c>
      <c r="J110" s="47">
        <f t="shared" si="45"/>
        <v>16156752.483055985</v>
      </c>
      <c r="K110" s="43">
        <f t="shared" si="38"/>
        <v>84532.69933656801</v>
      </c>
      <c r="L110" s="44">
        <f t="shared" si="39"/>
        <v>103009.87717817507</v>
      </c>
      <c r="M110" s="45">
        <f t="shared" si="40"/>
        <v>6.2536350885244696</v>
      </c>
      <c r="N110" s="46">
        <f t="shared" si="41"/>
        <v>1365591.1522363552</v>
      </c>
      <c r="O110" s="146">
        <f t="shared" si="46"/>
        <v>6.3756548406744646E-3</v>
      </c>
      <c r="P110" s="148">
        <f t="shared" si="44"/>
        <v>8.4521388420630117E-2</v>
      </c>
    </row>
    <row r="111" spans="3:16" x14ac:dyDescent="0.25">
      <c r="C111" s="137">
        <v>760</v>
      </c>
      <c r="D111" s="141">
        <f t="shared" si="42"/>
        <v>2.5192119060799998</v>
      </c>
      <c r="E111" s="18">
        <f t="shared" si="34"/>
        <v>760</v>
      </c>
      <c r="F111" s="141">
        <f t="shared" si="43"/>
        <v>2.5192119060799998</v>
      </c>
      <c r="G111" s="144">
        <f t="shared" si="35"/>
        <v>24388400</v>
      </c>
      <c r="H111" s="42">
        <f t="shared" si="36"/>
        <v>80841.510066107192</v>
      </c>
      <c r="I111" s="42">
        <f t="shared" si="37"/>
        <v>25881518.402456697</v>
      </c>
      <c r="J111" s="47">
        <f t="shared" si="45"/>
        <v>16372175.849496732</v>
      </c>
      <c r="K111" s="43">
        <f t="shared" si="38"/>
        <v>85790.828035391474</v>
      </c>
      <c r="L111" s="44">
        <f t="shared" si="39"/>
        <v>104543.00795191435</v>
      </c>
      <c r="M111" s="45">
        <f t="shared" si="40"/>
        <v>6.3467100505047567</v>
      </c>
      <c r="N111" s="46">
        <f t="shared" si="41"/>
        <v>1385915.7063198271</v>
      </c>
      <c r="O111" s="146">
        <f t="shared" si="46"/>
        <v>6.3854071024486295E-3</v>
      </c>
      <c r="P111" s="148">
        <f t="shared" si="44"/>
        <v>8.4650673133493698E-2</v>
      </c>
    </row>
    <row r="112" spans="3:16" x14ac:dyDescent="0.25">
      <c r="C112" s="137">
        <v>770</v>
      </c>
      <c r="D112" s="141">
        <f t="shared" si="42"/>
        <v>2.5562575815700002</v>
      </c>
      <c r="E112" s="18">
        <f t="shared" si="34"/>
        <v>770</v>
      </c>
      <c r="F112" s="141">
        <f t="shared" si="43"/>
        <v>2.5562575815700002</v>
      </c>
      <c r="G112" s="144">
        <f t="shared" si="35"/>
        <v>24709300</v>
      </c>
      <c r="H112" s="42">
        <f t="shared" si="36"/>
        <v>82030.305792581305</v>
      </c>
      <c r="I112" s="42">
        <f t="shared" si="37"/>
        <v>26222064.697225861</v>
      </c>
      <c r="J112" s="47">
        <f t="shared" si="45"/>
        <v>16587599.215937477</v>
      </c>
      <c r="K112" s="43">
        <f t="shared" si="38"/>
        <v>87052.404787925538</v>
      </c>
      <c r="L112" s="44">
        <f t="shared" si="39"/>
        <v>106080.34045577723</v>
      </c>
      <c r="M112" s="45">
        <f t="shared" si="40"/>
        <v>6.4400400956639894</v>
      </c>
      <c r="N112" s="46">
        <f t="shared" si="41"/>
        <v>1406295.9622994482</v>
      </c>
      <c r="O112" s="146">
        <f t="shared" si="46"/>
        <v>6.3951593642227944E-3</v>
      </c>
      <c r="P112" s="148">
        <f t="shared" si="44"/>
        <v>8.4779957846357265E-2</v>
      </c>
    </row>
    <row r="113" spans="3:16" x14ac:dyDescent="0.25">
      <c r="C113" s="137">
        <v>780</v>
      </c>
      <c r="D113" s="141">
        <f t="shared" si="42"/>
        <v>2.5934045077199999</v>
      </c>
      <c r="E113" s="18">
        <f t="shared" ref="E113:E149" si="47">C113*1</f>
        <v>780</v>
      </c>
      <c r="F113" s="141">
        <f t="shared" si="43"/>
        <v>2.5934045077199999</v>
      </c>
      <c r="G113" s="144">
        <f t="shared" ref="G113:G149" si="48">E113*$C$27</f>
        <v>25030200</v>
      </c>
      <c r="H113" s="42">
        <f t="shared" ref="H113:H149" si="49">F113*$C$27</f>
        <v>83222.350652734793</v>
      </c>
      <c r="I113" s="42">
        <f t="shared" ref="I113:I149" si="50">G113*$N$30</f>
        <v>26562610.991995029</v>
      </c>
      <c r="J113" s="47">
        <f t="shared" si="45"/>
        <v>16803022.582378224</v>
      </c>
      <c r="K113" s="43">
        <f t="shared" ref="K113:K149" si="51">H113*$N$30</f>
        <v>88317.429594170157</v>
      </c>
      <c r="L113" s="44">
        <f t="shared" ref="L113:L149" si="52">K113*$I$30</f>
        <v>107621.87468976367</v>
      </c>
      <c r="M113" s="45">
        <f t="shared" ref="M113:M149" si="53">L113/$K$27</f>
        <v>6.5336252240021659</v>
      </c>
      <c r="N113" s="46">
        <f t="shared" ref="N113:N149" si="54">L113*$G$30</f>
        <v>1426731.9201752173</v>
      </c>
      <c r="O113" s="146">
        <f t="shared" si="46"/>
        <v>6.4049116259969558E-3</v>
      </c>
      <c r="P113" s="148">
        <f t="shared" si="44"/>
        <v>8.4909242559220804E-2</v>
      </c>
    </row>
    <row r="114" spans="3:16" x14ac:dyDescent="0.25">
      <c r="C114" s="137">
        <v>790</v>
      </c>
      <c r="D114" s="141">
        <f t="shared" si="42"/>
        <v>2.6306526845299998</v>
      </c>
      <c r="E114" s="18">
        <f t="shared" si="47"/>
        <v>790</v>
      </c>
      <c r="F114" s="141">
        <f t="shared" si="43"/>
        <v>2.6306526845299998</v>
      </c>
      <c r="G114" s="144">
        <f t="shared" si="48"/>
        <v>25351100</v>
      </c>
      <c r="H114" s="42">
        <f t="shared" si="49"/>
        <v>84417.6446465677</v>
      </c>
      <c r="I114" s="42">
        <f t="shared" si="50"/>
        <v>26903157.286764197</v>
      </c>
      <c r="J114" s="47">
        <f t="shared" si="45"/>
        <v>17018445.94881897</v>
      </c>
      <c r="K114" s="43">
        <f t="shared" si="51"/>
        <v>89585.902454125404</v>
      </c>
      <c r="L114" s="44">
        <f t="shared" si="52"/>
        <v>109167.61065387377</v>
      </c>
      <c r="M114" s="45">
        <f t="shared" si="53"/>
        <v>6.6274654355192917</v>
      </c>
      <c r="N114" s="46">
        <f t="shared" si="54"/>
        <v>1447223.5799471356</v>
      </c>
      <c r="O114" s="146">
        <f t="shared" si="46"/>
        <v>6.4146638877711198E-3</v>
      </c>
      <c r="P114" s="148">
        <f t="shared" si="44"/>
        <v>8.5038527272084358E-2</v>
      </c>
    </row>
    <row r="115" spans="3:16" x14ac:dyDescent="0.25">
      <c r="C115" s="137">
        <v>800</v>
      </c>
      <c r="D115" s="141">
        <f t="shared" si="42"/>
        <v>2.6680021119999999</v>
      </c>
      <c r="E115" s="18">
        <f t="shared" si="47"/>
        <v>800</v>
      </c>
      <c r="F115" s="141">
        <f t="shared" si="43"/>
        <v>2.6680021119999999</v>
      </c>
      <c r="G115" s="144">
        <f t="shared" si="48"/>
        <v>25672000</v>
      </c>
      <c r="H115" s="42">
        <f t="shared" si="49"/>
        <v>85616.187774079997</v>
      </c>
      <c r="I115" s="42">
        <f t="shared" si="50"/>
        <v>27243703.581533365</v>
      </c>
      <c r="J115" s="47">
        <f t="shared" si="45"/>
        <v>17233869.315259717</v>
      </c>
      <c r="K115" s="43">
        <f t="shared" si="51"/>
        <v>90857.823367791221</v>
      </c>
      <c r="L115" s="44">
        <f t="shared" si="52"/>
        <v>110717.54834810743</v>
      </c>
      <c r="M115" s="45">
        <f t="shared" si="53"/>
        <v>6.7215607302153613</v>
      </c>
      <c r="N115" s="46">
        <f t="shared" si="54"/>
        <v>1467770.9416152027</v>
      </c>
      <c r="O115" s="146">
        <f t="shared" si="46"/>
        <v>6.4244161495452829E-3</v>
      </c>
      <c r="P115" s="148">
        <f t="shared" si="44"/>
        <v>8.5167811984947911E-2</v>
      </c>
    </row>
    <row r="116" spans="3:16" x14ac:dyDescent="0.25">
      <c r="C116" s="137">
        <v>810</v>
      </c>
      <c r="D116" s="141">
        <f t="shared" si="42"/>
        <v>2.7054527901299998</v>
      </c>
      <c r="E116" s="18">
        <f t="shared" si="47"/>
        <v>810</v>
      </c>
      <c r="F116" s="141">
        <f t="shared" si="43"/>
        <v>2.7054527901299998</v>
      </c>
      <c r="G116" s="144">
        <f t="shared" si="48"/>
        <v>25992900</v>
      </c>
      <c r="H116" s="42">
        <f t="shared" si="49"/>
        <v>86817.980035271699</v>
      </c>
      <c r="I116" s="42">
        <f t="shared" si="50"/>
        <v>27584249.876302529</v>
      </c>
      <c r="J116" s="47">
        <f t="shared" si="45"/>
        <v>17449292.681700461</v>
      </c>
      <c r="K116" s="43">
        <f t="shared" si="51"/>
        <v>92133.192335167638</v>
      </c>
      <c r="L116" s="44">
        <f t="shared" si="52"/>
        <v>112271.68777246472</v>
      </c>
      <c r="M116" s="45">
        <f t="shared" si="53"/>
        <v>6.8159111080903791</v>
      </c>
      <c r="N116" s="46">
        <f t="shared" si="54"/>
        <v>1488374.0051794185</v>
      </c>
      <c r="O116" s="146">
        <f t="shared" si="46"/>
        <v>6.4341684113194478E-3</v>
      </c>
      <c r="P116" s="148">
        <f t="shared" si="44"/>
        <v>8.5297096697811492E-2</v>
      </c>
    </row>
    <row r="117" spans="3:16" x14ac:dyDescent="0.25">
      <c r="C117" s="137">
        <v>820</v>
      </c>
      <c r="D117" s="141">
        <f t="shared" si="42"/>
        <v>2.74300471892</v>
      </c>
      <c r="E117" s="18">
        <f t="shared" si="47"/>
        <v>820</v>
      </c>
      <c r="F117" s="141">
        <f t="shared" si="43"/>
        <v>2.74300471892</v>
      </c>
      <c r="G117" s="144">
        <f t="shared" si="48"/>
        <v>26313800</v>
      </c>
      <c r="H117" s="42">
        <f t="shared" si="49"/>
        <v>88023.021430142806</v>
      </c>
      <c r="I117" s="42">
        <f t="shared" si="50"/>
        <v>27924796.171071697</v>
      </c>
      <c r="J117" s="47">
        <f t="shared" si="45"/>
        <v>17664716.048141208</v>
      </c>
      <c r="K117" s="43">
        <f t="shared" si="51"/>
        <v>93412.009356254654</v>
      </c>
      <c r="L117" s="44">
        <f t="shared" si="52"/>
        <v>113830.0289269456</v>
      </c>
      <c r="M117" s="45">
        <f t="shared" si="53"/>
        <v>6.9105165691443418</v>
      </c>
      <c r="N117" s="46">
        <f t="shared" si="54"/>
        <v>1509032.770639783</v>
      </c>
      <c r="O117" s="146">
        <f t="shared" si="46"/>
        <v>6.4439206730936109E-3</v>
      </c>
      <c r="P117" s="148">
        <f t="shared" si="44"/>
        <v>8.5426381410675031E-2</v>
      </c>
    </row>
    <row r="118" spans="3:16" x14ac:dyDescent="0.25">
      <c r="C118" s="137">
        <v>830</v>
      </c>
      <c r="D118" s="141">
        <f t="shared" si="42"/>
        <v>2.7806578983699999</v>
      </c>
      <c r="E118" s="18">
        <f t="shared" si="47"/>
        <v>830</v>
      </c>
      <c r="F118" s="141">
        <f t="shared" si="43"/>
        <v>2.7806578983699999</v>
      </c>
      <c r="G118" s="144">
        <f t="shared" si="48"/>
        <v>26634700</v>
      </c>
      <c r="H118" s="42">
        <f t="shared" si="49"/>
        <v>89231.311958693303</v>
      </c>
      <c r="I118" s="42">
        <f t="shared" si="50"/>
        <v>28265342.465840865</v>
      </c>
      <c r="J118" s="47">
        <f t="shared" si="45"/>
        <v>17880139.414581954</v>
      </c>
      <c r="K118" s="43">
        <f t="shared" si="51"/>
        <v>94694.274431052254</v>
      </c>
      <c r="L118" s="44">
        <f t="shared" si="52"/>
        <v>115392.57181155008</v>
      </c>
      <c r="M118" s="45">
        <f t="shared" si="53"/>
        <v>7.0053771133772509</v>
      </c>
      <c r="N118" s="46">
        <f t="shared" si="54"/>
        <v>1529747.2379962963</v>
      </c>
      <c r="O118" s="146">
        <f t="shared" si="46"/>
        <v>6.453672934867774E-3</v>
      </c>
      <c r="P118" s="148">
        <f t="shared" si="44"/>
        <v>8.5555666123538585E-2</v>
      </c>
    </row>
    <row r="119" spans="3:16" x14ac:dyDescent="0.25">
      <c r="C119" s="137">
        <v>840</v>
      </c>
      <c r="D119" s="141">
        <f t="shared" si="42"/>
        <v>2.81841232848</v>
      </c>
      <c r="E119" s="18">
        <f t="shared" si="47"/>
        <v>840</v>
      </c>
      <c r="F119" s="141">
        <f t="shared" si="43"/>
        <v>2.81841232848</v>
      </c>
      <c r="G119" s="144">
        <f t="shared" si="48"/>
        <v>26955600</v>
      </c>
      <c r="H119" s="42">
        <f t="shared" si="49"/>
        <v>90442.851620923204</v>
      </c>
      <c r="I119" s="42">
        <f t="shared" si="50"/>
        <v>28605888.760610033</v>
      </c>
      <c r="J119" s="47">
        <f t="shared" si="45"/>
        <v>18095562.781022701</v>
      </c>
      <c r="K119" s="43">
        <f t="shared" si="51"/>
        <v>95979.987559560454</v>
      </c>
      <c r="L119" s="44">
        <f t="shared" si="52"/>
        <v>116959.31642627818</v>
      </c>
      <c r="M119" s="45">
        <f t="shared" si="53"/>
        <v>7.1004927407891074</v>
      </c>
      <c r="N119" s="46">
        <f t="shared" si="54"/>
        <v>1550517.4072489585</v>
      </c>
      <c r="O119" s="146">
        <f t="shared" si="46"/>
        <v>6.4634251966419372E-3</v>
      </c>
      <c r="P119" s="148">
        <f t="shared" si="44"/>
        <v>8.5684950836402138E-2</v>
      </c>
    </row>
    <row r="120" spans="3:16" x14ac:dyDescent="0.25">
      <c r="C120" s="137">
        <v>850</v>
      </c>
      <c r="D120" s="141">
        <f t="shared" si="42"/>
        <v>2.8562680092499999</v>
      </c>
      <c r="E120" s="18">
        <f t="shared" si="47"/>
        <v>850</v>
      </c>
      <c r="F120" s="141">
        <f t="shared" si="43"/>
        <v>2.8562680092499999</v>
      </c>
      <c r="G120" s="144">
        <f t="shared" si="48"/>
        <v>27276500</v>
      </c>
      <c r="H120" s="42">
        <f t="shared" si="49"/>
        <v>91657.640416832495</v>
      </c>
      <c r="I120" s="42">
        <f t="shared" si="50"/>
        <v>28946435.055379201</v>
      </c>
      <c r="J120" s="47">
        <f t="shared" si="45"/>
        <v>18310986.147463452</v>
      </c>
      <c r="K120" s="43">
        <f t="shared" si="51"/>
        <v>97269.148741779238</v>
      </c>
      <c r="L120" s="44">
        <f t="shared" si="52"/>
        <v>118530.26277112986</v>
      </c>
      <c r="M120" s="45">
        <f t="shared" si="53"/>
        <v>7.1958634513799087</v>
      </c>
      <c r="N120" s="46">
        <f t="shared" si="54"/>
        <v>1571343.2783977692</v>
      </c>
      <c r="O120" s="146">
        <f t="shared" si="46"/>
        <v>6.4731774584160986E-3</v>
      </c>
      <c r="P120" s="148">
        <f t="shared" si="44"/>
        <v>8.5814235549265663E-2</v>
      </c>
    </row>
    <row r="121" spans="3:16" x14ac:dyDescent="0.25">
      <c r="C121" s="137">
        <v>860</v>
      </c>
      <c r="D121" s="141">
        <f t="shared" si="42"/>
        <v>2.89422494068</v>
      </c>
      <c r="E121" s="18">
        <f t="shared" si="47"/>
        <v>860</v>
      </c>
      <c r="F121" s="141">
        <f t="shared" si="43"/>
        <v>2.89422494068</v>
      </c>
      <c r="G121" s="144">
        <f t="shared" si="48"/>
        <v>27597400</v>
      </c>
      <c r="H121" s="42">
        <f t="shared" si="49"/>
        <v>92875.678346421206</v>
      </c>
      <c r="I121" s="42">
        <f t="shared" si="50"/>
        <v>29286981.350148365</v>
      </c>
      <c r="J121" s="47">
        <f t="shared" si="45"/>
        <v>18526409.513904195</v>
      </c>
      <c r="K121" s="43">
        <f t="shared" si="51"/>
        <v>98561.757977708636</v>
      </c>
      <c r="L121" s="44">
        <f t="shared" si="52"/>
        <v>120105.41084610517</v>
      </c>
      <c r="M121" s="45">
        <f t="shared" si="53"/>
        <v>7.2914892451496582</v>
      </c>
      <c r="N121" s="46">
        <f t="shared" si="54"/>
        <v>1592224.8514427291</v>
      </c>
      <c r="O121" s="146">
        <f t="shared" si="46"/>
        <v>6.4829297201902635E-3</v>
      </c>
      <c r="P121" s="148">
        <f t="shared" si="44"/>
        <v>8.5943520262129244E-2</v>
      </c>
    </row>
    <row r="122" spans="3:16" x14ac:dyDescent="0.25">
      <c r="C122" s="137">
        <v>870</v>
      </c>
      <c r="D122" s="141">
        <f t="shared" si="42"/>
        <v>2.9322831227699999</v>
      </c>
      <c r="E122" s="18">
        <f t="shared" si="47"/>
        <v>870</v>
      </c>
      <c r="F122" s="141">
        <f t="shared" si="43"/>
        <v>2.9322831227699999</v>
      </c>
      <c r="G122" s="144">
        <f t="shared" si="48"/>
        <v>27918300</v>
      </c>
      <c r="H122" s="42">
        <f t="shared" si="49"/>
        <v>94096.965409689292</v>
      </c>
      <c r="I122" s="42">
        <f t="shared" si="50"/>
        <v>29627527.644917533</v>
      </c>
      <c r="J122" s="47">
        <f t="shared" si="45"/>
        <v>18741832.880344942</v>
      </c>
      <c r="K122" s="43">
        <f t="shared" si="51"/>
        <v>99857.815267348604</v>
      </c>
      <c r="L122" s="44">
        <f t="shared" si="52"/>
        <v>121684.76065120407</v>
      </c>
      <c r="M122" s="45">
        <f t="shared" si="53"/>
        <v>7.3873701220983525</v>
      </c>
      <c r="N122" s="46">
        <f t="shared" si="54"/>
        <v>1613162.1263838378</v>
      </c>
      <c r="O122" s="146">
        <f t="shared" si="46"/>
        <v>6.4926819819644275E-3</v>
      </c>
      <c r="P122" s="148">
        <f t="shared" si="44"/>
        <v>8.6072804974992798E-2</v>
      </c>
    </row>
    <row r="123" spans="3:16" x14ac:dyDescent="0.25">
      <c r="C123" s="137">
        <v>880</v>
      </c>
      <c r="D123" s="141">
        <f t="shared" si="42"/>
        <v>2.97044255552</v>
      </c>
      <c r="E123" s="18">
        <f t="shared" si="47"/>
        <v>880</v>
      </c>
      <c r="F123" s="141">
        <f t="shared" si="43"/>
        <v>2.97044255552</v>
      </c>
      <c r="G123" s="144">
        <f t="shared" si="48"/>
        <v>28239200</v>
      </c>
      <c r="H123" s="42">
        <f t="shared" si="49"/>
        <v>95321.501606636797</v>
      </c>
      <c r="I123" s="42">
        <f t="shared" si="50"/>
        <v>29968073.939686701</v>
      </c>
      <c r="J123" s="47">
        <f t="shared" si="45"/>
        <v>18957256.246785689</v>
      </c>
      <c r="K123" s="43">
        <f t="shared" si="51"/>
        <v>101157.32061069917</v>
      </c>
      <c r="L123" s="44">
        <f t="shared" si="52"/>
        <v>123268.31218642656</v>
      </c>
      <c r="M123" s="45">
        <f t="shared" si="53"/>
        <v>7.4835060822259933</v>
      </c>
      <c r="N123" s="46">
        <f t="shared" si="54"/>
        <v>1634155.1032210949</v>
      </c>
      <c r="O123" s="146">
        <f t="shared" si="46"/>
        <v>6.5024342437385897E-3</v>
      </c>
      <c r="P123" s="148">
        <f t="shared" si="44"/>
        <v>8.6202089687856337E-2</v>
      </c>
    </row>
    <row r="124" spans="3:16" x14ac:dyDescent="0.25">
      <c r="C124" s="137">
        <v>890</v>
      </c>
      <c r="D124" s="141">
        <f t="shared" si="42"/>
        <v>3.0087032389299999</v>
      </c>
      <c r="E124" s="18">
        <f t="shared" si="47"/>
        <v>890</v>
      </c>
      <c r="F124" s="141">
        <f t="shared" si="43"/>
        <v>3.0087032389299999</v>
      </c>
      <c r="G124" s="144">
        <f t="shared" si="48"/>
        <v>28560100</v>
      </c>
      <c r="H124" s="42">
        <f t="shared" si="49"/>
        <v>96549.286937263692</v>
      </c>
      <c r="I124" s="42">
        <f t="shared" si="50"/>
        <v>30308620.234455869</v>
      </c>
      <c r="J124" s="47">
        <f t="shared" si="45"/>
        <v>19172679.613226436</v>
      </c>
      <c r="K124" s="43">
        <f t="shared" si="51"/>
        <v>102460.27400776034</v>
      </c>
      <c r="L124" s="44">
        <f t="shared" si="52"/>
        <v>124856.06545177267</v>
      </c>
      <c r="M124" s="45">
        <f t="shared" si="53"/>
        <v>7.5798971255325807</v>
      </c>
      <c r="N124" s="46">
        <f t="shared" si="54"/>
        <v>1655203.7819545008</v>
      </c>
      <c r="O124" s="146">
        <f t="shared" si="46"/>
        <v>6.5121865055127529E-3</v>
      </c>
      <c r="P124" s="148">
        <f t="shared" si="44"/>
        <v>8.633137440071989E-2</v>
      </c>
    </row>
    <row r="125" spans="3:16" x14ac:dyDescent="0.25">
      <c r="C125" s="137">
        <v>900</v>
      </c>
      <c r="D125" s="141">
        <f t="shared" si="42"/>
        <v>3.047065173</v>
      </c>
      <c r="E125" s="18">
        <f t="shared" si="47"/>
        <v>900</v>
      </c>
      <c r="F125" s="141">
        <f t="shared" si="43"/>
        <v>3.047065173</v>
      </c>
      <c r="G125" s="144">
        <f t="shared" si="48"/>
        <v>28881000</v>
      </c>
      <c r="H125" s="42">
        <f t="shared" si="49"/>
        <v>97780.321401570007</v>
      </c>
      <c r="I125" s="42">
        <f t="shared" si="50"/>
        <v>30649166.529225033</v>
      </c>
      <c r="J125" s="47">
        <f t="shared" si="45"/>
        <v>19388102.979667179</v>
      </c>
      <c r="K125" s="43">
        <f t="shared" si="51"/>
        <v>103766.6754585321</v>
      </c>
      <c r="L125" s="44">
        <f t="shared" si="52"/>
        <v>126448.02044724239</v>
      </c>
      <c r="M125" s="45">
        <f t="shared" si="53"/>
        <v>7.6765432520181154</v>
      </c>
      <c r="N125" s="46">
        <f t="shared" si="54"/>
        <v>1676308.1625840561</v>
      </c>
      <c r="O125" s="146">
        <f t="shared" si="46"/>
        <v>6.5219387672869186E-3</v>
      </c>
      <c r="P125" s="148">
        <f t="shared" si="44"/>
        <v>8.6460659113583471E-2</v>
      </c>
    </row>
    <row r="126" spans="3:16" x14ac:dyDescent="0.25">
      <c r="C126" s="137">
        <v>910</v>
      </c>
      <c r="D126" s="141">
        <f t="shared" si="42"/>
        <v>3.0855283577299999</v>
      </c>
      <c r="E126" s="18">
        <f t="shared" si="47"/>
        <v>910</v>
      </c>
      <c r="F126" s="141">
        <f t="shared" si="43"/>
        <v>3.0855283577299999</v>
      </c>
      <c r="G126" s="144">
        <f t="shared" si="48"/>
        <v>29201900</v>
      </c>
      <c r="H126" s="42">
        <f t="shared" si="49"/>
        <v>99014.604999555697</v>
      </c>
      <c r="I126" s="42">
        <f t="shared" si="50"/>
        <v>30989712.823994201</v>
      </c>
      <c r="J126" s="47">
        <f t="shared" si="45"/>
        <v>19603526.346107926</v>
      </c>
      <c r="K126" s="43">
        <f t="shared" si="51"/>
        <v>105076.52496301444</v>
      </c>
      <c r="L126" s="44">
        <f t="shared" si="52"/>
        <v>128044.17717283568</v>
      </c>
      <c r="M126" s="45">
        <f t="shared" si="53"/>
        <v>7.773444461682594</v>
      </c>
      <c r="N126" s="46">
        <f t="shared" si="54"/>
        <v>1697468.2451097593</v>
      </c>
      <c r="O126" s="146">
        <f t="shared" si="46"/>
        <v>6.5316910290610809E-3</v>
      </c>
      <c r="P126" s="148">
        <f t="shared" si="44"/>
        <v>8.6589943826447011E-2</v>
      </c>
    </row>
    <row r="127" spans="3:16" x14ac:dyDescent="0.25">
      <c r="C127" s="137">
        <v>920</v>
      </c>
      <c r="D127" s="141">
        <f t="shared" si="42"/>
        <v>3.12409279312</v>
      </c>
      <c r="E127" s="18">
        <f t="shared" si="47"/>
        <v>920</v>
      </c>
      <c r="F127" s="141">
        <f t="shared" si="43"/>
        <v>3.12409279312</v>
      </c>
      <c r="G127" s="144">
        <f t="shared" si="48"/>
        <v>29522800</v>
      </c>
      <c r="H127" s="42">
        <f t="shared" si="49"/>
        <v>100252.13773122081</v>
      </c>
      <c r="I127" s="42">
        <f t="shared" si="50"/>
        <v>31330259.118763369</v>
      </c>
      <c r="J127" s="47">
        <f t="shared" si="45"/>
        <v>19818949.712548673</v>
      </c>
      <c r="K127" s="43">
        <f t="shared" si="51"/>
        <v>106389.8225212074</v>
      </c>
      <c r="L127" s="44">
        <f t="shared" si="52"/>
        <v>129644.53562855262</v>
      </c>
      <c r="M127" s="45">
        <f t="shared" si="53"/>
        <v>7.8706007545260208</v>
      </c>
      <c r="N127" s="46">
        <f t="shared" si="54"/>
        <v>1718684.0295316121</v>
      </c>
      <c r="O127" s="146">
        <f t="shared" si="46"/>
        <v>6.5414432908352449E-3</v>
      </c>
      <c r="P127" s="148">
        <f t="shared" si="44"/>
        <v>8.6719228539310578E-2</v>
      </c>
    </row>
    <row r="128" spans="3:16" x14ac:dyDescent="0.25">
      <c r="C128" s="137">
        <v>930</v>
      </c>
      <c r="D128" s="141">
        <f t="shared" si="42"/>
        <v>3.1627584791699999</v>
      </c>
      <c r="E128" s="18">
        <f t="shared" si="47"/>
        <v>930</v>
      </c>
      <c r="F128" s="141">
        <f t="shared" si="43"/>
        <v>3.1627584791699999</v>
      </c>
      <c r="G128" s="144">
        <f t="shared" si="48"/>
        <v>29843700</v>
      </c>
      <c r="H128" s="42">
        <f t="shared" si="49"/>
        <v>101492.91959656529</v>
      </c>
      <c r="I128" s="42">
        <f t="shared" si="50"/>
        <v>31670805.413532536</v>
      </c>
      <c r="J128" s="47">
        <f t="shared" si="45"/>
        <v>20034373.07898942</v>
      </c>
      <c r="K128" s="43">
        <f t="shared" si="51"/>
        <v>107706.56813311092</v>
      </c>
      <c r="L128" s="44">
        <f t="shared" si="52"/>
        <v>131249.09581439313</v>
      </c>
      <c r="M128" s="45">
        <f t="shared" si="53"/>
        <v>7.9680121305483933</v>
      </c>
      <c r="N128" s="46">
        <f t="shared" si="54"/>
        <v>1739955.5158496131</v>
      </c>
      <c r="O128" s="146">
        <f t="shared" si="46"/>
        <v>6.551195552609408E-3</v>
      </c>
      <c r="P128" s="148">
        <f t="shared" si="44"/>
        <v>8.6848513252174131E-2</v>
      </c>
    </row>
    <row r="129" spans="3:16" x14ac:dyDescent="0.25">
      <c r="C129" s="137">
        <v>940</v>
      </c>
      <c r="D129" s="141">
        <f t="shared" si="42"/>
        <v>3.2015254158799999</v>
      </c>
      <c r="E129" s="18">
        <f t="shared" si="47"/>
        <v>940</v>
      </c>
      <c r="F129" s="141">
        <f t="shared" si="43"/>
        <v>3.2015254158799999</v>
      </c>
      <c r="G129" s="144">
        <f t="shared" si="48"/>
        <v>30164600</v>
      </c>
      <c r="H129" s="42">
        <f t="shared" si="49"/>
        <v>102736.95059558919</v>
      </c>
      <c r="I129" s="42">
        <f t="shared" si="50"/>
        <v>32011351.708301704</v>
      </c>
      <c r="J129" s="47">
        <f t="shared" si="45"/>
        <v>20249796.445430167</v>
      </c>
      <c r="K129" s="43">
        <f t="shared" si="51"/>
        <v>109026.76179872506</v>
      </c>
      <c r="L129" s="44">
        <f t="shared" si="52"/>
        <v>132857.85773035724</v>
      </c>
      <c r="M129" s="45">
        <f t="shared" si="53"/>
        <v>8.0656785897497105</v>
      </c>
      <c r="N129" s="46">
        <f t="shared" si="54"/>
        <v>1761282.7040637629</v>
      </c>
      <c r="O129" s="146">
        <f t="shared" si="46"/>
        <v>6.5609478143835703E-3</v>
      </c>
      <c r="P129" s="148">
        <f t="shared" si="44"/>
        <v>8.697779796503767E-2</v>
      </c>
    </row>
    <row r="130" spans="3:16" x14ac:dyDescent="0.25">
      <c r="C130" s="137">
        <v>950</v>
      </c>
      <c r="D130" s="141">
        <f t="shared" si="42"/>
        <v>3.2403936032500003</v>
      </c>
      <c r="E130" s="18">
        <f t="shared" si="47"/>
        <v>950</v>
      </c>
      <c r="F130" s="141">
        <f t="shared" si="43"/>
        <v>3.2403936032500003</v>
      </c>
      <c r="G130" s="144">
        <f t="shared" si="48"/>
        <v>30485500</v>
      </c>
      <c r="H130" s="42">
        <f t="shared" si="49"/>
        <v>103984.2307282925</v>
      </c>
      <c r="I130" s="42">
        <f t="shared" si="50"/>
        <v>32351898.003070869</v>
      </c>
      <c r="J130" s="47">
        <f t="shared" si="45"/>
        <v>20465219.811870914</v>
      </c>
      <c r="K130" s="43">
        <f t="shared" si="51"/>
        <v>110350.40351804979</v>
      </c>
      <c r="L130" s="44">
        <f t="shared" si="52"/>
        <v>134470.82137644498</v>
      </c>
      <c r="M130" s="45">
        <f t="shared" si="53"/>
        <v>8.1636001321299769</v>
      </c>
      <c r="N130" s="46">
        <f t="shared" si="54"/>
        <v>1782665.5941740619</v>
      </c>
      <c r="O130" s="146">
        <f t="shared" si="46"/>
        <v>6.5707000761577334E-3</v>
      </c>
      <c r="P130" s="148">
        <f t="shared" si="44"/>
        <v>8.7107082677901224E-2</v>
      </c>
    </row>
    <row r="131" spans="3:16" x14ac:dyDescent="0.25">
      <c r="C131" s="137">
        <v>960</v>
      </c>
      <c r="D131" s="141">
        <f t="shared" si="42"/>
        <v>3.2793630412799999</v>
      </c>
      <c r="E131" s="18">
        <f t="shared" si="47"/>
        <v>960</v>
      </c>
      <c r="F131" s="141">
        <f t="shared" si="43"/>
        <v>3.2793630412799999</v>
      </c>
      <c r="G131" s="144">
        <f t="shared" si="48"/>
        <v>30806400</v>
      </c>
      <c r="H131" s="42">
        <f t="shared" si="49"/>
        <v>105234.7599946752</v>
      </c>
      <c r="I131" s="42">
        <f t="shared" si="50"/>
        <v>32692444.297840036</v>
      </c>
      <c r="J131" s="47">
        <f t="shared" si="45"/>
        <v>20680643.178311661</v>
      </c>
      <c r="K131" s="43">
        <f t="shared" si="51"/>
        <v>111677.49329108511</v>
      </c>
      <c r="L131" s="44">
        <f t="shared" si="52"/>
        <v>136087.98675265632</v>
      </c>
      <c r="M131" s="45">
        <f t="shared" si="53"/>
        <v>8.261776757689189</v>
      </c>
      <c r="N131" s="46">
        <f t="shared" si="54"/>
        <v>1804104.1861805096</v>
      </c>
      <c r="O131" s="146">
        <f t="shared" si="46"/>
        <v>6.5804523379318974E-3</v>
      </c>
      <c r="P131" s="148">
        <f t="shared" si="44"/>
        <v>8.7236367390764777E-2</v>
      </c>
    </row>
    <row r="132" spans="3:16" x14ac:dyDescent="0.25">
      <c r="C132" s="137">
        <v>970</v>
      </c>
      <c r="D132" s="141">
        <f t="shared" si="42"/>
        <v>3.3184337299699997</v>
      </c>
      <c r="E132" s="18">
        <f t="shared" si="47"/>
        <v>970</v>
      </c>
      <c r="F132" s="141">
        <f t="shared" si="43"/>
        <v>3.3184337299699997</v>
      </c>
      <c r="G132" s="144">
        <f t="shared" si="48"/>
        <v>31127300</v>
      </c>
      <c r="H132" s="42">
        <f t="shared" si="49"/>
        <v>106488.53839473729</v>
      </c>
      <c r="I132" s="42">
        <f t="shared" si="50"/>
        <v>33032990.592609204</v>
      </c>
      <c r="J132" s="47">
        <f t="shared" si="45"/>
        <v>20896066.544752408</v>
      </c>
      <c r="K132" s="43">
        <f t="shared" si="51"/>
        <v>113008.03111783101</v>
      </c>
      <c r="L132" s="44">
        <f t="shared" si="52"/>
        <v>137709.35385899124</v>
      </c>
      <c r="M132" s="45">
        <f t="shared" si="53"/>
        <v>8.3602084664273448</v>
      </c>
      <c r="N132" s="46">
        <f t="shared" si="54"/>
        <v>1825598.4800831056</v>
      </c>
      <c r="O132" s="146">
        <f t="shared" si="46"/>
        <v>6.5902045997060597E-3</v>
      </c>
      <c r="P132" s="148">
        <f t="shared" si="44"/>
        <v>8.7365652103628316E-2</v>
      </c>
    </row>
    <row r="133" spans="3:16" x14ac:dyDescent="0.25">
      <c r="C133" s="137">
        <v>980</v>
      </c>
      <c r="D133" s="141">
        <f t="shared" si="42"/>
        <v>3.3576056693199998</v>
      </c>
      <c r="E133" s="18">
        <f t="shared" si="47"/>
        <v>980</v>
      </c>
      <c r="F133" s="141">
        <f t="shared" si="43"/>
        <v>3.3576056693199998</v>
      </c>
      <c r="G133" s="144">
        <f t="shared" si="48"/>
        <v>31448200</v>
      </c>
      <c r="H133" s="42">
        <f t="shared" si="49"/>
        <v>107745.5659284788</v>
      </c>
      <c r="I133" s="42">
        <f t="shared" si="50"/>
        <v>33373536.887378372</v>
      </c>
      <c r="J133" s="47">
        <f t="shared" si="45"/>
        <v>21111489.911193155</v>
      </c>
      <c r="K133" s="43">
        <f t="shared" si="51"/>
        <v>114342.01699828751</v>
      </c>
      <c r="L133" s="44">
        <f t="shared" si="52"/>
        <v>139334.92269544976</v>
      </c>
      <c r="M133" s="45">
        <f t="shared" si="53"/>
        <v>8.4588952583444481</v>
      </c>
      <c r="N133" s="46">
        <f t="shared" si="54"/>
        <v>1847148.4758818506</v>
      </c>
      <c r="O133" s="146">
        <f t="shared" si="46"/>
        <v>6.5999568614802228E-3</v>
      </c>
      <c r="P133" s="148">
        <f t="shared" si="44"/>
        <v>8.7494936816491869E-2</v>
      </c>
    </row>
    <row r="134" spans="3:16" x14ac:dyDescent="0.25">
      <c r="C134" s="137">
        <v>990</v>
      </c>
      <c r="D134" s="141">
        <f t="shared" si="42"/>
        <v>3.3968788593300001</v>
      </c>
      <c r="E134" s="18">
        <f t="shared" si="47"/>
        <v>990</v>
      </c>
      <c r="F134" s="141">
        <f t="shared" si="43"/>
        <v>3.3968788593300001</v>
      </c>
      <c r="G134" s="144">
        <f t="shared" si="48"/>
        <v>31769100</v>
      </c>
      <c r="H134" s="42">
        <f t="shared" si="49"/>
        <v>109005.84259589971</v>
      </c>
      <c r="I134" s="42">
        <f t="shared" si="50"/>
        <v>33714083.18214754</v>
      </c>
      <c r="J134" s="47">
        <f t="shared" si="45"/>
        <v>21326913.277633902</v>
      </c>
      <c r="K134" s="43">
        <f t="shared" si="51"/>
        <v>115679.45093245462</v>
      </c>
      <c r="L134" s="44">
        <f t="shared" si="52"/>
        <v>140964.69326203194</v>
      </c>
      <c r="M134" s="45">
        <f t="shared" si="53"/>
        <v>8.5578371334405023</v>
      </c>
      <c r="N134" s="46">
        <f t="shared" si="54"/>
        <v>1868754.1735767452</v>
      </c>
      <c r="O134" s="146">
        <f t="shared" si="46"/>
        <v>6.6097091232543877E-3</v>
      </c>
      <c r="P134" s="148">
        <f t="shared" si="44"/>
        <v>8.762422152935545E-2</v>
      </c>
    </row>
    <row r="135" spans="3:16" x14ac:dyDescent="0.25">
      <c r="C135" s="137">
        <v>1000</v>
      </c>
      <c r="D135" s="141">
        <f t="shared" si="42"/>
        <v>3.4362532999999997</v>
      </c>
      <c r="E135" s="18">
        <f t="shared" si="47"/>
        <v>1000</v>
      </c>
      <c r="F135" s="141">
        <f t="shared" si="43"/>
        <v>3.4362532999999997</v>
      </c>
      <c r="G135" s="144">
        <f t="shared" si="48"/>
        <v>32090000</v>
      </c>
      <c r="H135" s="42">
        <f t="shared" si="49"/>
        <v>110269.368397</v>
      </c>
      <c r="I135" s="42">
        <f t="shared" si="50"/>
        <v>34054629.476916708</v>
      </c>
      <c r="J135" s="47">
        <f t="shared" si="45"/>
        <v>21542336.644074649</v>
      </c>
      <c r="K135" s="43">
        <f t="shared" si="51"/>
        <v>117020.33292033229</v>
      </c>
      <c r="L135" s="44">
        <f t="shared" si="52"/>
        <v>142598.66555873764</v>
      </c>
      <c r="M135" s="45">
        <f t="shared" si="53"/>
        <v>8.6570340917154951</v>
      </c>
      <c r="N135" s="46">
        <f t="shared" si="54"/>
        <v>1890415.5731677872</v>
      </c>
      <c r="O135" s="146">
        <f t="shared" si="46"/>
        <v>6.6194613850285491E-3</v>
      </c>
      <c r="P135" s="148">
        <f t="shared" si="44"/>
        <v>8.7753506242218976E-2</v>
      </c>
    </row>
    <row r="136" spans="3:16" x14ac:dyDescent="0.25">
      <c r="C136" s="137">
        <v>1010</v>
      </c>
      <c r="D136" s="141">
        <f t="shared" si="42"/>
        <v>3.47572899133</v>
      </c>
      <c r="E136" s="18">
        <f t="shared" si="47"/>
        <v>1010</v>
      </c>
      <c r="F136" s="141">
        <f t="shared" si="43"/>
        <v>3.47572899133</v>
      </c>
      <c r="G136" s="144">
        <f t="shared" si="48"/>
        <v>32410900</v>
      </c>
      <c r="H136" s="42">
        <f t="shared" si="49"/>
        <v>111536.14333177971</v>
      </c>
      <c r="I136" s="42">
        <f t="shared" si="50"/>
        <v>34395175.771685869</v>
      </c>
      <c r="J136" s="47">
        <f t="shared" si="45"/>
        <v>21757760.010515392</v>
      </c>
      <c r="K136" s="43">
        <f t="shared" si="51"/>
        <v>118364.66296192059</v>
      </c>
      <c r="L136" s="44">
        <f t="shared" si="52"/>
        <v>144236.83958556701</v>
      </c>
      <c r="M136" s="45">
        <f t="shared" si="53"/>
        <v>8.7564861331694388</v>
      </c>
      <c r="N136" s="46">
        <f t="shared" si="54"/>
        <v>1912132.674654979</v>
      </c>
      <c r="O136" s="146">
        <f t="shared" si="46"/>
        <v>6.6292136468027148E-3</v>
      </c>
      <c r="P136" s="148">
        <f t="shared" si="44"/>
        <v>8.7882790955082557E-2</v>
      </c>
    </row>
    <row r="137" spans="3:16" x14ac:dyDescent="0.25">
      <c r="C137" s="137">
        <v>1020</v>
      </c>
      <c r="D137" s="141">
        <f t="shared" si="42"/>
        <v>3.5153059333200001</v>
      </c>
      <c r="E137" s="18">
        <f t="shared" si="47"/>
        <v>1020</v>
      </c>
      <c r="F137" s="141">
        <f t="shared" si="43"/>
        <v>3.5153059333200001</v>
      </c>
      <c r="G137" s="144">
        <f t="shared" si="48"/>
        <v>32731800</v>
      </c>
      <c r="H137" s="42">
        <f t="shared" si="49"/>
        <v>112806.1674002388</v>
      </c>
      <c r="I137" s="42">
        <f t="shared" si="50"/>
        <v>34735722.066455036</v>
      </c>
      <c r="J137" s="47">
        <f t="shared" si="45"/>
        <v>21973183.376956139</v>
      </c>
      <c r="K137" s="43">
        <f t="shared" si="51"/>
        <v>119712.44105721946</v>
      </c>
      <c r="L137" s="44">
        <f t="shared" si="52"/>
        <v>145879.21534251995</v>
      </c>
      <c r="M137" s="45">
        <f t="shared" si="53"/>
        <v>8.8561932578023281</v>
      </c>
      <c r="N137" s="46">
        <f t="shared" si="54"/>
        <v>1933905.4780383192</v>
      </c>
      <c r="O137" s="146">
        <f t="shared" si="46"/>
        <v>6.6389659085768771E-3</v>
      </c>
      <c r="P137" s="148">
        <f t="shared" si="44"/>
        <v>8.8012075667946096E-2</v>
      </c>
    </row>
    <row r="138" spans="3:16" x14ac:dyDescent="0.25">
      <c r="C138" s="137">
        <v>1030</v>
      </c>
      <c r="D138" s="141">
        <f t="shared" si="42"/>
        <v>3.5549841259699999</v>
      </c>
      <c r="E138" s="18">
        <f t="shared" si="47"/>
        <v>1030</v>
      </c>
      <c r="F138" s="141">
        <f t="shared" si="43"/>
        <v>3.5549841259699999</v>
      </c>
      <c r="G138" s="144">
        <f t="shared" si="48"/>
        <v>33052700</v>
      </c>
      <c r="H138" s="42">
        <f t="shared" si="49"/>
        <v>114079.44060237729</v>
      </c>
      <c r="I138" s="42">
        <f t="shared" si="50"/>
        <v>35076268.361224204</v>
      </c>
      <c r="J138" s="47">
        <f t="shared" si="45"/>
        <v>22188606.743396886</v>
      </c>
      <c r="K138" s="43">
        <f t="shared" si="51"/>
        <v>121063.66720622891</v>
      </c>
      <c r="L138" s="44">
        <f t="shared" si="52"/>
        <v>147525.7928295965</v>
      </c>
      <c r="M138" s="45">
        <f t="shared" si="53"/>
        <v>8.9561554656141631</v>
      </c>
      <c r="N138" s="46">
        <f t="shared" si="54"/>
        <v>1955733.983317808</v>
      </c>
      <c r="O138" s="146">
        <f t="shared" si="46"/>
        <v>6.6487181703510402E-3</v>
      </c>
      <c r="P138" s="148">
        <f t="shared" si="44"/>
        <v>8.814136038080965E-2</v>
      </c>
    </row>
    <row r="139" spans="3:16" x14ac:dyDescent="0.25">
      <c r="C139" s="137">
        <v>1040</v>
      </c>
      <c r="D139" s="141">
        <f t="shared" si="42"/>
        <v>3.5947635692799995</v>
      </c>
      <c r="E139" s="18">
        <f t="shared" si="47"/>
        <v>1040</v>
      </c>
      <c r="F139" s="141">
        <f t="shared" si="43"/>
        <v>3.5947635692799995</v>
      </c>
      <c r="G139" s="144">
        <f t="shared" si="48"/>
        <v>33373600</v>
      </c>
      <c r="H139" s="42">
        <f t="shared" si="49"/>
        <v>115355.96293819518</v>
      </c>
      <c r="I139" s="42">
        <f t="shared" si="50"/>
        <v>35416814.655993372</v>
      </c>
      <c r="J139" s="47">
        <f t="shared" si="45"/>
        <v>22404030.109837633</v>
      </c>
      <c r="K139" s="43">
        <f t="shared" si="51"/>
        <v>122418.34140894897</v>
      </c>
      <c r="L139" s="44">
        <f t="shared" si="52"/>
        <v>149176.57204679665</v>
      </c>
      <c r="M139" s="45">
        <f t="shared" si="53"/>
        <v>9.0563727566049437</v>
      </c>
      <c r="N139" s="46">
        <f t="shared" si="54"/>
        <v>1977618.1904934458</v>
      </c>
      <c r="O139" s="146">
        <f t="shared" si="46"/>
        <v>6.6584704321252033E-3</v>
      </c>
      <c r="P139" s="148">
        <f t="shared" si="44"/>
        <v>8.8270645093673203E-2</v>
      </c>
    </row>
    <row r="140" spans="3:16" x14ac:dyDescent="0.25">
      <c r="C140" s="137">
        <v>1050</v>
      </c>
      <c r="D140" s="141">
        <f t="shared" si="42"/>
        <v>3.6346442632499998</v>
      </c>
      <c r="E140" s="18">
        <f t="shared" si="47"/>
        <v>1050</v>
      </c>
      <c r="F140" s="141">
        <f t="shared" si="43"/>
        <v>3.6346442632499998</v>
      </c>
      <c r="G140" s="144">
        <f t="shared" si="48"/>
        <v>33694500</v>
      </c>
      <c r="H140" s="42">
        <f t="shared" si="49"/>
        <v>116635.73440769249</v>
      </c>
      <c r="I140" s="42">
        <f t="shared" si="50"/>
        <v>35757360.95076254</v>
      </c>
      <c r="J140" s="47">
        <f t="shared" si="45"/>
        <v>22619453.47627838</v>
      </c>
      <c r="K140" s="43">
        <f t="shared" si="51"/>
        <v>123776.46366537965</v>
      </c>
      <c r="L140" s="44">
        <f t="shared" si="52"/>
        <v>150831.55299412043</v>
      </c>
      <c r="M140" s="45">
        <f t="shared" si="53"/>
        <v>9.1568451307746734</v>
      </c>
      <c r="N140" s="46">
        <f t="shared" si="54"/>
        <v>1999558.0995652326</v>
      </c>
      <c r="O140" s="146">
        <f t="shared" si="46"/>
        <v>6.6682226938993673E-3</v>
      </c>
      <c r="P140" s="148">
        <f t="shared" si="44"/>
        <v>8.8399929806536756E-2</v>
      </c>
    </row>
    <row r="141" spans="3:16" x14ac:dyDescent="0.25">
      <c r="C141" s="137">
        <v>1060</v>
      </c>
      <c r="D141" s="141">
        <f t="shared" si="42"/>
        <v>3.6746262078799998</v>
      </c>
      <c r="E141" s="18">
        <f t="shared" si="47"/>
        <v>1060</v>
      </c>
      <c r="F141" s="141">
        <f t="shared" si="43"/>
        <v>3.6746262078799998</v>
      </c>
      <c r="G141" s="144">
        <f t="shared" si="48"/>
        <v>34015400</v>
      </c>
      <c r="H141" s="42">
        <f t="shared" si="49"/>
        <v>117918.75501086919</v>
      </c>
      <c r="I141" s="42">
        <f t="shared" si="50"/>
        <v>36097907.245531708</v>
      </c>
      <c r="J141" s="47">
        <f t="shared" si="45"/>
        <v>22834876.842719126</v>
      </c>
      <c r="K141" s="43">
        <f t="shared" si="51"/>
        <v>125138.0339755209</v>
      </c>
      <c r="L141" s="44">
        <f t="shared" si="52"/>
        <v>152490.73567156779</v>
      </c>
      <c r="M141" s="45">
        <f t="shared" si="53"/>
        <v>9.2575725881233488</v>
      </c>
      <c r="N141" s="46">
        <f t="shared" si="54"/>
        <v>2021553.7105331682</v>
      </c>
      <c r="O141" s="146">
        <f t="shared" si="46"/>
        <v>6.6779749556735305E-3</v>
      </c>
      <c r="P141" s="148">
        <f t="shared" si="44"/>
        <v>8.8529214519400309E-2</v>
      </c>
    </row>
    <row r="142" spans="3:16" x14ac:dyDescent="0.25">
      <c r="C142" s="137">
        <v>1070</v>
      </c>
      <c r="D142" s="141">
        <f t="shared" si="42"/>
        <v>3.7147094031700001</v>
      </c>
      <c r="E142" s="18">
        <f t="shared" si="47"/>
        <v>1070</v>
      </c>
      <c r="F142" s="141">
        <f t="shared" si="43"/>
        <v>3.7147094031700001</v>
      </c>
      <c r="G142" s="144">
        <f t="shared" si="48"/>
        <v>34336300</v>
      </c>
      <c r="H142" s="42">
        <f t="shared" si="49"/>
        <v>119205.0247477253</v>
      </c>
      <c r="I142" s="42">
        <f t="shared" si="50"/>
        <v>36438453.540300876</v>
      </c>
      <c r="J142" s="47">
        <f t="shared" si="45"/>
        <v>23050300.209159873</v>
      </c>
      <c r="K142" s="43">
        <f t="shared" si="51"/>
        <v>126503.05233937273</v>
      </c>
      <c r="L142" s="44">
        <f t="shared" si="52"/>
        <v>154154.12007913875</v>
      </c>
      <c r="M142" s="45">
        <f t="shared" si="53"/>
        <v>9.3585551286509681</v>
      </c>
      <c r="N142" s="46">
        <f t="shared" si="54"/>
        <v>2043605.0233972522</v>
      </c>
      <c r="O142" s="146">
        <f t="shared" si="46"/>
        <v>6.6877272174476936E-3</v>
      </c>
      <c r="P142" s="148">
        <f t="shared" si="44"/>
        <v>8.8658499232263863E-2</v>
      </c>
    </row>
    <row r="143" spans="3:16" x14ac:dyDescent="0.25">
      <c r="C143" s="137">
        <v>1080</v>
      </c>
      <c r="D143" s="141">
        <f t="shared" si="42"/>
        <v>3.7548938491199997</v>
      </c>
      <c r="E143" s="18">
        <f t="shared" si="47"/>
        <v>1080</v>
      </c>
      <c r="F143" s="141">
        <f t="shared" si="43"/>
        <v>3.7548938491199997</v>
      </c>
      <c r="G143" s="144">
        <f t="shared" si="48"/>
        <v>34657200</v>
      </c>
      <c r="H143" s="42">
        <f t="shared" si="49"/>
        <v>120494.5436182608</v>
      </c>
      <c r="I143" s="42">
        <f t="shared" si="50"/>
        <v>36778999.835070044</v>
      </c>
      <c r="J143" s="47">
        <f t="shared" si="45"/>
        <v>23265723.57560062</v>
      </c>
      <c r="K143" s="43">
        <f t="shared" si="51"/>
        <v>127871.51875693517</v>
      </c>
      <c r="L143" s="44">
        <f t="shared" si="52"/>
        <v>155821.70621683332</v>
      </c>
      <c r="M143" s="45">
        <f t="shared" si="53"/>
        <v>9.4597927523575347</v>
      </c>
      <c r="N143" s="46">
        <f t="shared" si="54"/>
        <v>2065712.0381574852</v>
      </c>
      <c r="O143" s="146">
        <f t="shared" si="46"/>
        <v>6.6974794792218567E-3</v>
      </c>
      <c r="P143" s="148">
        <f t="shared" si="44"/>
        <v>8.8787783945127416E-2</v>
      </c>
    </row>
    <row r="144" spans="3:16" x14ac:dyDescent="0.25">
      <c r="C144" s="137">
        <v>1090</v>
      </c>
      <c r="D144" s="141">
        <f t="shared" si="42"/>
        <v>3.7951795457299999</v>
      </c>
      <c r="E144" s="18">
        <f t="shared" si="47"/>
        <v>1090</v>
      </c>
      <c r="F144" s="141">
        <f t="shared" si="43"/>
        <v>3.7951795457299999</v>
      </c>
      <c r="G144" s="144">
        <f t="shared" si="48"/>
        <v>34978100</v>
      </c>
      <c r="H144" s="42">
        <f t="shared" si="49"/>
        <v>121787.3116224757</v>
      </c>
      <c r="I144" s="42">
        <f t="shared" si="50"/>
        <v>37119546.129839212</v>
      </c>
      <c r="J144" s="47">
        <f t="shared" si="45"/>
        <v>23481146.942041367</v>
      </c>
      <c r="K144" s="43">
        <f t="shared" si="51"/>
        <v>129243.4332282082</v>
      </c>
      <c r="L144" s="44">
        <f t="shared" si="52"/>
        <v>157493.49408465149</v>
      </c>
      <c r="M144" s="45">
        <f t="shared" si="53"/>
        <v>9.5612854592430487</v>
      </c>
      <c r="N144" s="46">
        <f t="shared" si="54"/>
        <v>2087874.7548138669</v>
      </c>
      <c r="O144" s="146">
        <f t="shared" si="46"/>
        <v>6.7072317409960199E-3</v>
      </c>
      <c r="P144" s="148">
        <f t="shared" si="44"/>
        <v>8.8917068657990969E-2</v>
      </c>
    </row>
    <row r="145" spans="3:16" x14ac:dyDescent="0.25">
      <c r="C145" s="137">
        <v>1100</v>
      </c>
      <c r="D145" s="141">
        <f t="shared" si="42"/>
        <v>3.835566493</v>
      </c>
      <c r="E145" s="18">
        <f t="shared" si="47"/>
        <v>1100</v>
      </c>
      <c r="F145" s="141">
        <f t="shared" si="43"/>
        <v>3.835566493</v>
      </c>
      <c r="G145" s="144">
        <f t="shared" si="48"/>
        <v>35299000</v>
      </c>
      <c r="H145" s="42">
        <f t="shared" si="49"/>
        <v>123083.32876037</v>
      </c>
      <c r="I145" s="42">
        <f t="shared" si="50"/>
        <v>37460092.424608372</v>
      </c>
      <c r="J145" s="47">
        <f t="shared" si="45"/>
        <v>23696570.308482111</v>
      </c>
      <c r="K145" s="43">
        <f t="shared" si="51"/>
        <v>130618.79575319184</v>
      </c>
      <c r="L145" s="44">
        <f t="shared" si="52"/>
        <v>159169.48368259327</v>
      </c>
      <c r="M145" s="45">
        <f t="shared" si="53"/>
        <v>9.6630332493075084</v>
      </c>
      <c r="N145" s="46">
        <f t="shared" si="54"/>
        <v>2110093.1733663976</v>
      </c>
      <c r="O145" s="146">
        <f t="shared" si="46"/>
        <v>6.7169840027701848E-3</v>
      </c>
      <c r="P145" s="148">
        <f t="shared" si="44"/>
        <v>8.9046353370854536E-2</v>
      </c>
    </row>
    <row r="146" spans="3:16" x14ac:dyDescent="0.25">
      <c r="C146" s="137">
        <v>1110</v>
      </c>
      <c r="D146" s="141">
        <f t="shared" si="42"/>
        <v>3.8760546909300002</v>
      </c>
      <c r="E146" s="18">
        <f t="shared" si="47"/>
        <v>1110</v>
      </c>
      <c r="F146" s="141">
        <f t="shared" si="43"/>
        <v>3.8760546909300002</v>
      </c>
      <c r="G146" s="144">
        <f t="shared" si="48"/>
        <v>35619900</v>
      </c>
      <c r="H146" s="42">
        <f t="shared" si="49"/>
        <v>124382.59503194371</v>
      </c>
      <c r="I146" s="42">
        <f t="shared" si="50"/>
        <v>37800638.71937754</v>
      </c>
      <c r="J146" s="47">
        <f t="shared" si="45"/>
        <v>23911993.674922857</v>
      </c>
      <c r="K146" s="43">
        <f t="shared" si="51"/>
        <v>131997.60633188605</v>
      </c>
      <c r="L146" s="44">
        <f t="shared" si="52"/>
        <v>160849.67501065866</v>
      </c>
      <c r="M146" s="45">
        <f t="shared" si="53"/>
        <v>9.7650361225509137</v>
      </c>
      <c r="N146" s="46">
        <f t="shared" si="54"/>
        <v>2132367.2938150768</v>
      </c>
      <c r="O146" s="146">
        <f t="shared" si="46"/>
        <v>6.7267362645443479E-3</v>
      </c>
      <c r="P146" s="148">
        <f t="shared" si="44"/>
        <v>8.917563808371809E-2</v>
      </c>
    </row>
    <row r="147" spans="3:16" x14ac:dyDescent="0.25">
      <c r="C147" s="137">
        <v>1120</v>
      </c>
      <c r="D147" s="141">
        <f t="shared" si="42"/>
        <v>3.9166441395199998</v>
      </c>
      <c r="E147" s="18">
        <f t="shared" si="47"/>
        <v>1120</v>
      </c>
      <c r="F147" s="141">
        <f t="shared" si="43"/>
        <v>3.9166441395199998</v>
      </c>
      <c r="G147" s="144">
        <f t="shared" si="48"/>
        <v>35940800</v>
      </c>
      <c r="H147" s="42">
        <f t="shared" si="49"/>
        <v>125685.1104371968</v>
      </c>
      <c r="I147" s="42">
        <f t="shared" si="50"/>
        <v>38141185.014146708</v>
      </c>
      <c r="J147" s="47">
        <f t="shared" si="45"/>
        <v>24127417.041363604</v>
      </c>
      <c r="K147" s="43">
        <f t="shared" si="51"/>
        <v>133379.86496429084</v>
      </c>
      <c r="L147" s="44">
        <f t="shared" si="52"/>
        <v>162534.06806884761</v>
      </c>
      <c r="M147" s="45">
        <f t="shared" si="53"/>
        <v>9.8672940789732646</v>
      </c>
      <c r="N147" s="46">
        <f t="shared" si="54"/>
        <v>2154697.1161599047</v>
      </c>
      <c r="O147" s="146">
        <f t="shared" si="46"/>
        <v>6.7364885263185102E-3</v>
      </c>
      <c r="P147" s="148">
        <f t="shared" si="44"/>
        <v>8.9304922796581629E-2</v>
      </c>
    </row>
    <row r="148" spans="3:16" x14ac:dyDescent="0.25">
      <c r="C148" s="137">
        <v>1130</v>
      </c>
      <c r="D148" s="141">
        <f t="shared" si="42"/>
        <v>3.9573348387699996</v>
      </c>
      <c r="E148" s="18">
        <f t="shared" si="47"/>
        <v>1130</v>
      </c>
      <c r="F148" s="141">
        <f t="shared" si="43"/>
        <v>3.9573348387699996</v>
      </c>
      <c r="G148" s="144">
        <f t="shared" si="48"/>
        <v>36261700</v>
      </c>
      <c r="H148" s="42">
        <f t="shared" si="49"/>
        <v>126990.87497612929</v>
      </c>
      <c r="I148" s="42">
        <f t="shared" si="50"/>
        <v>38481731.308915876</v>
      </c>
      <c r="J148" s="47">
        <f t="shared" si="45"/>
        <v>24342840.407804351</v>
      </c>
      <c r="K148" s="43">
        <f t="shared" si="51"/>
        <v>134765.57165040623</v>
      </c>
      <c r="L148" s="44">
        <f t="shared" si="52"/>
        <v>164222.66285716018</v>
      </c>
      <c r="M148" s="45">
        <f t="shared" si="53"/>
        <v>9.9698071185745611</v>
      </c>
      <c r="N148" s="46">
        <f t="shared" si="54"/>
        <v>2177082.6404008809</v>
      </c>
      <c r="O148" s="146">
        <f t="shared" si="46"/>
        <v>6.7462407880926724E-3</v>
      </c>
      <c r="P148" s="148">
        <f t="shared" si="44"/>
        <v>8.9434207509445168E-2</v>
      </c>
    </row>
    <row r="149" spans="3:16" x14ac:dyDescent="0.25">
      <c r="C149" s="138">
        <v>1140</v>
      </c>
      <c r="D149" s="142">
        <f t="shared" si="42"/>
        <v>3.9981267886799996</v>
      </c>
      <c r="E149" s="59">
        <f t="shared" si="47"/>
        <v>1140</v>
      </c>
      <c r="F149" s="142">
        <f t="shared" si="43"/>
        <v>3.9981267886799996</v>
      </c>
      <c r="G149" s="145">
        <f t="shared" si="48"/>
        <v>36582600</v>
      </c>
      <c r="H149" s="48">
        <f t="shared" si="49"/>
        <v>128299.88864874118</v>
      </c>
      <c r="I149" s="48">
        <f t="shared" si="50"/>
        <v>38822277.603685044</v>
      </c>
      <c r="J149" s="47">
        <f t="shared" si="45"/>
        <v>24558263.774245098</v>
      </c>
      <c r="K149" s="49">
        <f t="shared" si="51"/>
        <v>136154.72639023224</v>
      </c>
      <c r="L149" s="50">
        <f t="shared" si="52"/>
        <v>165915.4593755964</v>
      </c>
      <c r="M149" s="51">
        <f t="shared" si="53"/>
        <v>10.072575241354809</v>
      </c>
      <c r="N149" s="52">
        <f t="shared" si="54"/>
        <v>2199523.8665380073</v>
      </c>
      <c r="O149" s="146">
        <f t="shared" si="46"/>
        <v>6.7559930498668373E-3</v>
      </c>
      <c r="P149" s="149">
        <f t="shared" si="44"/>
        <v>8.9563492222308735E-2</v>
      </c>
    </row>
  </sheetData>
  <mergeCells count="24">
    <mergeCell ref="X3:AJ6"/>
    <mergeCell ref="Y2:AA2"/>
    <mergeCell ref="E6:F6"/>
    <mergeCell ref="R16:T16"/>
    <mergeCell ref="L8:M8"/>
    <mergeCell ref="C1:L1"/>
    <mergeCell ref="C2:L2"/>
    <mergeCell ref="C3:L3"/>
    <mergeCell ref="C4:L4"/>
    <mergeCell ref="C5:L5"/>
    <mergeCell ref="N25:O25"/>
    <mergeCell ref="C23:E23"/>
    <mergeCell ref="E30:F30"/>
    <mergeCell ref="C25:K25"/>
    <mergeCell ref="L25:M25"/>
    <mergeCell ref="AA17:AB17"/>
    <mergeCell ref="W13:Y13"/>
    <mergeCell ref="AA13:AC13"/>
    <mergeCell ref="W14:Y14"/>
    <mergeCell ref="AA14:AC14"/>
    <mergeCell ref="W16:X16"/>
    <mergeCell ref="AA15:AB15"/>
    <mergeCell ref="W15:X15"/>
    <mergeCell ref="AA16:AB16"/>
  </mergeCells>
  <phoneticPr fontId="31" type="noConversion"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L23" 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F2956B-36DE-4D9E-A9C8-5E9AC83794F5}">
          <x14:formula1>
            <xm:f>' Model Estimate'!$L$1:$U$1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5FE0-6370-43C1-A365-CD2F8D769430}">
  <dimension ref="B2:F13"/>
  <sheetViews>
    <sheetView zoomScale="75" zoomScaleNormal="75" workbookViewId="0">
      <selection activeCell="B3" sqref="B3:F13"/>
    </sheetView>
  </sheetViews>
  <sheetFormatPr defaultRowHeight="15" x14ac:dyDescent="0.25"/>
  <cols>
    <col min="1" max="1" width="3" customWidth="1"/>
    <col min="2" max="2" width="26.7109375" customWidth="1"/>
    <col min="3" max="3" width="17" customWidth="1"/>
    <col min="4" max="4" width="23.5703125" customWidth="1"/>
    <col min="5" max="5" width="11.5703125" customWidth="1"/>
  </cols>
  <sheetData>
    <row r="2" spans="2:6" ht="15.75" thickBot="1" x14ac:dyDescent="0.3"/>
    <row r="3" spans="2:6" x14ac:dyDescent="0.25">
      <c r="B3" s="249" t="s">
        <v>79</v>
      </c>
      <c r="C3" s="180" t="s">
        <v>79</v>
      </c>
      <c r="D3" s="180" t="s">
        <v>80</v>
      </c>
      <c r="E3" s="251" t="s">
        <v>35</v>
      </c>
      <c r="F3" s="253" t="s">
        <v>36</v>
      </c>
    </row>
    <row r="4" spans="2:6" ht="15.75" thickBot="1" x14ac:dyDescent="0.3">
      <c r="B4" s="250"/>
      <c r="C4" s="176" t="s">
        <v>121</v>
      </c>
      <c r="D4" s="176" t="s">
        <v>122</v>
      </c>
      <c r="E4" s="252"/>
      <c r="F4" s="254"/>
    </row>
    <row r="5" spans="2:6" ht="15.75" thickBot="1" x14ac:dyDescent="0.3">
      <c r="B5" s="181" t="s">
        <v>13</v>
      </c>
      <c r="C5" s="177">
        <v>-5.8009999999999999E-2</v>
      </c>
      <c r="D5" s="178">
        <v>0.13156000000000001</v>
      </c>
      <c r="E5" s="177">
        <v>-0.44</v>
      </c>
      <c r="F5" s="182">
        <v>0.6593</v>
      </c>
    </row>
    <row r="6" spans="2:6" ht="26.25" thickBot="1" x14ac:dyDescent="0.3">
      <c r="B6" s="181" t="s">
        <v>39</v>
      </c>
      <c r="C6" s="178">
        <v>1.0101100000000001</v>
      </c>
      <c r="D6" s="178">
        <v>1.0189999999999999E-2</v>
      </c>
      <c r="E6" s="178">
        <v>99.12</v>
      </c>
      <c r="F6" s="182" t="s">
        <v>108</v>
      </c>
    </row>
    <row r="7" spans="2:6" ht="26.25" thickBot="1" x14ac:dyDescent="0.3">
      <c r="B7" s="181" t="s">
        <v>63</v>
      </c>
      <c r="C7" s="178">
        <v>3.4489999999999997E-5</v>
      </c>
      <c r="D7" s="178">
        <v>8.7900000000000005E-6</v>
      </c>
      <c r="E7" s="178">
        <v>3.92</v>
      </c>
      <c r="F7" s="182" t="s">
        <v>108</v>
      </c>
    </row>
    <row r="8" spans="2:6" ht="26.25" thickBot="1" x14ac:dyDescent="0.3">
      <c r="B8" s="181" t="s">
        <v>64</v>
      </c>
      <c r="C8" s="178">
        <v>0.11753</v>
      </c>
      <c r="D8" s="178">
        <v>3.024E-2</v>
      </c>
      <c r="E8" s="178">
        <v>3.89</v>
      </c>
      <c r="F8" s="182">
        <v>1E-4</v>
      </c>
    </row>
    <row r="9" spans="2:6" ht="26.25" thickBot="1" x14ac:dyDescent="0.3">
      <c r="B9" s="181" t="s">
        <v>41</v>
      </c>
      <c r="C9" s="178">
        <v>2.0480000000000002E-2</v>
      </c>
      <c r="D9" s="178">
        <v>1.1100000000000001E-3</v>
      </c>
      <c r="E9" s="178">
        <v>18.420000000000002</v>
      </c>
      <c r="F9" s="182" t="s">
        <v>108</v>
      </c>
    </row>
    <row r="10" spans="2:6" ht="15.75" thickBot="1" x14ac:dyDescent="0.3">
      <c r="B10" s="181" t="s">
        <v>86</v>
      </c>
      <c r="C10" s="178">
        <v>7.6520000000000005E-2</v>
      </c>
      <c r="D10" s="178">
        <v>0.13186999999999999</v>
      </c>
      <c r="E10" s="178">
        <v>0.57999999999999996</v>
      </c>
      <c r="F10" s="182">
        <v>0.56169999999999998</v>
      </c>
    </row>
    <row r="11" spans="2:6" ht="26.25" thickBot="1" x14ac:dyDescent="0.3">
      <c r="B11" s="181" t="s">
        <v>40</v>
      </c>
      <c r="C11" s="178">
        <v>1.0894600000000001</v>
      </c>
      <c r="D11" s="178">
        <v>3.9399999999999998E-2</v>
      </c>
      <c r="E11" s="178">
        <v>27.65</v>
      </c>
      <c r="F11" s="182" t="s">
        <v>108</v>
      </c>
    </row>
    <row r="12" spans="2:6" ht="39" thickBot="1" x14ac:dyDescent="0.3">
      <c r="B12" s="181" t="s">
        <v>123</v>
      </c>
      <c r="C12" s="178">
        <v>1.9700000000000002E-6</v>
      </c>
      <c r="D12" s="179">
        <v>5.4488300000000001E-8</v>
      </c>
      <c r="E12" s="178">
        <v>36.21</v>
      </c>
      <c r="F12" s="182" t="s">
        <v>108</v>
      </c>
    </row>
    <row r="13" spans="2:6" ht="38.25" x14ac:dyDescent="0.25">
      <c r="B13" s="183" t="s">
        <v>124</v>
      </c>
      <c r="C13" s="184">
        <v>9.5329999999999997E-5</v>
      </c>
      <c r="D13" s="184">
        <v>9.1180000000000005E-5</v>
      </c>
      <c r="E13" s="184">
        <v>1.05</v>
      </c>
      <c r="F13" s="185">
        <v>0.29580000000000001</v>
      </c>
    </row>
  </sheetData>
  <mergeCells count="3">
    <mergeCell ref="B3:B4"/>
    <mergeCell ref="E3:E4"/>
    <mergeCell ref="F3:F4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2441D-A1E1-49C1-ADCF-25E6BCAA7AC1}">
  <dimension ref="B1:V29"/>
  <sheetViews>
    <sheetView topLeftCell="D13" workbookViewId="0">
      <selection activeCell="U3" sqref="U3"/>
    </sheetView>
  </sheetViews>
  <sheetFormatPr defaultColWidth="8.85546875" defaultRowHeight="15" x14ac:dyDescent="0.25"/>
  <cols>
    <col min="1" max="1" width="8.85546875" style="199"/>
    <col min="2" max="2" width="13.85546875" style="199" bestFit="1" customWidth="1"/>
    <col min="3" max="3" width="28.7109375" style="199" bestFit="1" customWidth="1"/>
    <col min="4" max="4" width="7" style="199" bestFit="1" customWidth="1"/>
    <col min="5" max="5" width="6" style="199" bestFit="1" customWidth="1"/>
    <col min="6" max="7" width="7" style="199" bestFit="1" customWidth="1"/>
    <col min="8" max="9" width="5.85546875" style="199" bestFit="1" customWidth="1"/>
    <col min="10" max="10" width="6.28515625" style="225" bestFit="1" customWidth="1"/>
    <col min="11" max="15" width="5.85546875" style="199" bestFit="1" customWidth="1"/>
    <col min="16" max="17" width="8.85546875" style="199"/>
    <col min="18" max="18" width="10.5703125" style="199" bestFit="1" customWidth="1"/>
    <col min="19" max="19" width="15.42578125" style="199" bestFit="1" customWidth="1"/>
    <col min="20" max="16384" width="8.85546875" style="199"/>
  </cols>
  <sheetData>
    <row r="1" spans="2:22" ht="15.75" thickBot="1" x14ac:dyDescent="0.3">
      <c r="D1" s="255" t="s">
        <v>126</v>
      </c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</row>
    <row r="2" spans="2:22" ht="15.75" thickBot="1" x14ac:dyDescent="0.3">
      <c r="B2" s="200" t="s">
        <v>127</v>
      </c>
      <c r="C2" s="201" t="s">
        <v>128</v>
      </c>
      <c r="D2" s="200">
        <v>202301</v>
      </c>
      <c r="E2" s="200">
        <v>202302</v>
      </c>
      <c r="F2" s="200">
        <v>202303</v>
      </c>
      <c r="G2" s="200">
        <v>202304</v>
      </c>
      <c r="H2" s="200">
        <v>202305</v>
      </c>
      <c r="I2" s="200">
        <v>202306</v>
      </c>
      <c r="J2" s="202">
        <v>202307</v>
      </c>
      <c r="K2" s="203">
        <v>202308</v>
      </c>
      <c r="L2" s="203">
        <v>202309</v>
      </c>
      <c r="M2" s="203">
        <v>202310</v>
      </c>
      <c r="N2" s="203">
        <v>202311</v>
      </c>
      <c r="O2" s="203">
        <v>202312</v>
      </c>
      <c r="V2" s="199">
        <v>202307</v>
      </c>
    </row>
    <row r="3" spans="2:22" ht="15.75" thickBot="1" x14ac:dyDescent="0.3">
      <c r="B3" s="204">
        <v>3</v>
      </c>
      <c r="C3" s="205" t="s">
        <v>129</v>
      </c>
      <c r="D3" s="206">
        <v>8576</v>
      </c>
      <c r="E3" s="206">
        <v>10483</v>
      </c>
      <c r="F3" s="206">
        <v>10631</v>
      </c>
      <c r="G3" s="206">
        <v>9644</v>
      </c>
      <c r="H3" s="206">
        <v>10531</v>
      </c>
      <c r="I3" s="206">
        <v>7930</v>
      </c>
      <c r="J3" s="207">
        <f>V3*1.25</f>
        <v>6371.25</v>
      </c>
      <c r="K3" s="208">
        <v>11730</v>
      </c>
      <c r="L3" s="208">
        <v>10685</v>
      </c>
      <c r="M3" s="208">
        <v>10720</v>
      </c>
      <c r="N3" s="208">
        <v>9114</v>
      </c>
      <c r="O3" s="208">
        <v>8095</v>
      </c>
      <c r="Q3" s="256" t="s">
        <v>130</v>
      </c>
      <c r="R3" s="256"/>
      <c r="U3" s="209"/>
      <c r="V3" s="199">
        <v>5097</v>
      </c>
    </row>
    <row r="4" spans="2:22" ht="15.75" thickBot="1" x14ac:dyDescent="0.3">
      <c r="B4" s="204">
        <v>3</v>
      </c>
      <c r="C4" s="205" t="s">
        <v>131</v>
      </c>
      <c r="D4" s="206">
        <v>8472</v>
      </c>
      <c r="E4" s="206">
        <v>10889</v>
      </c>
      <c r="F4" s="206">
        <v>10575</v>
      </c>
      <c r="G4" s="206">
        <v>9670</v>
      </c>
      <c r="H4" s="206">
        <v>10527</v>
      </c>
      <c r="I4" s="206">
        <v>7725</v>
      </c>
      <c r="J4" s="207">
        <f t="shared" ref="J4:J14" si="0">V4*1.25</f>
        <v>6476.25</v>
      </c>
      <c r="K4" s="208">
        <v>11876</v>
      </c>
      <c r="L4" s="208">
        <v>11318</v>
      </c>
      <c r="M4" s="208">
        <v>11216</v>
      </c>
      <c r="N4" s="208">
        <v>9178</v>
      </c>
      <c r="O4" s="208">
        <v>8350</v>
      </c>
      <c r="Q4" s="256"/>
      <c r="R4" s="256"/>
      <c r="V4" s="199">
        <v>5181</v>
      </c>
    </row>
    <row r="5" spans="2:22" ht="15.75" thickBot="1" x14ac:dyDescent="0.3">
      <c r="B5" s="204">
        <v>3</v>
      </c>
      <c r="C5" s="205" t="s">
        <v>132</v>
      </c>
      <c r="D5" s="206">
        <v>10123</v>
      </c>
      <c r="E5" s="206">
        <v>12552</v>
      </c>
      <c r="F5" s="206">
        <v>12720</v>
      </c>
      <c r="G5" s="206">
        <v>11468</v>
      </c>
      <c r="H5" s="206">
        <v>12489</v>
      </c>
      <c r="I5" s="206">
        <v>9017</v>
      </c>
      <c r="J5" s="207">
        <f t="shared" si="0"/>
        <v>7408.75</v>
      </c>
      <c r="K5" s="208">
        <v>13755</v>
      </c>
      <c r="L5" s="208">
        <v>12807</v>
      </c>
      <c r="M5" s="208">
        <v>12889</v>
      </c>
      <c r="N5" s="208">
        <v>11285</v>
      </c>
      <c r="O5" s="208">
        <v>10171</v>
      </c>
      <c r="V5" s="199">
        <v>5927</v>
      </c>
    </row>
    <row r="6" spans="2:22" ht="15.75" thickBot="1" x14ac:dyDescent="0.3">
      <c r="B6" s="204">
        <v>14</v>
      </c>
      <c r="C6" s="205" t="s">
        <v>133</v>
      </c>
      <c r="D6" s="206">
        <v>9238</v>
      </c>
      <c r="E6" s="206">
        <v>9540</v>
      </c>
      <c r="F6" s="206">
        <v>10600</v>
      </c>
      <c r="G6" s="206">
        <v>11003</v>
      </c>
      <c r="H6" s="206">
        <v>11504</v>
      </c>
      <c r="I6" s="206">
        <v>10309</v>
      </c>
      <c r="J6" s="207">
        <f t="shared" si="0"/>
        <v>8353.75</v>
      </c>
      <c r="K6" s="208">
        <v>11106</v>
      </c>
      <c r="L6" s="208">
        <v>11426</v>
      </c>
      <c r="M6" s="208">
        <v>10287</v>
      </c>
      <c r="N6" s="208">
        <v>9074</v>
      </c>
      <c r="O6" s="208">
        <v>8811</v>
      </c>
      <c r="Q6" s="257" t="s">
        <v>134</v>
      </c>
      <c r="R6" s="257"/>
      <c r="V6" s="199">
        <v>6683</v>
      </c>
    </row>
    <row r="7" spans="2:22" ht="15.75" thickBot="1" x14ac:dyDescent="0.3">
      <c r="B7" s="204">
        <v>14</v>
      </c>
      <c r="C7" s="205" t="s">
        <v>135</v>
      </c>
      <c r="D7" s="206">
        <v>8249</v>
      </c>
      <c r="E7" s="206">
        <v>8031</v>
      </c>
      <c r="F7" s="206">
        <v>8474</v>
      </c>
      <c r="G7" s="206">
        <v>8782</v>
      </c>
      <c r="H7" s="206">
        <v>9079</v>
      </c>
      <c r="I7" s="206">
        <v>8090</v>
      </c>
      <c r="J7" s="207">
        <f t="shared" si="0"/>
        <v>6562.5</v>
      </c>
      <c r="K7" s="208">
        <v>8846</v>
      </c>
      <c r="L7" s="208">
        <v>9669</v>
      </c>
      <c r="M7" s="208">
        <v>9122</v>
      </c>
      <c r="N7" s="208">
        <v>7813</v>
      </c>
      <c r="O7" s="208">
        <v>7455</v>
      </c>
      <c r="V7" s="199">
        <v>5250</v>
      </c>
    </row>
    <row r="8" spans="2:22" ht="15.75" thickBot="1" x14ac:dyDescent="0.3">
      <c r="B8" s="204">
        <v>14</v>
      </c>
      <c r="C8" s="205" t="s">
        <v>136</v>
      </c>
      <c r="D8" s="206">
        <v>7697</v>
      </c>
      <c r="E8" s="206">
        <v>7297</v>
      </c>
      <c r="F8" s="206">
        <v>7621</v>
      </c>
      <c r="G8" s="206">
        <v>8123</v>
      </c>
      <c r="H8" s="206">
        <v>8382</v>
      </c>
      <c r="I8" s="206">
        <v>7420</v>
      </c>
      <c r="J8" s="207">
        <f t="shared" si="0"/>
        <v>5973.75</v>
      </c>
      <c r="K8" s="208">
        <v>8553</v>
      </c>
      <c r="L8" s="208">
        <v>9332</v>
      </c>
      <c r="M8" s="208">
        <v>8604</v>
      </c>
      <c r="N8" s="208">
        <v>8072</v>
      </c>
      <c r="O8" s="208">
        <v>8054</v>
      </c>
      <c r="Q8" s="258" t="s">
        <v>137</v>
      </c>
      <c r="R8" s="258"/>
      <c r="V8" s="199">
        <v>4779</v>
      </c>
    </row>
    <row r="9" spans="2:22" ht="15.75" thickBot="1" x14ac:dyDescent="0.3">
      <c r="B9" s="204">
        <v>14</v>
      </c>
      <c r="C9" s="205" t="s">
        <v>138</v>
      </c>
      <c r="D9" s="206">
        <v>7855</v>
      </c>
      <c r="E9" s="206">
        <v>5753</v>
      </c>
      <c r="F9" s="206">
        <v>7055</v>
      </c>
      <c r="G9" s="206">
        <v>8003</v>
      </c>
      <c r="H9" s="206">
        <v>8442</v>
      </c>
      <c r="I9" s="206">
        <v>7522</v>
      </c>
      <c r="J9" s="207">
        <f t="shared" si="0"/>
        <v>6246.25</v>
      </c>
      <c r="K9" s="208">
        <v>8515</v>
      </c>
      <c r="L9" s="208">
        <v>8956</v>
      </c>
      <c r="M9" s="208">
        <v>8699</v>
      </c>
      <c r="N9" s="208">
        <v>7644</v>
      </c>
      <c r="O9" s="208">
        <v>7252</v>
      </c>
      <c r="Q9" s="258"/>
      <c r="R9" s="258"/>
      <c r="V9" s="199">
        <v>4997</v>
      </c>
    </row>
    <row r="10" spans="2:22" ht="15.75" thickBot="1" x14ac:dyDescent="0.3">
      <c r="B10" s="204">
        <v>14</v>
      </c>
      <c r="C10" s="205" t="s">
        <v>139</v>
      </c>
      <c r="D10" s="206">
        <v>33847</v>
      </c>
      <c r="E10" s="206">
        <v>35711</v>
      </c>
      <c r="F10" s="206">
        <v>38130</v>
      </c>
      <c r="G10" s="206">
        <v>37704</v>
      </c>
      <c r="H10" s="206">
        <v>38377</v>
      </c>
      <c r="I10" s="206">
        <v>32448</v>
      </c>
      <c r="J10" s="207">
        <f t="shared" si="0"/>
        <v>24242.5</v>
      </c>
      <c r="K10" s="208">
        <v>38252</v>
      </c>
      <c r="L10" s="208">
        <v>38674</v>
      </c>
      <c r="M10" s="208">
        <v>38573</v>
      </c>
      <c r="N10" s="208">
        <v>36738</v>
      </c>
      <c r="O10" s="208">
        <v>32036</v>
      </c>
      <c r="Q10" s="258"/>
      <c r="R10" s="258"/>
      <c r="V10" s="199">
        <v>19394</v>
      </c>
    </row>
    <row r="11" spans="2:22" ht="15.75" thickBot="1" x14ac:dyDescent="0.3">
      <c r="B11" s="204">
        <v>14</v>
      </c>
      <c r="C11" s="205" t="s">
        <v>140</v>
      </c>
      <c r="D11" s="206">
        <v>9901</v>
      </c>
      <c r="E11" s="206">
        <v>9715</v>
      </c>
      <c r="F11" s="206">
        <v>10200</v>
      </c>
      <c r="G11" s="206">
        <v>9618</v>
      </c>
      <c r="H11" s="206">
        <v>9209</v>
      </c>
      <c r="I11" s="206">
        <v>8073</v>
      </c>
      <c r="J11" s="207">
        <f t="shared" si="0"/>
        <v>5343.75</v>
      </c>
      <c r="K11" s="208">
        <v>5000</v>
      </c>
      <c r="L11" s="208">
        <v>5000</v>
      </c>
      <c r="M11" s="208">
        <v>5000</v>
      </c>
      <c r="N11" s="208">
        <v>5000</v>
      </c>
      <c r="O11" s="208">
        <v>5000</v>
      </c>
      <c r="V11" s="199">
        <v>4275</v>
      </c>
    </row>
    <row r="12" spans="2:22" s="215" customFormat="1" ht="15.75" thickBot="1" x14ac:dyDescent="0.3">
      <c r="B12" s="210">
        <v>14</v>
      </c>
      <c r="C12" s="211" t="s">
        <v>141</v>
      </c>
      <c r="D12" s="212">
        <v>133238</v>
      </c>
      <c r="E12" s="212">
        <v>99750</v>
      </c>
      <c r="F12" s="212">
        <v>118188</v>
      </c>
      <c r="G12" s="212">
        <v>115416</v>
      </c>
      <c r="H12" s="212">
        <v>89600</v>
      </c>
      <c r="I12" s="212">
        <v>47166</v>
      </c>
      <c r="J12" s="213">
        <f t="shared" si="0"/>
        <v>13475</v>
      </c>
      <c r="K12" s="214"/>
      <c r="L12" s="214"/>
      <c r="M12" s="214"/>
      <c r="N12" s="214"/>
      <c r="O12" s="214"/>
      <c r="Q12" s="259" t="s">
        <v>142</v>
      </c>
      <c r="R12" s="259"/>
      <c r="V12" s="215">
        <v>10780</v>
      </c>
    </row>
    <row r="13" spans="2:22" ht="15.75" thickBot="1" x14ac:dyDescent="0.3">
      <c r="B13" s="204">
        <v>14</v>
      </c>
      <c r="C13" s="205" t="s">
        <v>143</v>
      </c>
      <c r="D13" s="206">
        <v>5862</v>
      </c>
      <c r="E13" s="206">
        <v>6528</v>
      </c>
      <c r="F13" s="206">
        <v>7217</v>
      </c>
      <c r="G13" s="206">
        <v>7722</v>
      </c>
      <c r="H13" s="206">
        <v>7811</v>
      </c>
      <c r="I13" s="206">
        <v>5665</v>
      </c>
      <c r="J13" s="207">
        <f t="shared" si="0"/>
        <v>5473.75</v>
      </c>
      <c r="K13" s="208">
        <v>7189</v>
      </c>
      <c r="L13" s="208">
        <v>7439</v>
      </c>
      <c r="M13" s="208">
        <v>7189</v>
      </c>
      <c r="N13" s="208">
        <v>4500</v>
      </c>
      <c r="O13" s="208">
        <v>3000</v>
      </c>
      <c r="Q13" s="259"/>
      <c r="R13" s="259"/>
      <c r="V13" s="199">
        <v>4379</v>
      </c>
    </row>
    <row r="14" spans="2:22" ht="15.75" thickBot="1" x14ac:dyDescent="0.3">
      <c r="B14" s="204">
        <v>14</v>
      </c>
      <c r="C14" s="205" t="s">
        <v>144</v>
      </c>
      <c r="D14" s="206">
        <v>6237</v>
      </c>
      <c r="E14" s="206">
        <v>7522</v>
      </c>
      <c r="F14" s="206">
        <v>8390</v>
      </c>
      <c r="G14" s="206">
        <v>7906</v>
      </c>
      <c r="H14" s="206">
        <v>7668</v>
      </c>
      <c r="I14" s="206">
        <v>5947</v>
      </c>
      <c r="J14" s="207">
        <f t="shared" si="0"/>
        <v>5613.75</v>
      </c>
      <c r="K14" s="208">
        <v>7425</v>
      </c>
      <c r="L14" s="208">
        <v>7675</v>
      </c>
      <c r="M14" s="208">
        <v>7425</v>
      </c>
      <c r="N14" s="208">
        <v>4500</v>
      </c>
      <c r="O14" s="208">
        <v>3000</v>
      </c>
      <c r="Q14" s="259"/>
      <c r="R14" s="259"/>
      <c r="V14" s="199">
        <v>4491</v>
      </c>
    </row>
    <row r="16" spans="2:22" ht="15.75" thickBot="1" x14ac:dyDescent="0.3">
      <c r="D16" s="255" t="s">
        <v>145</v>
      </c>
      <c r="E16" s="255"/>
      <c r="F16" s="255"/>
      <c r="G16" s="255"/>
      <c r="H16" s="255"/>
      <c r="I16" s="255"/>
      <c r="J16" s="255"/>
      <c r="K16" s="255"/>
      <c r="L16" s="255"/>
      <c r="M16" s="255"/>
      <c r="N16" s="255"/>
      <c r="O16" s="255"/>
    </row>
    <row r="17" spans="2:22" ht="15.75" thickBot="1" x14ac:dyDescent="0.3">
      <c r="B17" s="200" t="s">
        <v>127</v>
      </c>
      <c r="C17" s="201" t="s">
        <v>128</v>
      </c>
      <c r="D17" s="200">
        <v>202301</v>
      </c>
      <c r="E17" s="200">
        <v>202302</v>
      </c>
      <c r="F17" s="200">
        <v>202303</v>
      </c>
      <c r="G17" s="200">
        <v>202304</v>
      </c>
      <c r="H17" s="200">
        <v>202305</v>
      </c>
      <c r="I17" s="200">
        <v>202306</v>
      </c>
      <c r="J17" s="202">
        <v>202307</v>
      </c>
      <c r="K17" s="200">
        <v>202308</v>
      </c>
      <c r="L17" s="200">
        <v>202309</v>
      </c>
      <c r="M17" s="200">
        <v>202310</v>
      </c>
      <c r="N17" s="200">
        <v>202311</v>
      </c>
      <c r="O17" s="200">
        <v>202312</v>
      </c>
      <c r="R17" s="216" t="s">
        <v>146</v>
      </c>
      <c r="S17" s="217" t="s">
        <v>147</v>
      </c>
      <c r="V17" s="199">
        <v>202307</v>
      </c>
    </row>
    <row r="18" spans="2:22" ht="15.75" thickBot="1" x14ac:dyDescent="0.3">
      <c r="B18" s="204">
        <f t="shared" ref="B18:B26" si="1">B3</f>
        <v>3</v>
      </c>
      <c r="C18" s="205" t="s">
        <v>129</v>
      </c>
      <c r="D18" s="206">
        <v>25728</v>
      </c>
      <c r="E18" s="206">
        <v>31449</v>
      </c>
      <c r="F18" s="206">
        <v>31893</v>
      </c>
      <c r="G18" s="206">
        <v>28932</v>
      </c>
      <c r="H18" s="206">
        <v>31593</v>
      </c>
      <c r="I18" s="206">
        <v>23790</v>
      </c>
      <c r="J18" s="207">
        <f t="shared" ref="J18:J28" si="2">V18*1.25</f>
        <v>19113.75</v>
      </c>
      <c r="K18" s="218">
        <f t="shared" ref="K18:O26" si="3">K3*$B3</f>
        <v>35190</v>
      </c>
      <c r="L18" s="218">
        <f t="shared" si="3"/>
        <v>32055</v>
      </c>
      <c r="M18" s="218">
        <f t="shared" si="3"/>
        <v>32160</v>
      </c>
      <c r="N18" s="218">
        <f t="shared" si="3"/>
        <v>27342</v>
      </c>
      <c r="O18" s="218">
        <f t="shared" si="3"/>
        <v>24285</v>
      </c>
      <c r="R18" s="219" t="s">
        <v>148</v>
      </c>
      <c r="S18" s="220">
        <f>SUM(D18:O20)</f>
        <v>1102401.75</v>
      </c>
      <c r="V18" s="199">
        <v>15291</v>
      </c>
    </row>
    <row r="19" spans="2:22" ht="15.75" thickBot="1" x14ac:dyDescent="0.3">
      <c r="B19" s="204">
        <f t="shared" si="1"/>
        <v>3</v>
      </c>
      <c r="C19" s="205" t="s">
        <v>131</v>
      </c>
      <c r="D19" s="206">
        <v>25416</v>
      </c>
      <c r="E19" s="206">
        <v>32667</v>
      </c>
      <c r="F19" s="206">
        <v>31725</v>
      </c>
      <c r="G19" s="206">
        <v>29010</v>
      </c>
      <c r="H19" s="206">
        <v>31581</v>
      </c>
      <c r="I19" s="206">
        <v>23175</v>
      </c>
      <c r="J19" s="207">
        <f t="shared" si="2"/>
        <v>19428.75</v>
      </c>
      <c r="K19" s="218">
        <f t="shared" si="3"/>
        <v>35628</v>
      </c>
      <c r="L19" s="218">
        <f t="shared" si="3"/>
        <v>33954</v>
      </c>
      <c r="M19" s="218">
        <f t="shared" si="3"/>
        <v>33648</v>
      </c>
      <c r="N19" s="218">
        <f t="shared" si="3"/>
        <v>27534</v>
      </c>
      <c r="O19" s="218">
        <f t="shared" si="3"/>
        <v>25050</v>
      </c>
      <c r="R19" s="219" t="s">
        <v>149</v>
      </c>
      <c r="S19" s="220">
        <f>SUM(D21:O24)</f>
        <v>5718933.5</v>
      </c>
      <c r="V19" s="199">
        <v>15543</v>
      </c>
    </row>
    <row r="20" spans="2:22" ht="15.75" thickBot="1" x14ac:dyDescent="0.3">
      <c r="B20" s="204">
        <f t="shared" si="1"/>
        <v>3</v>
      </c>
      <c r="C20" s="205" t="s">
        <v>132</v>
      </c>
      <c r="D20" s="206">
        <v>30369</v>
      </c>
      <c r="E20" s="206">
        <v>37656</v>
      </c>
      <c r="F20" s="206">
        <v>38160</v>
      </c>
      <c r="G20" s="206">
        <v>34404</v>
      </c>
      <c r="H20" s="206">
        <v>37467</v>
      </c>
      <c r="I20" s="206">
        <v>27051</v>
      </c>
      <c r="J20" s="207">
        <f t="shared" si="2"/>
        <v>22226.25</v>
      </c>
      <c r="K20" s="218">
        <f t="shared" si="3"/>
        <v>41265</v>
      </c>
      <c r="L20" s="218">
        <f t="shared" si="3"/>
        <v>38421</v>
      </c>
      <c r="M20" s="218">
        <f t="shared" si="3"/>
        <v>38667</v>
      </c>
      <c r="N20" s="218">
        <f t="shared" si="3"/>
        <v>33855</v>
      </c>
      <c r="O20" s="218">
        <f t="shared" si="3"/>
        <v>30513</v>
      </c>
      <c r="R20" s="219" t="s">
        <v>150</v>
      </c>
      <c r="S20" s="220">
        <f>SUM(D25:O25)</f>
        <v>5946255</v>
      </c>
      <c r="V20" s="199">
        <v>17781</v>
      </c>
    </row>
    <row r="21" spans="2:22" ht="15.75" thickBot="1" x14ac:dyDescent="0.3">
      <c r="B21" s="204">
        <f t="shared" si="1"/>
        <v>14</v>
      </c>
      <c r="C21" s="205" t="s">
        <v>133</v>
      </c>
      <c r="D21" s="206">
        <v>129332</v>
      </c>
      <c r="E21" s="206">
        <v>133560</v>
      </c>
      <c r="F21" s="206">
        <v>148400</v>
      </c>
      <c r="G21" s="206">
        <v>154042</v>
      </c>
      <c r="H21" s="206">
        <v>161056</v>
      </c>
      <c r="I21" s="206">
        <v>144326</v>
      </c>
      <c r="J21" s="207">
        <f t="shared" si="2"/>
        <v>116952.5</v>
      </c>
      <c r="K21" s="218">
        <f t="shared" si="3"/>
        <v>155484</v>
      </c>
      <c r="L21" s="218">
        <f t="shared" si="3"/>
        <v>159964</v>
      </c>
      <c r="M21" s="218">
        <f t="shared" si="3"/>
        <v>144018</v>
      </c>
      <c r="N21" s="218">
        <f t="shared" si="3"/>
        <v>127036</v>
      </c>
      <c r="O21" s="218">
        <f t="shared" si="3"/>
        <v>123354</v>
      </c>
      <c r="R21" s="221" t="s">
        <v>151</v>
      </c>
      <c r="S21" s="222">
        <f>SUM(D26:O27)</f>
        <v>1835669.5</v>
      </c>
      <c r="V21" s="199">
        <v>93562</v>
      </c>
    </row>
    <row r="22" spans="2:22" ht="15.75" thickBot="1" x14ac:dyDescent="0.3">
      <c r="B22" s="204">
        <f t="shared" si="1"/>
        <v>14</v>
      </c>
      <c r="C22" s="205" t="s">
        <v>135</v>
      </c>
      <c r="D22" s="206">
        <v>115486</v>
      </c>
      <c r="E22" s="206">
        <v>112434</v>
      </c>
      <c r="F22" s="206">
        <v>118636</v>
      </c>
      <c r="G22" s="206">
        <v>122948</v>
      </c>
      <c r="H22" s="206">
        <v>127106</v>
      </c>
      <c r="I22" s="206">
        <v>113260</v>
      </c>
      <c r="J22" s="207">
        <f t="shared" si="2"/>
        <v>91875</v>
      </c>
      <c r="K22" s="218">
        <f t="shared" si="3"/>
        <v>123844</v>
      </c>
      <c r="L22" s="218">
        <f t="shared" si="3"/>
        <v>135366</v>
      </c>
      <c r="M22" s="218">
        <f t="shared" si="3"/>
        <v>127708</v>
      </c>
      <c r="N22" s="218">
        <f t="shared" si="3"/>
        <v>109382</v>
      </c>
      <c r="O22" s="218">
        <f t="shared" si="3"/>
        <v>104370</v>
      </c>
      <c r="R22" s="223" t="s">
        <v>152</v>
      </c>
      <c r="S22" s="224">
        <f>SUM(D28:O29)</f>
        <v>2152944.5</v>
      </c>
      <c r="V22" s="199">
        <v>73500</v>
      </c>
    </row>
    <row r="23" spans="2:22" ht="15.75" thickBot="1" x14ac:dyDescent="0.3">
      <c r="B23" s="204">
        <f t="shared" si="1"/>
        <v>14</v>
      </c>
      <c r="C23" s="205" t="s">
        <v>136</v>
      </c>
      <c r="D23" s="206">
        <v>107758</v>
      </c>
      <c r="E23" s="206">
        <v>102158</v>
      </c>
      <c r="F23" s="206">
        <v>106694</v>
      </c>
      <c r="G23" s="206">
        <v>113722</v>
      </c>
      <c r="H23" s="206">
        <v>117348</v>
      </c>
      <c r="I23" s="206">
        <v>103880</v>
      </c>
      <c r="J23" s="207">
        <f t="shared" si="2"/>
        <v>83632.5</v>
      </c>
      <c r="K23" s="218">
        <f t="shared" si="3"/>
        <v>119742</v>
      </c>
      <c r="L23" s="218">
        <f t="shared" si="3"/>
        <v>130648</v>
      </c>
      <c r="M23" s="218">
        <f t="shared" si="3"/>
        <v>120456</v>
      </c>
      <c r="N23" s="218">
        <f t="shared" si="3"/>
        <v>113008</v>
      </c>
      <c r="O23" s="218">
        <f t="shared" si="3"/>
        <v>112756</v>
      </c>
      <c r="V23" s="199">
        <v>66906</v>
      </c>
    </row>
    <row r="24" spans="2:22" ht="15.75" thickBot="1" x14ac:dyDescent="0.3">
      <c r="B24" s="204">
        <f t="shared" si="1"/>
        <v>14</v>
      </c>
      <c r="C24" s="205" t="s">
        <v>138</v>
      </c>
      <c r="D24" s="206">
        <v>109970</v>
      </c>
      <c r="E24" s="206">
        <v>80542</v>
      </c>
      <c r="F24" s="206">
        <v>98770</v>
      </c>
      <c r="G24" s="206">
        <v>112042</v>
      </c>
      <c r="H24" s="206">
        <v>118188</v>
      </c>
      <c r="I24" s="206">
        <v>105308</v>
      </c>
      <c r="J24" s="207">
        <f t="shared" si="2"/>
        <v>87447.5</v>
      </c>
      <c r="K24" s="218">
        <f t="shared" si="3"/>
        <v>119210</v>
      </c>
      <c r="L24" s="218">
        <f t="shared" si="3"/>
        <v>125384</v>
      </c>
      <c r="M24" s="218">
        <f t="shared" si="3"/>
        <v>121786</v>
      </c>
      <c r="N24" s="218">
        <f t="shared" si="3"/>
        <v>107016</v>
      </c>
      <c r="O24" s="218">
        <f t="shared" si="3"/>
        <v>101528</v>
      </c>
      <c r="V24" s="199">
        <v>69958</v>
      </c>
    </row>
    <row r="25" spans="2:22" ht="15.75" thickBot="1" x14ac:dyDescent="0.3">
      <c r="B25" s="204">
        <f t="shared" si="1"/>
        <v>14</v>
      </c>
      <c r="C25" s="205" t="s">
        <v>139</v>
      </c>
      <c r="D25" s="206">
        <v>473858</v>
      </c>
      <c r="E25" s="206">
        <v>499954</v>
      </c>
      <c r="F25" s="206">
        <v>533820</v>
      </c>
      <c r="G25" s="206">
        <v>527856</v>
      </c>
      <c r="H25" s="206">
        <v>537278</v>
      </c>
      <c r="I25" s="206">
        <v>454272</v>
      </c>
      <c r="J25" s="207">
        <f t="shared" si="2"/>
        <v>339395</v>
      </c>
      <c r="K25" s="218">
        <f t="shared" si="3"/>
        <v>535528</v>
      </c>
      <c r="L25" s="218">
        <f t="shared" si="3"/>
        <v>541436</v>
      </c>
      <c r="M25" s="218">
        <f t="shared" si="3"/>
        <v>540022</v>
      </c>
      <c r="N25" s="218">
        <f t="shared" si="3"/>
        <v>514332</v>
      </c>
      <c r="O25" s="218">
        <f t="shared" si="3"/>
        <v>448504</v>
      </c>
      <c r="V25" s="199">
        <v>271516</v>
      </c>
    </row>
    <row r="26" spans="2:22" ht="15.75" thickBot="1" x14ac:dyDescent="0.3">
      <c r="B26" s="204">
        <f t="shared" si="1"/>
        <v>14</v>
      </c>
      <c r="C26" s="205" t="s">
        <v>140</v>
      </c>
      <c r="D26" s="206">
        <v>138614</v>
      </c>
      <c r="E26" s="206">
        <v>136010</v>
      </c>
      <c r="F26" s="206">
        <v>142800</v>
      </c>
      <c r="G26" s="206">
        <v>134652</v>
      </c>
      <c r="H26" s="206">
        <v>128926</v>
      </c>
      <c r="I26" s="206">
        <v>113022</v>
      </c>
      <c r="J26" s="207">
        <f t="shared" si="2"/>
        <v>74812.5</v>
      </c>
      <c r="K26" s="218">
        <f t="shared" si="3"/>
        <v>70000</v>
      </c>
      <c r="L26" s="218">
        <f t="shared" si="3"/>
        <v>70000</v>
      </c>
      <c r="M26" s="218">
        <f t="shared" si="3"/>
        <v>70000</v>
      </c>
      <c r="N26" s="218">
        <f t="shared" si="3"/>
        <v>70000</v>
      </c>
      <c r="O26" s="218">
        <f t="shared" si="3"/>
        <v>70000</v>
      </c>
      <c r="V26" s="199">
        <v>59850</v>
      </c>
    </row>
    <row r="27" spans="2:22" s="215" customFormat="1" ht="15.75" thickBot="1" x14ac:dyDescent="0.3">
      <c r="B27" s="210">
        <v>14</v>
      </c>
      <c r="C27" s="211" t="s">
        <v>141</v>
      </c>
      <c r="D27" s="212">
        <v>133238</v>
      </c>
      <c r="E27" s="212">
        <v>99750</v>
      </c>
      <c r="F27" s="212">
        <v>118188</v>
      </c>
      <c r="G27" s="212">
        <v>115416</v>
      </c>
      <c r="H27" s="212">
        <v>89600</v>
      </c>
      <c r="I27" s="212">
        <v>47166</v>
      </c>
      <c r="J27" s="213">
        <f t="shared" si="2"/>
        <v>13475</v>
      </c>
      <c r="K27" s="214"/>
      <c r="L27" s="214"/>
      <c r="M27" s="214"/>
      <c r="N27" s="214"/>
      <c r="O27" s="214"/>
      <c r="V27" s="215">
        <v>10780</v>
      </c>
    </row>
    <row r="28" spans="2:22" ht="15.75" thickBot="1" x14ac:dyDescent="0.3">
      <c r="B28" s="204">
        <f t="shared" ref="B28:B29" si="4">B13</f>
        <v>14</v>
      </c>
      <c r="C28" s="205" t="s">
        <v>143</v>
      </c>
      <c r="D28" s="206">
        <v>82068</v>
      </c>
      <c r="E28" s="206">
        <v>91392</v>
      </c>
      <c r="F28" s="206">
        <v>101038</v>
      </c>
      <c r="G28" s="206">
        <v>108108</v>
      </c>
      <c r="H28" s="206">
        <v>109354</v>
      </c>
      <c r="I28" s="206">
        <v>79310</v>
      </c>
      <c r="J28" s="207">
        <f t="shared" si="2"/>
        <v>76632.5</v>
      </c>
      <c r="K28" s="218">
        <f t="shared" ref="K28:O29" si="5">K13*$B13</f>
        <v>100646</v>
      </c>
      <c r="L28" s="218">
        <f t="shared" si="5"/>
        <v>104146</v>
      </c>
      <c r="M28" s="218">
        <f t="shared" si="5"/>
        <v>100646</v>
      </c>
      <c r="N28" s="218">
        <f t="shared" si="5"/>
        <v>63000</v>
      </c>
      <c r="O28" s="218">
        <f t="shared" si="5"/>
        <v>42000</v>
      </c>
      <c r="V28" s="199">
        <v>61306</v>
      </c>
    </row>
    <row r="29" spans="2:22" ht="15.75" thickBot="1" x14ac:dyDescent="0.3">
      <c r="B29" s="204">
        <f t="shared" si="4"/>
        <v>14</v>
      </c>
      <c r="C29" s="205" t="s">
        <v>144</v>
      </c>
      <c r="D29" s="206">
        <v>87318</v>
      </c>
      <c r="E29" s="206">
        <v>105308</v>
      </c>
      <c r="F29" s="206">
        <v>117460</v>
      </c>
      <c r="G29" s="206">
        <v>110684</v>
      </c>
      <c r="H29" s="206">
        <v>107352</v>
      </c>
      <c r="I29" s="206">
        <v>83258</v>
      </c>
      <c r="J29" s="207">
        <v>62874</v>
      </c>
      <c r="K29" s="218">
        <f t="shared" si="5"/>
        <v>103950</v>
      </c>
      <c r="L29" s="218">
        <f t="shared" si="5"/>
        <v>107450</v>
      </c>
      <c r="M29" s="218">
        <f t="shared" si="5"/>
        <v>103950</v>
      </c>
      <c r="N29" s="218">
        <f t="shared" si="5"/>
        <v>63000</v>
      </c>
      <c r="O29" s="218">
        <f t="shared" si="5"/>
        <v>42000</v>
      </c>
      <c r="V29" s="199">
        <v>62874</v>
      </c>
    </row>
  </sheetData>
  <mergeCells count="6">
    <mergeCell ref="D16:O16"/>
    <mergeCell ref="D1:O1"/>
    <mergeCell ref="Q3:R4"/>
    <mergeCell ref="Q6:R6"/>
    <mergeCell ref="Q8:R10"/>
    <mergeCell ref="Q12:R14"/>
  </mergeCells>
  <pageMargins left="0.7" right="0.7" top="0.75" bottom="0.75" header="0.3" footer="0.3"/>
  <pageSetup orientation="portrait" r:id="rId1"/>
  <headerFooter>
    <oddHeader>&amp;L&amp;"Calibri"&amp;12&amp;K00B294Proprietary&amp;1#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8BEEC-E088-4B32-9264-547A821CFDDB}">
  <dimension ref="A1:X430"/>
  <sheetViews>
    <sheetView topLeftCell="A124" zoomScale="70" zoomScaleNormal="70" workbookViewId="0">
      <selection activeCell="G142" sqref="G142"/>
    </sheetView>
  </sheetViews>
  <sheetFormatPr defaultRowHeight="15" x14ac:dyDescent="0.25"/>
  <cols>
    <col min="1" max="1" width="6.7109375" style="83" customWidth="1"/>
    <col min="2" max="2" width="31.140625" bestFit="1" customWidth="1"/>
    <col min="3" max="3" width="4" bestFit="1" customWidth="1"/>
    <col min="4" max="4" width="12.42578125" bestFit="1" customWidth="1"/>
    <col min="5" max="5" width="10.140625" bestFit="1" customWidth="1"/>
    <col min="6" max="6" width="7.85546875" bestFit="1" customWidth="1"/>
    <col min="7" max="7" width="7.42578125" bestFit="1" customWidth="1"/>
    <col min="8" max="8" width="10" bestFit="1" customWidth="1"/>
    <col min="9" max="9" width="14.7109375" customWidth="1"/>
    <col min="10" max="10" width="6.7109375" bestFit="1" customWidth="1"/>
    <col min="11" max="11" width="13.140625" bestFit="1" customWidth="1"/>
    <col min="12" max="12" width="11.7109375" bestFit="1" customWidth="1"/>
    <col min="13" max="13" width="12.140625" bestFit="1" customWidth="1"/>
    <col min="14" max="14" width="17.42578125" bestFit="1" customWidth="1"/>
    <col min="15" max="15" width="2.85546875" customWidth="1"/>
    <col min="16" max="16" width="12.140625" bestFit="1" customWidth="1"/>
    <col min="17" max="17" width="13.5703125" bestFit="1" customWidth="1"/>
    <col min="18" max="18" width="12.140625" bestFit="1" customWidth="1"/>
    <col min="19" max="19" width="8.7109375" bestFit="1" customWidth="1"/>
    <col min="20" max="20" width="10" bestFit="1" customWidth="1"/>
    <col min="21" max="21" width="12.140625" customWidth="1"/>
    <col min="22" max="22" width="13.5703125" customWidth="1"/>
    <col min="23" max="23" width="13.140625" bestFit="1" customWidth="1"/>
    <col min="24" max="24" width="7.85546875" bestFit="1" customWidth="1"/>
  </cols>
  <sheetData>
    <row r="1" spans="1:21" x14ac:dyDescent="0.25">
      <c r="L1" s="84" t="s">
        <v>69</v>
      </c>
      <c r="M1" s="84" t="s">
        <v>70</v>
      </c>
      <c r="N1" s="84" t="s">
        <v>68</v>
      </c>
      <c r="O1" s="84" t="s">
        <v>71</v>
      </c>
      <c r="P1" s="84" t="s">
        <v>72</v>
      </c>
      <c r="Q1" s="84" t="s">
        <v>73</v>
      </c>
      <c r="R1" s="84" t="s">
        <v>91</v>
      </c>
      <c r="S1" s="84" t="s">
        <v>113</v>
      </c>
      <c r="T1" s="84" t="s">
        <v>114</v>
      </c>
      <c r="U1" s="84" t="s">
        <v>117</v>
      </c>
    </row>
    <row r="2" spans="1:21" x14ac:dyDescent="0.25">
      <c r="B2" t="s">
        <v>74</v>
      </c>
      <c r="C2" s="85"/>
      <c r="D2" s="85"/>
      <c r="E2" s="85"/>
      <c r="F2" s="85"/>
      <c r="G2" s="85"/>
      <c r="H2" s="85"/>
      <c r="I2" s="85"/>
      <c r="J2" s="85"/>
      <c r="K2" s="85"/>
    </row>
    <row r="3" spans="1:21" x14ac:dyDescent="0.25">
      <c r="B3" t="s">
        <v>69</v>
      </c>
      <c r="C3" s="85"/>
      <c r="D3" s="85"/>
      <c r="E3" s="85"/>
      <c r="F3" s="85"/>
      <c r="G3" s="85"/>
      <c r="H3" s="85"/>
      <c r="I3" s="85"/>
      <c r="J3" s="85"/>
      <c r="K3" s="85"/>
    </row>
    <row r="4" spans="1:21" x14ac:dyDescent="0.25">
      <c r="B4" t="s">
        <v>75</v>
      </c>
      <c r="C4" s="85"/>
      <c r="D4" s="85"/>
      <c r="E4" s="85"/>
      <c r="F4" s="85"/>
      <c r="G4" s="85"/>
      <c r="H4" s="85"/>
      <c r="I4" s="85"/>
      <c r="J4" s="85"/>
      <c r="K4" s="85"/>
      <c r="M4" s="84" t="s">
        <v>69</v>
      </c>
      <c r="N4" s="86" t="s">
        <v>76</v>
      </c>
      <c r="O4" s="87" t="s">
        <v>77</v>
      </c>
    </row>
    <row r="5" spans="1:21" x14ac:dyDescent="0.25">
      <c r="B5" s="85"/>
      <c r="C5" s="85"/>
      <c r="D5" s="85"/>
      <c r="E5" s="85"/>
      <c r="F5" s="85"/>
      <c r="G5" s="85"/>
      <c r="H5" s="85"/>
      <c r="I5" s="85"/>
      <c r="J5" s="85"/>
      <c r="K5" s="85"/>
      <c r="M5" s="84" t="s">
        <v>70</v>
      </c>
      <c r="N5" s="86" t="s">
        <v>76</v>
      </c>
      <c r="O5" s="88" t="s">
        <v>78</v>
      </c>
    </row>
    <row r="6" spans="1:21" x14ac:dyDescent="0.25">
      <c r="B6" s="88" t="s">
        <v>27</v>
      </c>
      <c r="C6" s="88" t="s">
        <v>28</v>
      </c>
      <c r="D6" s="88" t="s">
        <v>79</v>
      </c>
      <c r="E6" s="88" t="s">
        <v>80</v>
      </c>
      <c r="F6" s="88" t="s">
        <v>35</v>
      </c>
      <c r="G6" s="88" t="s">
        <v>36</v>
      </c>
      <c r="H6" s="88" t="s">
        <v>81</v>
      </c>
      <c r="I6" s="88" t="s">
        <v>56</v>
      </c>
      <c r="J6" s="88"/>
      <c r="K6" s="85"/>
      <c r="M6" s="84" t="s">
        <v>68</v>
      </c>
      <c r="N6" s="86" t="s">
        <v>76</v>
      </c>
      <c r="O6" s="88" t="s">
        <v>82</v>
      </c>
    </row>
    <row r="7" spans="1:21" x14ac:dyDescent="0.25">
      <c r="A7" s="89" t="str">
        <f>_xlfn.CONCAT($B$3,B7)</f>
        <v>Model: M31Intercept</v>
      </c>
      <c r="B7" s="90" t="s">
        <v>13</v>
      </c>
      <c r="C7" s="91">
        <v>1</v>
      </c>
      <c r="D7" s="92">
        <v>-0.11627999999999999</v>
      </c>
      <c r="E7" s="92">
        <v>1.231E-2</v>
      </c>
      <c r="F7" s="92">
        <v>-9.44</v>
      </c>
      <c r="G7" s="93">
        <v>0</v>
      </c>
      <c r="H7" s="92">
        <v>0</v>
      </c>
      <c r="I7" s="92">
        <v>-0.13653999999999999</v>
      </c>
      <c r="J7" s="94">
        <v>-9.6030000000000004E-2</v>
      </c>
      <c r="K7">
        <v>32090</v>
      </c>
      <c r="L7" s="160">
        <f>D7*K7</f>
        <v>-3731.4251999999997</v>
      </c>
      <c r="M7" s="84" t="s">
        <v>71</v>
      </c>
      <c r="N7" s="86" t="s">
        <v>76</v>
      </c>
      <c r="O7" s="88" t="s">
        <v>83</v>
      </c>
    </row>
    <row r="8" spans="1:21" x14ac:dyDescent="0.25">
      <c r="A8" s="89" t="str">
        <f t="shared" ref="A8:A13" si="0">_xlfn.CONCAT($B$3,B8)</f>
        <v>Model: M31NRx_pre1</v>
      </c>
      <c r="B8" s="95" t="s">
        <v>39</v>
      </c>
      <c r="C8" s="96">
        <v>1</v>
      </c>
      <c r="D8" s="97">
        <v>1.0615000000000001</v>
      </c>
      <c r="E8" s="97">
        <v>1.0359999999999999E-2</v>
      </c>
      <c r="F8" s="97">
        <v>102.5</v>
      </c>
      <c r="G8" s="98">
        <v>0</v>
      </c>
      <c r="H8" s="97">
        <v>1.16012</v>
      </c>
      <c r="I8" s="97">
        <v>1.04447</v>
      </c>
      <c r="J8" s="99">
        <v>1.0785400000000001</v>
      </c>
      <c r="K8" s="160">
        <f>VLOOKUP(B8,[1]QC!$K$4:$L$52,2,0)</f>
        <v>3337.98</v>
      </c>
      <c r="L8" s="160">
        <f t="shared" ref="L8:L13" si="1">D8*K8</f>
        <v>3543.2657700000004</v>
      </c>
      <c r="M8" s="84" t="s">
        <v>72</v>
      </c>
      <c r="N8" s="86" t="s">
        <v>76</v>
      </c>
      <c r="O8" s="88" t="s">
        <v>84</v>
      </c>
    </row>
    <row r="9" spans="1:21" x14ac:dyDescent="0.25">
      <c r="A9" s="89" t="str">
        <f t="shared" si="0"/>
        <v>Model: M31MNRx_pre</v>
      </c>
      <c r="B9" s="95" t="s">
        <v>63</v>
      </c>
      <c r="C9" s="96">
        <v>1</v>
      </c>
      <c r="D9" s="97">
        <v>1.522E-5</v>
      </c>
      <c r="E9" s="97">
        <v>8.9299999999999992E-6</v>
      </c>
      <c r="F9" s="97">
        <v>1.7</v>
      </c>
      <c r="G9" s="98">
        <v>8.8400000000000006E-2</v>
      </c>
      <c r="H9" s="97">
        <v>1.1303099999999999</v>
      </c>
      <c r="I9" s="97">
        <v>5.2862849999999995E-7</v>
      </c>
      <c r="J9" s="99">
        <v>2.991E-5</v>
      </c>
      <c r="K9" s="160">
        <f>VLOOKUP(B9,[1]QC!$K$4:$L$52,2,0)</f>
        <v>33373665.190000001</v>
      </c>
      <c r="L9" s="160">
        <f t="shared" si="1"/>
        <v>507.94718419180003</v>
      </c>
      <c r="M9" s="84" t="s">
        <v>73</v>
      </c>
      <c r="N9" s="86" t="s">
        <v>76</v>
      </c>
      <c r="O9" s="88" t="s">
        <v>85</v>
      </c>
    </row>
    <row r="10" spans="1:21" x14ac:dyDescent="0.25">
      <c r="A10" s="89" t="str">
        <f t="shared" si="0"/>
        <v>Model: M31TOT_MMF</v>
      </c>
      <c r="B10" s="95" t="s">
        <v>64</v>
      </c>
      <c r="C10" s="96">
        <v>1</v>
      </c>
      <c r="D10" s="97">
        <v>0.11058999999999999</v>
      </c>
      <c r="E10" s="97">
        <v>3.0790000000000001E-2</v>
      </c>
      <c r="F10" s="97">
        <v>3.59</v>
      </c>
      <c r="G10" s="98">
        <v>2.9999999999999997E-4</v>
      </c>
      <c r="H10" s="97">
        <v>1.0622199999999999</v>
      </c>
      <c r="I10" s="97">
        <v>5.9950000000000003E-2</v>
      </c>
      <c r="J10" s="99">
        <v>0.16123000000000001</v>
      </c>
      <c r="K10" s="160">
        <f>VLOOKUP(B10,[1]QC!$K$4:$L$52,2,0)</f>
        <v>1971</v>
      </c>
      <c r="L10" s="160">
        <f t="shared" si="1"/>
        <v>217.97288999999998</v>
      </c>
      <c r="M10" s="84" t="s">
        <v>91</v>
      </c>
      <c r="N10" s="86" t="s">
        <v>76</v>
      </c>
      <c r="O10" s="117" t="s">
        <v>93</v>
      </c>
    </row>
    <row r="11" spans="1:21" x14ac:dyDescent="0.25">
      <c r="A11" s="89" t="str">
        <f t="shared" si="0"/>
        <v>Model: M31VNRx_cur</v>
      </c>
      <c r="B11" s="95" t="s">
        <v>40</v>
      </c>
      <c r="C11" s="96">
        <v>1</v>
      </c>
      <c r="D11" s="97">
        <v>1.0807100000000001</v>
      </c>
      <c r="E11" s="97">
        <v>3.9780000000000003E-2</v>
      </c>
      <c r="F11" s="97">
        <v>27.17</v>
      </c>
      <c r="G11" s="98">
        <v>0</v>
      </c>
      <c r="H11" s="97">
        <v>1.06162</v>
      </c>
      <c r="I11" s="97">
        <v>1.0152699999999999</v>
      </c>
      <c r="J11" s="99">
        <v>1.14615</v>
      </c>
      <c r="K11" s="160">
        <f>VLOOKUP(B11,[1]QC!$K$4:$L$52,2,0)</f>
        <v>334</v>
      </c>
      <c r="L11" s="160">
        <f t="shared" si="1"/>
        <v>360.95714000000004</v>
      </c>
      <c r="M11" s="84" t="s">
        <v>113</v>
      </c>
      <c r="N11" s="86" t="s">
        <v>76</v>
      </c>
      <c r="O11" s="117" t="s">
        <v>116</v>
      </c>
    </row>
    <row r="12" spans="1:21" x14ac:dyDescent="0.25">
      <c r="A12" s="89" t="str">
        <f t="shared" si="0"/>
        <v>Model: M31tot_det_cur</v>
      </c>
      <c r="B12" s="95" t="s">
        <v>41</v>
      </c>
      <c r="C12" s="96">
        <v>1</v>
      </c>
      <c r="D12" s="97">
        <v>1.8089999999999998E-2</v>
      </c>
      <c r="E12" s="97">
        <v>1.1199999999999999E-3</v>
      </c>
      <c r="F12" s="97">
        <v>16.190000000000001</v>
      </c>
      <c r="G12" s="98">
        <v>0</v>
      </c>
      <c r="H12" s="97">
        <v>1.3970100000000001</v>
      </c>
      <c r="I12" s="97">
        <v>1.6250000000000001E-2</v>
      </c>
      <c r="J12" s="99">
        <v>1.993E-2</v>
      </c>
      <c r="K12" s="160">
        <f>VLOOKUP(B12,[1]QC!$K$4:$L$52,2,0)</f>
        <v>202233</v>
      </c>
      <c r="L12" s="160">
        <f t="shared" si="1"/>
        <v>3658.3949699999998</v>
      </c>
      <c r="M12" s="84" t="s">
        <v>114</v>
      </c>
      <c r="N12" s="86" t="s">
        <v>76</v>
      </c>
      <c r="O12" s="117" t="s">
        <v>115</v>
      </c>
    </row>
    <row r="13" spans="1:21" x14ac:dyDescent="0.25">
      <c r="A13" s="89" t="str">
        <f t="shared" si="0"/>
        <v>Model: M31Samples_cur</v>
      </c>
      <c r="B13" s="100" t="s">
        <v>42</v>
      </c>
      <c r="C13" s="101">
        <v>1</v>
      </c>
      <c r="D13" s="102">
        <v>3.5599999999999998E-3</v>
      </c>
      <c r="E13" s="102">
        <v>6.1550000000000005E-5</v>
      </c>
      <c r="F13" s="102">
        <v>57.9</v>
      </c>
      <c r="G13" s="103">
        <v>0</v>
      </c>
      <c r="H13" s="102">
        <v>1.43079</v>
      </c>
      <c r="I13" s="102">
        <v>3.46E-3</v>
      </c>
      <c r="J13" s="104">
        <v>3.6700000000000001E-3</v>
      </c>
      <c r="K13" s="160">
        <f>VLOOKUP(B13,[1]QC!$K$4:$L$52,2,0)</f>
        <v>2028740</v>
      </c>
      <c r="L13" s="162">
        <f t="shared" si="1"/>
        <v>7222.3143999999993</v>
      </c>
      <c r="M13" s="84" t="s">
        <v>117</v>
      </c>
      <c r="N13" s="86" t="s">
        <v>76</v>
      </c>
      <c r="O13" s="117" t="s">
        <v>125</v>
      </c>
    </row>
    <row r="14" spans="1:21" x14ac:dyDescent="0.25">
      <c r="K14" s="85"/>
    </row>
    <row r="15" spans="1:21" x14ac:dyDescent="0.25">
      <c r="B15" s="85" t="s">
        <v>74</v>
      </c>
      <c r="C15" s="85"/>
      <c r="D15" s="85"/>
      <c r="E15" s="85"/>
      <c r="F15" s="85"/>
      <c r="G15" s="85"/>
      <c r="H15" s="85"/>
      <c r="I15" s="85"/>
      <c r="J15" s="85"/>
      <c r="K15" s="85"/>
    </row>
    <row r="16" spans="1:21" x14ac:dyDescent="0.25">
      <c r="B16" s="85" t="s">
        <v>70</v>
      </c>
      <c r="C16" s="85"/>
      <c r="D16" s="85"/>
      <c r="E16" s="85"/>
      <c r="F16" s="85"/>
      <c r="G16" s="85"/>
      <c r="H16" s="85"/>
      <c r="I16" s="85"/>
      <c r="J16" s="85"/>
      <c r="K16" s="85"/>
    </row>
    <row r="17" spans="1:24" x14ac:dyDescent="0.25">
      <c r="B17" s="85" t="s">
        <v>75</v>
      </c>
      <c r="C17" s="85"/>
      <c r="D17" s="85"/>
      <c r="E17" s="85"/>
      <c r="F17" s="85"/>
      <c r="G17" s="85"/>
      <c r="H17" s="85"/>
      <c r="I17" s="85"/>
      <c r="J17" s="85"/>
      <c r="K17" s="85"/>
    </row>
    <row r="18" spans="1:24" x14ac:dyDescent="0.25">
      <c r="B18" s="85"/>
      <c r="C18" s="85"/>
      <c r="D18" s="85"/>
      <c r="E18" s="85"/>
      <c r="F18" s="85"/>
      <c r="G18" s="85"/>
      <c r="H18" s="85"/>
      <c r="I18" s="85"/>
      <c r="J18" s="85"/>
      <c r="K18" s="85"/>
    </row>
    <row r="19" spans="1:24" x14ac:dyDescent="0.25">
      <c r="B19" s="90" t="s">
        <v>27</v>
      </c>
      <c r="C19" s="91" t="s">
        <v>28</v>
      </c>
      <c r="D19" s="105" t="s">
        <v>79</v>
      </c>
      <c r="E19" s="105" t="s">
        <v>80</v>
      </c>
      <c r="F19" s="105" t="s">
        <v>35</v>
      </c>
      <c r="G19" s="105" t="s">
        <v>36</v>
      </c>
      <c r="H19" s="105" t="s">
        <v>81</v>
      </c>
      <c r="I19" s="260" t="s">
        <v>56</v>
      </c>
      <c r="J19" s="261"/>
      <c r="K19" s="85"/>
      <c r="N19" s="90" t="s">
        <v>27</v>
      </c>
      <c r="O19" s="151" t="s">
        <v>28</v>
      </c>
      <c r="P19" s="150" t="s">
        <v>79</v>
      </c>
      <c r="Q19" s="150" t="s">
        <v>80</v>
      </c>
      <c r="R19" s="150" t="s">
        <v>35</v>
      </c>
      <c r="S19" s="150" t="s">
        <v>36</v>
      </c>
      <c r="T19" s="150" t="s">
        <v>81</v>
      </c>
      <c r="U19" s="260" t="s">
        <v>56</v>
      </c>
      <c r="V19" s="261"/>
    </row>
    <row r="20" spans="1:24" x14ac:dyDescent="0.25">
      <c r="A20" s="89" t="str">
        <f>_xlfn.CONCAT($B$16,B20)</f>
        <v>Model: M32Intercept</v>
      </c>
      <c r="B20" s="90" t="s">
        <v>13</v>
      </c>
      <c r="C20" s="105">
        <v>1</v>
      </c>
      <c r="D20" s="92">
        <v>-0.23319999999999999</v>
      </c>
      <c r="E20" s="92">
        <v>0.13395000000000001</v>
      </c>
      <c r="F20" s="92">
        <v>-1.74</v>
      </c>
      <c r="G20" s="93">
        <v>8.1699999999999995E-2</v>
      </c>
      <c r="H20" s="92">
        <v>0</v>
      </c>
      <c r="I20" s="92">
        <v>-0.45352999999999999</v>
      </c>
      <c r="J20" s="94">
        <v>-1.2869999999999999E-2</v>
      </c>
      <c r="K20">
        <v>32090</v>
      </c>
      <c r="L20" s="160">
        <f>D20*K20</f>
        <v>-7483.3879999999999</v>
      </c>
      <c r="N20" t="s">
        <v>112</v>
      </c>
      <c r="O20">
        <v>1</v>
      </c>
      <c r="P20">
        <v>-0.23383999999999999</v>
      </c>
      <c r="Q20">
        <v>0.13392000000000001</v>
      </c>
      <c r="R20">
        <v>-1.75</v>
      </c>
      <c r="S20">
        <v>8.0799999999999997E-2</v>
      </c>
      <c r="T20">
        <v>0</v>
      </c>
      <c r="U20">
        <v>-0.45412999999999998</v>
      </c>
      <c r="V20">
        <v>-1.355E-2</v>
      </c>
      <c r="W20">
        <v>32090</v>
      </c>
      <c r="X20" s="160">
        <f>P20*W20</f>
        <v>-7503.9255999999996</v>
      </c>
    </row>
    <row r="21" spans="1:24" x14ac:dyDescent="0.25">
      <c r="A21" s="89" t="str">
        <f t="shared" ref="A21:A27" si="2">_xlfn.CONCAT($B$16,B21)</f>
        <v>Model: M32NRx_pre1</v>
      </c>
      <c r="B21" s="95" t="s">
        <v>39</v>
      </c>
      <c r="C21">
        <v>1</v>
      </c>
      <c r="D21" s="97">
        <v>1.06145</v>
      </c>
      <c r="E21" s="97">
        <v>1.0359999999999999E-2</v>
      </c>
      <c r="F21" s="97">
        <v>102.5</v>
      </c>
      <c r="G21" s="98">
        <v>0</v>
      </c>
      <c r="H21" s="97">
        <v>1.1601600000000001</v>
      </c>
      <c r="I21" s="97">
        <v>1.0444199999999999</v>
      </c>
      <c r="J21" s="99">
        <v>1.0784899999999999</v>
      </c>
      <c r="K21" s="160">
        <f>VLOOKUP(B21,[1]QC!$K$4:$L$52,2,0)</f>
        <v>3337.98</v>
      </c>
      <c r="L21" s="160">
        <f t="shared" ref="L21:L27" si="3">D21*K21</f>
        <v>3543.0988710000001</v>
      </c>
      <c r="N21" t="s">
        <v>39</v>
      </c>
      <c r="O21">
        <v>1</v>
      </c>
      <c r="P21">
        <v>1.0605500000000001</v>
      </c>
      <c r="Q21">
        <v>1.0359999999999999E-2</v>
      </c>
      <c r="R21">
        <v>102.4</v>
      </c>
      <c r="S21" t="s">
        <v>108</v>
      </c>
      <c r="T21">
        <v>1.1608499999999999</v>
      </c>
      <c r="U21">
        <v>1.0435099999999999</v>
      </c>
      <c r="V21">
        <v>1.07759</v>
      </c>
      <c r="W21" s="160">
        <f>VLOOKUP(N21,[1]QC!$K$4:$L$52,2,0)</f>
        <v>3337.98</v>
      </c>
      <c r="X21" s="160">
        <f t="shared" ref="X21:X27" si="4">P21*W21</f>
        <v>3540.0946890000005</v>
      </c>
    </row>
    <row r="22" spans="1:24" x14ac:dyDescent="0.25">
      <c r="A22" s="89" t="str">
        <f t="shared" si="2"/>
        <v>Model: M32MNRx_pre</v>
      </c>
      <c r="B22" s="95" t="s">
        <v>63</v>
      </c>
      <c r="C22">
        <v>1</v>
      </c>
      <c r="D22" s="97">
        <v>1.489E-5</v>
      </c>
      <c r="E22" s="97">
        <v>8.9400000000000008E-6</v>
      </c>
      <c r="F22" s="97">
        <v>1.67</v>
      </c>
      <c r="G22" s="98">
        <v>9.5699999999999993E-2</v>
      </c>
      <c r="H22" s="97">
        <v>1.13229</v>
      </c>
      <c r="I22" s="97">
        <v>1.882315E-7</v>
      </c>
      <c r="J22" s="99">
        <v>2.9600000000000001E-5</v>
      </c>
      <c r="K22" s="160">
        <f>VLOOKUP(B22,[1]QC!$K$4:$L$52,2,0)</f>
        <v>33373665.190000001</v>
      </c>
      <c r="L22" s="160">
        <f t="shared" si="3"/>
        <v>496.93387467910003</v>
      </c>
      <c r="N22" t="s">
        <v>63</v>
      </c>
      <c r="O22">
        <v>1</v>
      </c>
      <c r="P22">
        <v>9.7499999999999998E-6</v>
      </c>
      <c r="Q22">
        <v>9.0499999999999997E-6</v>
      </c>
      <c r="R22">
        <v>1.08</v>
      </c>
      <c r="S22">
        <v>0.28179999999999999</v>
      </c>
      <c r="T22">
        <v>1.16184</v>
      </c>
      <c r="U22">
        <v>-5.1499999999999998E-6</v>
      </c>
      <c r="V22">
        <v>2.4640000000000001E-5</v>
      </c>
      <c r="W22" s="160">
        <f>VLOOKUP(N22,[1]QC!$K$4:$L$52,2,0)</f>
        <v>33373665.190000001</v>
      </c>
      <c r="X22" s="160">
        <f t="shared" si="4"/>
        <v>325.3932356025</v>
      </c>
    </row>
    <row r="23" spans="1:24" x14ac:dyDescent="0.25">
      <c r="A23" s="89" t="str">
        <f t="shared" si="2"/>
        <v>Model: M32TOT_MMF</v>
      </c>
      <c r="B23" s="95" t="s">
        <v>64</v>
      </c>
      <c r="C23">
        <v>1</v>
      </c>
      <c r="D23" s="97">
        <v>0.11051</v>
      </c>
      <c r="E23" s="97">
        <v>3.0790000000000001E-2</v>
      </c>
      <c r="F23" s="97">
        <v>3.59</v>
      </c>
      <c r="G23" s="98">
        <v>2.9999999999999997E-4</v>
      </c>
      <c r="H23" s="97">
        <v>1.06223</v>
      </c>
      <c r="I23" s="97">
        <v>5.987E-2</v>
      </c>
      <c r="J23" s="99">
        <v>0.16114999999999999</v>
      </c>
      <c r="K23" s="160">
        <f>VLOOKUP(B23,[1]QC!$K$4:$L$52,2,0)</f>
        <v>1971</v>
      </c>
      <c r="L23" s="160">
        <f t="shared" si="3"/>
        <v>217.81521000000001</v>
      </c>
      <c r="N23" t="s">
        <v>64</v>
      </c>
      <c r="O23">
        <v>1</v>
      </c>
      <c r="P23">
        <v>0.10875</v>
      </c>
      <c r="Q23">
        <v>3.0779999999999998E-2</v>
      </c>
      <c r="R23">
        <v>3.53</v>
      </c>
      <c r="S23">
        <v>4.0000000000000002E-4</v>
      </c>
      <c r="T23">
        <v>1.0625100000000001</v>
      </c>
      <c r="U23">
        <v>5.8110000000000002E-2</v>
      </c>
      <c r="V23">
        <v>0.15939</v>
      </c>
      <c r="W23" s="160">
        <f>VLOOKUP(N23,[1]QC!$K$4:$L$52,2,0)</f>
        <v>1971</v>
      </c>
      <c r="X23" s="160">
        <f t="shared" si="4"/>
        <v>214.34625</v>
      </c>
    </row>
    <row r="24" spans="1:24" x14ac:dyDescent="0.25">
      <c r="A24" s="89" t="str">
        <f t="shared" si="2"/>
        <v>Model: M32VNRx_cur</v>
      </c>
      <c r="B24" s="95" t="s">
        <v>40</v>
      </c>
      <c r="C24">
        <v>1</v>
      </c>
      <c r="D24" s="97">
        <v>1.0806</v>
      </c>
      <c r="E24" s="97">
        <v>3.9780000000000003E-2</v>
      </c>
      <c r="F24" s="97">
        <v>27.16</v>
      </c>
      <c r="G24" s="98">
        <v>0</v>
      </c>
      <c r="H24" s="97">
        <v>1.0616300000000001</v>
      </c>
      <c r="I24" s="97">
        <v>1.0151600000000001</v>
      </c>
      <c r="J24" s="99">
        <v>1.1460399999999999</v>
      </c>
      <c r="K24" s="160">
        <f>VLOOKUP(B24,[1]QC!$K$4:$L$52,2,0)</f>
        <v>334</v>
      </c>
      <c r="L24" s="160">
        <f t="shared" si="3"/>
        <v>360.92040000000003</v>
      </c>
      <c r="N24" t="s">
        <v>40</v>
      </c>
      <c r="O24">
        <v>1</v>
      </c>
      <c r="P24">
        <v>1.0803799999999999</v>
      </c>
      <c r="Q24">
        <v>3.9780000000000003E-2</v>
      </c>
      <c r="R24">
        <v>27.16</v>
      </c>
      <c r="S24" t="s">
        <v>108</v>
      </c>
      <c r="T24">
        <v>1.0616300000000001</v>
      </c>
      <c r="U24">
        <v>1.01495</v>
      </c>
      <c r="V24">
        <v>1.14581</v>
      </c>
      <c r="W24" s="160">
        <f>VLOOKUP(N24,[1]QC!$K$4:$L$52,2,0)</f>
        <v>334</v>
      </c>
      <c r="X24" s="160">
        <f t="shared" si="4"/>
        <v>360.84691999999995</v>
      </c>
    </row>
    <row r="25" spans="1:24" x14ac:dyDescent="0.25">
      <c r="A25" s="89" t="str">
        <f t="shared" si="2"/>
        <v>Model: M32tot_det_cur</v>
      </c>
      <c r="B25" s="95" t="s">
        <v>41</v>
      </c>
      <c r="C25">
        <v>1</v>
      </c>
      <c r="D25" s="97">
        <v>1.8079999999999999E-2</v>
      </c>
      <c r="E25" s="97">
        <v>1.1199999999999999E-3</v>
      </c>
      <c r="F25" s="97">
        <v>16.170000000000002</v>
      </c>
      <c r="G25" s="98">
        <v>0</v>
      </c>
      <c r="H25" s="97">
        <v>1.39733</v>
      </c>
      <c r="I25" s="97">
        <v>1.6240000000000001E-2</v>
      </c>
      <c r="J25" s="99">
        <v>1.992E-2</v>
      </c>
      <c r="K25" s="160">
        <f>VLOOKUP(B25,[1]QC!$K$4:$L$52,2,0)</f>
        <v>202233</v>
      </c>
      <c r="L25" s="160">
        <f t="shared" si="3"/>
        <v>3656.3726399999996</v>
      </c>
      <c r="N25" t="s">
        <v>41</v>
      </c>
      <c r="O25">
        <v>1</v>
      </c>
      <c r="P25">
        <v>1.6979999999999999E-2</v>
      </c>
      <c r="Q25">
        <v>1.16E-3</v>
      </c>
      <c r="R25">
        <v>14.65</v>
      </c>
      <c r="S25" t="s">
        <v>108</v>
      </c>
      <c r="T25">
        <v>1.5024999999999999</v>
      </c>
      <c r="U25">
        <v>1.508E-2</v>
      </c>
      <c r="V25">
        <v>1.8890000000000001E-2</v>
      </c>
      <c r="W25" s="160">
        <f>VLOOKUP(N25,[1]QC!$K$4:$L$52,2,0)</f>
        <v>202233</v>
      </c>
      <c r="X25" s="160">
        <f t="shared" si="4"/>
        <v>3433.9163399999998</v>
      </c>
    </row>
    <row r="26" spans="1:24" x14ac:dyDescent="0.25">
      <c r="A26" s="89" t="str">
        <f t="shared" si="2"/>
        <v>Model: M32Samples_cur</v>
      </c>
      <c r="B26" s="95" t="s">
        <v>42</v>
      </c>
      <c r="C26">
        <v>1</v>
      </c>
      <c r="D26" s="97">
        <v>3.5699999999999998E-3</v>
      </c>
      <c r="E26" s="97">
        <v>6.156E-5</v>
      </c>
      <c r="F26" s="97">
        <v>57.91</v>
      </c>
      <c r="G26" s="98">
        <v>0</v>
      </c>
      <c r="H26" s="97">
        <v>1.4312400000000001</v>
      </c>
      <c r="I26" s="97">
        <v>3.46E-3</v>
      </c>
      <c r="J26" s="99">
        <v>3.6700000000000001E-3</v>
      </c>
      <c r="K26" s="160">
        <f>VLOOKUP(B26,[1]QC!$K$4:$L$52,2,0)</f>
        <v>2028740</v>
      </c>
      <c r="L26" s="162">
        <f t="shared" si="3"/>
        <v>7242.6017999999995</v>
      </c>
      <c r="N26" t="s">
        <v>42</v>
      </c>
      <c r="O26">
        <v>1</v>
      </c>
      <c r="P26">
        <v>3.5699999999999998E-3</v>
      </c>
      <c r="Q26">
        <v>6.156E-5</v>
      </c>
      <c r="R26">
        <v>57.95</v>
      </c>
      <c r="S26" t="s">
        <v>108</v>
      </c>
      <c r="T26">
        <v>1.43136</v>
      </c>
      <c r="U26">
        <v>3.47E-3</v>
      </c>
      <c r="V26">
        <v>3.6700000000000001E-3</v>
      </c>
      <c r="W26" s="160">
        <f>VLOOKUP(N26,[1]QC!$K$4:$L$52,2,0)</f>
        <v>2028740</v>
      </c>
      <c r="X26" s="162">
        <f t="shared" si="4"/>
        <v>7242.6017999999995</v>
      </c>
    </row>
    <row r="27" spans="1:24" x14ac:dyDescent="0.25">
      <c r="A27" s="89" t="str">
        <f t="shared" si="2"/>
        <v>Model: M32PCPIND</v>
      </c>
      <c r="B27" s="100" t="s">
        <v>86</v>
      </c>
      <c r="C27" s="106">
        <v>1</v>
      </c>
      <c r="D27" s="102">
        <v>0.11771</v>
      </c>
      <c r="E27" s="102">
        <v>0.13428000000000001</v>
      </c>
      <c r="F27" s="102">
        <v>0.88</v>
      </c>
      <c r="G27" s="103">
        <v>0.38069999999999998</v>
      </c>
      <c r="H27" s="102">
        <v>1.0025500000000001</v>
      </c>
      <c r="I27" s="102">
        <v>-0.10317</v>
      </c>
      <c r="J27" s="104">
        <v>0.33859</v>
      </c>
      <c r="K27" s="160">
        <f>VLOOKUP(B27,[1]QC!$K$4:$L$52,2,0)</f>
        <v>31978</v>
      </c>
      <c r="L27" s="160">
        <f t="shared" si="3"/>
        <v>3764.1303800000001</v>
      </c>
      <c r="N27" t="s">
        <v>86</v>
      </c>
      <c r="O27">
        <v>1</v>
      </c>
      <c r="P27">
        <v>0.11307</v>
      </c>
      <c r="Q27">
        <v>0.13427</v>
      </c>
      <c r="R27">
        <v>0.84</v>
      </c>
      <c r="S27">
        <v>0.3997</v>
      </c>
      <c r="T27">
        <v>1.00265</v>
      </c>
      <c r="U27">
        <v>-0.10779</v>
      </c>
      <c r="V27">
        <v>0.33391999999999999</v>
      </c>
      <c r="W27" s="160">
        <f>VLOOKUP(N27,[1]QC!$K$4:$L$52,2,0)</f>
        <v>31978</v>
      </c>
      <c r="X27" s="160">
        <f t="shared" si="4"/>
        <v>3615.7524600000002</v>
      </c>
    </row>
    <row r="28" spans="1:24" x14ac:dyDescent="0.25"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160">
        <f>SUM(L20:L27)</f>
        <v>11798.485175679099</v>
      </c>
      <c r="N28" t="s">
        <v>109</v>
      </c>
      <c r="O28">
        <v>1</v>
      </c>
      <c r="P28">
        <v>3.14E-3</v>
      </c>
      <c r="Q28">
        <v>8.8197999999999998E-4</v>
      </c>
      <c r="R28">
        <v>3.56</v>
      </c>
      <c r="S28">
        <v>4.0000000000000002E-4</v>
      </c>
      <c r="T28">
        <v>1.1747300000000001</v>
      </c>
      <c r="U28">
        <v>1.6900000000000001E-3</v>
      </c>
      <c r="V28">
        <v>4.5999999999999999E-3</v>
      </c>
      <c r="W28" s="160">
        <f>VLOOKUP(N28,[1]QC!$K$4:$L$52,2,0)</f>
        <v>179486</v>
      </c>
      <c r="X28" s="160">
        <f t="shared" ref="X28" si="5">P28*W28</f>
        <v>563.58604000000003</v>
      </c>
    </row>
    <row r="29" spans="1:24" x14ac:dyDescent="0.25">
      <c r="B29" s="85" t="s">
        <v>74</v>
      </c>
      <c r="C29" s="85"/>
      <c r="D29" s="85"/>
      <c r="E29" s="85"/>
      <c r="F29" s="85"/>
      <c r="G29" s="85"/>
      <c r="H29" s="85"/>
      <c r="I29" s="85"/>
      <c r="J29" s="85"/>
      <c r="K29" s="85"/>
      <c r="X29" s="160">
        <f>SUM(X20:X28)</f>
        <v>11792.612134602499</v>
      </c>
    </row>
    <row r="30" spans="1:24" x14ac:dyDescent="0.25">
      <c r="B30" s="85" t="s">
        <v>68</v>
      </c>
      <c r="C30" s="85"/>
      <c r="D30" s="85"/>
      <c r="E30" s="85"/>
      <c r="F30" s="85"/>
      <c r="G30" s="85"/>
      <c r="H30" s="85"/>
      <c r="I30" s="85"/>
      <c r="J30" s="85"/>
      <c r="K30" s="85"/>
    </row>
    <row r="31" spans="1:24" x14ac:dyDescent="0.25">
      <c r="B31" s="85" t="s">
        <v>75</v>
      </c>
      <c r="C31" s="85"/>
      <c r="D31" s="85"/>
      <c r="E31" s="85"/>
      <c r="F31" s="85"/>
      <c r="G31" s="85"/>
      <c r="H31" s="85"/>
      <c r="I31" s="85"/>
      <c r="J31" s="85"/>
      <c r="K31" s="85"/>
    </row>
    <row r="32" spans="1:24" x14ac:dyDescent="0.25">
      <c r="B32" s="85"/>
      <c r="C32" s="85"/>
      <c r="D32" s="85"/>
      <c r="E32" s="85"/>
      <c r="F32" s="85"/>
      <c r="G32" s="85"/>
      <c r="H32" s="85"/>
      <c r="I32" s="85"/>
      <c r="J32" s="85"/>
      <c r="K32" s="85"/>
    </row>
    <row r="33" spans="1:24" x14ac:dyDescent="0.25">
      <c r="B33" s="107" t="s">
        <v>27</v>
      </c>
      <c r="C33" s="108" t="s">
        <v>28</v>
      </c>
      <c r="D33" s="109" t="s">
        <v>79</v>
      </c>
      <c r="E33" s="109" t="s">
        <v>80</v>
      </c>
      <c r="F33" s="109" t="s">
        <v>35</v>
      </c>
      <c r="G33" s="109" t="s">
        <v>36</v>
      </c>
      <c r="H33" s="109" t="s">
        <v>81</v>
      </c>
      <c r="I33" s="262" t="s">
        <v>56</v>
      </c>
      <c r="J33" s="263"/>
      <c r="K33" s="85" t="s">
        <v>111</v>
      </c>
      <c r="L33" t="s">
        <v>94</v>
      </c>
      <c r="N33" s="107" t="s">
        <v>27</v>
      </c>
      <c r="O33" s="153" t="s">
        <v>28</v>
      </c>
      <c r="P33" s="152" t="s">
        <v>79</v>
      </c>
      <c r="Q33" s="152" t="s">
        <v>80</v>
      </c>
      <c r="R33" s="152" t="s">
        <v>35</v>
      </c>
      <c r="S33" s="152" t="s">
        <v>36</v>
      </c>
      <c r="T33" s="152" t="s">
        <v>81</v>
      </c>
      <c r="U33" s="152" t="s">
        <v>56</v>
      </c>
      <c r="V33" s="153"/>
      <c r="W33" s="161" t="s">
        <v>111</v>
      </c>
      <c r="X33" s="161" t="s">
        <v>110</v>
      </c>
    </row>
    <row r="34" spans="1:24" x14ac:dyDescent="0.25">
      <c r="A34" s="89" t="str">
        <f>_xlfn.CONCAT($B$30,B34)</f>
        <v>Model: M33Intercept</v>
      </c>
      <c r="B34" s="90" t="s">
        <v>13</v>
      </c>
      <c r="C34" s="105">
        <v>1</v>
      </c>
      <c r="D34" s="156">
        <v>-0.10467</v>
      </c>
      <c r="E34" s="92">
        <v>1.2359999999999999E-2</v>
      </c>
      <c r="F34" s="92">
        <v>-8.4700000000000006</v>
      </c>
      <c r="G34" s="93">
        <v>0</v>
      </c>
      <c r="H34" s="92">
        <v>0</v>
      </c>
      <c r="I34" s="92">
        <v>-0.12501000000000001</v>
      </c>
      <c r="J34" s="94">
        <v>-8.4339999999999998E-2</v>
      </c>
      <c r="K34">
        <v>32090</v>
      </c>
      <c r="L34" s="160">
        <f>D34*K34</f>
        <v>-3358.8602999999998</v>
      </c>
      <c r="N34" t="s">
        <v>13</v>
      </c>
      <c r="O34">
        <v>1</v>
      </c>
      <c r="P34" s="156">
        <v>-0.11</v>
      </c>
      <c r="Q34">
        <v>1.2449999999999999E-2</v>
      </c>
      <c r="R34">
        <v>-8.84</v>
      </c>
      <c r="S34" t="s">
        <v>108</v>
      </c>
      <c r="T34">
        <v>0</v>
      </c>
      <c r="U34">
        <v>-0.13047</v>
      </c>
      <c r="V34">
        <v>-8.9529999999999998E-2</v>
      </c>
      <c r="W34">
        <v>32090</v>
      </c>
      <c r="X34" s="160">
        <f>P34*W34</f>
        <v>-3529.9</v>
      </c>
    </row>
    <row r="35" spans="1:24" x14ac:dyDescent="0.25">
      <c r="A35" s="89" t="str">
        <f t="shared" ref="A35:A41" si="6">_xlfn.CONCAT($B$30,B35)</f>
        <v>Model: M33NRx_pre1</v>
      </c>
      <c r="B35" s="95" t="s">
        <v>39</v>
      </c>
      <c r="C35">
        <v>1</v>
      </c>
      <c r="D35" s="157">
        <v>1.0553399999999999</v>
      </c>
      <c r="E35" s="97">
        <v>1.0359999999999999E-2</v>
      </c>
      <c r="F35" s="97">
        <v>101.82</v>
      </c>
      <c r="G35" s="98">
        <v>0</v>
      </c>
      <c r="H35" s="97">
        <v>1.1650499999999999</v>
      </c>
      <c r="I35" s="97">
        <v>1.0382899999999999</v>
      </c>
      <c r="J35" s="99">
        <v>1.07239</v>
      </c>
      <c r="K35" s="160">
        <f>VLOOKUP(B35,[1]QC!$K$4:$L$52,2,0)</f>
        <v>3337.98</v>
      </c>
      <c r="L35" s="160">
        <f t="shared" ref="L35:L41" si="7">D35*K35</f>
        <v>3522.7038131999998</v>
      </c>
      <c r="N35" t="s">
        <v>39</v>
      </c>
      <c r="O35">
        <v>1</v>
      </c>
      <c r="P35" s="157">
        <v>1.0544</v>
      </c>
      <c r="Q35">
        <v>1.0370000000000001E-2</v>
      </c>
      <c r="R35">
        <v>101.72</v>
      </c>
      <c r="S35" t="s">
        <v>108</v>
      </c>
      <c r="T35">
        <v>1.16577</v>
      </c>
      <c r="U35">
        <v>1.03735</v>
      </c>
      <c r="V35">
        <v>1.07145</v>
      </c>
      <c r="W35" s="160">
        <f>VLOOKUP(N35,[1]QC!$K$4:$L$52,2,0)</f>
        <v>3337.98</v>
      </c>
      <c r="X35" s="160">
        <f>P35*W35</f>
        <v>3519.566112</v>
      </c>
    </row>
    <row r="36" spans="1:24" x14ac:dyDescent="0.25">
      <c r="A36" s="89" t="str">
        <f t="shared" si="6"/>
        <v>Model: M33MNRx_pre</v>
      </c>
      <c r="B36" s="95" t="s">
        <v>63</v>
      </c>
      <c r="C36">
        <v>1</v>
      </c>
      <c r="D36" s="157">
        <v>1.997E-5</v>
      </c>
      <c r="E36" s="97">
        <v>8.9400000000000008E-6</v>
      </c>
      <c r="F36" s="97">
        <v>2.23</v>
      </c>
      <c r="G36" s="98">
        <v>2.5499999999999998E-2</v>
      </c>
      <c r="H36" s="97">
        <v>1.1341300000000001</v>
      </c>
      <c r="I36" s="97">
        <v>5.2700000000000004E-6</v>
      </c>
      <c r="J36" s="99">
        <v>3.4669999999999998E-5</v>
      </c>
      <c r="K36" s="160">
        <f>VLOOKUP(B36,[1]QC!$K$4:$L$52,2,0)</f>
        <v>33373665.190000001</v>
      </c>
      <c r="L36" s="160">
        <f t="shared" si="7"/>
        <v>666.47209384430005</v>
      </c>
      <c r="N36" t="s">
        <v>63</v>
      </c>
      <c r="O36">
        <v>1</v>
      </c>
      <c r="P36" s="157">
        <v>1.471E-5</v>
      </c>
      <c r="Q36">
        <v>9.0499999999999997E-6</v>
      </c>
      <c r="R36">
        <v>1.63</v>
      </c>
      <c r="S36">
        <v>0.1041</v>
      </c>
      <c r="T36">
        <v>1.16367</v>
      </c>
      <c r="U36" s="155">
        <v>-1.7811E-7</v>
      </c>
      <c r="V36">
        <v>2.959E-5</v>
      </c>
      <c r="W36" s="160">
        <f>VLOOKUP(N36,[1]QC!$K$4:$L$52,2,0)</f>
        <v>33373665.190000001</v>
      </c>
      <c r="X36" s="160">
        <f t="shared" ref="X36:X42" si="8">P36*W36</f>
        <v>490.9266149449</v>
      </c>
    </row>
    <row r="37" spans="1:24" x14ac:dyDescent="0.25">
      <c r="A37" s="89" t="str">
        <f t="shared" si="6"/>
        <v>Model: M33TOT_MMF</v>
      </c>
      <c r="B37" s="95" t="s">
        <v>64</v>
      </c>
      <c r="C37">
        <v>1</v>
      </c>
      <c r="D37" s="157">
        <v>0.11632000000000001</v>
      </c>
      <c r="E37" s="97">
        <v>3.075E-2</v>
      </c>
      <c r="F37" s="97">
        <v>3.78</v>
      </c>
      <c r="G37" s="98">
        <v>2.0000000000000001E-4</v>
      </c>
      <c r="H37" s="97">
        <v>1.0626599999999999</v>
      </c>
      <c r="I37" s="97">
        <v>6.5740000000000007E-2</v>
      </c>
      <c r="J37" s="99">
        <v>0.16691</v>
      </c>
      <c r="K37" s="160">
        <f>VLOOKUP(B37,[1]QC!$K$4:$L$52,2,0)</f>
        <v>1971</v>
      </c>
      <c r="L37" s="160">
        <f t="shared" si="7"/>
        <v>229.26672000000002</v>
      </c>
      <c r="N37" t="s">
        <v>64</v>
      </c>
      <c r="O37">
        <v>1</v>
      </c>
      <c r="P37" s="157">
        <v>0.11454</v>
      </c>
      <c r="Q37">
        <v>3.075E-2</v>
      </c>
      <c r="R37">
        <v>3.72</v>
      </c>
      <c r="S37">
        <v>2.0000000000000001E-4</v>
      </c>
      <c r="T37">
        <v>1.0629299999999999</v>
      </c>
      <c r="U37">
        <v>6.3960000000000003E-2</v>
      </c>
      <c r="V37">
        <v>0.16511999999999999</v>
      </c>
      <c r="W37" s="160">
        <f>VLOOKUP(N37,[1]QC!$K$4:$L$52,2,0)</f>
        <v>1971</v>
      </c>
      <c r="X37" s="160">
        <f t="shared" si="8"/>
        <v>225.75834</v>
      </c>
    </row>
    <row r="38" spans="1:24" x14ac:dyDescent="0.25">
      <c r="A38" s="89" t="str">
        <f t="shared" si="6"/>
        <v>Model: M33VNRx_cur</v>
      </c>
      <c r="B38" s="95" t="s">
        <v>40</v>
      </c>
      <c r="C38">
        <v>1</v>
      </c>
      <c r="D38" s="157">
        <v>1.03294</v>
      </c>
      <c r="E38" s="97">
        <v>4.0070000000000001E-2</v>
      </c>
      <c r="F38" s="97">
        <v>25.78</v>
      </c>
      <c r="G38" s="98">
        <v>0</v>
      </c>
      <c r="H38" s="97">
        <v>1.0799700000000001</v>
      </c>
      <c r="I38" s="97">
        <v>0.96701999999999999</v>
      </c>
      <c r="J38" s="99">
        <v>1.0988599999999999</v>
      </c>
      <c r="K38" s="160">
        <f>VLOOKUP(B38,[1]QC!$K$4:$L$52,2,0)</f>
        <v>334</v>
      </c>
      <c r="L38" s="160">
        <f t="shared" si="7"/>
        <v>345.00196</v>
      </c>
      <c r="N38" t="s">
        <v>40</v>
      </c>
      <c r="O38">
        <v>1</v>
      </c>
      <c r="P38" s="157">
        <v>1.0325599999999999</v>
      </c>
      <c r="Q38">
        <v>4.0070000000000001E-2</v>
      </c>
      <c r="R38">
        <v>25.77</v>
      </c>
      <c r="S38" t="s">
        <v>108</v>
      </c>
      <c r="T38">
        <v>1.0799799999999999</v>
      </c>
      <c r="U38">
        <v>0.96665999999999996</v>
      </c>
      <c r="V38">
        <v>1.0984700000000001</v>
      </c>
      <c r="W38" s="160">
        <f>VLOOKUP(N38,[1]QC!$K$4:$L$52,2,0)</f>
        <v>334</v>
      </c>
      <c r="X38" s="160">
        <f t="shared" si="8"/>
        <v>344.87503999999996</v>
      </c>
    </row>
    <row r="39" spans="1:24" x14ac:dyDescent="0.25">
      <c r="A39" s="89" t="str">
        <f t="shared" si="6"/>
        <v>Model: M33tot_det_cur</v>
      </c>
      <c r="B39" s="95" t="s">
        <v>41</v>
      </c>
      <c r="C39">
        <v>1</v>
      </c>
      <c r="D39" s="157">
        <v>1.9740000000000001E-2</v>
      </c>
      <c r="E39" s="97">
        <v>1.1299999999999999E-3</v>
      </c>
      <c r="F39" s="97">
        <v>17.45</v>
      </c>
      <c r="G39" s="98">
        <v>0</v>
      </c>
      <c r="H39" s="97">
        <v>1.43326</v>
      </c>
      <c r="I39" s="97">
        <v>1.788E-2</v>
      </c>
      <c r="J39" s="99">
        <v>2.1600000000000001E-2</v>
      </c>
      <c r="K39" s="160">
        <f>VLOOKUP(B39,[1]QC!$K$4:$L$52,2,0)</f>
        <v>202233</v>
      </c>
      <c r="L39" s="160">
        <f t="shared" si="7"/>
        <v>3992.07942</v>
      </c>
      <c r="N39" t="s">
        <v>41</v>
      </c>
      <c r="O39">
        <v>1</v>
      </c>
      <c r="P39" s="157">
        <v>1.8620000000000001E-2</v>
      </c>
      <c r="Q39">
        <v>1.17E-3</v>
      </c>
      <c r="R39">
        <v>15.91</v>
      </c>
      <c r="S39" t="s">
        <v>108</v>
      </c>
      <c r="T39">
        <v>1.5376099999999999</v>
      </c>
      <c r="U39">
        <v>1.67E-2</v>
      </c>
      <c r="V39">
        <v>2.0549999999999999E-2</v>
      </c>
      <c r="W39" s="160">
        <f>VLOOKUP(N39,[1]QC!$K$4:$L$52,2,0)</f>
        <v>202233</v>
      </c>
      <c r="X39" s="160">
        <f t="shared" si="8"/>
        <v>3765.5784600000002</v>
      </c>
    </row>
    <row r="40" spans="1:24" x14ac:dyDescent="0.25">
      <c r="A40" s="89" t="str">
        <f t="shared" si="6"/>
        <v>Model: M33Samples_cur</v>
      </c>
      <c r="B40" s="95" t="s">
        <v>42</v>
      </c>
      <c r="C40">
        <v>1</v>
      </c>
      <c r="D40" s="157">
        <v>2.9299999999999999E-3</v>
      </c>
      <c r="E40" s="110">
        <v>9.2709999999999998E-5</v>
      </c>
      <c r="F40" s="110">
        <v>31.6</v>
      </c>
      <c r="G40" s="98">
        <v>0</v>
      </c>
      <c r="H40" s="110">
        <v>3.2542499999999999</v>
      </c>
      <c r="I40" s="110">
        <v>2.7799999999999999E-3</v>
      </c>
      <c r="J40" s="111">
        <v>3.0799999999999998E-3</v>
      </c>
      <c r="K40" s="160">
        <f>VLOOKUP(B40,[1]QC!$K$4:$L$52,2,0)</f>
        <v>2028740</v>
      </c>
      <c r="L40" s="162">
        <f t="shared" si="7"/>
        <v>5944.2082</v>
      </c>
      <c r="N40" t="s">
        <v>42</v>
      </c>
      <c r="O40">
        <v>1</v>
      </c>
      <c r="P40" s="157">
        <v>2.9299999999999999E-3</v>
      </c>
      <c r="Q40">
        <v>9.2689999999999995E-5</v>
      </c>
      <c r="R40">
        <v>31.61</v>
      </c>
      <c r="S40" t="s">
        <v>108</v>
      </c>
      <c r="T40">
        <v>3.2542499999999999</v>
      </c>
      <c r="U40">
        <v>2.7799999999999999E-3</v>
      </c>
      <c r="V40">
        <v>3.0799999999999998E-3</v>
      </c>
      <c r="W40" s="160">
        <f>VLOOKUP(N40,[1]QC!$K$4:$L$52,2,0)</f>
        <v>2028740</v>
      </c>
      <c r="X40" s="162">
        <f t="shared" si="8"/>
        <v>5944.2082</v>
      </c>
    </row>
    <row r="41" spans="1:24" x14ac:dyDescent="0.25">
      <c r="A41" s="89" t="str">
        <f t="shared" si="6"/>
        <v>Model: M33Samples_cur_sq</v>
      </c>
      <c r="B41" s="100" t="s">
        <v>43</v>
      </c>
      <c r="C41" s="106">
        <v>1</v>
      </c>
      <c r="D41" s="158">
        <v>5.0675219999999999E-7</v>
      </c>
      <c r="E41" s="112">
        <v>5.5414520000000003E-8</v>
      </c>
      <c r="F41" s="112">
        <v>9.14</v>
      </c>
      <c r="G41" s="103">
        <v>0</v>
      </c>
      <c r="H41" s="112">
        <v>2.76566</v>
      </c>
      <c r="I41" s="112">
        <v>4.1560079999999998E-7</v>
      </c>
      <c r="J41" s="113">
        <v>5.9790359999999996E-7</v>
      </c>
      <c r="K41" s="160">
        <f>VLOOKUP(B41,[1]QC!$K$4:$L$52,2,0)</f>
        <v>886306512</v>
      </c>
      <c r="L41" s="162">
        <f t="shared" si="7"/>
        <v>449.13777483032641</v>
      </c>
      <c r="N41" t="s">
        <v>43</v>
      </c>
      <c r="O41">
        <v>1</v>
      </c>
      <c r="P41" s="158">
        <v>5.0828759999999998E-7</v>
      </c>
      <c r="Q41" s="155">
        <v>5.5405499999999999E-8</v>
      </c>
      <c r="R41">
        <v>9.17</v>
      </c>
      <c r="S41" t="s">
        <v>108</v>
      </c>
      <c r="T41">
        <v>2.7658200000000002</v>
      </c>
      <c r="U41" s="155">
        <v>4.1715110000000002E-7</v>
      </c>
      <c r="V41" s="155">
        <v>5.9942420000000005E-7</v>
      </c>
      <c r="W41" s="160">
        <f>VLOOKUP(N41,[1]QC!$K$4:$L$52,2,0)</f>
        <v>886306512</v>
      </c>
      <c r="X41" s="162">
        <f t="shared" si="8"/>
        <v>450.49860984885117</v>
      </c>
    </row>
    <row r="42" spans="1:24" x14ac:dyDescent="0.25"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160">
        <f>SUM(L34:L41)</f>
        <v>11790.009681874626</v>
      </c>
      <c r="N42" t="s">
        <v>109</v>
      </c>
      <c r="O42">
        <v>1</v>
      </c>
      <c r="P42" s="158">
        <v>3.2100000000000002E-3</v>
      </c>
      <c r="Q42">
        <v>8.8082000000000004E-4</v>
      </c>
      <c r="R42">
        <v>3.65</v>
      </c>
      <c r="S42">
        <v>2.9999999999999997E-4</v>
      </c>
      <c r="T42">
        <v>1.1746799999999999</v>
      </c>
      <c r="U42">
        <v>1.7600000000000001E-3</v>
      </c>
      <c r="V42">
        <v>4.6600000000000001E-3</v>
      </c>
      <c r="W42" s="160">
        <f>VLOOKUP(N42,[1]QC!$K$4:$L$52,2,0)</f>
        <v>179486</v>
      </c>
      <c r="X42" s="160">
        <f t="shared" si="8"/>
        <v>576.15006000000005</v>
      </c>
    </row>
    <row r="43" spans="1:24" x14ac:dyDescent="0.25"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166">
        <f>L42/'verquvo Sample curve'!Q9</f>
        <v>1.00015097108511</v>
      </c>
      <c r="X43" s="160">
        <f>SUM(X34:X42)</f>
        <v>11787.661436793751</v>
      </c>
    </row>
    <row r="44" spans="1:24" x14ac:dyDescent="0.25">
      <c r="B44" s="85" t="s">
        <v>74</v>
      </c>
      <c r="C44" s="85"/>
      <c r="D44" s="85"/>
      <c r="E44" s="85"/>
      <c r="F44" s="85"/>
      <c r="G44" s="85"/>
      <c r="H44" s="85"/>
      <c r="I44" s="85"/>
      <c r="J44" s="85"/>
      <c r="K44" s="85"/>
      <c r="M44" t="s">
        <v>13</v>
      </c>
      <c r="N44" s="159">
        <f t="shared" ref="N44:N52" si="9">D34-P34</f>
        <v>5.3300000000000014E-3</v>
      </c>
      <c r="X44" s="166">
        <f>X43/'verquvo Sample curve'!Q9</f>
        <v>0.99995176856862744</v>
      </c>
    </row>
    <row r="45" spans="1:24" x14ac:dyDescent="0.25">
      <c r="B45" s="85" t="s">
        <v>71</v>
      </c>
      <c r="C45" s="85"/>
      <c r="D45" s="85"/>
      <c r="E45" s="85"/>
      <c r="F45" s="85"/>
      <c r="G45" s="85"/>
      <c r="H45" s="85"/>
      <c r="I45" s="85"/>
      <c r="J45" s="85"/>
      <c r="K45" s="85"/>
      <c r="M45" t="s">
        <v>39</v>
      </c>
      <c r="N45" s="159">
        <f t="shared" si="9"/>
        <v>9.3999999999994088E-4</v>
      </c>
    </row>
    <row r="46" spans="1:24" x14ac:dyDescent="0.25">
      <c r="B46" s="85" t="s">
        <v>75</v>
      </c>
      <c r="C46" s="85"/>
      <c r="D46" s="85"/>
      <c r="E46" s="85"/>
      <c r="F46" s="85"/>
      <c r="G46" s="85"/>
      <c r="H46" s="85"/>
      <c r="I46" s="85"/>
      <c r="J46" s="85"/>
      <c r="K46" s="85"/>
      <c r="M46" t="s">
        <v>63</v>
      </c>
      <c r="N46" s="159">
        <f t="shared" si="9"/>
        <v>5.2600000000000005E-6</v>
      </c>
    </row>
    <row r="47" spans="1:24" x14ac:dyDescent="0.25">
      <c r="B47" s="85"/>
      <c r="C47" s="85"/>
      <c r="D47" s="85"/>
      <c r="E47" s="85"/>
      <c r="F47" s="85"/>
      <c r="G47" s="85"/>
      <c r="H47" s="85"/>
      <c r="I47" s="85"/>
      <c r="J47" s="85"/>
      <c r="K47" s="85"/>
      <c r="M47" t="s">
        <v>64</v>
      </c>
      <c r="N47" s="159">
        <f t="shared" si="9"/>
        <v>1.7800000000000038E-3</v>
      </c>
    </row>
    <row r="48" spans="1:24" x14ac:dyDescent="0.25">
      <c r="B48" s="90" t="s">
        <v>27</v>
      </c>
      <c r="C48" s="91" t="s">
        <v>28</v>
      </c>
      <c r="D48" s="105" t="s">
        <v>79</v>
      </c>
      <c r="E48" s="105" t="s">
        <v>80</v>
      </c>
      <c r="F48" s="105" t="s">
        <v>35</v>
      </c>
      <c r="G48" s="105" t="s">
        <v>36</v>
      </c>
      <c r="H48" s="105" t="s">
        <v>81</v>
      </c>
      <c r="I48" s="260" t="s">
        <v>56</v>
      </c>
      <c r="J48" s="261"/>
      <c r="K48" s="85"/>
      <c r="M48" t="s">
        <v>40</v>
      </c>
      <c r="N48" s="159">
        <f t="shared" si="9"/>
        <v>3.8000000000004697E-4</v>
      </c>
    </row>
    <row r="49" spans="1:14" x14ac:dyDescent="0.25">
      <c r="A49" s="89" t="str">
        <f>_xlfn.CONCAT($B$45,B49)</f>
        <v>Model: M34Intercept</v>
      </c>
      <c r="B49" s="90" t="s">
        <v>13</v>
      </c>
      <c r="C49" s="105">
        <v>1</v>
      </c>
      <c r="D49" s="92">
        <v>-0.20738999999999999</v>
      </c>
      <c r="E49" s="92">
        <v>0.1338</v>
      </c>
      <c r="F49" s="92">
        <v>-1.55</v>
      </c>
      <c r="G49" s="93">
        <v>0.1212</v>
      </c>
      <c r="H49" s="92">
        <v>0</v>
      </c>
      <c r="I49" s="92">
        <v>-0.42748000000000003</v>
      </c>
      <c r="J49" s="94">
        <v>1.2710000000000001E-2</v>
      </c>
      <c r="K49" s="85"/>
      <c r="M49" t="s">
        <v>41</v>
      </c>
      <c r="N49" s="159">
        <f t="shared" si="9"/>
        <v>1.1199999999999995E-3</v>
      </c>
    </row>
    <row r="50" spans="1:14" x14ac:dyDescent="0.25">
      <c r="A50" s="89" t="str">
        <f t="shared" ref="A50:A57" si="10">_xlfn.CONCAT($B$45,B50)</f>
        <v>Model: M34NRx_pre1</v>
      </c>
      <c r="B50" s="95" t="s">
        <v>39</v>
      </c>
      <c r="C50">
        <v>1</v>
      </c>
      <c r="D50" s="97">
        <v>1.0552999999999999</v>
      </c>
      <c r="E50" s="97">
        <v>1.0359999999999999E-2</v>
      </c>
      <c r="F50" s="97">
        <v>101.82</v>
      </c>
      <c r="G50" s="98">
        <v>0</v>
      </c>
      <c r="H50" s="97">
        <v>1.1650700000000001</v>
      </c>
      <c r="I50" s="97">
        <v>1.0382499999999999</v>
      </c>
      <c r="J50" s="99">
        <v>1.0723499999999999</v>
      </c>
      <c r="K50" s="160"/>
      <c r="L50" s="160"/>
      <c r="M50" t="s">
        <v>42</v>
      </c>
      <c r="N50" s="159">
        <f t="shared" si="9"/>
        <v>0</v>
      </c>
    </row>
    <row r="51" spans="1:14" x14ac:dyDescent="0.25">
      <c r="A51" s="89" t="str">
        <f t="shared" si="10"/>
        <v>Model: M34MNRx_pre</v>
      </c>
      <c r="B51" s="95" t="s">
        <v>63</v>
      </c>
      <c r="C51">
        <v>1</v>
      </c>
      <c r="D51" s="97">
        <v>1.967E-5</v>
      </c>
      <c r="E51" s="97">
        <v>8.9400000000000008E-6</v>
      </c>
      <c r="F51" s="97">
        <v>2.2000000000000002</v>
      </c>
      <c r="G51" s="98">
        <v>2.7799999999999998E-2</v>
      </c>
      <c r="H51" s="97">
        <v>1.13618</v>
      </c>
      <c r="I51" s="97">
        <v>4.9599999999999999E-6</v>
      </c>
      <c r="J51" s="99">
        <v>3.4390000000000001E-5</v>
      </c>
      <c r="K51" s="160"/>
      <c r="L51" s="160"/>
      <c r="M51" t="s">
        <v>43</v>
      </c>
      <c r="N51" s="159">
        <f t="shared" si="9"/>
        <v>-1.5353999999999887E-9</v>
      </c>
    </row>
    <row r="52" spans="1:14" x14ac:dyDescent="0.25">
      <c r="A52" s="89" t="str">
        <f t="shared" si="10"/>
        <v>Model: M34TOT_MMF</v>
      </c>
      <c r="B52" s="95" t="s">
        <v>64</v>
      </c>
      <c r="C52">
        <v>1</v>
      </c>
      <c r="D52" s="97">
        <v>0.11624</v>
      </c>
      <c r="E52" s="97">
        <v>3.075E-2</v>
      </c>
      <c r="F52" s="97">
        <v>3.78</v>
      </c>
      <c r="G52" s="98">
        <v>2.0000000000000001E-4</v>
      </c>
      <c r="H52" s="97">
        <v>1.0626800000000001</v>
      </c>
      <c r="I52" s="97">
        <v>6.5659999999999996E-2</v>
      </c>
      <c r="J52" s="99">
        <v>0.16683000000000001</v>
      </c>
      <c r="K52" s="160"/>
      <c r="L52" s="160"/>
      <c r="N52" s="159">
        <f t="shared" si="9"/>
        <v>-3.2100000000000002E-3</v>
      </c>
    </row>
    <row r="53" spans="1:14" x14ac:dyDescent="0.25">
      <c r="A53" s="89" t="str">
        <f t="shared" si="10"/>
        <v>Model: M34VNRx_cur</v>
      </c>
      <c r="B53" s="95" t="s">
        <v>40</v>
      </c>
      <c r="C53">
        <v>1</v>
      </c>
      <c r="D53" s="97">
        <v>1.0328900000000001</v>
      </c>
      <c r="E53" s="97">
        <v>4.0070000000000001E-2</v>
      </c>
      <c r="F53" s="97">
        <v>25.77</v>
      </c>
      <c r="G53" s="98">
        <v>0</v>
      </c>
      <c r="H53" s="97">
        <v>1.0799700000000001</v>
      </c>
      <c r="I53" s="97">
        <v>0.96697</v>
      </c>
      <c r="J53" s="99">
        <v>1.0988100000000001</v>
      </c>
      <c r="K53" s="160"/>
      <c r="L53" s="160"/>
      <c r="N53" s="159"/>
    </row>
    <row r="54" spans="1:14" x14ac:dyDescent="0.25">
      <c r="A54" s="89" t="str">
        <f t="shared" si="10"/>
        <v>Model: M34tot_det_cur</v>
      </c>
      <c r="B54" s="95" t="s">
        <v>41</v>
      </c>
      <c r="C54">
        <v>1</v>
      </c>
      <c r="D54" s="97">
        <v>1.9720000000000001E-2</v>
      </c>
      <c r="E54" s="97">
        <v>1.1299999999999999E-3</v>
      </c>
      <c r="F54" s="97">
        <v>17.440000000000001</v>
      </c>
      <c r="G54" s="98">
        <v>0</v>
      </c>
      <c r="H54" s="97">
        <v>1.4336599999999999</v>
      </c>
      <c r="I54" s="97">
        <v>1.7860000000000001E-2</v>
      </c>
      <c r="J54" s="99">
        <v>2.1579999999999998E-2</v>
      </c>
      <c r="K54" s="160"/>
      <c r="L54" s="160"/>
    </row>
    <row r="55" spans="1:14" x14ac:dyDescent="0.25">
      <c r="A55" s="89" t="str">
        <f t="shared" si="10"/>
        <v>Model: M34Samples_cur</v>
      </c>
      <c r="B55" s="95" t="s">
        <v>42</v>
      </c>
      <c r="C55">
        <v>1</v>
      </c>
      <c r="D55" s="97">
        <v>2.9299999999999999E-3</v>
      </c>
      <c r="E55" s="97">
        <v>9.2730000000000002E-5</v>
      </c>
      <c r="F55" s="97">
        <v>31.61</v>
      </c>
      <c r="G55" s="98">
        <v>0</v>
      </c>
      <c r="H55" s="97">
        <v>3.25562</v>
      </c>
      <c r="I55" s="97">
        <v>2.7799999999999999E-3</v>
      </c>
      <c r="J55" s="99">
        <v>3.0799999999999998E-3</v>
      </c>
      <c r="K55" s="160"/>
      <c r="L55" s="160"/>
    </row>
    <row r="56" spans="1:14" x14ac:dyDescent="0.25">
      <c r="A56" s="89" t="str">
        <f t="shared" si="10"/>
        <v>Model: M34Samples_cur_sq</v>
      </c>
      <c r="B56" s="95" t="s">
        <v>43</v>
      </c>
      <c r="C56">
        <v>1</v>
      </c>
      <c r="D56" s="97">
        <v>5.0625330000000003E-7</v>
      </c>
      <c r="E56" s="97">
        <v>5.5418650000000002E-8</v>
      </c>
      <c r="F56" s="97">
        <v>9.14</v>
      </c>
      <c r="G56" s="98">
        <v>0</v>
      </c>
      <c r="H56" s="97">
        <v>2.7660300000000002</v>
      </c>
      <c r="I56" s="97">
        <v>4.1509510000000002E-7</v>
      </c>
      <c r="J56" s="99">
        <v>5.9741149999999999E-7</v>
      </c>
      <c r="K56" s="160"/>
      <c r="L56" s="160"/>
    </row>
    <row r="57" spans="1:14" x14ac:dyDescent="0.25">
      <c r="A57" s="89" t="str">
        <f t="shared" si="10"/>
        <v>Model: M34PCPIND</v>
      </c>
      <c r="B57" s="100" t="s">
        <v>86</v>
      </c>
      <c r="C57" s="106">
        <v>1</v>
      </c>
      <c r="D57" s="102">
        <v>0.10340000000000001</v>
      </c>
      <c r="E57" s="102">
        <v>0.13411999999999999</v>
      </c>
      <c r="F57" s="102">
        <v>0.77</v>
      </c>
      <c r="G57" s="103">
        <v>0.44069999999999998</v>
      </c>
      <c r="H57" s="102">
        <v>1.0026900000000001</v>
      </c>
      <c r="I57" s="102">
        <v>-0.11720999999999999</v>
      </c>
      <c r="J57" s="104">
        <v>0.32401999999999997</v>
      </c>
      <c r="K57" s="160"/>
      <c r="L57" s="160"/>
    </row>
    <row r="58" spans="1:14" x14ac:dyDescent="0.25">
      <c r="B58" s="85"/>
      <c r="C58" s="85"/>
      <c r="D58" s="85"/>
      <c r="E58" s="85"/>
      <c r="F58" s="85"/>
      <c r="G58" s="85"/>
      <c r="H58" s="85"/>
      <c r="I58" s="85"/>
      <c r="J58" s="85"/>
      <c r="K58" s="85"/>
    </row>
    <row r="59" spans="1:14" x14ac:dyDescent="0.25">
      <c r="B59" s="85" t="s">
        <v>74</v>
      </c>
      <c r="C59" s="85"/>
      <c r="D59" s="85"/>
      <c r="E59" s="85"/>
      <c r="F59" s="85"/>
      <c r="G59" s="85"/>
      <c r="H59" s="85"/>
      <c r="I59" s="85"/>
      <c r="J59" s="85"/>
      <c r="K59" s="85"/>
    </row>
    <row r="60" spans="1:14" x14ac:dyDescent="0.25">
      <c r="B60" s="85" t="s">
        <v>72</v>
      </c>
      <c r="C60" s="85"/>
      <c r="D60" s="85"/>
      <c r="E60" s="85"/>
      <c r="F60" s="85"/>
      <c r="G60" s="85"/>
      <c r="H60" s="85"/>
      <c r="I60" s="85"/>
      <c r="J60" s="85"/>
      <c r="K60" s="85"/>
    </row>
    <row r="61" spans="1:14" x14ac:dyDescent="0.25">
      <c r="B61" s="85" t="s">
        <v>87</v>
      </c>
      <c r="C61" s="85"/>
      <c r="D61" s="85"/>
      <c r="E61" s="85"/>
      <c r="F61" s="85"/>
      <c r="G61" s="85"/>
      <c r="H61" s="85"/>
      <c r="I61" s="85"/>
      <c r="J61" s="85"/>
      <c r="K61" s="85"/>
    </row>
    <row r="62" spans="1:14" x14ac:dyDescent="0.25">
      <c r="B62" s="85"/>
      <c r="C62" s="85"/>
      <c r="D62" s="85"/>
      <c r="E62" s="85"/>
      <c r="F62" s="85"/>
      <c r="G62" s="85"/>
      <c r="H62" s="85"/>
      <c r="I62" s="85"/>
      <c r="J62" s="85"/>
      <c r="K62" s="85"/>
    </row>
    <row r="63" spans="1:14" x14ac:dyDescent="0.25">
      <c r="B63" s="114" t="s">
        <v>27</v>
      </c>
      <c r="C63" s="115" t="s">
        <v>28</v>
      </c>
      <c r="D63" s="116" t="s">
        <v>79</v>
      </c>
      <c r="E63" s="116" t="s">
        <v>80</v>
      </c>
      <c r="F63" s="116" t="s">
        <v>35</v>
      </c>
      <c r="G63" s="116" t="s">
        <v>36</v>
      </c>
      <c r="H63" s="116" t="s">
        <v>81</v>
      </c>
      <c r="I63" s="264" t="s">
        <v>56</v>
      </c>
      <c r="J63" s="265"/>
      <c r="K63" s="85"/>
    </row>
    <row r="64" spans="1:14" x14ac:dyDescent="0.25">
      <c r="A64" s="89" t="str">
        <f>_xlfn.CONCAT($B$60,B64)</f>
        <v>Model: M35Intercept</v>
      </c>
      <c r="B64" s="90" t="s">
        <v>13</v>
      </c>
      <c r="C64" s="91">
        <v>1</v>
      </c>
      <c r="D64" s="92">
        <v>-0.17985000000000001</v>
      </c>
      <c r="E64" s="92">
        <v>1.346E-2</v>
      </c>
      <c r="F64" s="92">
        <v>-13.36</v>
      </c>
      <c r="G64" s="93">
        <v>0</v>
      </c>
      <c r="H64" s="92">
        <v>0</v>
      </c>
      <c r="I64" s="92">
        <v>-0.20199</v>
      </c>
      <c r="J64" s="94">
        <v>-0.15770999999999999</v>
      </c>
      <c r="K64" s="85"/>
    </row>
    <row r="65" spans="1:11" x14ac:dyDescent="0.25">
      <c r="A65" s="89" t="str">
        <f t="shared" ref="A65:A70" si="11">_xlfn.CONCAT($B$60,B65)</f>
        <v>Model: M35NRx_pre1</v>
      </c>
      <c r="B65" s="95" t="s">
        <v>39</v>
      </c>
      <c r="C65" s="96">
        <v>1</v>
      </c>
      <c r="D65" s="97">
        <v>1.2167300000000001</v>
      </c>
      <c r="E65" s="97">
        <v>1.0410000000000001E-2</v>
      </c>
      <c r="F65" s="97">
        <v>116.85</v>
      </c>
      <c r="G65" s="98">
        <v>0</v>
      </c>
      <c r="H65" s="97">
        <v>1.07311</v>
      </c>
      <c r="I65" s="97">
        <v>1.1996</v>
      </c>
      <c r="J65" s="99">
        <v>1.23386</v>
      </c>
      <c r="K65" s="85"/>
    </row>
    <row r="66" spans="1:11" x14ac:dyDescent="0.25">
      <c r="A66" s="89" t="str">
        <f t="shared" si="11"/>
        <v>Model: M35MNRx_pre</v>
      </c>
      <c r="B66" s="95" t="s">
        <v>63</v>
      </c>
      <c r="C66" s="96">
        <v>1</v>
      </c>
      <c r="D66" s="97">
        <v>3.9159999999999998E-5</v>
      </c>
      <c r="E66" s="97">
        <v>9.3999999999999998E-6</v>
      </c>
      <c r="F66" s="97">
        <v>4.17</v>
      </c>
      <c r="G66" s="98">
        <v>0</v>
      </c>
      <c r="H66" s="97">
        <v>1.14527</v>
      </c>
      <c r="I66" s="97">
        <v>2.37E-5</v>
      </c>
      <c r="J66" s="99">
        <v>5.4620000000000002E-5</v>
      </c>
      <c r="K66" s="85"/>
    </row>
    <row r="67" spans="1:11" x14ac:dyDescent="0.25">
      <c r="A67" s="89" t="str">
        <f t="shared" si="11"/>
        <v>Model: M35TOT_MMF</v>
      </c>
      <c r="B67" s="95" t="s">
        <v>64</v>
      </c>
      <c r="C67" s="96">
        <v>1</v>
      </c>
      <c r="D67" s="97">
        <v>0.11663</v>
      </c>
      <c r="E67" s="97">
        <v>3.2190000000000003E-2</v>
      </c>
      <c r="F67" s="97">
        <v>3.62</v>
      </c>
      <c r="G67" s="98">
        <v>2.9999999999999997E-4</v>
      </c>
      <c r="H67" s="97">
        <v>1.0622100000000001</v>
      </c>
      <c r="I67" s="97">
        <v>6.3689999999999997E-2</v>
      </c>
      <c r="J67" s="99">
        <v>0.16957</v>
      </c>
      <c r="K67" s="85"/>
    </row>
    <row r="68" spans="1:11" x14ac:dyDescent="0.25">
      <c r="A68" s="89" t="str">
        <f t="shared" si="11"/>
        <v>Model: M35VNRx_cur</v>
      </c>
      <c r="B68" s="95" t="s">
        <v>40</v>
      </c>
      <c r="C68" s="96">
        <v>1</v>
      </c>
      <c r="D68" s="97">
        <v>1.46868</v>
      </c>
      <c r="E68" s="97">
        <v>4.095E-2</v>
      </c>
      <c r="F68" s="97">
        <v>35.869999999999997</v>
      </c>
      <c r="G68" s="98">
        <v>0</v>
      </c>
      <c r="H68" s="97">
        <v>1.0289999999999999</v>
      </c>
      <c r="I68" s="97">
        <v>1.4013199999999999</v>
      </c>
      <c r="J68" s="99">
        <v>1.53603</v>
      </c>
      <c r="K68" s="85"/>
    </row>
    <row r="69" spans="1:11" x14ac:dyDescent="0.25">
      <c r="A69" s="89" t="str">
        <f t="shared" si="11"/>
        <v>Model: M35tot_det_cur</v>
      </c>
      <c r="B69" s="95" t="s">
        <v>41</v>
      </c>
      <c r="C69" s="96">
        <v>1</v>
      </c>
      <c r="D69" s="97">
        <v>3.474E-2</v>
      </c>
      <c r="E69" s="97">
        <v>1.14E-3</v>
      </c>
      <c r="F69" s="97">
        <v>30.41</v>
      </c>
      <c r="G69" s="98">
        <v>0</v>
      </c>
      <c r="H69" s="97">
        <v>1.3344400000000001</v>
      </c>
      <c r="I69" s="97">
        <v>3.286E-2</v>
      </c>
      <c r="J69" s="99">
        <v>3.662E-2</v>
      </c>
      <c r="K69" s="85"/>
    </row>
    <row r="70" spans="1:11" x14ac:dyDescent="0.25">
      <c r="A70" s="89" t="str">
        <f t="shared" si="11"/>
        <v>Model: M35Samples_cur_LN</v>
      </c>
      <c r="B70" s="100" t="s">
        <v>89</v>
      </c>
      <c r="C70" s="101">
        <v>1</v>
      </c>
      <c r="D70" s="102">
        <v>7.1639999999999995E-2</v>
      </c>
      <c r="E70" s="102">
        <v>3.8999999999999998E-3</v>
      </c>
      <c r="F70" s="102">
        <v>18.36</v>
      </c>
      <c r="G70" s="103">
        <v>0</v>
      </c>
      <c r="H70" s="102">
        <v>1.1926399999999999</v>
      </c>
      <c r="I70" s="102">
        <v>6.522E-2</v>
      </c>
      <c r="J70" s="104">
        <v>7.8060000000000004E-2</v>
      </c>
      <c r="K70" s="85"/>
    </row>
    <row r="71" spans="1:11" x14ac:dyDescent="0.25">
      <c r="B71" s="85"/>
      <c r="C71" s="85"/>
      <c r="D71" s="85"/>
      <c r="E71" s="85"/>
      <c r="F71" s="85"/>
      <c r="G71" s="85"/>
      <c r="H71" s="85"/>
      <c r="I71" s="85"/>
      <c r="J71" s="85"/>
      <c r="K71" s="85"/>
    </row>
    <row r="72" spans="1:11" x14ac:dyDescent="0.25">
      <c r="B72" s="85" t="s">
        <v>74</v>
      </c>
      <c r="C72" s="85"/>
      <c r="D72" s="85"/>
      <c r="E72" s="85"/>
      <c r="F72" s="85"/>
      <c r="G72" s="85"/>
      <c r="H72" s="85"/>
      <c r="I72" s="85"/>
      <c r="J72" s="85"/>
      <c r="K72" s="85"/>
    </row>
    <row r="73" spans="1:11" x14ac:dyDescent="0.25">
      <c r="B73" s="85" t="s">
        <v>73</v>
      </c>
      <c r="C73" s="85"/>
      <c r="D73" s="85"/>
      <c r="E73" s="85"/>
      <c r="F73" s="85"/>
      <c r="G73" s="85"/>
      <c r="H73" s="85"/>
      <c r="I73" s="85"/>
      <c r="J73" s="85"/>
      <c r="K73" s="85"/>
    </row>
    <row r="74" spans="1:11" x14ac:dyDescent="0.25">
      <c r="B74" s="85" t="s">
        <v>87</v>
      </c>
      <c r="C74" s="85"/>
      <c r="D74" s="85"/>
      <c r="E74" s="85"/>
      <c r="F74" s="85"/>
      <c r="G74" s="85"/>
      <c r="H74" s="85"/>
      <c r="I74" s="85"/>
      <c r="J74" s="85"/>
      <c r="K74" s="85"/>
    </row>
    <row r="75" spans="1:11" x14ac:dyDescent="0.25">
      <c r="B75" s="85"/>
      <c r="C75" s="85"/>
      <c r="D75" s="85"/>
      <c r="E75" s="85"/>
      <c r="F75" s="85"/>
      <c r="G75" s="85"/>
      <c r="H75" s="85"/>
      <c r="I75" s="85"/>
      <c r="J75" s="85"/>
      <c r="K75" s="85"/>
    </row>
    <row r="76" spans="1:11" x14ac:dyDescent="0.25">
      <c r="B76" s="114" t="s">
        <v>27</v>
      </c>
      <c r="C76" s="115" t="s">
        <v>28</v>
      </c>
      <c r="D76" s="116" t="s">
        <v>79</v>
      </c>
      <c r="E76" s="116" t="s">
        <v>80</v>
      </c>
      <c r="F76" s="116" t="s">
        <v>35</v>
      </c>
      <c r="G76" s="116" t="s">
        <v>36</v>
      </c>
      <c r="H76" s="116" t="s">
        <v>81</v>
      </c>
      <c r="I76" s="264" t="s">
        <v>56</v>
      </c>
      <c r="J76" s="265"/>
      <c r="K76" s="85"/>
    </row>
    <row r="77" spans="1:11" x14ac:dyDescent="0.25">
      <c r="A77" s="89" t="str">
        <f>_xlfn.CONCAT($B$73,B77)</f>
        <v>Model: M36Intercept</v>
      </c>
      <c r="B77" s="90" t="s">
        <v>13</v>
      </c>
      <c r="C77" s="91">
        <v>1</v>
      </c>
      <c r="D77" s="92">
        <v>-0.19622999999999999</v>
      </c>
      <c r="E77" s="92">
        <v>1.29E-2</v>
      </c>
      <c r="F77" s="92">
        <v>-15.21</v>
      </c>
      <c r="G77" s="93">
        <v>0</v>
      </c>
      <c r="H77" s="92">
        <v>0</v>
      </c>
      <c r="I77" s="92">
        <v>-0.21745999999999999</v>
      </c>
      <c r="J77" s="94">
        <v>-0.17501</v>
      </c>
      <c r="K77" s="85"/>
    </row>
    <row r="78" spans="1:11" x14ac:dyDescent="0.25">
      <c r="A78" s="89" t="str">
        <f t="shared" ref="A78:A83" si="12">_xlfn.CONCAT($B$73,B78)</f>
        <v>Model: M36NRx_pre1</v>
      </c>
      <c r="B78" s="95" t="s">
        <v>39</v>
      </c>
      <c r="C78" s="96">
        <v>1</v>
      </c>
      <c r="D78" s="97">
        <v>1.1647000000000001</v>
      </c>
      <c r="E78" s="97">
        <v>1.038E-2</v>
      </c>
      <c r="F78" s="97">
        <v>112.16</v>
      </c>
      <c r="G78" s="98">
        <v>0</v>
      </c>
      <c r="H78" s="97">
        <v>1.1005499999999999</v>
      </c>
      <c r="I78" s="97">
        <v>1.1476200000000001</v>
      </c>
      <c r="J78" s="99">
        <v>1.1817800000000001</v>
      </c>
      <c r="K78" s="85"/>
    </row>
    <row r="79" spans="1:11" x14ac:dyDescent="0.25">
      <c r="A79" s="89" t="str">
        <f t="shared" si="12"/>
        <v>Model: M36MNRx_pre</v>
      </c>
      <c r="B79" s="95" t="s">
        <v>63</v>
      </c>
      <c r="C79" s="96">
        <v>1</v>
      </c>
      <c r="D79" s="97">
        <v>1.6690000000000001E-5</v>
      </c>
      <c r="E79" s="97">
        <v>9.2499999999999995E-6</v>
      </c>
      <c r="F79" s="97">
        <v>1.8</v>
      </c>
      <c r="G79" s="98">
        <v>7.1099999999999997E-2</v>
      </c>
      <c r="H79" s="97">
        <v>1.1428700000000001</v>
      </c>
      <c r="I79" s="97">
        <v>1.48E-6</v>
      </c>
      <c r="J79" s="99">
        <v>3.1900000000000003E-5</v>
      </c>
      <c r="K79" s="85"/>
    </row>
    <row r="80" spans="1:11" x14ac:dyDescent="0.25">
      <c r="A80" s="89" t="str">
        <f t="shared" si="12"/>
        <v>Model: M36TOT_MMF</v>
      </c>
      <c r="B80" s="95" t="s">
        <v>64</v>
      </c>
      <c r="C80" s="96">
        <v>1</v>
      </c>
      <c r="D80" s="97">
        <v>0.10967</v>
      </c>
      <c r="E80" s="97">
        <v>3.1690000000000003E-2</v>
      </c>
      <c r="F80" s="97">
        <v>3.46</v>
      </c>
      <c r="G80" s="98">
        <v>5.0000000000000001E-4</v>
      </c>
      <c r="H80" s="97">
        <v>1.06226</v>
      </c>
      <c r="I80" s="97">
        <v>5.7529999999999998E-2</v>
      </c>
      <c r="J80" s="99">
        <v>0.1618</v>
      </c>
      <c r="K80" s="85"/>
    </row>
    <row r="81" spans="1:11" x14ac:dyDescent="0.25">
      <c r="A81" s="89" t="str">
        <f t="shared" si="12"/>
        <v>Model: M36VNRx_cur</v>
      </c>
      <c r="B81" s="95" t="s">
        <v>40</v>
      </c>
      <c r="C81" s="96">
        <v>1</v>
      </c>
      <c r="D81" s="97">
        <v>1.3638699999999999</v>
      </c>
      <c r="E81" s="97">
        <v>4.045E-2</v>
      </c>
      <c r="F81" s="97">
        <v>33.72</v>
      </c>
      <c r="G81" s="98">
        <v>0</v>
      </c>
      <c r="H81" s="97">
        <v>1.0356000000000001</v>
      </c>
      <c r="I81" s="97">
        <v>1.2973300000000001</v>
      </c>
      <c r="J81" s="99">
        <v>1.43041</v>
      </c>
      <c r="K81" s="85"/>
    </row>
    <row r="82" spans="1:11" x14ac:dyDescent="0.25">
      <c r="A82" s="89" t="str">
        <f t="shared" si="12"/>
        <v>Model: M36tot_det_cur</v>
      </c>
      <c r="B82" s="95" t="s">
        <v>41</v>
      </c>
      <c r="C82" s="96">
        <v>1</v>
      </c>
      <c r="D82" s="97">
        <v>2.5520000000000001E-2</v>
      </c>
      <c r="E82" s="97">
        <v>1.15E-3</v>
      </c>
      <c r="F82" s="97">
        <v>22.1</v>
      </c>
      <c r="G82" s="98">
        <v>0</v>
      </c>
      <c r="H82" s="97">
        <v>1.4067000000000001</v>
      </c>
      <c r="I82" s="97">
        <v>2.3619999999999999E-2</v>
      </c>
      <c r="J82" s="99">
        <v>2.742E-2</v>
      </c>
      <c r="K82" s="85"/>
    </row>
    <row r="83" spans="1:11" x14ac:dyDescent="0.25">
      <c r="A83" s="89" t="str">
        <f t="shared" si="12"/>
        <v>Model: M36Samples_cur_ROOT</v>
      </c>
      <c r="B83" s="100" t="s">
        <v>90</v>
      </c>
      <c r="C83" s="101">
        <v>1</v>
      </c>
      <c r="D83" s="102">
        <v>5.3249999999999999E-2</v>
      </c>
      <c r="E83" s="102">
        <v>1.4499999999999999E-3</v>
      </c>
      <c r="F83" s="102">
        <v>36.74</v>
      </c>
      <c r="G83" s="103">
        <v>0</v>
      </c>
      <c r="H83" s="102">
        <v>1.34097</v>
      </c>
      <c r="I83" s="102">
        <v>5.0860000000000002E-2</v>
      </c>
      <c r="J83" s="104">
        <v>5.5629999999999999E-2</v>
      </c>
      <c r="K83" s="85"/>
    </row>
    <row r="84" spans="1:11" x14ac:dyDescent="0.25">
      <c r="K84" s="85"/>
    </row>
    <row r="85" spans="1:11" x14ac:dyDescent="0.25">
      <c r="B85" t="s">
        <v>74</v>
      </c>
      <c r="K85" s="85"/>
    </row>
    <row r="86" spans="1:11" x14ac:dyDescent="0.25">
      <c r="B86" t="s">
        <v>91</v>
      </c>
      <c r="K86" s="85"/>
    </row>
    <row r="87" spans="1:11" x14ac:dyDescent="0.25">
      <c r="B87" t="s">
        <v>87</v>
      </c>
      <c r="K87" s="85"/>
    </row>
    <row r="88" spans="1:11" x14ac:dyDescent="0.25">
      <c r="K88" s="85"/>
    </row>
    <row r="89" spans="1:11" x14ac:dyDescent="0.25">
      <c r="B89" s="90" t="s">
        <v>27</v>
      </c>
      <c r="C89" s="91" t="s">
        <v>28</v>
      </c>
      <c r="D89" s="105" t="s">
        <v>79</v>
      </c>
      <c r="E89" s="105" t="s">
        <v>80</v>
      </c>
      <c r="F89" s="105" t="s">
        <v>35</v>
      </c>
      <c r="G89" s="105" t="s">
        <v>36</v>
      </c>
      <c r="H89" s="105" t="s">
        <v>81</v>
      </c>
      <c r="I89" s="260" t="s">
        <v>56</v>
      </c>
      <c r="J89" s="261"/>
      <c r="K89" s="85"/>
    </row>
    <row r="90" spans="1:11" x14ac:dyDescent="0.25">
      <c r="A90" s="89" t="str">
        <f>_xlfn.CONCAT($B$86,B90)</f>
        <v>Model: M37Intercept</v>
      </c>
      <c r="B90" s="90" t="s">
        <v>13</v>
      </c>
      <c r="C90" s="105">
        <v>1</v>
      </c>
      <c r="D90" s="92">
        <v>-8.7099999999999997E-2</v>
      </c>
      <c r="E90" s="92">
        <v>1.244E-2</v>
      </c>
      <c r="F90" s="92">
        <v>-7</v>
      </c>
      <c r="G90" s="93">
        <v>0</v>
      </c>
      <c r="H90" s="92">
        <v>0</v>
      </c>
      <c r="I90" s="92">
        <v>-0.10757</v>
      </c>
      <c r="J90" s="94">
        <v>-6.6629999999999995E-2</v>
      </c>
      <c r="K90" s="85"/>
    </row>
    <row r="91" spans="1:11" x14ac:dyDescent="0.25">
      <c r="A91" s="89" t="str">
        <f t="shared" ref="A91:A98" si="13">_xlfn.CONCAT($B$86,B91)</f>
        <v>Model: M37NRx_pre1</v>
      </c>
      <c r="B91" s="95" t="s">
        <v>39</v>
      </c>
      <c r="C91">
        <v>1</v>
      </c>
      <c r="D91" s="97">
        <v>1.0447500000000001</v>
      </c>
      <c r="E91" s="97">
        <v>1.039E-2</v>
      </c>
      <c r="F91" s="97">
        <v>100.54</v>
      </c>
      <c r="G91" s="98">
        <v>0</v>
      </c>
      <c r="H91" s="97">
        <v>1.1753199999999999</v>
      </c>
      <c r="I91" s="97">
        <v>1.02766</v>
      </c>
      <c r="J91" s="99">
        <v>1.06185</v>
      </c>
      <c r="K91" s="85"/>
    </row>
    <row r="92" spans="1:11" x14ac:dyDescent="0.25">
      <c r="A92" s="89" t="str">
        <f t="shared" si="13"/>
        <v>Model: M37MNRx_pre</v>
      </c>
      <c r="B92" s="95" t="s">
        <v>63</v>
      </c>
      <c r="C92">
        <v>1</v>
      </c>
      <c r="D92" s="97">
        <v>2.584E-5</v>
      </c>
      <c r="E92" s="97">
        <v>8.9400000000000008E-6</v>
      </c>
      <c r="F92" s="97">
        <v>2.89</v>
      </c>
      <c r="G92" s="98">
        <v>3.8E-3</v>
      </c>
      <c r="H92" s="97">
        <v>1.13828</v>
      </c>
      <c r="I92" s="97">
        <v>1.114E-5</v>
      </c>
      <c r="J92" s="99">
        <v>4.0540000000000001E-5</v>
      </c>
      <c r="K92" s="85"/>
    </row>
    <row r="93" spans="1:11" x14ac:dyDescent="0.25">
      <c r="A93" s="89" t="str">
        <f t="shared" si="13"/>
        <v>Model: M37TOT_MMF</v>
      </c>
      <c r="B93" s="95" t="s">
        <v>64</v>
      </c>
      <c r="C93">
        <v>1</v>
      </c>
      <c r="D93" s="97">
        <v>0.11705</v>
      </c>
      <c r="E93" s="97">
        <v>3.0700000000000002E-2</v>
      </c>
      <c r="F93" s="97">
        <v>3.81</v>
      </c>
      <c r="G93" s="98">
        <v>1E-4</v>
      </c>
      <c r="H93" s="97">
        <v>1.06267</v>
      </c>
      <c r="I93" s="97">
        <v>6.6559999999999994E-2</v>
      </c>
      <c r="J93" s="99">
        <v>0.16753999999999999</v>
      </c>
      <c r="K93" s="85"/>
    </row>
    <row r="94" spans="1:11" x14ac:dyDescent="0.25">
      <c r="A94" s="89" t="str">
        <f t="shared" si="13"/>
        <v>Model: M37VNRx_cur</v>
      </c>
      <c r="B94" s="95" t="s">
        <v>40</v>
      </c>
      <c r="C94">
        <v>1</v>
      </c>
      <c r="D94" s="97">
        <v>0.99992000000000003</v>
      </c>
      <c r="E94" s="97">
        <v>4.0120000000000003E-2</v>
      </c>
      <c r="F94" s="97">
        <v>24.93</v>
      </c>
      <c r="G94" s="98">
        <v>0</v>
      </c>
      <c r="H94" s="97">
        <v>1.0861700000000001</v>
      </c>
      <c r="I94" s="97">
        <v>0.93393999999999999</v>
      </c>
      <c r="J94" s="99">
        <v>1.0659099999999999</v>
      </c>
      <c r="K94" s="85"/>
    </row>
    <row r="95" spans="1:11" x14ac:dyDescent="0.25">
      <c r="A95" s="89" t="str">
        <f t="shared" si="13"/>
        <v>Model: M37tot_det_cur</v>
      </c>
      <c r="B95" s="95" t="s">
        <v>41</v>
      </c>
      <c r="C95">
        <v>1</v>
      </c>
      <c r="D95" s="97">
        <v>2.0420000000000001E-2</v>
      </c>
      <c r="E95" s="97">
        <v>1.1299999999999999E-3</v>
      </c>
      <c r="F95" s="97">
        <v>18.07</v>
      </c>
      <c r="G95" s="98">
        <v>0</v>
      </c>
      <c r="H95" s="97">
        <v>1.4377200000000001</v>
      </c>
      <c r="I95" s="97">
        <v>1.856E-2</v>
      </c>
      <c r="J95" s="99">
        <v>2.2280000000000001E-2</v>
      </c>
      <c r="K95" s="85"/>
    </row>
    <row r="96" spans="1:11" x14ac:dyDescent="0.25">
      <c r="A96" s="89" t="str">
        <f t="shared" si="13"/>
        <v>Model: M37Samples_cur</v>
      </c>
      <c r="B96" s="95" t="s">
        <v>42</v>
      </c>
      <c r="C96">
        <v>1</v>
      </c>
      <c r="D96" s="97">
        <v>1.9499999999999999E-3</v>
      </c>
      <c r="E96" s="97">
        <v>1.2886000000000001E-4</v>
      </c>
      <c r="F96" s="97">
        <v>15.15</v>
      </c>
      <c r="G96" s="98">
        <v>0</v>
      </c>
      <c r="H96" s="97">
        <v>6.31</v>
      </c>
      <c r="I96" s="97">
        <v>1.74E-3</v>
      </c>
      <c r="J96" s="99">
        <v>2.16E-3</v>
      </c>
      <c r="K96" s="85"/>
    </row>
    <row r="97" spans="1:11" x14ac:dyDescent="0.25">
      <c r="A97" s="89" t="str">
        <f t="shared" si="13"/>
        <v>Model: M37Samples_cur_sq</v>
      </c>
      <c r="B97" s="95" t="s">
        <v>43</v>
      </c>
      <c r="C97">
        <v>1</v>
      </c>
      <c r="D97" s="97">
        <v>2.3999999999999999E-6</v>
      </c>
      <c r="E97" s="97">
        <v>1.820167E-7</v>
      </c>
      <c r="F97" s="97">
        <v>13.16</v>
      </c>
      <c r="G97" s="98">
        <v>0</v>
      </c>
      <c r="H97" s="97">
        <v>29.94772</v>
      </c>
      <c r="I97" s="97">
        <v>2.0999999999999998E-6</v>
      </c>
      <c r="J97" s="99">
        <v>2.7E-6</v>
      </c>
      <c r="K97" s="85"/>
    </row>
    <row r="98" spans="1:11" x14ac:dyDescent="0.25">
      <c r="A98" s="89" t="str">
        <f t="shared" si="13"/>
        <v>Model: M37Samples_cur_cub</v>
      </c>
      <c r="B98" s="100" t="s">
        <v>92</v>
      </c>
      <c r="C98" s="106">
        <v>1</v>
      </c>
      <c r="D98" s="102">
        <v>-5.6029000000000004E-10</v>
      </c>
      <c r="E98" s="102">
        <v>5.1425299999999998E-11</v>
      </c>
      <c r="F98" s="102">
        <v>-10.9</v>
      </c>
      <c r="G98" s="103">
        <v>0</v>
      </c>
      <c r="H98" s="102">
        <v>16.691289999999999</v>
      </c>
      <c r="I98" s="102">
        <v>-6.4487999999999995E-10</v>
      </c>
      <c r="J98" s="104">
        <v>-4.7570000000000002E-10</v>
      </c>
      <c r="K98" s="85"/>
    </row>
    <row r="99" spans="1:11" x14ac:dyDescent="0.25">
      <c r="B99" s="85"/>
      <c r="C99" s="85"/>
      <c r="D99" s="85"/>
      <c r="E99" s="85"/>
      <c r="F99" s="85"/>
      <c r="G99" s="85"/>
      <c r="H99" s="85"/>
      <c r="I99" s="85"/>
      <c r="J99" s="85"/>
      <c r="K99" s="85"/>
    </row>
    <row r="100" spans="1:11" x14ac:dyDescent="0.25">
      <c r="B100" t="s">
        <v>74</v>
      </c>
    </row>
    <row r="101" spans="1:11" x14ac:dyDescent="0.25">
      <c r="B101" t="s">
        <v>113</v>
      </c>
    </row>
    <row r="102" spans="1:11" x14ac:dyDescent="0.25">
      <c r="B102" t="s">
        <v>87</v>
      </c>
    </row>
    <row r="104" spans="1:11" x14ac:dyDescent="0.25">
      <c r="B104" s="90" t="s">
        <v>27</v>
      </c>
      <c r="C104" s="151" t="s">
        <v>28</v>
      </c>
      <c r="D104" s="150" t="s">
        <v>79</v>
      </c>
      <c r="E104" s="150" t="s">
        <v>80</v>
      </c>
      <c r="F104" s="150" t="s">
        <v>35</v>
      </c>
      <c r="G104" s="150" t="s">
        <v>36</v>
      </c>
      <c r="H104" s="150" t="s">
        <v>81</v>
      </c>
      <c r="I104" s="260" t="s">
        <v>56</v>
      </c>
      <c r="J104" s="261"/>
    </row>
    <row r="105" spans="1:11" x14ac:dyDescent="0.25">
      <c r="A105" s="89" t="str">
        <f>_xlfn.CONCAT($B$101,B105)</f>
        <v>Model: M38Intercept</v>
      </c>
      <c r="B105" t="s">
        <v>13</v>
      </c>
      <c r="C105">
        <v>1</v>
      </c>
      <c r="D105">
        <v>-0.23383999999999999</v>
      </c>
      <c r="E105">
        <v>0.13392000000000001</v>
      </c>
      <c r="F105">
        <v>-1.75</v>
      </c>
      <c r="G105">
        <v>8.0799999999999997E-2</v>
      </c>
      <c r="H105">
        <v>0</v>
      </c>
      <c r="I105">
        <v>-0.45412999999999998</v>
      </c>
      <c r="J105">
        <v>-1.355E-2</v>
      </c>
    </row>
    <row r="106" spans="1:11" x14ac:dyDescent="0.25">
      <c r="A106" s="89" t="str">
        <f t="shared" ref="A106:A113" si="14">_xlfn.CONCAT($B$101,B106)</f>
        <v>Model: M38NRx_pre1</v>
      </c>
      <c r="B106" t="s">
        <v>39</v>
      </c>
      <c r="C106">
        <v>1</v>
      </c>
      <c r="D106">
        <v>1.0605500000000001</v>
      </c>
      <c r="E106">
        <v>1.0359999999999999E-2</v>
      </c>
      <c r="F106">
        <v>102.4</v>
      </c>
      <c r="G106">
        <v>0</v>
      </c>
      <c r="H106">
        <v>1.1608499999999999</v>
      </c>
      <c r="I106">
        <v>1.0435099999999999</v>
      </c>
      <c r="J106">
        <v>1.07759</v>
      </c>
    </row>
    <row r="107" spans="1:11" x14ac:dyDescent="0.25">
      <c r="A107" s="89" t="str">
        <f t="shared" si="14"/>
        <v>Model: M38MNRx_pre</v>
      </c>
      <c r="B107" t="s">
        <v>63</v>
      </c>
      <c r="C107">
        <v>1</v>
      </c>
      <c r="D107">
        <v>9.7499999999999998E-6</v>
      </c>
      <c r="E107">
        <v>9.0499999999999997E-6</v>
      </c>
      <c r="F107">
        <v>1.08</v>
      </c>
      <c r="G107">
        <v>0.28179999999999999</v>
      </c>
      <c r="H107">
        <v>1.16184</v>
      </c>
      <c r="I107">
        <v>-5.1499999999999998E-6</v>
      </c>
      <c r="J107">
        <v>2.4640000000000001E-5</v>
      </c>
    </row>
    <row r="108" spans="1:11" x14ac:dyDescent="0.25">
      <c r="A108" s="89" t="str">
        <f t="shared" si="14"/>
        <v>Model: M38TOT_MMF</v>
      </c>
      <c r="B108" t="s">
        <v>64</v>
      </c>
      <c r="C108">
        <v>1</v>
      </c>
      <c r="D108">
        <v>0.10875</v>
      </c>
      <c r="E108">
        <v>3.0779999999999998E-2</v>
      </c>
      <c r="F108">
        <v>3.53</v>
      </c>
      <c r="G108">
        <v>4.0000000000000002E-4</v>
      </c>
      <c r="H108">
        <v>1.0625100000000001</v>
      </c>
      <c r="I108">
        <v>5.8110000000000002E-2</v>
      </c>
      <c r="J108">
        <v>0.15939</v>
      </c>
    </row>
    <row r="109" spans="1:11" x14ac:dyDescent="0.25">
      <c r="A109" s="89" t="str">
        <f t="shared" si="14"/>
        <v>Model: M38VNRx_cur</v>
      </c>
      <c r="B109" t="s">
        <v>40</v>
      </c>
      <c r="C109">
        <v>1</v>
      </c>
      <c r="D109">
        <v>1.0803799999999999</v>
      </c>
      <c r="E109">
        <v>3.9780000000000003E-2</v>
      </c>
      <c r="F109">
        <v>27.16</v>
      </c>
      <c r="G109">
        <v>0</v>
      </c>
      <c r="H109">
        <v>1.0616300000000001</v>
      </c>
      <c r="I109">
        <v>1.01495</v>
      </c>
      <c r="J109">
        <v>1.14581</v>
      </c>
    </row>
    <row r="110" spans="1:11" x14ac:dyDescent="0.25">
      <c r="A110" s="89" t="str">
        <f t="shared" si="14"/>
        <v>Model: M38tot_det_cur</v>
      </c>
      <c r="B110" t="s">
        <v>41</v>
      </c>
      <c r="C110">
        <v>1</v>
      </c>
      <c r="D110">
        <v>1.6979999999999999E-2</v>
      </c>
      <c r="E110">
        <v>1.16E-3</v>
      </c>
      <c r="F110">
        <v>14.65</v>
      </c>
      <c r="G110">
        <v>0</v>
      </c>
      <c r="H110">
        <v>1.5024999999999999</v>
      </c>
      <c r="I110">
        <v>1.508E-2</v>
      </c>
      <c r="J110">
        <v>1.8890000000000001E-2</v>
      </c>
    </row>
    <row r="111" spans="1:11" x14ac:dyDescent="0.25">
      <c r="A111" s="89" t="str">
        <f t="shared" si="14"/>
        <v>Model: M38Samples_cur</v>
      </c>
      <c r="B111" t="s">
        <v>42</v>
      </c>
      <c r="C111">
        <v>1</v>
      </c>
      <c r="D111">
        <v>3.5699999999999998E-3</v>
      </c>
      <c r="E111">
        <v>6.156E-5</v>
      </c>
      <c r="F111">
        <v>57.95</v>
      </c>
      <c r="G111">
        <v>0</v>
      </c>
      <c r="H111">
        <v>1.43136</v>
      </c>
      <c r="I111">
        <v>3.47E-3</v>
      </c>
      <c r="J111">
        <v>3.6700000000000001E-3</v>
      </c>
    </row>
    <row r="112" spans="1:11" x14ac:dyDescent="0.25">
      <c r="A112" s="89" t="str">
        <f t="shared" si="14"/>
        <v>Model: M38PCPIND</v>
      </c>
      <c r="B112" t="s">
        <v>86</v>
      </c>
      <c r="C112">
        <v>1</v>
      </c>
      <c r="D112">
        <v>0.11307</v>
      </c>
      <c r="E112">
        <v>0.13427</v>
      </c>
      <c r="F112">
        <v>0.84</v>
      </c>
      <c r="G112">
        <v>0.3997</v>
      </c>
      <c r="H112">
        <v>1.00265</v>
      </c>
      <c r="I112">
        <v>-0.10779</v>
      </c>
      <c r="J112">
        <v>0.33391999999999999</v>
      </c>
    </row>
    <row r="113" spans="1:10" x14ac:dyDescent="0.25">
      <c r="A113" s="89" t="str">
        <f t="shared" si="14"/>
        <v>Model: M38NPP_eng_cur</v>
      </c>
      <c r="B113" t="s">
        <v>109</v>
      </c>
      <c r="C113">
        <v>1</v>
      </c>
      <c r="D113">
        <v>3.14E-3</v>
      </c>
      <c r="E113">
        <v>8.8197999999999998E-4</v>
      </c>
      <c r="F113">
        <v>3.56</v>
      </c>
      <c r="G113">
        <v>4.0000000000000002E-4</v>
      </c>
      <c r="H113">
        <v>1.1747300000000001</v>
      </c>
      <c r="I113">
        <v>1.6900000000000001E-3</v>
      </c>
      <c r="J113">
        <v>4.5999999999999999E-3</v>
      </c>
    </row>
    <row r="115" spans="1:10" x14ac:dyDescent="0.25">
      <c r="B115" t="s">
        <v>74</v>
      </c>
    </row>
    <row r="116" spans="1:10" x14ac:dyDescent="0.25">
      <c r="B116" t="s">
        <v>114</v>
      </c>
    </row>
    <row r="117" spans="1:10" x14ac:dyDescent="0.25">
      <c r="B117" t="s">
        <v>87</v>
      </c>
    </row>
    <row r="119" spans="1:10" x14ac:dyDescent="0.25">
      <c r="B119" s="107" t="s">
        <v>27</v>
      </c>
      <c r="C119" s="153" t="s">
        <v>28</v>
      </c>
      <c r="D119" s="152" t="s">
        <v>79</v>
      </c>
      <c r="E119" s="152" t="s">
        <v>80</v>
      </c>
      <c r="F119" s="152" t="s">
        <v>35</v>
      </c>
      <c r="G119" s="152" t="s">
        <v>36</v>
      </c>
      <c r="H119" s="152" t="s">
        <v>81</v>
      </c>
      <c r="I119" s="152" t="s">
        <v>56</v>
      </c>
      <c r="J119" s="153"/>
    </row>
    <row r="120" spans="1:10" x14ac:dyDescent="0.25">
      <c r="A120" s="89" t="str">
        <f>_xlfn.CONCAT($B$116,B120)</f>
        <v>Model: M39Intercept</v>
      </c>
      <c r="B120" t="s">
        <v>13</v>
      </c>
      <c r="C120">
        <v>1</v>
      </c>
      <c r="D120" s="156">
        <v>-0.11</v>
      </c>
      <c r="E120">
        <v>1.2449999999999999E-2</v>
      </c>
      <c r="F120">
        <v>-8.84</v>
      </c>
      <c r="G120" t="s">
        <v>108</v>
      </c>
      <c r="H120">
        <v>0</v>
      </c>
      <c r="I120">
        <v>-0.13047</v>
      </c>
      <c r="J120">
        <v>-8.9529999999999998E-2</v>
      </c>
    </row>
    <row r="121" spans="1:10" x14ac:dyDescent="0.25">
      <c r="A121" s="89" t="str">
        <f t="shared" ref="A121:A128" si="15">_xlfn.CONCAT($B$116,B121)</f>
        <v>Model: M39NRx_pre1</v>
      </c>
      <c r="B121" t="s">
        <v>39</v>
      </c>
      <c r="C121">
        <v>1</v>
      </c>
      <c r="D121" s="157">
        <v>1.0544</v>
      </c>
      <c r="E121">
        <v>1.0370000000000001E-2</v>
      </c>
      <c r="F121">
        <v>101.72</v>
      </c>
      <c r="G121" t="s">
        <v>108</v>
      </c>
      <c r="H121">
        <v>1.16577</v>
      </c>
      <c r="I121">
        <v>1.03735</v>
      </c>
      <c r="J121">
        <v>1.07145</v>
      </c>
    </row>
    <row r="122" spans="1:10" x14ac:dyDescent="0.25">
      <c r="A122" s="89" t="str">
        <f t="shared" si="15"/>
        <v>Model: M39MNRx_pre</v>
      </c>
      <c r="B122" t="s">
        <v>63</v>
      </c>
      <c r="C122">
        <v>1</v>
      </c>
      <c r="D122" s="157">
        <v>1.471E-5</v>
      </c>
      <c r="E122">
        <v>9.0499999999999997E-6</v>
      </c>
      <c r="F122">
        <v>1.63</v>
      </c>
      <c r="G122">
        <v>0.1041</v>
      </c>
      <c r="H122">
        <v>1.16367</v>
      </c>
      <c r="I122" s="155">
        <v>-1.7811E-7</v>
      </c>
      <c r="J122">
        <v>2.959E-5</v>
      </c>
    </row>
    <row r="123" spans="1:10" x14ac:dyDescent="0.25">
      <c r="A123" s="89" t="str">
        <f t="shared" si="15"/>
        <v>Model: M39TOT_MMF</v>
      </c>
      <c r="B123" t="s">
        <v>64</v>
      </c>
      <c r="C123">
        <v>1</v>
      </c>
      <c r="D123" s="157">
        <v>0.11454</v>
      </c>
      <c r="E123">
        <v>3.075E-2</v>
      </c>
      <c r="F123">
        <v>3.72</v>
      </c>
      <c r="G123">
        <v>2.0000000000000001E-4</v>
      </c>
      <c r="H123">
        <v>1.0629299999999999</v>
      </c>
      <c r="I123">
        <v>6.3960000000000003E-2</v>
      </c>
      <c r="J123">
        <v>0.16511999999999999</v>
      </c>
    </row>
    <row r="124" spans="1:10" x14ac:dyDescent="0.25">
      <c r="A124" s="89" t="str">
        <f t="shared" si="15"/>
        <v>Model: M39VNRx_cur</v>
      </c>
      <c r="B124" t="s">
        <v>40</v>
      </c>
      <c r="C124">
        <v>1</v>
      </c>
      <c r="D124" s="157">
        <v>1.0325599999999999</v>
      </c>
      <c r="E124">
        <v>4.0070000000000001E-2</v>
      </c>
      <c r="F124">
        <v>25.77</v>
      </c>
      <c r="G124" t="s">
        <v>108</v>
      </c>
      <c r="H124">
        <v>1.0799799999999999</v>
      </c>
      <c r="I124">
        <v>0.96665999999999996</v>
      </c>
      <c r="J124">
        <v>1.0984700000000001</v>
      </c>
    </row>
    <row r="125" spans="1:10" x14ac:dyDescent="0.25">
      <c r="A125" s="89" t="str">
        <f t="shared" si="15"/>
        <v>Model: M39tot_det_cur</v>
      </c>
      <c r="B125" t="s">
        <v>41</v>
      </c>
      <c r="C125">
        <v>1</v>
      </c>
      <c r="D125" s="157">
        <v>1.8620000000000001E-2</v>
      </c>
      <c r="E125">
        <v>1.17E-3</v>
      </c>
      <c r="F125">
        <v>15.91</v>
      </c>
      <c r="G125" t="s">
        <v>108</v>
      </c>
      <c r="H125">
        <v>1.5376099999999999</v>
      </c>
      <c r="I125">
        <v>1.67E-2</v>
      </c>
      <c r="J125">
        <v>2.0549999999999999E-2</v>
      </c>
    </row>
    <row r="126" spans="1:10" x14ac:dyDescent="0.25">
      <c r="A126" s="89" t="str">
        <f t="shared" si="15"/>
        <v>Model: M39Samples_cur</v>
      </c>
      <c r="B126" t="s">
        <v>42</v>
      </c>
      <c r="C126">
        <v>1</v>
      </c>
      <c r="D126" s="157">
        <v>2.9299999999999999E-3</v>
      </c>
      <c r="E126">
        <v>9.2689999999999995E-5</v>
      </c>
      <c r="F126">
        <v>31.61</v>
      </c>
      <c r="G126" t="s">
        <v>108</v>
      </c>
      <c r="H126">
        <v>3.2542499999999999</v>
      </c>
      <c r="I126">
        <v>2.7799999999999999E-3</v>
      </c>
      <c r="J126">
        <v>3.0799999999999998E-3</v>
      </c>
    </row>
    <row r="127" spans="1:10" x14ac:dyDescent="0.25">
      <c r="A127" s="89" t="str">
        <f t="shared" si="15"/>
        <v>Model: M39Samples_cur_sq</v>
      </c>
      <c r="B127" t="s">
        <v>43</v>
      </c>
      <c r="C127">
        <v>1</v>
      </c>
      <c r="D127" s="158">
        <v>5.0828759999999998E-7</v>
      </c>
      <c r="E127" s="155">
        <v>5.5405499999999999E-8</v>
      </c>
      <c r="F127">
        <v>9.17</v>
      </c>
      <c r="G127" t="s">
        <v>108</v>
      </c>
      <c r="H127">
        <v>2.7658200000000002</v>
      </c>
      <c r="I127" s="155">
        <v>4.1715110000000002E-7</v>
      </c>
      <c r="J127" s="155">
        <v>5.9942420000000005E-7</v>
      </c>
    </row>
    <row r="128" spans="1:10" x14ac:dyDescent="0.25">
      <c r="A128" s="89" t="str">
        <f t="shared" si="15"/>
        <v>Model: M39NPP_eng_cur</v>
      </c>
      <c r="B128" t="s">
        <v>109</v>
      </c>
      <c r="C128">
        <v>1</v>
      </c>
      <c r="D128" s="158">
        <v>3.2100000000000002E-3</v>
      </c>
      <c r="E128">
        <v>8.8082000000000004E-4</v>
      </c>
      <c r="F128">
        <v>3.65</v>
      </c>
      <c r="G128">
        <v>2.9999999999999997E-4</v>
      </c>
      <c r="H128">
        <v>1.1746799999999999</v>
      </c>
      <c r="I128">
        <v>1.7600000000000001E-3</v>
      </c>
      <c r="J128">
        <v>4.6600000000000001E-3</v>
      </c>
    </row>
    <row r="130" spans="1:10" x14ac:dyDescent="0.25">
      <c r="B130" t="s">
        <v>74</v>
      </c>
    </row>
    <row r="131" spans="1:10" x14ac:dyDescent="0.25">
      <c r="B131" t="s">
        <v>117</v>
      </c>
    </row>
    <row r="132" spans="1:10" x14ac:dyDescent="0.25">
      <c r="B132" t="s">
        <v>87</v>
      </c>
    </row>
    <row r="134" spans="1:10" x14ac:dyDescent="0.25">
      <c r="B134" s="107" t="s">
        <v>27</v>
      </c>
      <c r="C134" s="175" t="s">
        <v>28</v>
      </c>
      <c r="D134" s="174" t="s">
        <v>79</v>
      </c>
      <c r="E134" s="174" t="s">
        <v>80</v>
      </c>
      <c r="F134" s="174" t="s">
        <v>35</v>
      </c>
      <c r="G134" s="174" t="s">
        <v>36</v>
      </c>
      <c r="H134" s="174" t="s">
        <v>81</v>
      </c>
      <c r="I134" s="174" t="s">
        <v>56</v>
      </c>
      <c r="J134" s="175"/>
    </row>
    <row r="135" spans="1:10" x14ac:dyDescent="0.25">
      <c r="A135" s="89" t="str">
        <f>_xlfn.CONCAT($B$131,B135)</f>
        <v>Model: M40Intercept</v>
      </c>
      <c r="B135" t="s">
        <v>13</v>
      </c>
      <c r="C135">
        <v>1</v>
      </c>
      <c r="D135">
        <v>-5.8009999999999999E-2</v>
      </c>
      <c r="E135">
        <v>0.13156000000000001</v>
      </c>
      <c r="F135">
        <v>-0.44</v>
      </c>
      <c r="G135">
        <v>0.6593</v>
      </c>
    </row>
    <row r="136" spans="1:10" x14ac:dyDescent="0.25">
      <c r="A136" s="89" t="str">
        <f t="shared" ref="A136:A143" si="16">_xlfn.CONCAT($B$131,B136)</f>
        <v>Model: M40NRx_pre1</v>
      </c>
      <c r="B136" t="s">
        <v>39</v>
      </c>
      <c r="C136">
        <v>1</v>
      </c>
      <c r="D136">
        <v>1.0101100000000001</v>
      </c>
      <c r="E136">
        <v>1.0189999999999999E-2</v>
      </c>
      <c r="F136">
        <v>99.12</v>
      </c>
      <c r="G136">
        <v>0</v>
      </c>
    </row>
    <row r="137" spans="1:10" x14ac:dyDescent="0.25">
      <c r="A137" s="89" t="str">
        <f t="shared" si="16"/>
        <v>Model: M40MNRx_pre</v>
      </c>
      <c r="B137" t="s">
        <v>63</v>
      </c>
      <c r="C137">
        <v>1</v>
      </c>
      <c r="D137">
        <v>3.4489999999999997E-5</v>
      </c>
      <c r="E137">
        <v>8.7900000000000005E-6</v>
      </c>
      <c r="F137">
        <v>3.92</v>
      </c>
      <c r="G137">
        <v>0</v>
      </c>
    </row>
    <row r="138" spans="1:10" x14ac:dyDescent="0.25">
      <c r="A138" s="89" t="str">
        <f t="shared" si="16"/>
        <v>Model: M40TOT_MMF</v>
      </c>
      <c r="B138" t="s">
        <v>64</v>
      </c>
      <c r="C138">
        <v>1</v>
      </c>
      <c r="D138">
        <v>0.11753</v>
      </c>
      <c r="E138">
        <v>3.024E-2</v>
      </c>
      <c r="F138">
        <v>3.89</v>
      </c>
      <c r="G138">
        <v>1E-4</v>
      </c>
    </row>
    <row r="139" spans="1:10" x14ac:dyDescent="0.25">
      <c r="A139" s="89" t="str">
        <f t="shared" si="16"/>
        <v>Model: M40tot_det_cur</v>
      </c>
      <c r="B139" t="s">
        <v>41</v>
      </c>
      <c r="C139">
        <v>1</v>
      </c>
      <c r="D139">
        <v>2.0480000000000002E-2</v>
      </c>
      <c r="E139">
        <v>1.1100000000000001E-3</v>
      </c>
      <c r="F139">
        <v>18.420000000000002</v>
      </c>
      <c r="G139">
        <v>0</v>
      </c>
    </row>
    <row r="140" spans="1:10" x14ac:dyDescent="0.25">
      <c r="A140" s="89" t="str">
        <f t="shared" si="16"/>
        <v>Model: M40PCPIND</v>
      </c>
      <c r="B140" t="s">
        <v>86</v>
      </c>
      <c r="C140">
        <v>1</v>
      </c>
      <c r="D140">
        <v>7.6520000000000005E-2</v>
      </c>
      <c r="E140">
        <v>0.13186999999999999</v>
      </c>
      <c r="F140">
        <v>0.57999999999999996</v>
      </c>
      <c r="G140">
        <v>0.56169999999999998</v>
      </c>
    </row>
    <row r="141" spans="1:10" x14ac:dyDescent="0.25">
      <c r="A141" s="89" t="str">
        <f t="shared" si="16"/>
        <v>Model: M40VNRx_cur</v>
      </c>
      <c r="B141" t="s">
        <v>40</v>
      </c>
      <c r="C141">
        <v>1</v>
      </c>
      <c r="D141">
        <v>1.0894600000000001</v>
      </c>
      <c r="E141">
        <v>3.9399999999999998E-2</v>
      </c>
      <c r="F141">
        <v>27.65</v>
      </c>
      <c r="G141">
        <v>0</v>
      </c>
    </row>
    <row r="142" spans="1:10" x14ac:dyDescent="0.25">
      <c r="A142" s="89" t="str">
        <f t="shared" si="16"/>
        <v>Model: M40Samples_cur_sq</v>
      </c>
      <c r="B142" t="s">
        <v>43</v>
      </c>
      <c r="C142">
        <v>1</v>
      </c>
      <c r="D142">
        <v>1.9700000000000002E-6</v>
      </c>
      <c r="E142">
        <v>5.4488300000000001E-8</v>
      </c>
      <c r="F142">
        <v>36.21</v>
      </c>
      <c r="G142">
        <v>0</v>
      </c>
    </row>
    <row r="143" spans="1:10" x14ac:dyDescent="0.25">
      <c r="A143" s="89" t="str">
        <f t="shared" si="16"/>
        <v>Model: M40Samples_cur</v>
      </c>
      <c r="B143" t="s">
        <v>42</v>
      </c>
      <c r="C143">
        <v>1</v>
      </c>
      <c r="D143">
        <v>9.5329999999999997E-5</v>
      </c>
      <c r="E143">
        <v>9.1180000000000005E-5</v>
      </c>
      <c r="F143">
        <v>1.05</v>
      </c>
      <c r="G143">
        <v>0.29580000000000001</v>
      </c>
    </row>
    <row r="183" spans="2:11" x14ac:dyDescent="0.25">
      <c r="B183" s="85"/>
      <c r="C183" s="85"/>
      <c r="D183" s="85"/>
      <c r="E183" s="85"/>
      <c r="F183" s="85"/>
      <c r="G183" s="85"/>
      <c r="H183" s="85"/>
      <c r="I183" s="85"/>
      <c r="J183" s="85"/>
      <c r="K183" s="85"/>
    </row>
    <row r="184" spans="2:11" x14ac:dyDescent="0.25">
      <c r="B184" s="85"/>
      <c r="C184" s="85"/>
      <c r="D184" s="85"/>
      <c r="E184" s="85"/>
      <c r="F184" s="85"/>
      <c r="G184" s="85"/>
      <c r="H184" s="85"/>
      <c r="I184" s="85"/>
      <c r="J184" s="85"/>
      <c r="K184" s="85"/>
    </row>
    <row r="185" spans="2:11" x14ac:dyDescent="0.25">
      <c r="K185" s="85"/>
    </row>
    <row r="186" spans="2:11" x14ac:dyDescent="0.25">
      <c r="K186" s="85"/>
    </row>
    <row r="187" spans="2:11" x14ac:dyDescent="0.25">
      <c r="K187" s="85"/>
    </row>
    <row r="188" spans="2:11" x14ac:dyDescent="0.25">
      <c r="K188" s="85"/>
    </row>
    <row r="189" spans="2:11" x14ac:dyDescent="0.25">
      <c r="K189" s="85"/>
    </row>
    <row r="190" spans="2:11" x14ac:dyDescent="0.25">
      <c r="K190" s="85"/>
    </row>
    <row r="191" spans="2:11" x14ac:dyDescent="0.25">
      <c r="K191" s="85"/>
    </row>
    <row r="192" spans="2:11" x14ac:dyDescent="0.25">
      <c r="K192" s="85"/>
    </row>
    <row r="193" spans="11:11" x14ac:dyDescent="0.25">
      <c r="K193" s="85"/>
    </row>
    <row r="194" spans="11:11" x14ac:dyDescent="0.25">
      <c r="K194" s="85"/>
    </row>
    <row r="195" spans="11:11" x14ac:dyDescent="0.25">
      <c r="K195" s="85"/>
    </row>
    <row r="196" spans="11:11" x14ac:dyDescent="0.25">
      <c r="K196" s="85"/>
    </row>
    <row r="197" spans="11:11" x14ac:dyDescent="0.25">
      <c r="K197" s="85"/>
    </row>
    <row r="198" spans="11:11" x14ac:dyDescent="0.25">
      <c r="K198" s="85"/>
    </row>
    <row r="199" spans="11:11" x14ac:dyDescent="0.25">
      <c r="K199" s="85"/>
    </row>
    <row r="200" spans="11:11" x14ac:dyDescent="0.25">
      <c r="K200" s="85"/>
    </row>
    <row r="201" spans="11:11" x14ac:dyDescent="0.25">
      <c r="K201" s="85"/>
    </row>
    <row r="202" spans="11:11" x14ac:dyDescent="0.25">
      <c r="K202" s="85"/>
    </row>
    <row r="203" spans="11:11" x14ac:dyDescent="0.25">
      <c r="K203" s="85"/>
    </row>
    <row r="204" spans="11:11" x14ac:dyDescent="0.25">
      <c r="K204" s="85"/>
    </row>
    <row r="205" spans="11:11" x14ac:dyDescent="0.25">
      <c r="K205" s="85"/>
    </row>
    <row r="206" spans="11:11" x14ac:dyDescent="0.25">
      <c r="K206" s="85"/>
    </row>
    <row r="207" spans="11:11" x14ac:dyDescent="0.25">
      <c r="K207" s="85"/>
    </row>
    <row r="208" spans="11:11" x14ac:dyDescent="0.25">
      <c r="K208" s="85"/>
    </row>
    <row r="209" spans="11:11" x14ac:dyDescent="0.25">
      <c r="K209" s="85"/>
    </row>
    <row r="210" spans="11:11" x14ac:dyDescent="0.25">
      <c r="K210" s="85"/>
    </row>
    <row r="211" spans="11:11" x14ac:dyDescent="0.25">
      <c r="K211" s="85"/>
    </row>
    <row r="212" spans="11:11" x14ac:dyDescent="0.25">
      <c r="K212" s="85"/>
    </row>
    <row r="213" spans="11:11" x14ac:dyDescent="0.25">
      <c r="K213" s="85"/>
    </row>
    <row r="214" spans="11:11" x14ac:dyDescent="0.25">
      <c r="K214" s="85"/>
    </row>
    <row r="215" spans="11:11" x14ac:dyDescent="0.25">
      <c r="K215" s="85"/>
    </row>
    <row r="216" spans="11:11" x14ac:dyDescent="0.25">
      <c r="K216" s="85"/>
    </row>
    <row r="217" spans="11:11" x14ac:dyDescent="0.25">
      <c r="K217" s="85"/>
    </row>
    <row r="218" spans="11:11" x14ac:dyDescent="0.25">
      <c r="K218" s="85"/>
    </row>
    <row r="219" spans="11:11" x14ac:dyDescent="0.25">
      <c r="K219" s="85"/>
    </row>
    <row r="220" spans="11:11" x14ac:dyDescent="0.25">
      <c r="K220" s="85"/>
    </row>
    <row r="221" spans="11:11" x14ac:dyDescent="0.25">
      <c r="K221" s="85"/>
    </row>
    <row r="222" spans="11:11" x14ac:dyDescent="0.25">
      <c r="K222" s="85"/>
    </row>
    <row r="223" spans="11:11" x14ac:dyDescent="0.25">
      <c r="K223" s="85"/>
    </row>
    <row r="224" spans="11:11" x14ac:dyDescent="0.25">
      <c r="K224" s="85"/>
    </row>
    <row r="225" spans="11:11" x14ac:dyDescent="0.25">
      <c r="K225" s="85"/>
    </row>
    <row r="226" spans="11:11" x14ac:dyDescent="0.25">
      <c r="K226" s="85"/>
    </row>
    <row r="227" spans="11:11" x14ac:dyDescent="0.25">
      <c r="K227" s="85"/>
    </row>
    <row r="228" spans="11:11" x14ac:dyDescent="0.25">
      <c r="K228" s="85"/>
    </row>
    <row r="229" spans="11:11" x14ac:dyDescent="0.25">
      <c r="K229" s="85"/>
    </row>
    <row r="230" spans="11:11" x14ac:dyDescent="0.25">
      <c r="K230" s="85"/>
    </row>
    <row r="231" spans="11:11" x14ac:dyDescent="0.25">
      <c r="K231" s="85"/>
    </row>
    <row r="232" spans="11:11" x14ac:dyDescent="0.25">
      <c r="K232" s="85"/>
    </row>
    <row r="233" spans="11:11" x14ac:dyDescent="0.25">
      <c r="K233" s="85"/>
    </row>
    <row r="234" spans="11:11" x14ac:dyDescent="0.25">
      <c r="K234" s="85"/>
    </row>
    <row r="235" spans="11:11" x14ac:dyDescent="0.25">
      <c r="K235" s="85"/>
    </row>
    <row r="236" spans="11:11" x14ac:dyDescent="0.25">
      <c r="K236" s="85"/>
    </row>
    <row r="237" spans="11:11" x14ac:dyDescent="0.25">
      <c r="K237" s="85"/>
    </row>
    <row r="238" spans="11:11" x14ac:dyDescent="0.25">
      <c r="K238" s="85"/>
    </row>
    <row r="239" spans="11:11" x14ac:dyDescent="0.25">
      <c r="K239" s="85"/>
    </row>
    <row r="240" spans="11:11" x14ac:dyDescent="0.25">
      <c r="K240" s="85"/>
    </row>
    <row r="241" spans="11:11" x14ac:dyDescent="0.25">
      <c r="K241" s="85"/>
    </row>
    <row r="242" spans="11:11" x14ac:dyDescent="0.25">
      <c r="K242" s="85"/>
    </row>
    <row r="243" spans="11:11" x14ac:dyDescent="0.25">
      <c r="K243" s="85"/>
    </row>
    <row r="244" spans="11:11" x14ac:dyDescent="0.25">
      <c r="K244" s="85"/>
    </row>
    <row r="245" spans="11:11" x14ac:dyDescent="0.25">
      <c r="K245" s="85"/>
    </row>
    <row r="246" spans="11:11" x14ac:dyDescent="0.25">
      <c r="K246" s="85"/>
    </row>
    <row r="247" spans="11:11" x14ac:dyDescent="0.25">
      <c r="K247" s="85"/>
    </row>
    <row r="248" spans="11:11" x14ac:dyDescent="0.25">
      <c r="K248" s="85"/>
    </row>
    <row r="249" spans="11:11" x14ac:dyDescent="0.25">
      <c r="K249" s="85"/>
    </row>
    <row r="250" spans="11:11" x14ac:dyDescent="0.25">
      <c r="K250" s="85"/>
    </row>
    <row r="251" spans="11:11" x14ac:dyDescent="0.25">
      <c r="K251" s="85"/>
    </row>
    <row r="252" spans="11:11" x14ac:dyDescent="0.25">
      <c r="K252" s="85"/>
    </row>
    <row r="253" spans="11:11" x14ac:dyDescent="0.25">
      <c r="K253" s="85"/>
    </row>
    <row r="254" spans="11:11" x14ac:dyDescent="0.25">
      <c r="K254" s="85"/>
    </row>
    <row r="255" spans="11:11" x14ac:dyDescent="0.25">
      <c r="K255" s="85"/>
    </row>
    <row r="256" spans="11:11" x14ac:dyDescent="0.25">
      <c r="K256" s="85"/>
    </row>
    <row r="257" spans="11:11" x14ac:dyDescent="0.25">
      <c r="K257" s="85"/>
    </row>
    <row r="258" spans="11:11" x14ac:dyDescent="0.25">
      <c r="K258" s="85"/>
    </row>
    <row r="259" spans="11:11" x14ac:dyDescent="0.25">
      <c r="K259" s="85"/>
    </row>
    <row r="260" spans="11:11" x14ac:dyDescent="0.25">
      <c r="K260" s="85"/>
    </row>
    <row r="261" spans="11:11" x14ac:dyDescent="0.25">
      <c r="K261" s="85"/>
    </row>
    <row r="262" spans="11:11" x14ac:dyDescent="0.25">
      <c r="K262" s="85"/>
    </row>
    <row r="263" spans="11:11" x14ac:dyDescent="0.25">
      <c r="K263" s="85"/>
    </row>
    <row r="264" spans="11:11" x14ac:dyDescent="0.25">
      <c r="K264" s="85"/>
    </row>
    <row r="265" spans="11:11" x14ac:dyDescent="0.25">
      <c r="K265" s="85"/>
    </row>
    <row r="266" spans="11:11" x14ac:dyDescent="0.25">
      <c r="K266" s="85"/>
    </row>
    <row r="267" spans="11:11" x14ac:dyDescent="0.25">
      <c r="K267" s="85"/>
    </row>
    <row r="268" spans="11:11" x14ac:dyDescent="0.25">
      <c r="K268" s="85"/>
    </row>
    <row r="269" spans="11:11" x14ac:dyDescent="0.25">
      <c r="K269" s="85"/>
    </row>
    <row r="270" spans="11:11" x14ac:dyDescent="0.25">
      <c r="K270" s="85"/>
    </row>
    <row r="271" spans="11:11" x14ac:dyDescent="0.25">
      <c r="K271" s="85"/>
    </row>
    <row r="272" spans="11:11" x14ac:dyDescent="0.25">
      <c r="K272" s="85"/>
    </row>
    <row r="273" spans="11:11" x14ac:dyDescent="0.25">
      <c r="K273" s="85"/>
    </row>
    <row r="274" spans="11:11" x14ac:dyDescent="0.25">
      <c r="K274" s="85"/>
    </row>
    <row r="275" spans="11:11" x14ac:dyDescent="0.25">
      <c r="K275" s="85"/>
    </row>
    <row r="276" spans="11:11" x14ac:dyDescent="0.25">
      <c r="K276" s="85"/>
    </row>
    <row r="277" spans="11:11" x14ac:dyDescent="0.25">
      <c r="K277" s="85"/>
    </row>
    <row r="278" spans="11:11" x14ac:dyDescent="0.25">
      <c r="K278" s="85"/>
    </row>
    <row r="279" spans="11:11" x14ac:dyDescent="0.25">
      <c r="K279" s="85"/>
    </row>
    <row r="280" spans="11:11" x14ac:dyDescent="0.25">
      <c r="K280" s="85"/>
    </row>
    <row r="281" spans="11:11" x14ac:dyDescent="0.25">
      <c r="K281" s="85"/>
    </row>
    <row r="282" spans="11:11" x14ac:dyDescent="0.25">
      <c r="K282" s="85"/>
    </row>
    <row r="283" spans="11:11" x14ac:dyDescent="0.25">
      <c r="K283" s="85"/>
    </row>
    <row r="284" spans="11:11" x14ac:dyDescent="0.25">
      <c r="K284" s="85"/>
    </row>
    <row r="285" spans="11:11" x14ac:dyDescent="0.25">
      <c r="K285" s="85"/>
    </row>
    <row r="286" spans="11:11" x14ac:dyDescent="0.25">
      <c r="K286" s="85"/>
    </row>
    <row r="287" spans="11:11" x14ac:dyDescent="0.25">
      <c r="K287" s="85"/>
    </row>
    <row r="288" spans="11:11" x14ac:dyDescent="0.25">
      <c r="K288" s="85"/>
    </row>
    <row r="289" spans="11:11" x14ac:dyDescent="0.25">
      <c r="K289" s="85"/>
    </row>
    <row r="290" spans="11:11" x14ac:dyDescent="0.25">
      <c r="K290" s="85"/>
    </row>
    <row r="291" spans="11:11" x14ac:dyDescent="0.25">
      <c r="K291" s="85"/>
    </row>
    <row r="292" spans="11:11" x14ac:dyDescent="0.25">
      <c r="K292" s="85"/>
    </row>
    <row r="293" spans="11:11" x14ac:dyDescent="0.25">
      <c r="K293" s="85"/>
    </row>
    <row r="294" spans="11:11" x14ac:dyDescent="0.25">
      <c r="K294" s="85"/>
    </row>
    <row r="295" spans="11:11" x14ac:dyDescent="0.25">
      <c r="K295" s="85"/>
    </row>
    <row r="296" spans="11:11" x14ac:dyDescent="0.25">
      <c r="K296" s="85"/>
    </row>
    <row r="297" spans="11:11" x14ac:dyDescent="0.25">
      <c r="K297" s="85"/>
    </row>
    <row r="298" spans="11:11" x14ac:dyDescent="0.25">
      <c r="K298" s="85"/>
    </row>
    <row r="299" spans="11:11" x14ac:dyDescent="0.25">
      <c r="K299" s="85"/>
    </row>
    <row r="300" spans="11:11" x14ac:dyDescent="0.25">
      <c r="K300" s="85"/>
    </row>
    <row r="301" spans="11:11" x14ac:dyDescent="0.25">
      <c r="K301" s="85"/>
    </row>
    <row r="302" spans="11:11" x14ac:dyDescent="0.25">
      <c r="K302" s="85"/>
    </row>
    <row r="303" spans="11:11" x14ac:dyDescent="0.25">
      <c r="K303" s="85"/>
    </row>
    <row r="304" spans="11:11" x14ac:dyDescent="0.25">
      <c r="K304" s="85"/>
    </row>
    <row r="305" spans="11:11" x14ac:dyDescent="0.25">
      <c r="K305" s="85"/>
    </row>
    <row r="306" spans="11:11" x14ac:dyDescent="0.25">
      <c r="K306" s="85"/>
    </row>
    <row r="307" spans="11:11" x14ac:dyDescent="0.25">
      <c r="K307" s="85"/>
    </row>
    <row r="308" spans="11:11" x14ac:dyDescent="0.25">
      <c r="K308" s="85"/>
    </row>
    <row r="309" spans="11:11" x14ac:dyDescent="0.25">
      <c r="K309" s="85"/>
    </row>
    <row r="310" spans="11:11" x14ac:dyDescent="0.25">
      <c r="K310" s="85"/>
    </row>
    <row r="311" spans="11:11" x14ac:dyDescent="0.25">
      <c r="K311" s="85"/>
    </row>
    <row r="312" spans="11:11" x14ac:dyDescent="0.25">
      <c r="K312" s="85"/>
    </row>
    <row r="313" spans="11:11" x14ac:dyDescent="0.25">
      <c r="K313" s="85"/>
    </row>
    <row r="314" spans="11:11" x14ac:dyDescent="0.25">
      <c r="K314" s="85"/>
    </row>
    <row r="315" spans="11:11" x14ac:dyDescent="0.25">
      <c r="K315" s="85"/>
    </row>
    <row r="316" spans="11:11" x14ac:dyDescent="0.25">
      <c r="K316" s="85"/>
    </row>
    <row r="317" spans="11:11" x14ac:dyDescent="0.25">
      <c r="K317" s="85"/>
    </row>
    <row r="318" spans="11:11" x14ac:dyDescent="0.25">
      <c r="K318" s="85"/>
    </row>
    <row r="319" spans="11:11" x14ac:dyDescent="0.25">
      <c r="K319" s="85"/>
    </row>
    <row r="320" spans="11:11" x14ac:dyDescent="0.25">
      <c r="K320" s="85"/>
    </row>
    <row r="321" spans="11:11" x14ac:dyDescent="0.25">
      <c r="K321" s="85"/>
    </row>
    <row r="322" spans="11:11" x14ac:dyDescent="0.25">
      <c r="K322" s="85"/>
    </row>
    <row r="323" spans="11:11" x14ac:dyDescent="0.25">
      <c r="K323" s="85"/>
    </row>
    <row r="324" spans="11:11" x14ac:dyDescent="0.25">
      <c r="K324" s="85"/>
    </row>
    <row r="325" spans="11:11" x14ac:dyDescent="0.25">
      <c r="K325" s="85"/>
    </row>
    <row r="326" spans="11:11" x14ac:dyDescent="0.25">
      <c r="K326" s="85"/>
    </row>
    <row r="327" spans="11:11" x14ac:dyDescent="0.25">
      <c r="K327" s="85"/>
    </row>
    <row r="328" spans="11:11" x14ac:dyDescent="0.25">
      <c r="K328" s="85"/>
    </row>
    <row r="329" spans="11:11" x14ac:dyDescent="0.25">
      <c r="K329" s="85"/>
    </row>
    <row r="330" spans="11:11" x14ac:dyDescent="0.25">
      <c r="K330" s="85"/>
    </row>
    <row r="331" spans="11:11" x14ac:dyDescent="0.25">
      <c r="K331" s="85"/>
    </row>
    <row r="332" spans="11:11" x14ac:dyDescent="0.25">
      <c r="K332" s="85"/>
    </row>
    <row r="333" spans="11:11" x14ac:dyDescent="0.25">
      <c r="K333" s="85"/>
    </row>
    <row r="334" spans="11:11" x14ac:dyDescent="0.25">
      <c r="K334" s="85"/>
    </row>
    <row r="335" spans="11:11" x14ac:dyDescent="0.25">
      <c r="K335" s="85"/>
    </row>
    <row r="336" spans="11:11" x14ac:dyDescent="0.25">
      <c r="K336" s="85"/>
    </row>
    <row r="337" spans="11:11" x14ac:dyDescent="0.25">
      <c r="K337" s="85"/>
    </row>
    <row r="338" spans="11:11" x14ac:dyDescent="0.25">
      <c r="K338" s="85"/>
    </row>
    <row r="339" spans="11:11" x14ac:dyDescent="0.25">
      <c r="K339" s="85"/>
    </row>
    <row r="340" spans="11:11" x14ac:dyDescent="0.25">
      <c r="K340" s="85"/>
    </row>
    <row r="341" spans="11:11" x14ac:dyDescent="0.25">
      <c r="K341" s="85"/>
    </row>
    <row r="342" spans="11:11" x14ac:dyDescent="0.25">
      <c r="K342" s="85"/>
    </row>
    <row r="343" spans="11:11" x14ac:dyDescent="0.25">
      <c r="K343" s="85"/>
    </row>
    <row r="344" spans="11:11" x14ac:dyDescent="0.25">
      <c r="K344" s="85"/>
    </row>
    <row r="345" spans="11:11" x14ac:dyDescent="0.25">
      <c r="K345" s="85"/>
    </row>
    <row r="346" spans="11:11" x14ac:dyDescent="0.25">
      <c r="K346" s="85"/>
    </row>
    <row r="347" spans="11:11" x14ac:dyDescent="0.25">
      <c r="K347" s="85"/>
    </row>
    <row r="348" spans="11:11" x14ac:dyDescent="0.25">
      <c r="K348" s="85"/>
    </row>
    <row r="349" spans="11:11" x14ac:dyDescent="0.25">
      <c r="K349" s="85"/>
    </row>
    <row r="350" spans="11:11" x14ac:dyDescent="0.25">
      <c r="K350" s="85"/>
    </row>
    <row r="351" spans="11:11" x14ac:dyDescent="0.25">
      <c r="K351" s="85"/>
    </row>
    <row r="352" spans="11:11" x14ac:dyDescent="0.25">
      <c r="K352" s="85"/>
    </row>
    <row r="353" spans="11:11" x14ac:dyDescent="0.25">
      <c r="K353" s="85"/>
    </row>
    <row r="354" spans="11:11" x14ac:dyDescent="0.25">
      <c r="K354" s="85"/>
    </row>
    <row r="355" spans="11:11" x14ac:dyDescent="0.25">
      <c r="K355" s="85"/>
    </row>
    <row r="356" spans="11:11" x14ac:dyDescent="0.25">
      <c r="K356" s="85"/>
    </row>
    <row r="357" spans="11:11" x14ac:dyDescent="0.25">
      <c r="K357" s="85"/>
    </row>
    <row r="358" spans="11:11" x14ac:dyDescent="0.25">
      <c r="K358" s="85"/>
    </row>
    <row r="359" spans="11:11" x14ac:dyDescent="0.25">
      <c r="K359" s="85" t="s">
        <v>88</v>
      </c>
    </row>
    <row r="360" spans="11:11" x14ac:dyDescent="0.25">
      <c r="K360" s="85"/>
    </row>
    <row r="361" spans="11:11" x14ac:dyDescent="0.25">
      <c r="K361" s="85"/>
    </row>
    <row r="362" spans="11:11" x14ac:dyDescent="0.25">
      <c r="K362" s="85"/>
    </row>
    <row r="363" spans="11:11" x14ac:dyDescent="0.25">
      <c r="K363" s="85"/>
    </row>
    <row r="364" spans="11:11" x14ac:dyDescent="0.25">
      <c r="K364" s="85"/>
    </row>
    <row r="365" spans="11:11" x14ac:dyDescent="0.25">
      <c r="K365" s="85"/>
    </row>
    <row r="366" spans="11:11" x14ac:dyDescent="0.25">
      <c r="K366" s="85"/>
    </row>
    <row r="367" spans="11:11" x14ac:dyDescent="0.25">
      <c r="K367" s="85"/>
    </row>
    <row r="368" spans="11:11" x14ac:dyDescent="0.25">
      <c r="K368" s="85"/>
    </row>
    <row r="369" spans="11:11" x14ac:dyDescent="0.25">
      <c r="K369" s="85"/>
    </row>
    <row r="370" spans="11:11" x14ac:dyDescent="0.25">
      <c r="K370" s="85"/>
    </row>
    <row r="371" spans="11:11" x14ac:dyDescent="0.25">
      <c r="K371" s="85"/>
    </row>
    <row r="372" spans="11:11" x14ac:dyDescent="0.25">
      <c r="K372" s="85"/>
    </row>
    <row r="373" spans="11:11" x14ac:dyDescent="0.25">
      <c r="K373" s="85"/>
    </row>
    <row r="374" spans="11:11" x14ac:dyDescent="0.25">
      <c r="K374" s="85"/>
    </row>
    <row r="375" spans="11:11" x14ac:dyDescent="0.25">
      <c r="K375" s="85"/>
    </row>
    <row r="376" spans="11:11" x14ac:dyDescent="0.25">
      <c r="K376" s="85"/>
    </row>
    <row r="377" spans="11:11" x14ac:dyDescent="0.25">
      <c r="K377" s="85"/>
    </row>
    <row r="378" spans="11:11" x14ac:dyDescent="0.25">
      <c r="K378" s="85"/>
    </row>
    <row r="379" spans="11:11" x14ac:dyDescent="0.25">
      <c r="K379" s="85"/>
    </row>
    <row r="380" spans="11:11" x14ac:dyDescent="0.25">
      <c r="K380" s="85"/>
    </row>
    <row r="381" spans="11:11" x14ac:dyDescent="0.25">
      <c r="K381" s="85"/>
    </row>
    <row r="382" spans="11:11" x14ac:dyDescent="0.25">
      <c r="K382" s="85"/>
    </row>
    <row r="383" spans="11:11" x14ac:dyDescent="0.25">
      <c r="K383" s="85"/>
    </row>
    <row r="384" spans="11:11" x14ac:dyDescent="0.25">
      <c r="K384" s="85"/>
    </row>
    <row r="385" spans="11:11" x14ac:dyDescent="0.25">
      <c r="K385" s="85"/>
    </row>
    <row r="386" spans="11:11" x14ac:dyDescent="0.25">
      <c r="K386" s="85"/>
    </row>
    <row r="387" spans="11:11" x14ac:dyDescent="0.25">
      <c r="K387" s="85"/>
    </row>
    <row r="388" spans="11:11" x14ac:dyDescent="0.25">
      <c r="K388" s="85"/>
    </row>
    <row r="389" spans="11:11" x14ac:dyDescent="0.25">
      <c r="K389" s="85"/>
    </row>
    <row r="390" spans="11:11" x14ac:dyDescent="0.25">
      <c r="K390" s="85"/>
    </row>
    <row r="391" spans="11:11" x14ac:dyDescent="0.25">
      <c r="K391" s="85"/>
    </row>
    <row r="392" spans="11:11" x14ac:dyDescent="0.25">
      <c r="K392" s="85"/>
    </row>
    <row r="393" spans="11:11" x14ac:dyDescent="0.25">
      <c r="K393" s="85"/>
    </row>
    <row r="394" spans="11:11" x14ac:dyDescent="0.25">
      <c r="K394" s="85"/>
    </row>
    <row r="395" spans="11:11" x14ac:dyDescent="0.25">
      <c r="K395" s="85"/>
    </row>
    <row r="396" spans="11:11" x14ac:dyDescent="0.25">
      <c r="K396" s="85"/>
    </row>
    <row r="397" spans="11:11" x14ac:dyDescent="0.25">
      <c r="K397" s="85"/>
    </row>
    <row r="398" spans="11:11" x14ac:dyDescent="0.25">
      <c r="K398" s="85"/>
    </row>
    <row r="399" spans="11:11" x14ac:dyDescent="0.25">
      <c r="K399" s="85"/>
    </row>
    <row r="400" spans="11:11" x14ac:dyDescent="0.25">
      <c r="K400" s="85"/>
    </row>
    <row r="401" spans="11:11" x14ac:dyDescent="0.25">
      <c r="K401" s="85"/>
    </row>
    <row r="402" spans="11:11" x14ac:dyDescent="0.25">
      <c r="K402" s="85"/>
    </row>
    <row r="403" spans="11:11" x14ac:dyDescent="0.25">
      <c r="K403" s="85"/>
    </row>
    <row r="404" spans="11:11" x14ac:dyDescent="0.25">
      <c r="K404" s="85"/>
    </row>
    <row r="405" spans="11:11" x14ac:dyDescent="0.25">
      <c r="K405" s="85"/>
    </row>
    <row r="406" spans="11:11" x14ac:dyDescent="0.25">
      <c r="K406" s="85"/>
    </row>
    <row r="407" spans="11:11" x14ac:dyDescent="0.25">
      <c r="K407" s="85"/>
    </row>
    <row r="408" spans="11:11" x14ac:dyDescent="0.25">
      <c r="K408" s="85"/>
    </row>
    <row r="409" spans="11:11" x14ac:dyDescent="0.25">
      <c r="K409" s="85"/>
    </row>
    <row r="410" spans="11:11" x14ac:dyDescent="0.25">
      <c r="K410" s="85"/>
    </row>
    <row r="411" spans="11:11" x14ac:dyDescent="0.25">
      <c r="K411" s="85"/>
    </row>
    <row r="412" spans="11:11" x14ac:dyDescent="0.25">
      <c r="K412" s="85"/>
    </row>
    <row r="413" spans="11:11" x14ac:dyDescent="0.25">
      <c r="K413" s="85"/>
    </row>
    <row r="414" spans="11:11" x14ac:dyDescent="0.25">
      <c r="K414" s="85"/>
    </row>
    <row r="415" spans="11:11" x14ac:dyDescent="0.25">
      <c r="K415" s="85"/>
    </row>
    <row r="416" spans="11:11" x14ac:dyDescent="0.25">
      <c r="K416" s="85"/>
    </row>
    <row r="417" spans="11:11" x14ac:dyDescent="0.25">
      <c r="K417" s="85"/>
    </row>
    <row r="418" spans="11:11" x14ac:dyDescent="0.25">
      <c r="K418" s="85"/>
    </row>
    <row r="419" spans="11:11" x14ac:dyDescent="0.25">
      <c r="K419" s="85"/>
    </row>
    <row r="420" spans="11:11" x14ac:dyDescent="0.25">
      <c r="K420" s="85"/>
    </row>
    <row r="421" spans="11:11" x14ac:dyDescent="0.25">
      <c r="K421" s="85"/>
    </row>
    <row r="422" spans="11:11" x14ac:dyDescent="0.25">
      <c r="K422" s="85"/>
    </row>
    <row r="423" spans="11:11" x14ac:dyDescent="0.25">
      <c r="K423" s="85"/>
    </row>
    <row r="424" spans="11:11" x14ac:dyDescent="0.25">
      <c r="K424" s="85"/>
    </row>
    <row r="425" spans="11:11" x14ac:dyDescent="0.25">
      <c r="K425" s="85"/>
    </row>
    <row r="426" spans="11:11" x14ac:dyDescent="0.25">
      <c r="K426" s="85"/>
    </row>
    <row r="427" spans="11:11" x14ac:dyDescent="0.25">
      <c r="K427" s="85"/>
    </row>
    <row r="428" spans="11:11" x14ac:dyDescent="0.25">
      <c r="K428" s="85"/>
    </row>
    <row r="429" spans="11:11" x14ac:dyDescent="0.25">
      <c r="K429" s="85"/>
    </row>
    <row r="430" spans="11:11" x14ac:dyDescent="0.25">
      <c r="K430" s="85"/>
    </row>
  </sheetData>
  <mergeCells count="8">
    <mergeCell ref="U19:V19"/>
    <mergeCell ref="I104:J104"/>
    <mergeCell ref="I89:J89"/>
    <mergeCell ref="I19:J19"/>
    <mergeCell ref="I33:J33"/>
    <mergeCell ref="I48:J48"/>
    <mergeCell ref="I63:J63"/>
    <mergeCell ref="I76:J76"/>
  </mergeCells>
  <phoneticPr fontId="31" type="noConversion"/>
  <conditionalFormatting sqref="G99 G183:G184 G2:G5 G15:G18 G28:G32 G42:G47 G58:G62 G71:G75">
    <cfRule type="cellIs" dxfId="12" priority="13" operator="greaterThan">
      <formula>0.05</formula>
    </cfRule>
  </conditionalFormatting>
  <conditionalFormatting sqref="G7:G14">
    <cfRule type="cellIs" dxfId="11" priority="12" operator="greaterThan">
      <formula>0.05</formula>
    </cfRule>
  </conditionalFormatting>
  <conditionalFormatting sqref="G19:G27">
    <cfRule type="cellIs" dxfId="10" priority="11" operator="greaterThan">
      <formula>0.05</formula>
    </cfRule>
  </conditionalFormatting>
  <conditionalFormatting sqref="G33:G41">
    <cfRule type="cellIs" dxfId="9" priority="10" operator="greaterThan">
      <formula>0.05</formula>
    </cfRule>
  </conditionalFormatting>
  <conditionalFormatting sqref="G48:G57">
    <cfRule type="cellIs" dxfId="8" priority="9" operator="greaterThan">
      <formula>0.05</formula>
    </cfRule>
  </conditionalFormatting>
  <conditionalFormatting sqref="G63:G70">
    <cfRule type="cellIs" dxfId="7" priority="8" operator="greaterThan">
      <formula>0.05</formula>
    </cfRule>
  </conditionalFormatting>
  <conditionalFormatting sqref="G76:G83">
    <cfRule type="cellIs" dxfId="6" priority="7" operator="greaterThan">
      <formula>0.05</formula>
    </cfRule>
  </conditionalFormatting>
  <conditionalFormatting sqref="G89:G98">
    <cfRule type="cellIs" dxfId="5" priority="6" operator="greaterThan">
      <formula>0.05</formula>
    </cfRule>
  </conditionalFormatting>
  <conditionalFormatting sqref="S33">
    <cfRule type="cellIs" dxfId="4" priority="5" operator="greaterThan">
      <formula>0.05</formula>
    </cfRule>
  </conditionalFormatting>
  <conditionalFormatting sqref="S19">
    <cfRule type="cellIs" dxfId="3" priority="4" operator="greaterThan">
      <formula>0.05</formula>
    </cfRule>
  </conditionalFormatting>
  <conditionalFormatting sqref="G104">
    <cfRule type="cellIs" dxfId="2" priority="3" operator="greaterThan">
      <formula>0.05</formula>
    </cfRule>
  </conditionalFormatting>
  <conditionalFormatting sqref="G119">
    <cfRule type="cellIs" dxfId="1" priority="2" operator="greaterThan">
      <formula>0.05</formula>
    </cfRule>
  </conditionalFormatting>
  <conditionalFormatting sqref="G134">
    <cfRule type="cellIs" dxfId="0" priority="1" operator="greaterThan">
      <formula>0.05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E1B22013-22F4-49B1-8A9C-0714B3843ADA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verquvo Sample curve</vt:lpstr>
      <vt:lpstr>GAM</vt:lpstr>
      <vt:lpstr>Sheet1</vt:lpstr>
      <vt:lpstr> Model Estimate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2023-08-07T09:33:33Z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d90fba9e-04f9-4ac2-a28a-8bcb6101e329</vt:lpwstr>
  </property>
  <property fmtid="{D5CDD505-2E9C-101B-9397-08002B2CF9AE}" pid="3" name="bjSaver">
    <vt:lpwstr>3O1Gvm5XUeGHackGhxGee6GW/bgAf7qU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5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6" name="bjDocumentSecurityLabel">
    <vt:lpwstr>Proprietary</vt:lpwstr>
  </property>
  <property fmtid="{D5CDD505-2E9C-101B-9397-08002B2CF9AE}" pid="7" name="MerckMetadataExchange">
    <vt:lpwstr>!$MRK@Proprietary-Footer-Left</vt:lpwstr>
  </property>
  <property fmtid="{D5CDD505-2E9C-101B-9397-08002B2CF9AE}" pid="8" name="bjLeftFooterLabel-first">
    <vt:lpwstr>&amp;"Times New Roman,Regular"&amp;12&amp;K00C0C0Proprietary</vt:lpwstr>
  </property>
  <property fmtid="{D5CDD505-2E9C-101B-9397-08002B2CF9AE}" pid="9" name="bjLeftFooterLabel-even">
    <vt:lpwstr>&amp;"Times New Roman,Regular"&amp;12&amp;K00C0C0Proprietary</vt:lpwstr>
  </property>
  <property fmtid="{D5CDD505-2E9C-101B-9397-08002B2CF9AE}" pid="10" name="bjLeftFooterLabel">
    <vt:lpwstr>&amp;"Times New Roman,Regular"&amp;12&amp;K00C0C0Proprietary</vt:lpwstr>
  </property>
</Properties>
</file>