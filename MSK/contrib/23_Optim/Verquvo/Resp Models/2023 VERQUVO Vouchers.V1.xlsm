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8AACC473-9866-4670-AD9D-62B5025505DC}" xr6:coauthVersionLast="47" xr6:coauthVersionMax="47" xr10:uidLastSave="{00000000-0000-0000-0000-000000000000}"/>
  <bookViews>
    <workbookView xWindow="-120" yWindow="-120" windowWidth="20730" windowHeight="11160" tabRatio="834" xr2:uid="{00000000-000D-0000-FFFF-FFFF00000000}"/>
  </bookViews>
  <sheets>
    <sheet name="Verquvo Vchr curve" sheetId="19" r:id="rId1"/>
    <sheet name=" Model Estimate" sheetId="20" state="hidden" r:id="rId2"/>
    <sheet name=" Model Estimate (2)" sheetId="21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5" i="19" l="1"/>
  <c r="G28" i="19"/>
  <c r="O25" i="19" l="1"/>
  <c r="M25" i="19"/>
  <c r="L25" i="19" l="1"/>
  <c r="J25" i="19" l="1"/>
  <c r="B14" i="19" l="1"/>
  <c r="B15" i="19"/>
  <c r="B16" i="19"/>
  <c r="B17" i="19"/>
  <c r="B18" i="19"/>
  <c r="B9" i="19"/>
  <c r="B10" i="19"/>
  <c r="B11" i="19"/>
  <c r="B12" i="19"/>
  <c r="B13" i="19"/>
  <c r="N17" i="19"/>
  <c r="N18" i="19"/>
  <c r="N14" i="19"/>
  <c r="N15" i="19"/>
  <c r="N16" i="19"/>
  <c r="N13" i="19"/>
  <c r="G25" i="19" s="1"/>
  <c r="R10" i="19"/>
  <c r="R9" i="19"/>
  <c r="Q10" i="19"/>
  <c r="I25" i="19" s="1"/>
  <c r="Q9" i="19"/>
  <c r="E6" i="19" l="1"/>
  <c r="C19" i="19"/>
  <c r="D19" i="19" s="1"/>
  <c r="A78" i="20"/>
  <c r="A79" i="20"/>
  <c r="A80" i="20"/>
  <c r="A81" i="20"/>
  <c r="A82" i="20"/>
  <c r="A83" i="20"/>
  <c r="A77" i="20"/>
  <c r="A65" i="20"/>
  <c r="A66" i="20"/>
  <c r="A67" i="20"/>
  <c r="A68" i="20"/>
  <c r="A69" i="20"/>
  <c r="A70" i="20"/>
  <c r="A64" i="20"/>
  <c r="A50" i="20"/>
  <c r="A51" i="20"/>
  <c r="A52" i="20"/>
  <c r="A53" i="20"/>
  <c r="A54" i="20"/>
  <c r="A55" i="20"/>
  <c r="A56" i="20"/>
  <c r="A57" i="20"/>
  <c r="A49" i="20"/>
  <c r="A35" i="20"/>
  <c r="A36" i="20"/>
  <c r="A37" i="20"/>
  <c r="A38" i="20"/>
  <c r="A39" i="20"/>
  <c r="A40" i="20"/>
  <c r="A41" i="20"/>
  <c r="A34" i="20"/>
  <c r="A21" i="20"/>
  <c r="A22" i="20"/>
  <c r="A23" i="20"/>
  <c r="A24" i="20"/>
  <c r="A25" i="20"/>
  <c r="A26" i="20"/>
  <c r="A27" i="20"/>
  <c r="A20" i="20"/>
  <c r="A8" i="20"/>
  <c r="A9" i="20"/>
  <c r="A10" i="20"/>
  <c r="A11" i="20"/>
  <c r="A12" i="20"/>
  <c r="A13" i="20"/>
  <c r="A7" i="20"/>
  <c r="C17" i="19"/>
  <c r="D17" i="19" s="1"/>
  <c r="C18" i="19"/>
  <c r="A18" i="19" s="1"/>
  <c r="K118" i="21"/>
  <c r="K117" i="21"/>
  <c r="K116" i="21"/>
  <c r="K115" i="21"/>
  <c r="K114" i="21"/>
  <c r="K113" i="21"/>
  <c r="K112" i="21"/>
  <c r="K13" i="20"/>
  <c r="K12" i="20"/>
  <c r="K11" i="20"/>
  <c r="K10" i="20"/>
  <c r="K9" i="20"/>
  <c r="K8" i="20"/>
  <c r="K7" i="20"/>
  <c r="C10" i="19"/>
  <c r="D10" i="19" s="1"/>
  <c r="C11" i="19"/>
  <c r="D11" i="19" s="1"/>
  <c r="C12" i="19"/>
  <c r="D12" i="19" s="1"/>
  <c r="C13" i="19"/>
  <c r="D13" i="19" s="1"/>
  <c r="C14" i="19"/>
  <c r="D14" i="19" s="1"/>
  <c r="C15" i="19"/>
  <c r="D15" i="19" s="1"/>
  <c r="C16" i="19"/>
  <c r="D16" i="19" s="1"/>
  <c r="C9" i="19"/>
  <c r="D9" i="19" s="1"/>
  <c r="L18" i="19" l="1"/>
  <c r="G18" i="19"/>
  <c r="M18" i="19"/>
  <c r="H18" i="19"/>
  <c r="K18" i="19"/>
  <c r="I18" i="19"/>
  <c r="A19" i="19"/>
  <c r="A16" i="19"/>
  <c r="A12" i="19"/>
  <c r="O18" i="19"/>
  <c r="F18" i="19"/>
  <c r="J18" i="19"/>
  <c r="A9" i="19"/>
  <c r="A15" i="19"/>
  <c r="A11" i="19"/>
  <c r="D18" i="19"/>
  <c r="A14" i="19"/>
  <c r="A10" i="19"/>
  <c r="A17" i="19"/>
  <c r="A13" i="19"/>
  <c r="F16" i="19" l="1"/>
  <c r="H16" i="19"/>
  <c r="K16" i="19"/>
  <c r="L16" i="19"/>
  <c r="I16" i="19"/>
  <c r="M16" i="19"/>
  <c r="G16" i="19"/>
  <c r="F19" i="19"/>
  <c r="G19" i="19"/>
  <c r="H19" i="19"/>
  <c r="I19" i="19"/>
  <c r="L19" i="19"/>
  <c r="K19" i="19"/>
  <c r="M19" i="19"/>
  <c r="L14" i="19"/>
  <c r="G14" i="19"/>
  <c r="M14" i="19"/>
  <c r="H14" i="19"/>
  <c r="K14" i="19"/>
  <c r="I14" i="19"/>
  <c r="M9" i="19"/>
  <c r="H9" i="19"/>
  <c r="G9" i="19"/>
  <c r="L9" i="19"/>
  <c r="I9" i="19"/>
  <c r="I13" i="19"/>
  <c r="K13" i="19"/>
  <c r="G13" i="19"/>
  <c r="L13" i="19"/>
  <c r="H13" i="19"/>
  <c r="M13" i="19"/>
  <c r="I17" i="19"/>
  <c r="K17" i="19"/>
  <c r="G17" i="19"/>
  <c r="L17" i="19"/>
  <c r="H17" i="19"/>
  <c r="M17" i="19"/>
  <c r="G11" i="19"/>
  <c r="H11" i="19"/>
  <c r="I11" i="19"/>
  <c r="L11" i="19"/>
  <c r="K11" i="19"/>
  <c r="M11" i="19"/>
  <c r="L10" i="19"/>
  <c r="G10" i="19"/>
  <c r="M10" i="19"/>
  <c r="H10" i="19"/>
  <c r="K10" i="19"/>
  <c r="I10" i="19"/>
  <c r="G15" i="19"/>
  <c r="H15" i="19"/>
  <c r="I15" i="19"/>
  <c r="L15" i="19"/>
  <c r="K15" i="19"/>
  <c r="M15" i="19"/>
  <c r="H12" i="19"/>
  <c r="K12" i="19"/>
  <c r="L12" i="19"/>
  <c r="I12" i="19"/>
  <c r="M12" i="19"/>
  <c r="G12" i="19"/>
  <c r="J16" i="19"/>
  <c r="O16" i="19"/>
  <c r="J19" i="19"/>
  <c r="O19" i="19"/>
  <c r="S10" i="19"/>
  <c r="J12" i="19"/>
  <c r="F12" i="19"/>
  <c r="K9" i="19"/>
  <c r="J9" i="19"/>
  <c r="F9" i="19"/>
  <c r="F13" i="19"/>
  <c r="O13" i="19"/>
  <c r="J13" i="19"/>
  <c r="J10" i="19"/>
  <c r="F10" i="19"/>
  <c r="O17" i="19"/>
  <c r="F17" i="19"/>
  <c r="J17" i="19"/>
  <c r="J11" i="19"/>
  <c r="F11" i="19"/>
  <c r="J14" i="19"/>
  <c r="F14" i="19"/>
  <c r="O14" i="19"/>
  <c r="O15" i="19"/>
  <c r="J15" i="19"/>
  <c r="F15" i="19"/>
  <c r="F33" i="19" l="1"/>
  <c r="F37" i="19"/>
  <c r="D36" i="19"/>
  <c r="D33" i="19"/>
  <c r="F34" i="19"/>
  <c r="F38" i="19"/>
  <c r="D37" i="19"/>
  <c r="F35" i="19"/>
  <c r="F32" i="19"/>
  <c r="D38" i="19"/>
  <c r="D34" i="19"/>
  <c r="F36" i="19"/>
  <c r="D35" i="19"/>
  <c r="D32" i="19"/>
  <c r="S3" i="19"/>
  <c r="R3" i="19"/>
  <c r="S4" i="19" l="1"/>
  <c r="R4" i="19"/>
  <c r="S9" i="19" l="1"/>
  <c r="N28" i="19" l="1"/>
  <c r="K25" i="19" l="1"/>
  <c r="F25" i="19" l="1"/>
  <c r="M8" i="19"/>
  <c r="L8" i="19"/>
  <c r="K8" i="19"/>
  <c r="J8" i="19"/>
  <c r="I8" i="19"/>
  <c r="H8" i="19"/>
  <c r="G8" i="19"/>
  <c r="F8" i="19"/>
  <c r="C25" i="19" l="1"/>
  <c r="E25" i="19" s="1"/>
  <c r="L28" i="19" l="1"/>
  <c r="E38" i="19" l="1"/>
  <c r="E37" i="19"/>
  <c r="E36" i="19"/>
  <c r="E35" i="19"/>
  <c r="E34" i="19"/>
  <c r="E33" i="19"/>
  <c r="E32" i="19"/>
  <c r="I28" i="19"/>
  <c r="M28" i="19" l="1"/>
  <c r="G33" i="19"/>
  <c r="G32" i="19"/>
  <c r="D25" i="19"/>
  <c r="H37" i="19"/>
  <c r="H33" i="19"/>
  <c r="H32" i="19"/>
  <c r="H36" i="19"/>
  <c r="H38" i="19"/>
  <c r="H34" i="19"/>
  <c r="G35" i="19"/>
  <c r="G36" i="19"/>
  <c r="G37" i="19"/>
  <c r="O28" i="19"/>
  <c r="G34" i="19"/>
  <c r="H35" i="19"/>
  <c r="G38" i="19"/>
  <c r="X16" i="19" l="1"/>
  <c r="X15" i="19"/>
  <c r="I38" i="19"/>
  <c r="J38" i="19" s="1"/>
  <c r="I35" i="19"/>
  <c r="J35" i="19" s="1"/>
  <c r="I33" i="19"/>
  <c r="J33" i="19" s="1"/>
  <c r="I34" i="19"/>
  <c r="J34" i="19" s="1"/>
  <c r="K35" i="19"/>
  <c r="L35" i="19" s="1"/>
  <c r="I37" i="19"/>
  <c r="J37" i="19" s="1"/>
  <c r="K38" i="19"/>
  <c r="L38" i="19" s="1"/>
  <c r="K37" i="19"/>
  <c r="L37" i="19" s="1"/>
  <c r="K34" i="19"/>
  <c r="L34" i="19" s="1"/>
  <c r="K36" i="19"/>
  <c r="L36" i="19" s="1"/>
  <c r="K32" i="19"/>
  <c r="L32" i="19" s="1"/>
  <c r="I32" i="19"/>
  <c r="J32" i="19" s="1"/>
  <c r="I36" i="19"/>
  <c r="J36" i="19" s="1"/>
  <c r="K33" i="19"/>
  <c r="L33" i="19" s="1"/>
  <c r="M35" i="19" l="1"/>
  <c r="O35" i="19"/>
  <c r="M34" i="19"/>
  <c r="O34" i="19"/>
  <c r="M38" i="19"/>
  <c r="O38" i="19"/>
  <c r="O36" i="19"/>
  <c r="M36" i="19"/>
  <c r="M32" i="19"/>
  <c r="M37" i="19"/>
  <c r="O37" i="19"/>
  <c r="O33" i="19"/>
  <c r="M33" i="19"/>
  <c r="H25" i="19" l="1"/>
  <c r="R12" i="19" s="1"/>
  <c r="AB15" i="19" l="1"/>
  <c r="P32" i="19"/>
  <c r="N33" i="19"/>
  <c r="N36" i="19"/>
  <c r="N34" i="19"/>
  <c r="N35" i="19"/>
  <c r="N37" i="19"/>
  <c r="N38" i="19"/>
  <c r="N32" i="19"/>
  <c r="P34" i="19"/>
  <c r="P33" i="19"/>
  <c r="P35" i="19"/>
  <c r="P36" i="19"/>
  <c r="P38" i="19"/>
  <c r="P37" i="19"/>
  <c r="R13" i="19"/>
  <c r="AB16" i="19" l="1"/>
  <c r="AB17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tc={E46B4E05-B828-4049-B9B5-09FF3615C71A}</author>
    <author>tc={E2C5F5A1-09B3-4E64-B57F-A69F7BAC1D45}</author>
    <author>tc={AAD65E9E-B695-4546-8F95-10F8802DD848}</author>
  </authors>
  <commentList>
    <comment ref="G13" authorId="0" shapeId="0" xr:uid="{E46B4E05-B828-4049-B9B5-09FF3615C71A}">
      <text>
        <t>[Threaded comment]
Your version of Excel allows you to read this threaded comment; however, any edits to it will get removed if the file is opened in a newer version of Excel. Learn more: https://go.microsoft.com/fwlink/?linkid=870924
Comment:
    covert to DOT</t>
      </text>
    </comment>
    <comment ref="G16" authorId="1" shapeId="0" xr:uid="{E2C5F5A1-09B3-4E64-B57F-A69F7BAC1D45}">
      <text>
        <t>[Threaded comment]
Your version of Excel allows you to read this threaded comment; however, any edits to it will get removed if the file is opened in a newer version of Excel. Learn more: https://go.microsoft.com/fwlink/?linkid=870924
Comment:
    covert to DOT</t>
      </text>
    </comment>
    <comment ref="N24" authorId="2" shapeId="0" xr:uid="{AAD65E9E-B695-4546-8F95-10F8802DD848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from MMX till mar23</t>
      </text>
    </comment>
  </commentList>
</comments>
</file>

<file path=xl/sharedStrings.xml><?xml version="1.0" encoding="utf-8"?>
<sst xmlns="http://schemas.openxmlformats.org/spreadsheetml/2006/main" count="923" uniqueCount="154">
  <si>
    <t>sum</t>
  </si>
  <si>
    <t>N</t>
  </si>
  <si>
    <t>Freq</t>
  </si>
  <si>
    <t>Specialty</t>
  </si>
  <si>
    <t>Mean Details Per Year</t>
  </si>
  <si>
    <t>Total DOT per Year (model data)</t>
  </si>
  <si>
    <t xml:space="preserve">Total Incr. NRx per Year from Model </t>
  </si>
  <si>
    <t>Projected Incr. NRx from ALLOCATED  DOT</t>
  </si>
  <si>
    <t>This transformation to Incr. TRx is done in order to bring all the response curves to same Incr. TRx scales.</t>
  </si>
  <si>
    <t>Estimated 3yr Incr. TRx</t>
  </si>
  <si>
    <t>ALL</t>
  </si>
  <si>
    <t>3-Yr Adherence Rxs per New Patient (from finance NPV sheet)</t>
  </si>
  <si>
    <t>Total Details in Analysis period</t>
  </si>
  <si>
    <t>Total DOT vs. Model DOT</t>
  </si>
  <si>
    <t>NPA:NRX</t>
  </si>
  <si>
    <t>DOT per MD (FY)</t>
  </si>
  <si>
    <t>Incr. NRx per MD  per Year</t>
  </si>
  <si>
    <t>Projected and Scaled NRx TO NPA NRx Scale</t>
  </si>
  <si>
    <t>TRx in a New Patient</t>
  </si>
  <si>
    <t>NRx per $</t>
  </si>
  <si>
    <t>TRx per $</t>
  </si>
  <si>
    <t>XN(A)</t>
  </si>
  <si>
    <t>Mean DOT of Vouchers per Year</t>
  </si>
  <si>
    <t>Total DOT of Vouchers in Analysis period</t>
  </si>
  <si>
    <t>Substituting DOTperMD from eqn [2] into eqn [1] we get the equivalent sample response equation as depicted below in terms of spend.</t>
  </si>
  <si>
    <t>Scaled Incr NRx = as*Spend + bs*Spend^2</t>
  </si>
  <si>
    <t>Scaled Incr TRx = Rxs per New Patient * (as*Spend + bs*Spend^2) 
[OR] 
Incr. TRx = ast*Spend + bst*Spend^2</t>
  </si>
  <si>
    <r>
      <rPr>
        <b/>
        <sz val="10"/>
        <color theme="1"/>
        <rFont val="Calibri"/>
        <family val="2"/>
        <scheme val="minor"/>
      </rPr>
      <t>ast =</t>
    </r>
    <r>
      <rPr>
        <sz val="10"/>
        <color theme="1"/>
        <rFont val="Calibri"/>
        <family val="2"/>
        <scheme val="minor"/>
      </rPr>
      <t xml:space="preserve"> as * Rxs per New Patient</t>
    </r>
  </si>
  <si>
    <r>
      <rPr>
        <b/>
        <sz val="10"/>
        <color theme="1"/>
        <rFont val="Calibri"/>
        <family val="2"/>
        <scheme val="minor"/>
      </rPr>
      <t>bst =</t>
    </r>
    <r>
      <rPr>
        <sz val="10"/>
        <color theme="1"/>
        <rFont val="Calibri"/>
        <family val="2"/>
        <scheme val="minor"/>
      </rPr>
      <t xml:space="preserve"> bs * Rxs per New Patient</t>
    </r>
  </si>
  <si>
    <t>Model</t>
  </si>
  <si>
    <t>Dependent</t>
  </si>
  <si>
    <t>Variable</t>
  </si>
  <si>
    <t>m11 - 12 MONTHS ONLY</t>
  </si>
  <si>
    <t>Projected Incr NRx. As % of NPA NRX (Mar'18 - Feb'19)</t>
  </si>
  <si>
    <t>Intercept</t>
  </si>
  <si>
    <t>VNRx_cur</t>
  </si>
  <si>
    <t>tot_det_cur</t>
  </si>
  <si>
    <t>Samples_cur</t>
  </si>
  <si>
    <t>Model Data (Apr21-Mar22)</t>
  </si>
  <si>
    <t>Total DOT in 2022</t>
  </si>
  <si>
    <t>Total Voucher Spend in 2022</t>
  </si>
  <si>
    <t>2022 $ per DOT</t>
  </si>
  <si>
    <t>Vnrx_cur_sq</t>
  </si>
  <si>
    <t xml:space="preserve">Incr. NRx per MD </t>
  </si>
  <si>
    <t>DOT per MD</t>
  </si>
  <si>
    <t>Grail population 1 with at least one VNRX or NRX for 1 year period is used for modeling (outliers removed).</t>
  </si>
  <si>
    <t>VERQUVO Voucher response curve in terms of Incr. TRx</t>
  </si>
  <si>
    <t>Final vouchers and detail curves correspond to the polynomial model with linear and quadractic terms.</t>
  </si>
  <si>
    <t>MNRx_pre</t>
  </si>
  <si>
    <t>TOT_MMF</t>
  </si>
  <si>
    <t>Model: M31</t>
  </si>
  <si>
    <t>NRx_pre1</t>
  </si>
  <si>
    <t>NRx_cur1 Sum</t>
  </si>
  <si>
    <t>NRx_cur1 Mean</t>
  </si>
  <si>
    <t>% contribution</t>
  </si>
  <si>
    <t>Modeled</t>
  </si>
  <si>
    <t>Universe</t>
  </si>
  <si>
    <t>modeled--&gt;</t>
  </si>
  <si>
    <t>universe--&gt;</t>
  </si>
  <si>
    <t>Vouchers</t>
  </si>
  <si>
    <t>Details</t>
  </si>
  <si>
    <t>DF</t>
  </si>
  <si>
    <t>Parameter</t>
  </si>
  <si>
    <t>Standard</t>
  </si>
  <si>
    <t>t Value</t>
  </si>
  <si>
    <t>Pr &gt; |t|</t>
  </si>
  <si>
    <t>Variance</t>
  </si>
  <si>
    <t>90% Confidence Limits</t>
  </si>
  <si>
    <t>NRx_pre</t>
  </si>
  <si>
    <t>Model: M01</t>
  </si>
  <si>
    <t>B</t>
  </si>
  <si>
    <t>PCPIND</t>
  </si>
  <si>
    <t>.</t>
  </si>
  <si>
    <t>Model: M02</t>
  </si>
  <si>
    <t>Dependent Variable: NRx_chg</t>
  </si>
  <si>
    <t>Model: M03</t>
  </si>
  <si>
    <t>Model: M04</t>
  </si>
  <si>
    <t>Model: M05</t>
  </si>
  <si>
    <t>Model: M06</t>
  </si>
  <si>
    <t xml:space="preserve"> NRX_CHG </t>
  </si>
  <si>
    <t xml:space="preserve"> NRX_CUR1 </t>
  </si>
  <si>
    <t>Model: M32</t>
  </si>
  <si>
    <t>Model: M33</t>
  </si>
  <si>
    <t>Model: M34</t>
  </si>
  <si>
    <t>Model: M35</t>
  </si>
  <si>
    <t>Model: M36</t>
  </si>
  <si>
    <t xml:space="preserve"> NRX_CUR2</t>
  </si>
  <si>
    <t xml:space="preserve"> NRX_CUR3</t>
  </si>
  <si>
    <t xml:space="preserve"> NRX_CUR4</t>
  </si>
  <si>
    <t xml:space="preserve"> NRX_CUR5</t>
  </si>
  <si>
    <t xml:space="preserve"> NRX_CUR6</t>
  </si>
  <si>
    <t xml:space="preserve"> NRX_CHG1</t>
  </si>
  <si>
    <t>Model: M11</t>
  </si>
  <si>
    <t>Model: M12</t>
  </si>
  <si>
    <t>Model: M13</t>
  </si>
  <si>
    <t>Model: M14</t>
  </si>
  <si>
    <t>Model: M15</t>
  </si>
  <si>
    <t>Model: M16</t>
  </si>
  <si>
    <t xml:space="preserve"> NRX_CHG2</t>
  </si>
  <si>
    <t xml:space="preserve"> NRX_CHG3</t>
  </si>
  <si>
    <t xml:space="preserve"> NRX_CHG4</t>
  </si>
  <si>
    <t xml:space="preserve"> NRX_CHG5</t>
  </si>
  <si>
    <t xml:space="preserve"> NRX_CHG6</t>
  </si>
  <si>
    <t xml:space="preserve"> NRX_CUR</t>
  </si>
  <si>
    <t>Model: M21</t>
  </si>
  <si>
    <t>Model: M22</t>
  </si>
  <si>
    <t>Model: M23</t>
  </si>
  <si>
    <t>Model: M24</t>
  </si>
  <si>
    <t>Model: M25</t>
  </si>
  <si>
    <t>Model: M26</t>
  </si>
  <si>
    <t>Root MSE</t>
  </si>
  <si>
    <t>R-Square</t>
  </si>
  <si>
    <t>Dependent Mean</t>
  </si>
  <si>
    <t>Adj R-Sq</t>
  </si>
  <si>
    <t>Coeff Var</t>
  </si>
  <si>
    <t>Parameter Estimates</t>
  </si>
  <si>
    <t>The REG Procedure</t>
  </si>
  <si>
    <t>Vnrx_cur_LN</t>
  </si>
  <si>
    <t>Vnrx_cur_ROOT</t>
  </si>
  <si>
    <t>Dependent Variable: NRx_cur1</t>
  </si>
  <si>
    <t>Dependent Variable: NRX_cur1</t>
  </si>
  <si>
    <t>Dependent Variable: NRx_Chg1</t>
  </si>
  <si>
    <t>Dependent Variable: NRx_chg1</t>
  </si>
  <si>
    <t>Dependent Variable: NRx_cur</t>
  </si>
  <si>
    <t>Act</t>
  </si>
  <si>
    <t>Dependent Variable: NRX_cur</t>
  </si>
  <si>
    <t>NRX_CUR1= NRx-vouchers for current period</t>
  </si>
  <si>
    <t>Linear Model</t>
  </si>
  <si>
    <t>Linear with PCPIND Model</t>
  </si>
  <si>
    <t>Square Model</t>
  </si>
  <si>
    <t>Square with PCPIND Model</t>
  </si>
  <si>
    <t>Root Model</t>
  </si>
  <si>
    <t>Log Model</t>
  </si>
  <si>
    <t>Impact</t>
  </si>
  <si>
    <t>Vnrx_cur</t>
  </si>
  <si>
    <t>Total model NRx in Analysis period (Jan22-Dec22)</t>
  </si>
  <si>
    <t>Total Grail NRx in Analysis period (Jan22-Dec22)</t>
  </si>
  <si>
    <t>Total NPA in Analysis period (Jan22-Dec22)</t>
  </si>
  <si>
    <t>DOT (2022)</t>
  </si>
  <si>
    <t>Total Voucher Spend in 2023</t>
  </si>
  <si>
    <t>DOT 2023 Forecast</t>
  </si>
  <si>
    <t>Total DOT in 2023</t>
  </si>
  <si>
    <t>MMx Results 2023</t>
  </si>
  <si>
    <t>2023 $ per DOT</t>
  </si>
  <si>
    <t>Equivalent 2023 Voucher Spend for ALLOCATED DOT (uses 2023 $/DOT value)</t>
  </si>
  <si>
    <t>Total ALLOCATED DOT in 2023</t>
  </si>
  <si>
    <t>2022 MMx results</t>
  </si>
  <si>
    <t>as = (NPA NRx Scaling Ratio * lin.est) / (2023 $perDOT)</t>
  </si>
  <si>
    <t>Here, NPA NRx Scaling ratio = 1.22 and Missing Samples Projection Ratio = 1.03</t>
  </si>
  <si>
    <t xml:space="preserve"> [1] Scaled Incr. NRx = 1.22 * 1.03 * N * (lin.est * DOTperMD  + quad.est * (DOTperMD ^ 2))</t>
  </si>
  <si>
    <t xml:space="preserve"> [2] Spend = $perDOT * 1.03 * N * DOTperMD</t>
  </si>
  <si>
    <t>bs =  (NPA NRx Scaling Ratio * quad.est) / (2023 $perDOT^2 * N * Missing Vouchers Projection Ratio)</t>
  </si>
  <si>
    <t>Equivalent Vouchers Reponse Equation for Incr_NRx</t>
  </si>
  <si>
    <t>Equivalent Vouchers Reponse Equation for Incr_TRx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</si>
</sst>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"/>
    <numFmt numFmtId="166" formatCode="_(* #,##0_);_(* \(#,##0\);_(* &quot;-&quot;??_);_(@_)"/>
    <numFmt numFmtId="167" formatCode="0.0000E+00"/>
    <numFmt numFmtId="168" formatCode="0.000"/>
    <numFmt numFmtId="169" formatCode="_(* #,##0.0_);_(* \(#,##0.0\);_(* &quot;-&quot;??_);_(@_)"/>
    <numFmt numFmtId="170" formatCode="_(* #,##0.000_);_(* \(#,##0.000\);_(* &quot;-&quot;??_);_(@_)"/>
    <numFmt numFmtId="171" formatCode="_(&quot;$&quot;* #,##0_);_(&quot;$&quot;* \(#,##0\);_(&quot;$&quot;* &quot;-&quot;??_);_(@_)"/>
    <numFmt numFmtId="172" formatCode="#,##0.0000_);\(#,##0.0000\)"/>
    <numFmt numFmtId="173" formatCode="_(* #,##0.000000_);_(* \(#,##0.000000\);_(* &quot;-&quot;??_);_(@_)"/>
    <numFmt numFmtId="174" formatCode="0.0%"/>
    <numFmt numFmtId="175" formatCode="0.00_);\(0.00\)"/>
    <numFmt numFmtId="176" formatCode="###0.0000;\-###0.0000;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b/>
      <sz val="10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Arial Narrow"/>
      <family val="2"/>
    </font>
    <font>
      <sz val="10"/>
      <name val="Calibri"/>
      <family val="2"/>
      <scheme val="minor"/>
    </font>
    <font>
      <b/>
      <sz val="10"/>
      <color rgb="FF00B050"/>
      <name val="Arial Narrow"/>
      <family val="2"/>
    </font>
    <font>
      <sz val="8"/>
      <name val="Calibri"/>
      <family val="2"/>
      <scheme val="minor"/>
    </font>
    <font>
      <sz val="10"/>
      <color theme="0"/>
      <name val="Arial Narrow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2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" fillId="0" borderId="0"/>
  </cellStyleXfs>
  <cellXfs count="200">
    <xf numFmtId="0" fontId="0" fillId="0" borderId="0" xfId="0"/>
    <xf numFmtId="0" fontId="23" fillId="33" borderId="12" xfId="45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6" fontId="24" fillId="0" borderId="12" xfId="46" applyNumberFormat="1" applyFont="1" applyBorder="1" applyAlignment="1">
      <alignment horizontal="center" vertical="center" wrapText="1"/>
    </xf>
    <xf numFmtId="43" fontId="24" fillId="33" borderId="12" xfId="45" applyNumberFormat="1" applyFont="1" applyFill="1" applyBorder="1" applyAlignment="1">
      <alignment horizontal="center" vertical="center" wrapText="1"/>
    </xf>
    <xf numFmtId="0" fontId="24" fillId="0" borderId="0" xfId="45" applyFont="1" applyAlignment="1">
      <alignment horizontal="center" vertical="center" wrapText="1"/>
    </xf>
    <xf numFmtId="0" fontId="23" fillId="0" borderId="0" xfId="45" applyFont="1" applyAlignment="1">
      <alignment horizontal="center" vertical="center" wrapText="1"/>
    </xf>
    <xf numFmtId="0" fontId="23" fillId="0" borderId="0" xfId="45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37" borderId="1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center" wrapText="1"/>
    </xf>
    <xf numFmtId="0" fontId="25" fillId="38" borderId="12" xfId="0" applyFont="1" applyFill="1" applyBorder="1" applyAlignment="1">
      <alignment horizontal="center" vertical="center" wrapText="1"/>
    </xf>
    <xf numFmtId="166" fontId="22" fillId="0" borderId="12" xfId="1" applyNumberFormat="1" applyFont="1" applyBorder="1" applyAlignment="1">
      <alignment horizontal="center" vertical="center" wrapText="1"/>
    </xf>
    <xf numFmtId="170" fontId="24" fillId="0" borderId="12" xfId="46" applyNumberFormat="1" applyFont="1" applyBorder="1" applyAlignment="1">
      <alignment horizontal="center" vertical="center" wrapText="1"/>
    </xf>
    <xf numFmtId="169" fontId="22" fillId="0" borderId="12" xfId="0" applyNumberFormat="1" applyFont="1" applyBorder="1" applyAlignment="1">
      <alignment horizontal="center" vertical="center" wrapText="1"/>
    </xf>
    <xf numFmtId="166" fontId="22" fillId="0" borderId="1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43" fontId="25" fillId="0" borderId="0" xfId="0" applyNumberFormat="1" applyFont="1" applyFill="1" applyAlignment="1">
      <alignment horizontal="center" vertical="center" wrapText="1"/>
    </xf>
    <xf numFmtId="44" fontId="22" fillId="0" borderId="0" xfId="0" applyNumberFormat="1" applyFont="1" applyAlignment="1">
      <alignment horizontal="center" vertical="center" wrapText="1"/>
    </xf>
    <xf numFmtId="166" fontId="22" fillId="40" borderId="0" xfId="1" applyNumberFormat="1" applyFont="1" applyFill="1" applyBorder="1" applyAlignment="1">
      <alignment horizontal="center" vertical="center" wrapText="1"/>
    </xf>
    <xf numFmtId="170" fontId="24" fillId="40" borderId="0" xfId="46" applyNumberFormat="1" applyFont="1" applyFill="1" applyBorder="1" applyAlignment="1">
      <alignment horizontal="center" vertical="center" wrapText="1"/>
    </xf>
    <xf numFmtId="169" fontId="22" fillId="40" borderId="0" xfId="0" applyNumberFormat="1" applyFont="1" applyFill="1" applyBorder="1" applyAlignment="1">
      <alignment horizontal="center" vertical="center" wrapText="1"/>
    </xf>
    <xf numFmtId="166" fontId="24" fillId="40" borderId="0" xfId="46" applyNumberFormat="1" applyFont="1" applyFill="1" applyBorder="1" applyAlignment="1">
      <alignment horizontal="center" vertical="center" wrapText="1"/>
    </xf>
    <xf numFmtId="166" fontId="22" fillId="40" borderId="0" xfId="0" applyNumberFormat="1" applyFont="1" applyFill="1" applyBorder="1" applyAlignment="1">
      <alignment horizontal="center" vertical="center" wrapText="1"/>
    </xf>
    <xf numFmtId="3" fontId="22" fillId="40" borderId="0" xfId="0" applyNumberFormat="1" applyFont="1" applyFill="1" applyBorder="1" applyAlignment="1">
      <alignment horizontal="center" vertical="center" wrapText="1"/>
    </xf>
    <xf numFmtId="3" fontId="22" fillId="40" borderId="0" xfId="1" applyNumberFormat="1" applyFont="1" applyFill="1" applyBorder="1" applyAlignment="1">
      <alignment horizontal="center" vertical="center" wrapText="1"/>
    </xf>
    <xf numFmtId="171" fontId="22" fillId="40" borderId="0" xfId="2" applyNumberFormat="1" applyFont="1" applyFill="1" applyBorder="1" applyAlignment="1">
      <alignment horizontal="center" vertical="center" wrapText="1"/>
    </xf>
    <xf numFmtId="0" fontId="22" fillId="40" borderId="0" xfId="0" applyFont="1" applyFill="1" applyAlignment="1">
      <alignment horizontal="center" vertical="center" wrapText="1"/>
    </xf>
    <xf numFmtId="43" fontId="25" fillId="37" borderId="12" xfId="0" applyNumberFormat="1" applyFont="1" applyFill="1" applyBorder="1" applyAlignment="1">
      <alignment horizontal="center" vertical="center" wrapText="1"/>
    </xf>
    <xf numFmtId="44" fontId="25" fillId="37" borderId="12" xfId="0" applyNumberFormat="1" applyFont="1" applyFill="1" applyBorder="1" applyAlignment="1">
      <alignment horizontal="center" vertical="center" wrapText="1"/>
    </xf>
    <xf numFmtId="44" fontId="21" fillId="38" borderId="12" xfId="2" applyFont="1" applyFill="1" applyBorder="1" applyAlignment="1">
      <alignment horizontal="center" vertical="center" wrapText="1"/>
    </xf>
    <xf numFmtId="43" fontId="25" fillId="38" borderId="13" xfId="0" applyNumberFormat="1" applyFont="1" applyFill="1" applyBorder="1" applyAlignment="1">
      <alignment horizontal="center" vertical="center" wrapText="1"/>
    </xf>
    <xf numFmtId="3" fontId="22" fillId="40" borderId="13" xfId="1" applyNumberFormat="1" applyFont="1" applyFill="1" applyBorder="1" applyAlignment="1">
      <alignment horizontal="center" vertical="center" wrapText="1"/>
    </xf>
    <xf numFmtId="3" fontId="22" fillId="40" borderId="14" xfId="1" applyNumberFormat="1" applyFont="1" applyFill="1" applyBorder="1" applyAlignment="1">
      <alignment horizontal="center" vertical="center" wrapText="1"/>
    </xf>
    <xf numFmtId="171" fontId="22" fillId="40" borderId="15" xfId="2" applyNumberFormat="1" applyFont="1" applyFill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34" borderId="19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168" fontId="22" fillId="0" borderId="22" xfId="0" applyNumberFormat="1" applyFont="1" applyBorder="1" applyAlignment="1">
      <alignment horizontal="center" vertical="center" wrapText="1"/>
    </xf>
    <xf numFmtId="37" fontId="22" fillId="0" borderId="22" xfId="0" applyNumberFormat="1" applyFont="1" applyBorder="1" applyAlignment="1">
      <alignment horizontal="center" vertical="center" wrapText="1"/>
    </xf>
    <xf numFmtId="37" fontId="22" fillId="0" borderId="22" xfId="0" applyNumberFormat="1" applyFont="1" applyFill="1" applyBorder="1" applyAlignment="1">
      <alignment horizontal="center" vertical="center" wrapText="1"/>
    </xf>
    <xf numFmtId="37" fontId="22" fillId="34" borderId="22" xfId="0" applyNumberFormat="1" applyFont="1" applyFill="1" applyBorder="1" applyAlignment="1">
      <alignment horizontal="center" vertical="center" wrapText="1"/>
    </xf>
    <xf numFmtId="10" fontId="22" fillId="0" borderId="22" xfId="3" applyNumberFormat="1" applyFont="1" applyBorder="1" applyAlignment="1">
      <alignment horizontal="center" vertical="center" wrapText="1"/>
    </xf>
    <xf numFmtId="37" fontId="22" fillId="34" borderId="23" xfId="0" applyNumberFormat="1" applyFont="1" applyFill="1" applyBorder="1" applyAlignment="1">
      <alignment horizontal="center" vertical="center" wrapText="1"/>
    </xf>
    <xf numFmtId="171" fontId="22" fillId="34" borderId="22" xfId="0" applyNumberFormat="1" applyFont="1" applyFill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37" fontId="22" fillId="0" borderId="25" xfId="0" applyNumberFormat="1" applyFont="1" applyBorder="1" applyAlignment="1">
      <alignment horizontal="center" vertical="center" wrapText="1"/>
    </xf>
    <xf numFmtId="44" fontId="22" fillId="34" borderId="25" xfId="0" applyNumberFormat="1" applyFont="1" applyFill="1" applyBorder="1" applyAlignment="1">
      <alignment horizontal="center" vertical="center" wrapText="1"/>
    </xf>
    <xf numFmtId="37" fontId="22" fillId="0" borderId="25" xfId="0" applyNumberFormat="1" applyFont="1" applyFill="1" applyBorder="1" applyAlignment="1">
      <alignment horizontal="center" vertical="center" wrapText="1"/>
    </xf>
    <xf numFmtId="37" fontId="22" fillId="34" borderId="25" xfId="0" applyNumberFormat="1" applyFont="1" applyFill="1" applyBorder="1" applyAlignment="1">
      <alignment horizontal="center" vertical="center" wrapText="1"/>
    </xf>
    <xf numFmtId="10" fontId="22" fillId="0" borderId="25" xfId="3" applyNumberFormat="1" applyFont="1" applyBorder="1" applyAlignment="1">
      <alignment horizontal="center" vertical="center" wrapText="1"/>
    </xf>
    <xf numFmtId="37" fontId="22" fillId="34" borderId="27" xfId="0" applyNumberFormat="1" applyFont="1" applyFill="1" applyBorder="1" applyAlignment="1">
      <alignment horizontal="center" vertical="center" wrapText="1"/>
    </xf>
    <xf numFmtId="2" fontId="25" fillId="36" borderId="11" xfId="0" applyNumberFormat="1" applyFont="1" applyFill="1" applyBorder="1" applyAlignment="1">
      <alignment horizontal="center" vertical="center" wrapText="1"/>
    </xf>
    <xf numFmtId="0" fontId="24" fillId="40" borderId="12" xfId="0" applyFont="1" applyFill="1" applyBorder="1" applyAlignment="1">
      <alignment horizontal="center" vertical="center" wrapText="1"/>
    </xf>
    <xf numFmtId="166" fontId="22" fillId="40" borderId="12" xfId="0" applyNumberFormat="1" applyFont="1" applyFill="1" applyBorder="1" applyAlignment="1">
      <alignment horizontal="center" vertical="center" wrapText="1"/>
    </xf>
    <xf numFmtId="164" fontId="22" fillId="0" borderId="25" xfId="0" applyNumberFormat="1" applyFont="1" applyBorder="1" applyAlignment="1">
      <alignment horizontal="center" vertical="center" wrapText="1"/>
    </xf>
    <xf numFmtId="164" fontId="22" fillId="0" borderId="22" xfId="0" applyNumberFormat="1" applyFont="1" applyBorder="1" applyAlignment="1">
      <alignment horizontal="center" vertical="center" wrapText="1"/>
    </xf>
    <xf numFmtId="172" fontId="22" fillId="0" borderId="0" xfId="2" applyNumberFormat="1" applyFont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169" fontId="25" fillId="40" borderId="0" xfId="0" applyNumberFormat="1" applyFont="1" applyFill="1" applyBorder="1" applyAlignment="1">
      <alignment horizontal="center" vertical="center" wrapText="1"/>
    </xf>
    <xf numFmtId="2" fontId="23" fillId="39" borderId="0" xfId="0" applyNumberFormat="1" applyFont="1" applyFill="1" applyBorder="1" applyAlignment="1">
      <alignment horizontal="center" vertical="center" wrapText="1"/>
    </xf>
    <xf numFmtId="9" fontId="22" fillId="40" borderId="0" xfId="3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8" fontId="24" fillId="0" borderId="22" xfId="0" applyNumberFormat="1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37" fontId="24" fillId="0" borderId="22" xfId="0" applyNumberFormat="1" applyFont="1" applyBorder="1" applyAlignment="1">
      <alignment horizontal="center" vertical="center" wrapText="1"/>
    </xf>
    <xf numFmtId="171" fontId="24" fillId="34" borderId="22" xfId="0" applyNumberFormat="1" applyFont="1" applyFill="1" applyBorder="1" applyAlignment="1">
      <alignment horizontal="center" vertical="center" wrapText="1"/>
    </xf>
    <xf numFmtId="37" fontId="24" fillId="0" borderId="22" xfId="0" applyNumberFormat="1" applyFont="1" applyFill="1" applyBorder="1" applyAlignment="1">
      <alignment horizontal="center" vertical="center" wrapText="1"/>
    </xf>
    <xf numFmtId="37" fontId="24" fillId="34" borderId="22" xfId="0" applyNumberFormat="1" applyFont="1" applyFill="1" applyBorder="1" applyAlignment="1">
      <alignment horizontal="center" vertical="center" wrapText="1"/>
    </xf>
    <xf numFmtId="10" fontId="24" fillId="0" borderId="22" xfId="3" applyNumberFormat="1" applyFont="1" applyBorder="1" applyAlignment="1">
      <alignment horizontal="center" vertical="center" wrapText="1"/>
    </xf>
    <xf numFmtId="37" fontId="24" fillId="34" borderId="23" xfId="0" applyNumberFormat="1" applyFont="1" applyFill="1" applyBorder="1" applyAlignment="1">
      <alignment horizontal="center" vertical="center" wrapText="1"/>
    </xf>
    <xf numFmtId="164" fontId="24" fillId="0" borderId="22" xfId="0" applyNumberFormat="1" applyFont="1" applyBorder="1" applyAlignment="1">
      <alignment horizontal="center" vertical="center" wrapText="1"/>
    </xf>
    <xf numFmtId="0" fontId="19" fillId="0" borderId="0" xfId="0" applyFont="1"/>
    <xf numFmtId="173" fontId="28" fillId="41" borderId="12" xfId="1" applyNumberFormat="1" applyFont="1" applyFill="1" applyBorder="1"/>
    <xf numFmtId="2" fontId="28" fillId="41" borderId="12" xfId="0" applyNumberFormat="1" applyFont="1" applyFill="1" applyBorder="1"/>
    <xf numFmtId="167" fontId="28" fillId="41" borderId="12" xfId="0" applyNumberFormat="1" applyFont="1" applyFill="1" applyBorder="1"/>
    <xf numFmtId="2" fontId="22" fillId="0" borderId="24" xfId="0" applyNumberFormat="1" applyFont="1" applyBorder="1" applyAlignment="1">
      <alignment horizontal="center" vertical="center" wrapText="1"/>
    </xf>
    <xf numFmtId="2" fontId="22" fillId="0" borderId="21" xfId="0" applyNumberFormat="1" applyFont="1" applyBorder="1" applyAlignment="1">
      <alignment horizontal="center" vertical="center" wrapText="1"/>
    </xf>
    <xf numFmtId="43" fontId="28" fillId="41" borderId="12" xfId="0" applyNumberFormat="1" applyFont="1" applyFill="1" applyBorder="1"/>
    <xf numFmtId="0" fontId="19" fillId="41" borderId="0" xfId="0" applyFont="1" applyFill="1" applyBorder="1" applyAlignment="1">
      <alignment horizontal="left" wrapText="1"/>
    </xf>
    <xf numFmtId="167" fontId="28" fillId="41" borderId="0" xfId="0" applyNumberFormat="1" applyFont="1" applyFill="1" applyBorder="1"/>
    <xf numFmtId="0" fontId="24" fillId="0" borderId="10" xfId="45" applyFont="1" applyBorder="1" applyAlignment="1">
      <alignment horizontal="center" vertical="center"/>
    </xf>
    <xf numFmtId="164" fontId="24" fillId="0" borderId="10" xfId="45" applyNumberFormat="1" applyFont="1" applyBorder="1" applyAlignment="1">
      <alignment horizontal="center" vertical="center"/>
    </xf>
    <xf numFmtId="0" fontId="24" fillId="34" borderId="10" xfId="45" applyFont="1" applyFill="1" applyBorder="1" applyAlignment="1">
      <alignment horizontal="center" vertical="center"/>
    </xf>
    <xf numFmtId="164" fontId="24" fillId="34" borderId="10" xfId="45" applyNumberFormat="1" applyFont="1" applyFill="1" applyBorder="1" applyAlignment="1">
      <alignment horizontal="center" vertical="center"/>
    </xf>
    <xf numFmtId="1" fontId="24" fillId="34" borderId="10" xfId="45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10" fontId="22" fillId="0" borderId="0" xfId="3" applyNumberFormat="1" applyFont="1" applyAlignment="1">
      <alignment horizontal="center" vertical="center" wrapText="1"/>
    </xf>
    <xf numFmtId="0" fontId="25" fillId="42" borderId="12" xfId="0" applyFont="1" applyFill="1" applyBorder="1" applyAlignment="1">
      <alignment horizontal="center" vertical="center" wrapText="1"/>
    </xf>
    <xf numFmtId="174" fontId="23" fillId="42" borderId="12" xfId="3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26" fillId="0" borderId="0" xfId="0" applyFont="1" applyAlignment="1">
      <alignment horizontal="center" vertical="center" wrapText="1"/>
    </xf>
    <xf numFmtId="3" fontId="25" fillId="37" borderId="12" xfId="1" applyNumberFormat="1" applyFont="1" applyFill="1" applyBorder="1" applyAlignment="1">
      <alignment horizontal="center" vertical="center" wrapText="1"/>
    </xf>
    <xf numFmtId="171" fontId="25" fillId="37" borderId="12" xfId="2" applyNumberFormat="1" applyFont="1" applyFill="1" applyBorder="1" applyAlignment="1">
      <alignment horizontal="center" vertical="center" wrapText="1"/>
    </xf>
    <xf numFmtId="171" fontId="25" fillId="38" borderId="12" xfId="2" applyNumberFormat="1" applyFont="1" applyFill="1" applyBorder="1" applyAlignment="1">
      <alignment horizontal="center" vertical="center" wrapText="1"/>
    </xf>
    <xf numFmtId="0" fontId="1" fillId="0" borderId="13" xfId="51" applyBorder="1" applyAlignment="1">
      <alignment horizontal="center"/>
    </xf>
    <xf numFmtId="0" fontId="1" fillId="0" borderId="15" xfId="51" applyBorder="1"/>
    <xf numFmtId="0" fontId="1" fillId="0" borderId="13" xfId="51" applyBorder="1"/>
    <xf numFmtId="0" fontId="1" fillId="0" borderId="14" xfId="51" applyBorder="1"/>
    <xf numFmtId="0" fontId="1" fillId="0" borderId="28" xfId="51" applyBorder="1"/>
    <xf numFmtId="0" fontId="1" fillId="0" borderId="29" xfId="51" applyBorder="1"/>
    <xf numFmtId="2" fontId="1" fillId="0" borderId="26" xfId="51" applyNumberFormat="1" applyBorder="1" applyAlignment="1">
      <alignment horizontal="center"/>
    </xf>
    <xf numFmtId="9" fontId="0" fillId="0" borderId="26" xfId="47" applyFont="1" applyBorder="1" applyAlignment="1">
      <alignment horizontal="center"/>
    </xf>
    <xf numFmtId="2" fontId="1" fillId="0" borderId="29" xfId="51" applyNumberFormat="1" applyBorder="1" applyAlignment="1">
      <alignment horizontal="center"/>
    </xf>
    <xf numFmtId="0" fontId="1" fillId="0" borderId="16" xfId="51" applyBorder="1"/>
    <xf numFmtId="0" fontId="1" fillId="0" borderId="17" xfId="51" applyBorder="1"/>
    <xf numFmtId="2" fontId="1" fillId="0" borderId="0" xfId="51" applyNumberFormat="1" applyAlignment="1">
      <alignment horizontal="center"/>
    </xf>
    <xf numFmtId="9" fontId="0" fillId="0" borderId="0" xfId="47" applyFont="1" applyBorder="1" applyAlignment="1">
      <alignment horizontal="center"/>
    </xf>
    <xf numFmtId="2" fontId="1" fillId="0" borderId="17" xfId="51" applyNumberFormat="1" applyBorder="1" applyAlignment="1">
      <alignment horizontal="center"/>
    </xf>
    <xf numFmtId="0" fontId="1" fillId="0" borderId="30" xfId="51" applyBorder="1"/>
    <xf numFmtId="0" fontId="1" fillId="0" borderId="31" xfId="51" applyBorder="1"/>
    <xf numFmtId="2" fontId="1" fillId="0" borderId="32" xfId="51" applyNumberFormat="1" applyBorder="1" applyAlignment="1">
      <alignment horizontal="center"/>
    </xf>
    <xf numFmtId="9" fontId="0" fillId="0" borderId="32" xfId="47" applyFont="1" applyBorder="1" applyAlignment="1">
      <alignment horizontal="center"/>
    </xf>
    <xf numFmtId="2" fontId="1" fillId="0" borderId="31" xfId="51" applyNumberFormat="1" applyBorder="1" applyAlignment="1">
      <alignment horizontal="center"/>
    </xf>
    <xf numFmtId="0" fontId="1" fillId="0" borderId="0" xfId="51"/>
    <xf numFmtId="0" fontId="1" fillId="0" borderId="12" xfId="51" applyBorder="1"/>
    <xf numFmtId="0" fontId="1" fillId="0" borderId="28" xfId="51" applyBorder="1" applyAlignment="1">
      <alignment horizontal="center"/>
    </xf>
    <xf numFmtId="0" fontId="1" fillId="0" borderId="26" xfId="51" applyBorder="1"/>
    <xf numFmtId="0" fontId="1" fillId="0" borderId="32" xfId="51" applyBorder="1"/>
    <xf numFmtId="175" fontId="1" fillId="0" borderId="32" xfId="51" applyNumberFormat="1" applyBorder="1"/>
    <xf numFmtId="2" fontId="1" fillId="0" borderId="32" xfId="51" applyNumberFormat="1" applyBorder="1"/>
    <xf numFmtId="2" fontId="1" fillId="0" borderId="31" xfId="51" applyNumberFormat="1" applyBorder="1"/>
    <xf numFmtId="0" fontId="1" fillId="0" borderId="33" xfId="51" applyBorder="1"/>
    <xf numFmtId="0" fontId="1" fillId="0" borderId="12" xfId="51" applyBorder="1" applyAlignment="1">
      <alignment horizontal="center"/>
    </xf>
    <xf numFmtId="0" fontId="1" fillId="0" borderId="30" xfId="51" applyBorder="1" applyAlignment="1">
      <alignment horizontal="center"/>
    </xf>
    <xf numFmtId="0" fontId="1" fillId="0" borderId="14" xfId="51" applyBorder="1"/>
    <xf numFmtId="0" fontId="1" fillId="0" borderId="15" xfId="51" applyBorder="1"/>
    <xf numFmtId="2" fontId="1" fillId="0" borderId="0" xfId="51" applyNumberFormat="1"/>
    <xf numFmtId="0" fontId="1" fillId="0" borderId="26" xfId="51" applyBorder="1"/>
    <xf numFmtId="0" fontId="1" fillId="0" borderId="29" xfId="51" applyBorder="1"/>
    <xf numFmtId="9" fontId="0" fillId="0" borderId="32" xfId="47" applyFont="1" applyBorder="1"/>
    <xf numFmtId="9" fontId="1" fillId="0" borderId="0" xfId="3" applyFont="1"/>
    <xf numFmtId="2" fontId="1" fillId="0" borderId="17" xfId="51" applyNumberFormat="1" applyBorder="1"/>
    <xf numFmtId="9" fontId="1" fillId="0" borderId="32" xfId="3" applyFont="1" applyBorder="1"/>
    <xf numFmtId="9" fontId="0" fillId="0" borderId="0" xfId="47" applyFont="1" applyBorder="1"/>
    <xf numFmtId="0" fontId="33" fillId="0" borderId="0" xfId="0" applyFont="1" applyAlignment="1">
      <alignment horizontal="center" vertical="center" wrapText="1"/>
    </xf>
    <xf numFmtId="0" fontId="17" fillId="0" borderId="0" xfId="0" applyFont="1"/>
    <xf numFmtId="0" fontId="17" fillId="0" borderId="12" xfId="51" applyFont="1" applyBorder="1" applyAlignment="1">
      <alignment horizontal="center"/>
    </xf>
    <xf numFmtId="1" fontId="24" fillId="0" borderId="10" xfId="45" applyNumberFormat="1" applyFont="1" applyFill="1" applyBorder="1" applyAlignment="1">
      <alignment horizontal="center" vertical="center"/>
    </xf>
    <xf numFmtId="164" fontId="24" fillId="0" borderId="10" xfId="45" applyNumberFormat="1" applyFont="1" applyFill="1" applyBorder="1" applyAlignment="1">
      <alignment horizontal="center" vertical="center"/>
    </xf>
    <xf numFmtId="0" fontId="20" fillId="0" borderId="12" xfId="0" applyFont="1" applyBorder="1"/>
    <xf numFmtId="164" fontId="24" fillId="0" borderId="0" xfId="45" applyNumberFormat="1" applyFont="1" applyFill="1" applyBorder="1" applyAlignment="1">
      <alignment horizontal="center" vertical="center"/>
    </xf>
    <xf numFmtId="1" fontId="24" fillId="0" borderId="0" xfId="45" applyNumberFormat="1" applyFont="1" applyFill="1" applyBorder="1" applyAlignment="1">
      <alignment horizontal="center" vertical="center"/>
    </xf>
    <xf numFmtId="9" fontId="24" fillId="0" borderId="0" xfId="3" applyFont="1" applyFill="1" applyBorder="1" applyAlignment="1">
      <alignment horizontal="center" vertical="center"/>
    </xf>
    <xf numFmtId="165" fontId="24" fillId="0" borderId="0" xfId="45" applyNumberFormat="1" applyFont="1" applyFill="1" applyBorder="1" applyAlignment="1">
      <alignment horizontal="center" vertical="center"/>
    </xf>
    <xf numFmtId="3" fontId="30" fillId="0" borderId="0" xfId="46" applyNumberFormat="1" applyFont="1" applyBorder="1" applyAlignment="1">
      <alignment horizontal="center" vertical="center" wrapText="1"/>
    </xf>
    <xf numFmtId="0" fontId="0" fillId="0" borderId="12" xfId="0" applyBorder="1"/>
    <xf numFmtId="0" fontId="26" fillId="0" borderId="12" xfId="0" applyFont="1" applyBorder="1" applyAlignment="1">
      <alignment horizontal="center" vertical="center" wrapText="1"/>
    </xf>
    <xf numFmtId="43" fontId="22" fillId="0" borderId="0" xfId="0" applyNumberFormat="1" applyFont="1" applyAlignment="1">
      <alignment horizontal="center" vertical="center" wrapText="1"/>
    </xf>
    <xf numFmtId="3" fontId="25" fillId="44" borderId="12" xfId="46" applyNumberFormat="1" applyFont="1" applyFill="1" applyBorder="1" applyAlignment="1">
      <alignment horizontal="center" vertical="center" wrapText="1"/>
    </xf>
    <xf numFmtId="164" fontId="24" fillId="40" borderId="10" xfId="45" applyNumberFormat="1" applyFont="1" applyFill="1" applyBorder="1" applyAlignment="1">
      <alignment horizontal="center" vertical="center"/>
    </xf>
    <xf numFmtId="176" fontId="24" fillId="0" borderId="10" xfId="45" applyNumberFormat="1" applyFont="1" applyBorder="1" applyAlignment="1">
      <alignment horizontal="center" vertical="center"/>
    </xf>
    <xf numFmtId="3" fontId="30" fillId="0" borderId="17" xfId="46" applyNumberFormat="1" applyFont="1" applyBorder="1" applyAlignment="1">
      <alignment horizontal="center" vertical="center" wrapText="1"/>
    </xf>
    <xf numFmtId="3" fontId="30" fillId="34" borderId="17" xfId="46" applyNumberFormat="1" applyFont="1" applyFill="1" applyBorder="1" applyAlignment="1">
      <alignment horizontal="center" vertical="center" wrapText="1"/>
    </xf>
    <xf numFmtId="165" fontId="24" fillId="0" borderId="17" xfId="45" applyNumberFormat="1" applyFont="1" applyFill="1" applyBorder="1" applyAlignment="1">
      <alignment horizontal="center" vertical="center"/>
    </xf>
    <xf numFmtId="165" fontId="24" fillId="0" borderId="17" xfId="45" applyNumberFormat="1" applyFont="1" applyBorder="1" applyAlignment="1">
      <alignment horizontal="center" vertical="center"/>
    </xf>
    <xf numFmtId="9" fontId="24" fillId="40" borderId="17" xfId="3" applyFont="1" applyFill="1" applyBorder="1" applyAlignment="1">
      <alignment horizontal="center" vertical="center"/>
    </xf>
    <xf numFmtId="9" fontId="24" fillId="34" borderId="17" xfId="3" applyFont="1" applyFill="1" applyBorder="1" applyAlignment="1">
      <alignment horizontal="center" vertical="center"/>
    </xf>
    <xf numFmtId="176" fontId="24" fillId="0" borderId="17" xfId="45" applyNumberFormat="1" applyFont="1" applyBorder="1" applyAlignment="1">
      <alignment horizontal="center" vertical="center"/>
    </xf>
    <xf numFmtId="0" fontId="23" fillId="33" borderId="15" xfId="45" applyFont="1" applyFill="1" applyBorder="1" applyAlignment="1">
      <alignment horizontal="center" vertical="center" wrapText="1"/>
    </xf>
    <xf numFmtId="9" fontId="24" fillId="0" borderId="17" xfId="3" applyFont="1" applyFill="1" applyBorder="1" applyAlignment="1">
      <alignment horizontal="center" vertical="center"/>
    </xf>
    <xf numFmtId="165" fontId="24" fillId="0" borderId="10" xfId="45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 wrapText="1"/>
    </xf>
    <xf numFmtId="174" fontId="22" fillId="0" borderId="12" xfId="3" applyNumberFormat="1" applyFont="1" applyBorder="1" applyAlignment="1">
      <alignment horizontal="center" vertical="center" wrapText="1"/>
    </xf>
    <xf numFmtId="174" fontId="22" fillId="0" borderId="12" xfId="0" applyNumberFormat="1" applyFont="1" applyBorder="1" applyAlignment="1">
      <alignment horizontal="center" vertical="center" wrapText="1"/>
    </xf>
    <xf numFmtId="0" fontId="25" fillId="36" borderId="12" xfId="0" applyFont="1" applyFill="1" applyBorder="1" applyAlignment="1">
      <alignment horizontal="center" vertical="center" wrapText="1"/>
    </xf>
    <xf numFmtId="0" fontId="19" fillId="41" borderId="13" xfId="0" applyFont="1" applyFill="1" applyBorder="1" applyAlignment="1">
      <alignment horizontal="left" wrapText="1"/>
    </xf>
    <xf numFmtId="0" fontId="19" fillId="41" borderId="15" xfId="0" applyFont="1" applyFill="1" applyBorder="1" applyAlignment="1">
      <alignment horizontal="left" wrapText="1"/>
    </xf>
    <xf numFmtId="0" fontId="27" fillId="41" borderId="12" xfId="0" applyFont="1" applyFill="1" applyBorder="1" applyAlignment="1">
      <alignment horizontal="center" wrapText="1"/>
    </xf>
    <xf numFmtId="0" fontId="28" fillId="41" borderId="12" xfId="0" applyFont="1" applyFill="1" applyBorder="1" applyAlignment="1">
      <alignment horizontal="center"/>
    </xf>
    <xf numFmtId="0" fontId="28" fillId="41" borderId="13" xfId="0" applyFont="1" applyFill="1" applyBorder="1" applyAlignment="1">
      <alignment horizontal="center" wrapText="1"/>
    </xf>
    <xf numFmtId="0" fontId="28" fillId="41" borderId="14" xfId="0" applyFont="1" applyFill="1" applyBorder="1" applyAlignment="1">
      <alignment horizontal="center" wrapText="1"/>
    </xf>
    <xf numFmtId="0" fontId="28" fillId="41" borderId="15" xfId="0" applyFont="1" applyFill="1" applyBorder="1" applyAlignment="1">
      <alignment horizontal="center" wrapText="1"/>
    </xf>
    <xf numFmtId="0" fontId="25" fillId="35" borderId="16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7" xfId="0" applyFont="1" applyFill="1" applyBorder="1" applyAlignment="1">
      <alignment horizontal="center" vertical="center" wrapText="1"/>
    </xf>
    <xf numFmtId="0" fontId="25" fillId="37" borderId="13" xfId="0" applyFont="1" applyFill="1" applyBorder="1" applyAlignment="1">
      <alignment horizontal="center" vertical="center" wrapText="1"/>
    </xf>
    <xf numFmtId="0" fontId="25" fillId="37" borderId="15" xfId="0" applyFont="1" applyFill="1" applyBorder="1" applyAlignment="1">
      <alignment horizontal="center" vertical="center" wrapText="1"/>
    </xf>
    <xf numFmtId="0" fontId="25" fillId="38" borderId="13" xfId="0" applyFont="1" applyFill="1" applyBorder="1" applyAlignment="1">
      <alignment horizontal="center" vertical="center" wrapText="1"/>
    </xf>
    <xf numFmtId="0" fontId="25" fillId="38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64" fontId="24" fillId="43" borderId="12" xfId="45" applyNumberFormat="1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 wrapText="1"/>
    </xf>
    <xf numFmtId="0" fontId="1" fillId="0" borderId="14" xfId="51" applyBorder="1"/>
    <xf numFmtId="0" fontId="1" fillId="0" borderId="15" xfId="51" applyBorder="1"/>
    <xf numFmtId="0" fontId="1" fillId="0" borderId="26" xfId="51" applyBorder="1"/>
    <xf numFmtId="0" fontId="1" fillId="0" borderId="29" xfId="51" applyBorder="1"/>
    <xf numFmtId="0" fontId="1" fillId="0" borderId="14" xfId="51" applyBorder="1" applyAlignment="1">
      <alignment horizontal="center"/>
    </xf>
    <xf numFmtId="0" fontId="1" fillId="0" borderId="15" xfId="51" applyBorder="1" applyAlignment="1">
      <alignment horizontal="center"/>
    </xf>
    <xf numFmtId="0" fontId="1" fillId="0" borderId="26" xfId="51" applyBorder="1" applyAlignment="1">
      <alignment horizontal="center"/>
    </xf>
    <xf numFmtId="0" fontId="1" fillId="0" borderId="29" xfId="51" applyBorder="1" applyAlignment="1">
      <alignment horizontal="center"/>
    </xf>
  </cellXfs>
  <cellStyles count="52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1" builtinId="3"/>
    <cellStyle name="Comma 2" xfId="46" xr:uid="{00000000-0005-0000-0000-00001C000000}"/>
    <cellStyle name="Comma 2 2" xfId="49" xr:uid="{00000000-0005-0000-0000-00001D000000}"/>
    <cellStyle name="Currency" xfId="2" builtinId="4"/>
    <cellStyle name="Currency 2" xfId="50" xr:uid="{00000000-0005-0000-0000-00001F000000}"/>
    <cellStyle name="Explanatory Text" xfId="19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45" xr:uid="{00000000-0005-0000-0000-00002A000000}"/>
    <cellStyle name="Normal 2 2" xfId="48" xr:uid="{00000000-0005-0000-0000-00002B000000}"/>
    <cellStyle name="Normal 3" xfId="51" xr:uid="{8B82013D-A140-4DB3-A82B-9300601BA255}"/>
    <cellStyle name="Note" xfId="18" builtinId="10" customBuiltin="1"/>
    <cellStyle name="Output" xfId="13" builtinId="21" customBuiltin="1"/>
    <cellStyle name="Percent" xfId="3" builtinId="5"/>
    <cellStyle name="Percent 2" xfId="47" xr:uid="{00000000-0005-0000-0000-00002F000000}"/>
    <cellStyle name="Title" xfId="4" builtinId="15" customBuiltin="1"/>
    <cellStyle name="Total" xfId="20" builtinId="25" customBuiltin="1"/>
    <cellStyle name="Warning Text" xfId="17" builtinId="11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VERQUVO:- Projected 3year Incr. TRx vs Voucher Spend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'Verquvo Vchr curve'!$N$31</c:f>
              <c:strCache>
                <c:ptCount val="1"/>
                <c:pt idx="0">
                  <c:v>Estimated 3yr Incr. TRx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'Verquvo Vchr curve'!$J$32:$J$38</c:f>
              <c:numCache>
                <c:formatCode>_("$"* #,##0_);_("$"* \(#,##0\);_("$"* "-"??_);_(@_)</c:formatCode>
                <c:ptCount val="7"/>
                <c:pt idx="0" formatCode="_(&quot;$&quot;* #,##0.00_);_(&quot;$&quot;* \(#,##0.00\);_(&quot;$&quot;* &quot;-&quot;??_);_(@_)">
                  <c:v>0</c:v>
                </c:pt>
                <c:pt idx="1">
                  <c:v>1545.2213563829789</c:v>
                </c:pt>
                <c:pt idx="2">
                  <c:v>3090.4427127659578</c:v>
                </c:pt>
                <c:pt idx="3">
                  <c:v>4635.6640691489365</c:v>
                </c:pt>
                <c:pt idx="4">
                  <c:v>6180.8854255319156</c:v>
                </c:pt>
                <c:pt idx="5">
                  <c:v>7726.1067819148948</c:v>
                </c:pt>
                <c:pt idx="6">
                  <c:v>9271.328138297873</c:v>
                </c:pt>
              </c:numCache>
            </c:numRef>
          </c:xVal>
          <c:yVal>
            <c:numRef>
              <c:f>'Verquvo Vchr curve'!$N$32:$N$38</c:f>
              <c:numCache>
                <c:formatCode>#,##0_);\(#,##0\)</c:formatCode>
                <c:ptCount val="7"/>
                <c:pt idx="0">
                  <c:v>0</c:v>
                </c:pt>
                <c:pt idx="1">
                  <c:v>4142.8248599730632</c:v>
                </c:pt>
                <c:pt idx="2">
                  <c:v>8285.6497199461264</c:v>
                </c:pt>
                <c:pt idx="3">
                  <c:v>12428.47457991919</c:v>
                </c:pt>
                <c:pt idx="4">
                  <c:v>16571.299439892253</c:v>
                </c:pt>
                <c:pt idx="5">
                  <c:v>20714.124299865318</c:v>
                </c:pt>
                <c:pt idx="6">
                  <c:v>24856.949159838379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1-4E6E-B9B5-E8D7EFDC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95360"/>
        <c:axId val="570499520"/>
      </c:scatterChart>
      <c:valAx>
        <c:axId val="57049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99520"/>
        <c:crosses val="autoZero"/>
        <c:crossBetween val="midCat"/>
      </c:valAx>
      <c:valAx>
        <c:axId val="5704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9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VERQUVO:- Projected 3year Incr. NRx vs Voucher Spend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'Verquvo Vchr curve'!$J$32:$J$38</c:f>
              <c:numCache>
                <c:formatCode>_("$"* #,##0_);_("$"* \(#,##0\);_("$"* "-"??_);_(@_)</c:formatCode>
                <c:ptCount val="7"/>
                <c:pt idx="0" formatCode="_(&quot;$&quot;* #,##0.00_);_(&quot;$&quot;* \(#,##0.00\);_(&quot;$&quot;* &quot;-&quot;??_);_(@_)">
                  <c:v>0</c:v>
                </c:pt>
                <c:pt idx="1">
                  <c:v>1545.2213563829789</c:v>
                </c:pt>
                <c:pt idx="2">
                  <c:v>3090.4427127659578</c:v>
                </c:pt>
                <c:pt idx="3">
                  <c:v>4635.6640691489365</c:v>
                </c:pt>
                <c:pt idx="4">
                  <c:v>6180.8854255319156</c:v>
                </c:pt>
                <c:pt idx="5">
                  <c:v>7726.1067819148948</c:v>
                </c:pt>
                <c:pt idx="6">
                  <c:v>9271.328138297873</c:v>
                </c:pt>
              </c:numCache>
            </c:numRef>
          </c:xVal>
          <c:yVal>
            <c:numRef>
              <c:f>'Verquvo Vchr curve'!$L$32:$L$38</c:f>
              <c:numCache>
                <c:formatCode>#,##0_);\(#,##0\)</c:formatCode>
                <c:ptCount val="7"/>
                <c:pt idx="0">
                  <c:v>0</c:v>
                </c:pt>
                <c:pt idx="1">
                  <c:v>312.50340140066589</c:v>
                </c:pt>
                <c:pt idx="2">
                  <c:v>625.00680280133179</c:v>
                </c:pt>
                <c:pt idx="3">
                  <c:v>937.51020420199779</c:v>
                </c:pt>
                <c:pt idx="4">
                  <c:v>1250.0136056026636</c:v>
                </c:pt>
                <c:pt idx="5">
                  <c:v>1562.5170070033296</c:v>
                </c:pt>
                <c:pt idx="6">
                  <c:v>1875.0204084039956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C-48AB-8421-187F3C0C1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88288"/>
        <c:axId val="570492864"/>
      </c:scatterChart>
      <c:valAx>
        <c:axId val="57048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92864"/>
        <c:crosses val="autoZero"/>
        <c:crossBetween val="midCat"/>
      </c:valAx>
      <c:valAx>
        <c:axId val="5704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8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322006</xdr:colOff>
      <xdr:row>29</xdr:row>
      <xdr:rowOff>1153242</xdr:rowOff>
    </xdr:from>
    <xdr:to>
      <xdr:col>21</xdr:col>
      <xdr:colOff>997974</xdr:colOff>
      <xdr:row>39</xdr:row>
      <xdr:rowOff>5736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80C211-5321-4ABB-895E-43C8E9EFEB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222250</xdr:colOff>
      <xdr:row>39</xdr:row>
      <xdr:rowOff>165100</xdr:rowOff>
    </xdr:from>
    <xdr:to>
      <xdr:col>21</xdr:col>
      <xdr:colOff>895350</xdr:colOff>
      <xdr:row>55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3641ED-2E7E-456E-91EB-14E95C65B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22</xdr:row>
      <xdr:rowOff>59531</xdr:rowOff>
    </xdr:from>
    <xdr:to>
      <xdr:col>26</xdr:col>
      <xdr:colOff>250031</xdr:colOff>
      <xdr:row>29</xdr:row>
      <xdr:rowOff>349606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AF2956-BF22-777B-3392-D8B591D1A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20750" y="4464844"/>
          <a:ext cx="10048875" cy="35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Steglatro/RespModels/2020%20STEG%20Sampl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2024/Verquvo/VER_Vouchers_Estimate_V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OneView/CC%20NPA%20Totals%20202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2024/Verquvo/Verquvo_Vouchers_yearm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Verquvo/Budget%20Report%20for%20Verquvo%20202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2024/Sample%20voucher%20SAP%2020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Financial%20Inputs/Financial%20Inputs%20for%20Opt%20Tool%20(NPV%20and%20TRxNRx%20ratio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Verquvo/VER_Vouchers_Estimate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GTOT Sample curve"/>
      <sheetName val="Updated Model"/>
      <sheetName val="Old model"/>
      <sheetName val="Sheet1"/>
    </sheetNames>
    <sheetDataSet>
      <sheetData sheetId="0">
        <row r="14">
          <cell r="W14">
            <v>1.100139133751569E-2</v>
          </cell>
        </row>
      </sheetData>
      <sheetData sheetId="1">
        <row r="5">
          <cell r="E5" t="str">
            <v>Variable</v>
          </cell>
          <cell r="F5" t="str">
            <v>DF</v>
          </cell>
          <cell r="G5" t="str">
            <v>Estimate</v>
          </cell>
          <cell r="H5" t="str">
            <v>StdErr</v>
          </cell>
          <cell r="I5" t="str">
            <v>tValue</v>
          </cell>
          <cell r="J5" t="str">
            <v>Probt</v>
          </cell>
          <cell r="K5" t="str">
            <v>VarianceInflation</v>
          </cell>
          <cell r="L5" t="str">
            <v>LowerCL</v>
          </cell>
          <cell r="M5" t="str">
            <v>UpperCL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M-NRXCHG1"/>
      <sheetName val="VOUCHER_CURVES2"/>
      <sheetName val="All curves"/>
      <sheetName val="VOUCHERS_STATS"/>
      <sheetName val="GAM"/>
      <sheetName val="QC"/>
      <sheetName val="Model Estimate"/>
      <sheetName val="Model Insights"/>
    </sheetNames>
    <sheetDataSet>
      <sheetData sheetId="0"/>
      <sheetData sheetId="1"/>
      <sheetData sheetId="2"/>
      <sheetData sheetId="3"/>
      <sheetData sheetId="4"/>
      <sheetData sheetId="5">
        <row r="5">
          <cell r="C5">
            <v>1180585</v>
          </cell>
          <cell r="E5" t="str">
            <v xml:space="preserve">Distinct party_id </v>
          </cell>
          <cell r="F5">
            <v>161</v>
          </cell>
        </row>
        <row r="6">
          <cell r="E6" t="str">
            <v>rdtl_pre</v>
          </cell>
          <cell r="F6">
            <v>1105</v>
          </cell>
        </row>
        <row r="7">
          <cell r="E7" t="str">
            <v>nbg_pre</v>
          </cell>
          <cell r="F7">
            <v>0</v>
          </cell>
        </row>
        <row r="8">
          <cell r="E8" t="str">
            <v>rfm_pre</v>
          </cell>
          <cell r="F8">
            <v>452</v>
          </cell>
        </row>
        <row r="9">
          <cell r="E9" t="str">
            <v>tot_det_pre</v>
          </cell>
          <cell r="F9">
            <v>1557</v>
          </cell>
        </row>
        <row r="10">
          <cell r="E10" t="str">
            <v>NRx_pre</v>
          </cell>
          <cell r="F10">
            <v>486.88600000000002</v>
          </cell>
        </row>
        <row r="11">
          <cell r="E11" t="str">
            <v>TRx_pre</v>
          </cell>
          <cell r="F11">
            <v>853.76599999999996</v>
          </cell>
        </row>
        <row r="12">
          <cell r="E12" t="str">
            <v>VNRx_pre</v>
          </cell>
          <cell r="F12">
            <v>74</v>
          </cell>
        </row>
        <row r="13">
          <cell r="E13" t="str">
            <v>Samples_pre</v>
          </cell>
          <cell r="F13">
            <v>43778</v>
          </cell>
        </row>
        <row r="14">
          <cell r="E14" t="str">
            <v>mmf_pre</v>
          </cell>
          <cell r="F14">
            <v>4</v>
          </cell>
        </row>
        <row r="15">
          <cell r="E15" t="str">
            <v>MNRx_pre</v>
          </cell>
          <cell r="F15">
            <v>267013.64</v>
          </cell>
        </row>
        <row r="16">
          <cell r="E16" t="str">
            <v>NPP_eng_pre</v>
          </cell>
          <cell r="F16">
            <v>924</v>
          </cell>
        </row>
        <row r="17">
          <cell r="E17" t="str">
            <v>rdtl_cur</v>
          </cell>
          <cell r="F17">
            <v>2444</v>
          </cell>
        </row>
        <row r="18">
          <cell r="E18" t="str">
            <v>nbg_cur</v>
          </cell>
          <cell r="F18">
            <v>0</v>
          </cell>
        </row>
        <row r="19">
          <cell r="E19" t="str">
            <v>rfm_cur</v>
          </cell>
          <cell r="F19">
            <v>798</v>
          </cell>
        </row>
        <row r="20">
          <cell r="E20" t="str">
            <v>tot_det_cur</v>
          </cell>
          <cell r="F20">
            <v>3242</v>
          </cell>
        </row>
        <row r="21">
          <cell r="E21" t="str">
            <v>NRx_cur</v>
          </cell>
          <cell r="F21">
            <v>1938.25</v>
          </cell>
        </row>
        <row r="22">
          <cell r="E22" t="str">
            <v>TRx_cur</v>
          </cell>
          <cell r="F22">
            <v>4079.91</v>
          </cell>
        </row>
        <row r="23">
          <cell r="E23" t="str">
            <v>VNRx_cur</v>
          </cell>
          <cell r="F23">
            <v>470</v>
          </cell>
        </row>
        <row r="24">
          <cell r="E24" t="str">
            <v>Samples_cur</v>
          </cell>
          <cell r="F24">
            <v>91014</v>
          </cell>
        </row>
        <row r="25">
          <cell r="E25" t="str">
            <v>mmf_cur</v>
          </cell>
          <cell r="F25">
            <v>36</v>
          </cell>
        </row>
        <row r="26">
          <cell r="E26" t="str">
            <v>MNRx_cur</v>
          </cell>
          <cell r="F26">
            <v>276362.28999999998</v>
          </cell>
        </row>
        <row r="27">
          <cell r="E27" t="str">
            <v>NPP_eng_cur</v>
          </cell>
          <cell r="F27">
            <v>1980</v>
          </cell>
        </row>
        <row r="28">
          <cell r="E28" t="str">
            <v>PCPIND</v>
          </cell>
          <cell r="F28">
            <v>161</v>
          </cell>
        </row>
        <row r="29">
          <cell r="E29" t="str">
            <v>Vnrx_cur_sq</v>
          </cell>
          <cell r="F29">
            <v>3288</v>
          </cell>
        </row>
        <row r="30">
          <cell r="E30" t="str">
            <v>Samples_cur_sq</v>
          </cell>
          <cell r="F30">
            <v>144981788</v>
          </cell>
        </row>
        <row r="31">
          <cell r="E31" t="str">
            <v>rdtl_cur_sq</v>
          </cell>
          <cell r="F31">
            <v>66414</v>
          </cell>
        </row>
        <row r="32">
          <cell r="E32" t="str">
            <v>nbg_cur_sq</v>
          </cell>
          <cell r="F32">
            <v>0</v>
          </cell>
        </row>
        <row r="33">
          <cell r="E33" t="str">
            <v>rfm_cur_sq</v>
          </cell>
          <cell r="F33">
            <v>6606</v>
          </cell>
        </row>
        <row r="34">
          <cell r="E34" t="str">
            <v>tot_det_cur_sq</v>
          </cell>
          <cell r="F34">
            <v>102302</v>
          </cell>
        </row>
        <row r="35">
          <cell r="E35" t="str">
            <v>Vnrx_cur_cub</v>
          </cell>
          <cell r="F35">
            <v>51896</v>
          </cell>
        </row>
        <row r="36">
          <cell r="E36" t="str">
            <v>Samples_cur_cub</v>
          </cell>
          <cell r="F36">
            <v>364654410456</v>
          </cell>
        </row>
        <row r="37">
          <cell r="E37" t="str">
            <v>Vnrx_cur_LN</v>
          </cell>
          <cell r="F37">
            <v>190.4745844</v>
          </cell>
        </row>
        <row r="38">
          <cell r="E38" t="str">
            <v>Samples_cur_LN</v>
          </cell>
          <cell r="F38">
            <v>751.58947130000001</v>
          </cell>
        </row>
        <row r="39">
          <cell r="E39" t="str">
            <v>rdtl_cur_LN</v>
          </cell>
          <cell r="F39">
            <v>374.40198839999999</v>
          </cell>
        </row>
        <row r="40">
          <cell r="E40" t="str">
            <v>nbg_cur_LN</v>
          </cell>
          <cell r="F40">
            <v>0</v>
          </cell>
        </row>
        <row r="41">
          <cell r="E41" t="str">
            <v>rfm_cur_LN</v>
          </cell>
          <cell r="F41">
            <v>230.42040359999999</v>
          </cell>
        </row>
        <row r="42">
          <cell r="E42" t="str">
            <v>tot_det_cur_LN</v>
          </cell>
          <cell r="F42">
            <v>424.68523870000001</v>
          </cell>
        </row>
        <row r="43">
          <cell r="E43" t="str">
            <v>Vnrx_cur_ROOT</v>
          </cell>
          <cell r="F43">
            <v>251.2247729</v>
          </cell>
        </row>
        <row r="44">
          <cell r="E44" t="str">
            <v>Samples_cur_ROOT</v>
          </cell>
          <cell r="F44">
            <v>2970.88</v>
          </cell>
        </row>
        <row r="45">
          <cell r="E45" t="str">
            <v>rdtl_cur_ROOT</v>
          </cell>
          <cell r="F45">
            <v>548.6847338</v>
          </cell>
        </row>
        <row r="46">
          <cell r="E46" t="str">
            <v>nbg_cur_ROOT</v>
          </cell>
          <cell r="F46">
            <v>0</v>
          </cell>
        </row>
        <row r="47">
          <cell r="E47" t="str">
            <v>rfm_cur_ROOT</v>
          </cell>
          <cell r="F47">
            <v>298.75140690000001</v>
          </cell>
        </row>
        <row r="48">
          <cell r="E48" t="str">
            <v>tot_det_cur_ROOT</v>
          </cell>
          <cell r="F48">
            <v>647.77584990000003</v>
          </cell>
        </row>
        <row r="49">
          <cell r="E49" t="str">
            <v>NRx_chg</v>
          </cell>
          <cell r="F49">
            <v>1451.36</v>
          </cell>
        </row>
        <row r="50">
          <cell r="E50" t="str">
            <v>NRx_pre1</v>
          </cell>
          <cell r="F50">
            <v>412.88600000000002</v>
          </cell>
        </row>
        <row r="51">
          <cell r="C51">
            <v>13517.37</v>
          </cell>
          <cell r="E51" t="str">
            <v>NRx_cur1</v>
          </cell>
          <cell r="F51">
            <v>1468.25</v>
          </cell>
        </row>
        <row r="52">
          <cell r="E52" t="str">
            <v>NRX_chg1</v>
          </cell>
          <cell r="F52">
            <v>1055.3599999999999</v>
          </cell>
        </row>
        <row r="53">
          <cell r="E53" t="str">
            <v>TOT_MMF</v>
          </cell>
          <cell r="F53">
            <v>40</v>
          </cell>
        </row>
      </sheetData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PA Totals 2022 (CSV - Pivot Re"/>
    </sheetNames>
    <sheetDataSet>
      <sheetData sheetId="0">
        <row r="146">
          <cell r="E146">
            <v>21045</v>
          </cell>
        </row>
        <row r="242">
          <cell r="E242">
            <v>867</v>
          </cell>
        </row>
        <row r="243">
          <cell r="E243">
            <v>862</v>
          </cell>
        </row>
        <row r="244">
          <cell r="E244">
            <v>1225</v>
          </cell>
        </row>
        <row r="245">
          <cell r="E245">
            <v>1169</v>
          </cell>
        </row>
        <row r="246">
          <cell r="E246">
            <v>1228</v>
          </cell>
        </row>
        <row r="247">
          <cell r="E247">
            <v>1363</v>
          </cell>
        </row>
        <row r="248">
          <cell r="E248">
            <v>1385</v>
          </cell>
        </row>
        <row r="249">
          <cell r="E249">
            <v>1472</v>
          </cell>
        </row>
        <row r="250">
          <cell r="E250">
            <v>1606</v>
          </cell>
        </row>
        <row r="251">
          <cell r="E251">
            <v>1647</v>
          </cell>
        </row>
        <row r="252">
          <cell r="E252">
            <v>1782</v>
          </cell>
        </row>
        <row r="253">
          <cell r="E253">
            <v>1866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Verquvo_Vouchers_yearmo"/>
    </sheetNames>
    <sheetDataSet>
      <sheetData sheetId="0">
        <row r="10">
          <cell r="B10">
            <v>23</v>
          </cell>
        </row>
        <row r="11">
          <cell r="B11">
            <v>25</v>
          </cell>
        </row>
        <row r="12">
          <cell r="B12">
            <v>45</v>
          </cell>
        </row>
        <row r="13">
          <cell r="B13">
            <v>46</v>
          </cell>
        </row>
        <row r="14">
          <cell r="B14">
            <v>48</v>
          </cell>
        </row>
        <row r="15">
          <cell r="B15">
            <v>41</v>
          </cell>
        </row>
        <row r="16">
          <cell r="B16">
            <v>38</v>
          </cell>
        </row>
        <row r="17">
          <cell r="B17">
            <v>42</v>
          </cell>
        </row>
        <row r="18">
          <cell r="B18">
            <v>65</v>
          </cell>
        </row>
        <row r="19">
          <cell r="B19">
            <v>30</v>
          </cell>
        </row>
        <row r="20">
          <cell r="B20">
            <v>30</v>
          </cell>
        </row>
        <row r="21">
          <cell r="B21">
            <v>37</v>
          </cell>
        </row>
        <row r="22">
          <cell r="B22">
            <v>41</v>
          </cell>
        </row>
        <row r="23">
          <cell r="B23">
            <v>59</v>
          </cell>
        </row>
        <row r="24">
          <cell r="B24">
            <v>9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 Report (July)"/>
      <sheetName val="comparison"/>
      <sheetName val="Media Plans HCC"/>
      <sheetName val="Media Plans MCM_New"/>
      <sheetName val="Questions"/>
      <sheetName val="Media Plans MCM_old"/>
      <sheetName val="Sheet1"/>
      <sheetName val="Media Plans MCM"/>
    </sheetNames>
    <sheetDataSet>
      <sheetData sheetId="0"/>
      <sheetData sheetId="1">
        <row r="15">
          <cell r="G15">
            <v>1622742.56</v>
          </cell>
        </row>
        <row r="16">
          <cell r="G16">
            <v>72764.259999999995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D3">
            <v>126305.05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 NPV"/>
      <sheetName val="2023 NPV"/>
      <sheetName val="2022 NPV"/>
      <sheetName val="2021 NPV"/>
      <sheetName val="2020 NPV"/>
      <sheetName val="2019 NPV"/>
      <sheetName val="2018 NPV"/>
      <sheetName val="2017 NPV"/>
      <sheetName val="2016 NPV"/>
      <sheetName val="2015 NPV"/>
    </sheetNames>
    <sheetDataSet>
      <sheetData sheetId="0">
        <row r="21">
          <cell r="E21">
            <v>12.390139201861635</v>
          </cell>
        </row>
        <row r="23">
          <cell r="E23">
            <v>13.256895257474261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UCHER_CURVES2"/>
      <sheetName val="All curves"/>
      <sheetName val="VOUCHERS_STATS"/>
      <sheetName val="GAM"/>
      <sheetName val="QC"/>
      <sheetName val="Model Estimate"/>
      <sheetName val="Model Insights"/>
    </sheetNames>
    <sheetDataSet>
      <sheetData sheetId="0"/>
      <sheetData sheetId="1"/>
      <sheetData sheetId="2"/>
      <sheetData sheetId="3"/>
      <sheetData sheetId="4">
        <row r="4">
          <cell r="A4" t="str">
            <v>party_id (COUNT)</v>
          </cell>
          <cell r="B4">
            <v>1001725</v>
          </cell>
        </row>
        <row r="5">
          <cell r="A5" t="str">
            <v>rdtl_pre</v>
          </cell>
          <cell r="B5">
            <v>11515</v>
          </cell>
        </row>
        <row r="6">
          <cell r="A6" t="str">
            <v>nbg_pre</v>
          </cell>
          <cell r="B6">
            <v>0</v>
          </cell>
        </row>
        <row r="7">
          <cell r="A7" t="str">
            <v>rfm_pre</v>
          </cell>
          <cell r="B7">
            <v>8922</v>
          </cell>
        </row>
        <row r="8">
          <cell r="A8" t="str">
            <v>tot_det_pre</v>
          </cell>
          <cell r="B8">
            <v>20437</v>
          </cell>
        </row>
        <row r="9">
          <cell r="A9" t="str">
            <v>NRx_pre</v>
          </cell>
          <cell r="B9">
            <v>224.267</v>
          </cell>
        </row>
        <row r="10">
          <cell r="A10" t="str">
            <v>TRx_pre</v>
          </cell>
          <cell r="B10">
            <v>235.72499999999999</v>
          </cell>
        </row>
        <row r="11">
          <cell r="A11" t="str">
            <v>VNRx_pre</v>
          </cell>
          <cell r="B11">
            <v>0</v>
          </cell>
        </row>
        <row r="12">
          <cell r="A12" t="str">
            <v>VTRx_pre</v>
          </cell>
          <cell r="B12">
            <v>0</v>
          </cell>
        </row>
        <row r="13">
          <cell r="A13" t="str">
            <v>Samples_pre</v>
          </cell>
          <cell r="B13">
            <v>350210</v>
          </cell>
        </row>
        <row r="14">
          <cell r="A14" t="str">
            <v>mmf_pre</v>
          </cell>
          <cell r="B14">
            <v>0</v>
          </cell>
        </row>
        <row r="15">
          <cell r="A15" t="str">
            <v>MNRx_pre</v>
          </cell>
          <cell r="B15">
            <v>195421037</v>
          </cell>
        </row>
        <row r="16">
          <cell r="A16" t="str">
            <v>NPP_eng_pre</v>
          </cell>
          <cell r="B16">
            <v>58765</v>
          </cell>
        </row>
        <row r="17">
          <cell r="A17" t="str">
            <v>rdtl_cur</v>
          </cell>
          <cell r="B17">
            <v>89722</v>
          </cell>
        </row>
        <row r="18">
          <cell r="A18" t="str">
            <v>nbg_cur</v>
          </cell>
          <cell r="B18">
            <v>0</v>
          </cell>
        </row>
        <row r="19">
          <cell r="A19" t="str">
            <v>rfm_cur</v>
          </cell>
          <cell r="B19">
            <v>48238</v>
          </cell>
        </row>
        <row r="20">
          <cell r="A20" t="str">
            <v>tot_det_cur</v>
          </cell>
          <cell r="B20">
            <v>137960</v>
          </cell>
        </row>
        <row r="21">
          <cell r="A21" t="str">
            <v>NRx_cur</v>
          </cell>
          <cell r="B21">
            <v>7319.52</v>
          </cell>
        </row>
        <row r="22">
          <cell r="A22" t="str">
            <v>TRx_cur</v>
          </cell>
          <cell r="B22">
            <v>13303.13</v>
          </cell>
        </row>
        <row r="23">
          <cell r="A23" t="str">
            <v>VNRx_cur</v>
          </cell>
          <cell r="B23">
            <v>336</v>
          </cell>
        </row>
        <row r="24">
          <cell r="A24" t="str">
            <v>VTRx_cur</v>
          </cell>
          <cell r="B24">
            <v>0</v>
          </cell>
        </row>
        <row r="25">
          <cell r="A25" t="str">
            <v>Samples_cur</v>
          </cell>
          <cell r="B25">
            <v>1773856</v>
          </cell>
        </row>
        <row r="26">
          <cell r="A26" t="str">
            <v>mmf_cur</v>
          </cell>
          <cell r="B26">
            <v>883</v>
          </cell>
        </row>
        <row r="27">
          <cell r="A27" t="str">
            <v>MNRx_cur</v>
          </cell>
          <cell r="B27">
            <v>195244150</v>
          </cell>
        </row>
        <row r="28">
          <cell r="A28" t="str">
            <v>NPP_eng_cur</v>
          </cell>
          <cell r="B28">
            <v>401217</v>
          </cell>
        </row>
        <row r="29">
          <cell r="A29" t="str">
            <v>NRx_chg</v>
          </cell>
          <cell r="B29">
            <v>7095.25</v>
          </cell>
        </row>
        <row r="30">
          <cell r="A30" t="str">
            <v>NRx_pre1</v>
          </cell>
          <cell r="B30">
            <v>224.267</v>
          </cell>
        </row>
        <row r="31">
          <cell r="A31" t="str">
            <v>NRx_cur1</v>
          </cell>
          <cell r="B31">
            <v>6983.52</v>
          </cell>
        </row>
        <row r="32">
          <cell r="A32" t="str">
            <v>NRX_chg1</v>
          </cell>
          <cell r="B32">
            <v>6759.25</v>
          </cell>
        </row>
        <row r="33">
          <cell r="A33" t="str">
            <v>PCPIND</v>
          </cell>
          <cell r="B33">
            <v>891420</v>
          </cell>
        </row>
        <row r="34">
          <cell r="A34" t="str">
            <v>Vnrx_cur_sq</v>
          </cell>
          <cell r="B34">
            <v>1002</v>
          </cell>
        </row>
        <row r="35">
          <cell r="A35" t="str">
            <v>Samples_cur_sq</v>
          </cell>
          <cell r="B35">
            <v>719581072</v>
          </cell>
        </row>
        <row r="36">
          <cell r="A36" t="str">
            <v>rdtl_cur_sq</v>
          </cell>
          <cell r="B36">
            <v>1143420</v>
          </cell>
        </row>
        <row r="37">
          <cell r="A37" t="str">
            <v>nbg_cur_sq</v>
          </cell>
          <cell r="B37">
            <v>0</v>
          </cell>
        </row>
        <row r="38">
          <cell r="A38" t="str">
            <v>rfm_cur_sq</v>
          </cell>
          <cell r="B38">
            <v>263708</v>
          </cell>
        </row>
        <row r="39">
          <cell r="A39" t="str">
            <v>tot_det_cur_sq</v>
          </cell>
          <cell r="B39">
            <v>2054800</v>
          </cell>
        </row>
        <row r="40">
          <cell r="A40" t="str">
            <v>Vnrx_cur_LN</v>
          </cell>
          <cell r="B40">
            <v>183.0185898</v>
          </cell>
        </row>
        <row r="41">
          <cell r="A41" t="str">
            <v>Samples_cur_LN</v>
          </cell>
          <cell r="B41">
            <v>57570.36</v>
          </cell>
        </row>
        <row r="42">
          <cell r="A42" t="str">
            <v>rdtl_cur_LN</v>
          </cell>
          <cell r="B42">
            <v>25183.86</v>
          </cell>
        </row>
        <row r="43">
          <cell r="A43" t="str">
            <v>nbg_cur_LN</v>
          </cell>
          <cell r="B43">
            <v>0</v>
          </cell>
        </row>
        <row r="44">
          <cell r="A44" t="str">
            <v>rfm_cur_LN</v>
          </cell>
          <cell r="B44">
            <v>19147.5</v>
          </cell>
        </row>
        <row r="45">
          <cell r="A45" t="str">
            <v>tot_det_cur_LN</v>
          </cell>
          <cell r="B45">
            <v>35196.620000000003</v>
          </cell>
        </row>
        <row r="46">
          <cell r="A46" t="str">
            <v>Vnrx_cur_ROOT</v>
          </cell>
          <cell r="B46">
            <v>251.9171389</v>
          </cell>
        </row>
        <row r="47">
          <cell r="A47" t="str">
            <v>Samples_cur_ROOT</v>
          </cell>
          <cell r="B47">
            <v>133432.34</v>
          </cell>
        </row>
        <row r="48">
          <cell r="A48" t="str">
            <v>rdtl_cur_ROOT</v>
          </cell>
          <cell r="B48">
            <v>33872.19</v>
          </cell>
        </row>
        <row r="49">
          <cell r="A49" t="str">
            <v>nbg_cur_ROOT</v>
          </cell>
          <cell r="B49">
            <v>0</v>
          </cell>
        </row>
        <row r="50">
          <cell r="A50" t="str">
            <v>rfm_cur_ROOT</v>
          </cell>
          <cell r="B50">
            <v>25078.87</v>
          </cell>
        </row>
        <row r="51">
          <cell r="A51" t="str">
            <v>tot_det_cur_ROOT</v>
          </cell>
          <cell r="B51">
            <v>47847.44</v>
          </cell>
        </row>
        <row r="52">
          <cell r="A52" t="str">
            <v>lag_nrx_cur</v>
          </cell>
          <cell r="B52">
            <v>7319.52</v>
          </cell>
        </row>
        <row r="53">
          <cell r="A53" t="str">
            <v>lag_nrx_cur1</v>
          </cell>
          <cell r="B53">
            <v>6983.52</v>
          </cell>
        </row>
        <row r="54">
          <cell r="A54" t="str">
            <v>NPP_eng_cur_sq</v>
          </cell>
          <cell r="B54">
            <v>4906667</v>
          </cell>
        </row>
        <row r="55">
          <cell r="A55" t="str">
            <v>TOT_MMF</v>
          </cell>
          <cell r="B55">
            <v>883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3" dT="2022-08-30T15:43:17.65" personId="{00000000-0000-0000-0000-000000000000}" id="{E46B4E05-B828-4049-B9B5-09FF3615C71A}">
    <text>covert to DOT</text>
  </threadedComment>
  <threadedComment ref="G16" dT="2022-08-30T15:43:17.65" personId="{00000000-0000-0000-0000-000000000000}" id="{E2C5F5A1-09B3-4E64-B57F-A69F7BAC1D45}">
    <text>covert to DOT</text>
  </threadedComment>
  <threadedComment ref="N24" dT="2022-08-30T13:54:55.30" personId="{00000000-0000-0000-0000-000000000000}" id="{AAD65E9E-B695-4546-8F95-10F8802DD848}">
    <text>Data from MMX till mar23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C00000"/>
    <pageSetUpPr autoPageBreaks="0"/>
  </sheetPr>
  <dimension ref="A1:AD191"/>
  <sheetViews>
    <sheetView showGridLines="0" tabSelected="1" topLeftCell="P1" zoomScale="80" zoomScaleNormal="80" workbookViewId="0">
      <selection activeCell="Z7" sqref="Z7"/>
    </sheetView>
  </sheetViews>
  <sheetFormatPr defaultColWidth="8.85546875" defaultRowHeight="12.75" x14ac:dyDescent="0.25"/>
  <cols>
    <col min="1" max="1" width="5.5703125" style="2" customWidth="1"/>
    <col min="2" max="2" width="6.140625" style="2" customWidth="1"/>
    <col min="3" max="3" width="11" style="2" bestFit="1" customWidth="1"/>
    <col min="4" max="4" width="17.140625" style="2" bestFit="1" customWidth="1"/>
    <col min="5" max="5" width="20.7109375" style="2" bestFit="1" customWidth="1"/>
    <col min="6" max="6" width="9.5703125" style="2" bestFit="1" customWidth="1"/>
    <col min="7" max="7" width="11.7109375" style="2" customWidth="1"/>
    <col min="8" max="8" width="14.28515625" style="2" bestFit="1" customWidth="1"/>
    <col min="9" max="10" width="13.5703125" style="2" bestFit="1" customWidth="1"/>
    <col min="11" max="11" width="15.140625" style="2" bestFit="1" customWidth="1"/>
    <col min="12" max="13" width="12.42578125" style="2" customWidth="1"/>
    <col min="14" max="14" width="12.7109375" style="2" customWidth="1"/>
    <col min="15" max="15" width="12.28515625" style="2" customWidth="1"/>
    <col min="16" max="16" width="15.7109375" style="2" customWidth="1"/>
    <col min="17" max="17" width="14.85546875" style="2" customWidth="1"/>
    <col min="18" max="18" width="14.140625" style="2" customWidth="1"/>
    <col min="19" max="19" width="10.140625" style="2" bestFit="1" customWidth="1"/>
    <col min="20" max="20" width="8.85546875" style="2"/>
    <col min="21" max="21" width="15.5703125" style="2" bestFit="1" customWidth="1"/>
    <col min="22" max="22" width="28.140625" style="2" customWidth="1"/>
    <col min="23" max="23" width="8.85546875" style="2"/>
    <col min="24" max="24" width="15.140625" style="2" bestFit="1" customWidth="1"/>
    <col min="25" max="25" width="8.85546875" style="2"/>
    <col min="26" max="26" width="22.140625" style="2" customWidth="1"/>
    <col min="27" max="27" width="8.85546875" style="2"/>
    <col min="28" max="28" width="16" style="2" customWidth="1"/>
    <col min="29" max="16384" width="8.85546875" style="2"/>
  </cols>
  <sheetData>
    <row r="1" spans="1:28" ht="19.5" customHeight="1" x14ac:dyDescent="0.25">
      <c r="C1" s="188" t="s">
        <v>46</v>
      </c>
      <c r="D1" s="188"/>
      <c r="E1" s="188"/>
      <c r="F1" s="188"/>
      <c r="G1" s="188"/>
      <c r="H1" s="188"/>
      <c r="I1" s="188"/>
      <c r="J1" s="188"/>
      <c r="K1" s="188"/>
      <c r="L1" s="188"/>
      <c r="Q1" s="95"/>
    </row>
    <row r="2" spans="1:28" x14ac:dyDescent="0.25">
      <c r="C2" s="188" t="s">
        <v>47</v>
      </c>
      <c r="D2" s="188"/>
      <c r="E2" s="188"/>
      <c r="F2" s="188"/>
      <c r="G2" s="188"/>
      <c r="H2" s="188"/>
      <c r="I2" s="188"/>
      <c r="J2" s="188"/>
      <c r="K2" s="188"/>
      <c r="L2" s="188"/>
      <c r="Q2" s="96" t="s">
        <v>54</v>
      </c>
      <c r="R2" s="96" t="s">
        <v>55</v>
      </c>
      <c r="S2" s="96" t="s">
        <v>56</v>
      </c>
      <c r="U2" s="170" t="s">
        <v>142</v>
      </c>
      <c r="V2" s="170">
        <v>2022</v>
      </c>
    </row>
    <row r="3" spans="1:28" x14ac:dyDescent="0.25">
      <c r="C3" s="188" t="s">
        <v>45</v>
      </c>
      <c r="D3" s="188"/>
      <c r="E3" s="188"/>
      <c r="F3" s="188"/>
      <c r="G3" s="188"/>
      <c r="H3" s="188"/>
      <c r="I3" s="188"/>
      <c r="J3" s="188"/>
      <c r="K3" s="188"/>
      <c r="L3" s="188"/>
      <c r="Q3" s="96" t="s">
        <v>59</v>
      </c>
      <c r="R3" s="97">
        <f>SUMIFS($O$9:$O$19,$B$9:$B$19,"Vnrx",$O$9:$O$19,"&gt;0")/Q9</f>
        <v>0.49309906351098248</v>
      </c>
      <c r="S3" s="97">
        <f>SUMIFS(O9:O19,$B$9:$B$19,"Vnrx",$O$9:$O$19,"&gt;0")/Q10</f>
        <v>5.356017479731634E-2</v>
      </c>
      <c r="U3" s="172">
        <v>0.04</v>
      </c>
      <c r="V3" s="171">
        <v>2.6469344972163038E-3</v>
      </c>
    </row>
    <row r="4" spans="1:28" x14ac:dyDescent="0.25">
      <c r="C4" s="188" t="s">
        <v>8</v>
      </c>
      <c r="D4" s="188"/>
      <c r="E4" s="188"/>
      <c r="F4" s="188"/>
      <c r="G4" s="188"/>
      <c r="H4" s="188"/>
      <c r="I4" s="188"/>
      <c r="J4" s="188"/>
      <c r="K4" s="188"/>
      <c r="L4" s="188"/>
      <c r="N4" s="156"/>
      <c r="Q4" s="96" t="s">
        <v>60</v>
      </c>
      <c r="R4" s="97">
        <f>(G14*N14)/Q9</f>
        <v>5.9242540439298483E-2</v>
      </c>
      <c r="S4" s="97">
        <f>(G14*N14)/Q10</f>
        <v>6.4348952495936708E-3</v>
      </c>
      <c r="U4" s="172">
        <v>0.20799999999999999</v>
      </c>
      <c r="V4" s="171">
        <v>1.2493865557770293E-2</v>
      </c>
    </row>
    <row r="5" spans="1:28" ht="12.75" customHeight="1" x14ac:dyDescent="0.25">
      <c r="C5" s="189" t="s">
        <v>32</v>
      </c>
      <c r="D5" s="189"/>
      <c r="E5" s="189"/>
      <c r="F5" s="189"/>
      <c r="G5" s="189"/>
      <c r="H5" s="189"/>
      <c r="I5" s="189"/>
      <c r="J5" s="189"/>
      <c r="K5" s="189"/>
      <c r="L5" s="189"/>
      <c r="P5" s="95"/>
    </row>
    <row r="6" spans="1:28" ht="12.95" customHeight="1" x14ac:dyDescent="0.25">
      <c r="C6" s="155" t="s">
        <v>29</v>
      </c>
      <c r="D6" s="155" t="s">
        <v>50</v>
      </c>
      <c r="E6" s="191" t="str">
        <f>VLOOKUP(D6,' Model Estimate'!$M$4:$O$9,3,0)</f>
        <v>Linear Model</v>
      </c>
      <c r="F6" s="191"/>
      <c r="G6" s="99"/>
      <c r="H6" s="99"/>
      <c r="I6" s="99"/>
      <c r="J6" s="99"/>
      <c r="K6" s="99"/>
      <c r="L6" s="99"/>
    </row>
    <row r="7" spans="1:28" x14ac:dyDescent="0.25"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</row>
    <row r="8" spans="1:28" ht="25.5" x14ac:dyDescent="0.2">
      <c r="C8" s="1" t="s">
        <v>29</v>
      </c>
      <c r="D8" s="1" t="s">
        <v>30</v>
      </c>
      <c r="E8" s="1" t="s">
        <v>31</v>
      </c>
      <c r="F8" s="1" t="str">
        <f>'[1]Updated Model'!F5</f>
        <v>DF</v>
      </c>
      <c r="G8" s="1" t="str">
        <f>'[1]Updated Model'!G5</f>
        <v>Estimate</v>
      </c>
      <c r="H8" s="1" t="str">
        <f>'[1]Updated Model'!H5</f>
        <v>StdErr</v>
      </c>
      <c r="I8" s="1" t="str">
        <f>'[1]Updated Model'!I5</f>
        <v>tValue</v>
      </c>
      <c r="J8" s="1" t="str">
        <f>'[1]Updated Model'!J5</f>
        <v>Probt</v>
      </c>
      <c r="K8" s="1" t="str">
        <f>'[1]Updated Model'!K5</f>
        <v>VarianceInflation</v>
      </c>
      <c r="L8" s="167" t="str">
        <f>'[1]Updated Model'!L5</f>
        <v>LowerCL</v>
      </c>
      <c r="M8" s="1" t="str">
        <f>'[1]Updated Model'!M5</f>
        <v>UpperCL</v>
      </c>
      <c r="N8" s="167" t="s">
        <v>0</v>
      </c>
      <c r="O8" s="2" t="s">
        <v>133</v>
      </c>
      <c r="Q8" s="1" t="s">
        <v>52</v>
      </c>
      <c r="R8" s="1" t="s">
        <v>2</v>
      </c>
      <c r="S8" s="1" t="s">
        <v>53</v>
      </c>
      <c r="T8" s="1" t="s">
        <v>3</v>
      </c>
      <c r="V8" s="77" t="s">
        <v>149</v>
      </c>
      <c r="W8" s="77"/>
      <c r="X8" s="77"/>
      <c r="Y8" s="77"/>
      <c r="Z8" s="77"/>
      <c r="AA8" s="77"/>
      <c r="AB8" s="77"/>
    </row>
    <row r="9" spans="1:28" ht="15.75" customHeight="1" x14ac:dyDescent="0.2">
      <c r="A9" s="143" t="str">
        <f>_xlfn.CONCAT(C9,E9)</f>
        <v>Model: M31Intercept</v>
      </c>
      <c r="B9" s="143" t="str">
        <f t="shared" ref="B9:B17" si="0">LEFT(E9,4)</f>
        <v>Inte</v>
      </c>
      <c r="C9" s="86" t="str">
        <f>$D$6</f>
        <v>Model: M31</v>
      </c>
      <c r="D9" s="86" t="str">
        <f>VLOOKUP(C9,' Model Estimate'!$M$4:$N$27,2,0)</f>
        <v xml:space="preserve"> NRX_CUR1 </v>
      </c>
      <c r="E9" s="87" t="s">
        <v>34</v>
      </c>
      <c r="F9" s="146">
        <f>_xlfn.IFNA(VLOOKUP($A9,' Model Estimate'!$A$6:$J$83,3,0)," ")</f>
        <v>1</v>
      </c>
      <c r="G9" s="166">
        <f>_xlfn.IFNA(VLOOKUP($A9,' Model Estimate'!$A$6:$J$83,4,0),0)</f>
        <v>-1.6691100000000001</v>
      </c>
      <c r="H9" s="159">
        <f>_xlfn.IFNA(VLOOKUP($A9,' Model Estimate'!$A$6:$J$83,5,0),0)</f>
        <v>1.1753</v>
      </c>
      <c r="I9" s="159">
        <f>_xlfn.IFNA(VLOOKUP($A9,' Model Estimate'!$A$6:$J$83,6,0),0)</f>
        <v>-1.42</v>
      </c>
      <c r="J9" s="168">
        <f>_xlfn.IFNA(VLOOKUP($A9,' Model Estimate'!$A$6:$J$83,7,0)," ")</f>
        <v>0.15709999999999999</v>
      </c>
      <c r="K9" s="158">
        <f>_xlfn.IFNA(VLOOKUP($A9,' Model Estimate'!$A$6:$J$83,8,0)," ")</f>
        <v>0</v>
      </c>
      <c r="L9" s="163">
        <f>_xlfn.IFNA(VLOOKUP($A9,' Model Estimate'!$A$6:$J$83,9,0),0)</f>
        <v>-3.6110899999999999</v>
      </c>
      <c r="M9" s="169">
        <f>_xlfn.IFNA(VLOOKUP($A9,' Model Estimate'!$A$6:$J$83,10,0),0)</f>
        <v>0.27285999999999999</v>
      </c>
      <c r="N9" s="160"/>
      <c r="P9" s="98" t="s">
        <v>57</v>
      </c>
      <c r="Q9" s="3">
        <f>[2]QC!$F$51</f>
        <v>1468.25</v>
      </c>
      <c r="R9" s="3">
        <f>[2]QC!$F$5</f>
        <v>161</v>
      </c>
      <c r="S9" s="4">
        <f>Q9/R9</f>
        <v>9.1195652173913047</v>
      </c>
      <c r="T9" s="1" t="s">
        <v>10</v>
      </c>
      <c r="V9" s="77" t="s">
        <v>150</v>
      </c>
      <c r="W9" s="77"/>
      <c r="X9" s="77"/>
      <c r="Y9" s="77"/>
      <c r="Z9" s="77"/>
      <c r="AA9" s="77"/>
      <c r="AB9" s="77"/>
    </row>
    <row r="10" spans="1:28" ht="15" customHeight="1" x14ac:dyDescent="0.2">
      <c r="A10" s="143" t="str">
        <f t="shared" ref="A10:A19" si="1">_xlfn.CONCAT(C10,E10)</f>
        <v>Model: M31NRx_pre1</v>
      </c>
      <c r="B10" s="143" t="str">
        <f t="shared" si="0"/>
        <v>NRx_</v>
      </c>
      <c r="C10" s="86" t="str">
        <f t="shared" ref="C10:C19" si="2">$D$6</f>
        <v>Model: M31</v>
      </c>
      <c r="D10" s="86" t="str">
        <f>VLOOKUP(C10,' Model Estimate'!$M$4:$N$27,2,0)</f>
        <v xml:space="preserve"> NRX_CUR1 </v>
      </c>
      <c r="E10" s="87" t="s">
        <v>51</v>
      </c>
      <c r="F10" s="146">
        <f>_xlfn.IFNA(VLOOKUP($A10,' Model Estimate'!$A$6:$J$83,3,0)," ")</f>
        <v>1</v>
      </c>
      <c r="G10" s="166">
        <f>_xlfn.IFNA(VLOOKUP($A10,' Model Estimate'!$A$6:$J$83,4,0),0)</f>
        <v>1.66567</v>
      </c>
      <c r="H10" s="159">
        <f>_xlfn.IFNA(VLOOKUP($A10,' Model Estimate'!$A$6:$J$83,5,0),0)</f>
        <v>0.44061</v>
      </c>
      <c r="I10" s="159">
        <f>_xlfn.IFNA(VLOOKUP($A10,' Model Estimate'!$A$6:$J$83,6,0),0)</f>
        <v>3.78</v>
      </c>
      <c r="J10" s="164">
        <f>_xlfn.IFNA(VLOOKUP($A10,' Model Estimate'!$A$6:$J$83,7,0)," ")</f>
        <v>2.0000000000000001E-4</v>
      </c>
      <c r="K10" s="159">
        <f>_xlfn.IFNA(VLOOKUP($A10,' Model Estimate'!$A$6:$J$83,8,0),0)</f>
        <v>1.0367599999999999</v>
      </c>
      <c r="L10" s="163">
        <f>_xlfn.IFNA(VLOOKUP($A10,' Model Estimate'!$A$6:$J$83,9,0),0)</f>
        <v>0.93764999999999998</v>
      </c>
      <c r="M10" s="169">
        <f>_xlfn.IFNA(VLOOKUP($A10,' Model Estimate'!$A$6:$J$83,10,0),0)</f>
        <v>2.3936999999999999</v>
      </c>
      <c r="N10" s="160"/>
      <c r="P10" s="98" t="s">
        <v>58</v>
      </c>
      <c r="Q10" s="3">
        <f>[2]QC!$C$51</f>
        <v>13517.37</v>
      </c>
      <c r="R10" s="3">
        <f>[2]QC!$C$5</f>
        <v>1180585</v>
      </c>
      <c r="S10" s="4">
        <f>Q10/R10</f>
        <v>1.1449721959875824E-2</v>
      </c>
      <c r="V10" s="77" t="s">
        <v>24</v>
      </c>
      <c r="W10" s="77"/>
      <c r="X10" s="77"/>
      <c r="Y10" s="77"/>
      <c r="Z10" s="77"/>
      <c r="AA10" s="77"/>
      <c r="AB10" s="77"/>
    </row>
    <row r="11" spans="1:28" ht="15" customHeight="1" x14ac:dyDescent="0.2">
      <c r="A11" s="143" t="str">
        <f t="shared" si="1"/>
        <v>Model: M31MNRx_pre</v>
      </c>
      <c r="B11" s="143" t="str">
        <f t="shared" si="0"/>
        <v>MNRx</v>
      </c>
      <c r="C11" s="86" t="str">
        <f t="shared" si="2"/>
        <v>Model: M31</v>
      </c>
      <c r="D11" s="86" t="str">
        <f>VLOOKUP(C11,' Model Estimate'!$M$4:$N$27,2,0)</f>
        <v xml:space="preserve"> NRX_CUR1 </v>
      </c>
      <c r="E11" s="87" t="s">
        <v>48</v>
      </c>
      <c r="F11" s="146">
        <f>_xlfn.IFNA(VLOOKUP($A11,' Model Estimate'!$A$6:$J$83,3,0)," ")</f>
        <v>1</v>
      </c>
      <c r="G11" s="166">
        <f>_xlfn.IFNA(VLOOKUP($A11,' Model Estimate'!$A$6:$J$83,4,0),0)</f>
        <v>6.7606999999999997E-4</v>
      </c>
      <c r="H11" s="159">
        <f>_xlfn.IFNA(VLOOKUP($A11,' Model Estimate'!$A$6:$J$83,5,0),0)</f>
        <v>4.8734000000000001E-4</v>
      </c>
      <c r="I11" s="159">
        <f>_xlfn.IFNA(VLOOKUP($A11,' Model Estimate'!$A$6:$J$83,6,0),0)</f>
        <v>1.39</v>
      </c>
      <c r="J11" s="164">
        <f>_xlfn.IFNA(VLOOKUP($A11,' Model Estimate'!$A$6:$J$83,7,0)," ")</f>
        <v>0.16689999999999999</v>
      </c>
      <c r="K11" s="159">
        <f>_xlfn.IFNA(VLOOKUP($A11,' Model Estimate'!$A$6:$J$83,8,0),0)</f>
        <v>1.2811699999999999</v>
      </c>
      <c r="L11" s="163">
        <f>_xlfn.IFNA(VLOOKUP($A11,' Model Estimate'!$A$6:$J$83,9,0),0)</f>
        <v>-1.2917000000000001E-4</v>
      </c>
      <c r="M11" s="169">
        <f>_xlfn.IFNA(VLOOKUP($A11,' Model Estimate'!$A$6:$J$83,10,0),0)</f>
        <v>1.48E-3</v>
      </c>
      <c r="N11" s="160"/>
      <c r="P11" s="93"/>
      <c r="Q11" s="5"/>
      <c r="V11" s="77" t="s">
        <v>148</v>
      </c>
      <c r="W11" s="77"/>
      <c r="X11" s="77"/>
      <c r="Y11" s="77"/>
      <c r="Z11" s="77"/>
      <c r="AA11" s="77"/>
      <c r="AB11" s="77"/>
    </row>
    <row r="12" spans="1:28" ht="15" customHeight="1" x14ac:dyDescent="0.2">
      <c r="A12" s="143" t="str">
        <f t="shared" si="1"/>
        <v>Model: M31TOT_MMF</v>
      </c>
      <c r="B12" s="143" t="str">
        <f t="shared" si="0"/>
        <v>TOT_</v>
      </c>
      <c r="C12" s="86" t="str">
        <f t="shared" si="2"/>
        <v>Model: M31</v>
      </c>
      <c r="D12" s="86" t="str">
        <f>VLOOKUP(C12,' Model Estimate'!$M$4:$N$27,2,0)</f>
        <v xml:space="preserve"> NRX_CUR1 </v>
      </c>
      <c r="E12" s="87" t="s">
        <v>49</v>
      </c>
      <c r="F12" s="146">
        <f>_xlfn.IFNA(VLOOKUP($A12,' Model Estimate'!$A$6:$J$83,3,0)," ")</f>
        <v>1</v>
      </c>
      <c r="G12" s="166">
        <f>_xlfn.IFNA(VLOOKUP($A12,' Model Estimate'!$A$6:$J$83,4,0),0)</f>
        <v>5.6652800000000001</v>
      </c>
      <c r="H12" s="159">
        <f>_xlfn.IFNA(VLOOKUP($A12,' Model Estimate'!$A$6:$J$83,5,0),0)</f>
        <v>2.58528</v>
      </c>
      <c r="I12" s="159">
        <f>_xlfn.IFNA(VLOOKUP($A12,' Model Estimate'!$A$6:$J$83,6,0),0)</f>
        <v>2.19</v>
      </c>
      <c r="J12" s="164">
        <f>_xlfn.IFNA(VLOOKUP($A12,' Model Estimate'!$A$6:$J$83,7,0)," ")</f>
        <v>2.9600000000000001E-2</v>
      </c>
      <c r="K12" s="159">
        <f>_xlfn.IFNA(VLOOKUP($A12,' Model Estimate'!$A$6:$J$83,8,0),0)</f>
        <v>1.0237700000000001</v>
      </c>
      <c r="L12" s="163">
        <f>_xlfn.IFNA(VLOOKUP($A12,' Model Estimate'!$A$6:$J$83,9,0),0)</f>
        <v>1.39358</v>
      </c>
      <c r="M12" s="169">
        <f>_xlfn.IFNA(VLOOKUP($A12,' Model Estimate'!$A$6:$J$83,10,0),0)</f>
        <v>9.9369899999999998</v>
      </c>
      <c r="N12" s="160"/>
      <c r="P12" s="93"/>
      <c r="Q12" s="6" t="s">
        <v>21</v>
      </c>
      <c r="R12" s="62">
        <f>$G$14*($K$25/$H$25)/O28</f>
        <v>3.2429524605468774E-2</v>
      </c>
      <c r="V12" s="77"/>
      <c r="W12" s="77"/>
      <c r="X12" s="77"/>
      <c r="Y12" s="77"/>
      <c r="Z12" s="77"/>
      <c r="AA12" s="77"/>
      <c r="AB12" s="77"/>
    </row>
    <row r="13" spans="1:28" ht="15" customHeight="1" x14ac:dyDescent="0.2">
      <c r="A13" s="143" t="str">
        <f t="shared" si="1"/>
        <v>Model: M31Vnrx_cur</v>
      </c>
      <c r="B13" s="143" t="str">
        <f>LEFT(E13,4)</f>
        <v>Vnrx</v>
      </c>
      <c r="C13" s="89" t="str">
        <f t="shared" si="2"/>
        <v>Model: M31</v>
      </c>
      <c r="D13" s="89" t="str">
        <f>VLOOKUP(C13,' Model Estimate'!$M$4:$N$27,2,0)</f>
        <v xml:space="preserve"> NRX_CUR1 </v>
      </c>
      <c r="E13" s="89" t="s">
        <v>134</v>
      </c>
      <c r="F13" s="90">
        <f>_xlfn.IFNA(VLOOKUP($A13,' Model Estimate'!$A$6:$J$83,3,0)," ")</f>
        <v>1</v>
      </c>
      <c r="G13" s="166">
        <f>_xlfn.IFNA(VLOOKUP($A13,' Model Estimate'!$A$6:$J$83,4,0),0)</f>
        <v>1.5404100000000001</v>
      </c>
      <c r="H13" s="159">
        <f>_xlfn.IFNA(VLOOKUP($A13,' Model Estimate'!$A$6:$J$83,5,0),0)</f>
        <v>0.43217</v>
      </c>
      <c r="I13" s="159">
        <f>_xlfn.IFNA(VLOOKUP($A13,' Model Estimate'!$A$6:$J$83,6,0),0)</f>
        <v>3.56</v>
      </c>
      <c r="J13" s="165">
        <f>_xlfn.IFNA(VLOOKUP($A13,' Model Estimate'!$A$6:$J$83,7,0)," ")</f>
        <v>5.0000000000000001E-4</v>
      </c>
      <c r="K13" s="159">
        <f>_xlfn.IFNA(VLOOKUP($A13,' Model Estimate'!$A$6:$J$83,8,0),0)</f>
        <v>1.1006400000000001</v>
      </c>
      <c r="L13" s="163">
        <f>_xlfn.IFNA(VLOOKUP($A13,' Model Estimate'!$A$6:$J$83,9,0),0)</f>
        <v>0.82633000000000001</v>
      </c>
      <c r="M13" s="169">
        <f>_xlfn.IFNA(VLOOKUP($A13,' Model Estimate'!$A$6:$J$83,10,0),0)</f>
        <v>2.2545000000000002</v>
      </c>
      <c r="N13" s="161">
        <f>VLOOKUP(E13,[2]QC!$E$5:$F$53,2,0)</f>
        <v>470</v>
      </c>
      <c r="O13" s="2">
        <f>IFERROR(G13*N13," ")</f>
        <v>723.99270000000001</v>
      </c>
      <c r="P13" s="93"/>
      <c r="Q13" s="6" t="s">
        <v>21</v>
      </c>
      <c r="R13" s="2">
        <f>R12*$G$28</f>
        <v>0.42991481094438383</v>
      </c>
      <c r="V13" s="176" t="s">
        <v>152</v>
      </c>
      <c r="W13" s="176"/>
      <c r="X13" s="176"/>
      <c r="Y13" s="77"/>
      <c r="Z13" s="176" t="s">
        <v>153</v>
      </c>
      <c r="AA13" s="176"/>
      <c r="AB13" s="176"/>
    </row>
    <row r="14" spans="1:28" ht="15" customHeight="1" x14ac:dyDescent="0.2">
      <c r="A14" s="143" t="str">
        <f t="shared" si="1"/>
        <v>Model: M31tot_det_cur</v>
      </c>
      <c r="B14" s="143" t="str">
        <f t="shared" si="0"/>
        <v>tot_</v>
      </c>
      <c r="C14" s="89" t="str">
        <f t="shared" si="2"/>
        <v>Model: M31</v>
      </c>
      <c r="D14" s="89" t="str">
        <f>VLOOKUP(C14,' Model Estimate'!$M$4:$N$27,2,0)</f>
        <v xml:space="preserve"> NRX_CUR1 </v>
      </c>
      <c r="E14" s="89" t="s">
        <v>36</v>
      </c>
      <c r="F14" s="90">
        <f>_xlfn.IFNA(VLOOKUP($A14,' Model Estimate'!$A$6:$J$83,3,0)," ")</f>
        <v>1</v>
      </c>
      <c r="G14" s="166">
        <f>_xlfn.IFNA(VLOOKUP($A14,' Model Estimate'!$A$6:$J$83,4,0),0)</f>
        <v>2.683E-2</v>
      </c>
      <c r="H14" s="159">
        <f>_xlfn.IFNA(VLOOKUP($A14,' Model Estimate'!$A$6:$J$83,5,0),0)</f>
        <v>6.0010000000000001E-2</v>
      </c>
      <c r="I14" s="159">
        <f>_xlfn.IFNA(VLOOKUP($A14,' Model Estimate'!$A$6:$J$83,6,0),0)</f>
        <v>0.45</v>
      </c>
      <c r="J14" s="165">
        <f>_xlfn.IFNA(VLOOKUP($A14,' Model Estimate'!$A$6:$J$83,7,0)," ")</f>
        <v>0.65529999999999999</v>
      </c>
      <c r="K14" s="159">
        <f>_xlfn.IFNA(VLOOKUP($A14,' Model Estimate'!$A$6:$J$83,8,0),0)</f>
        <v>1.6493</v>
      </c>
      <c r="L14" s="163">
        <f>_xlfn.IFNA(VLOOKUP($A14,' Model Estimate'!$A$6:$J$83,9,0),0)</f>
        <v>-7.2330000000000005E-2</v>
      </c>
      <c r="M14" s="169">
        <f>_xlfn.IFNA(VLOOKUP($A14,' Model Estimate'!$A$6:$J$83,10,0),0)</f>
        <v>0.12598999999999999</v>
      </c>
      <c r="N14" s="161">
        <f>VLOOKUP(E14,[2]QC!$E$5:$F$53,2,0)</f>
        <v>3242</v>
      </c>
      <c r="O14" s="2">
        <f t="shared" ref="O14:O19" si="3">IFERROR(G14*N14," ")</f>
        <v>86.982860000000002</v>
      </c>
      <c r="P14" s="6"/>
      <c r="V14" s="177" t="s">
        <v>25</v>
      </c>
      <c r="W14" s="177"/>
      <c r="X14" s="177"/>
      <c r="Y14" s="77"/>
      <c r="Z14" s="178" t="s">
        <v>26</v>
      </c>
      <c r="AA14" s="179"/>
      <c r="AB14" s="180"/>
    </row>
    <row r="15" spans="1:28" ht="15" customHeight="1" x14ac:dyDescent="0.2">
      <c r="A15" s="143" t="str">
        <f t="shared" si="1"/>
        <v>Model: M31Samples_cur</v>
      </c>
      <c r="B15" s="143" t="str">
        <f t="shared" si="0"/>
        <v>Samp</v>
      </c>
      <c r="C15" s="89" t="str">
        <f t="shared" si="2"/>
        <v>Model: M31</v>
      </c>
      <c r="D15" s="89" t="str">
        <f>VLOOKUP(C15,' Model Estimate'!$M$4:$N$27,2,0)</f>
        <v xml:space="preserve"> NRX_CUR1 </v>
      </c>
      <c r="E15" s="89" t="s">
        <v>37</v>
      </c>
      <c r="F15" s="90">
        <f>_xlfn.IFNA(VLOOKUP($A15,' Model Estimate'!$A$6:$J$83,3,0)," ")</f>
        <v>1</v>
      </c>
      <c r="G15" s="166">
        <f>_xlfn.IFNA(VLOOKUP($A15,' Model Estimate'!$A$6:$J$83,4,0),0)</f>
        <v>4.47E-3</v>
      </c>
      <c r="H15" s="159">
        <f>_xlfn.IFNA(VLOOKUP($A15,' Model Estimate'!$A$6:$J$83,5,0),0)</f>
        <v>1.1999999999999999E-3</v>
      </c>
      <c r="I15" s="159">
        <f>_xlfn.IFNA(VLOOKUP($A15,' Model Estimate'!$A$6:$J$83,6,0),0)</f>
        <v>3.73</v>
      </c>
      <c r="J15" s="165">
        <f>_xlfn.IFNA(VLOOKUP($A15,' Model Estimate'!$A$6:$J$83,7,0)," ")</f>
        <v>2.9999999999999997E-4</v>
      </c>
      <c r="K15" s="159">
        <f>_xlfn.IFNA(VLOOKUP($A15,' Model Estimate'!$A$6:$J$83,8,0),0)</f>
        <v>1.6576299999999999</v>
      </c>
      <c r="L15" s="163">
        <f>_xlfn.IFNA(VLOOKUP($A15,' Model Estimate'!$A$6:$J$83,9,0),0)</f>
        <v>2.49E-3</v>
      </c>
      <c r="M15" s="169">
        <f>_xlfn.IFNA(VLOOKUP($A15,' Model Estimate'!$A$6:$J$83,10,0),0)</f>
        <v>6.45E-3</v>
      </c>
      <c r="N15" s="161">
        <f>VLOOKUP(E15,[2]QC!$E$5:$F$53,2,0)</f>
        <v>91014</v>
      </c>
      <c r="O15" s="2">
        <f t="shared" si="3"/>
        <v>406.83258000000001</v>
      </c>
      <c r="P15" s="7"/>
      <c r="V15" s="174" t="s">
        <v>147</v>
      </c>
      <c r="W15" s="175"/>
      <c r="X15" s="78">
        <f>($I$28*$G$13) / $O$28</f>
        <v>0.20223859844402306</v>
      </c>
      <c r="Y15" s="77"/>
      <c r="Z15" s="174" t="s">
        <v>11</v>
      </c>
      <c r="AA15" s="175"/>
      <c r="AB15" s="79">
        <f>G28</f>
        <v>13.256895257474261</v>
      </c>
    </row>
    <row r="16" spans="1:28" ht="15" customHeight="1" x14ac:dyDescent="0.2">
      <c r="A16" s="143" t="str">
        <f t="shared" si="1"/>
        <v>Model: M31Vnrx_cur_sq</v>
      </c>
      <c r="B16" s="143" t="str">
        <f t="shared" si="0"/>
        <v>Vnrx</v>
      </c>
      <c r="C16" s="89" t="str">
        <f t="shared" si="2"/>
        <v>Model: M31</v>
      </c>
      <c r="D16" s="89" t="str">
        <f>VLOOKUP(C16,' Model Estimate'!$M$4:$N$27,2,0)</f>
        <v xml:space="preserve"> NRX_CUR1 </v>
      </c>
      <c r="E16" s="89" t="s">
        <v>42</v>
      </c>
      <c r="F16" s="90" t="str">
        <f>_xlfn.IFNA(VLOOKUP($A16,' Model Estimate'!$A$6:$J$83,3,0)," ")</f>
        <v xml:space="preserve"> </v>
      </c>
      <c r="G16" s="166">
        <f>_xlfn.IFNA(VLOOKUP($A16,' Model Estimate'!$A$6:$J$83,4,0),0)</f>
        <v>0</v>
      </c>
      <c r="H16" s="159">
        <f>_xlfn.IFNA(VLOOKUP($A16,' Model Estimate'!$A$6:$J$83,5,0),0)</f>
        <v>0</v>
      </c>
      <c r="I16" s="159">
        <f>_xlfn.IFNA(VLOOKUP($A16,' Model Estimate'!$A$6:$J$83,6,0),0)</f>
        <v>0</v>
      </c>
      <c r="J16" s="165" t="str">
        <f>_xlfn.IFNA(VLOOKUP($A16,' Model Estimate'!$A$6:$J$83,7,0)," ")</f>
        <v xml:space="preserve"> </v>
      </c>
      <c r="K16" s="159">
        <f>_xlfn.IFNA(VLOOKUP($A16,' Model Estimate'!$A$6:$J$83,8,0),0)</f>
        <v>0</v>
      </c>
      <c r="L16" s="163">
        <f>_xlfn.IFNA(VLOOKUP($A16,' Model Estimate'!$A$6:$J$83,9,0),0)</f>
        <v>0</v>
      </c>
      <c r="M16" s="169">
        <f>_xlfn.IFNA(VLOOKUP($A16,' Model Estimate'!$A$6:$J$83,10,0),0)</f>
        <v>0</v>
      </c>
      <c r="N16" s="161">
        <f>VLOOKUP(E16,[2]QC!$E$5:$F$53,2,0)</f>
        <v>3288</v>
      </c>
      <c r="O16" s="2">
        <f t="shared" si="3"/>
        <v>0</v>
      </c>
      <c r="P16" s="7"/>
      <c r="V16" s="174" t="s">
        <v>151</v>
      </c>
      <c r="W16" s="175"/>
      <c r="X16" s="80">
        <f>($I$28*$G$16) / ($O$28^2*$C$25*$N$28)</f>
        <v>0</v>
      </c>
      <c r="Y16" s="77"/>
      <c r="Z16" s="174" t="s">
        <v>27</v>
      </c>
      <c r="AA16" s="175"/>
      <c r="AB16" s="83">
        <f>X15*AB15</f>
        <v>2.6810559165908106</v>
      </c>
    </row>
    <row r="17" spans="1:30" ht="15" customHeight="1" x14ac:dyDescent="0.2">
      <c r="A17" s="143" t="str">
        <f t="shared" si="1"/>
        <v>Model: M31Vnrx_cur_LN</v>
      </c>
      <c r="B17" s="143" t="str">
        <f t="shared" si="0"/>
        <v>Vnrx</v>
      </c>
      <c r="C17" s="89" t="str">
        <f t="shared" si="2"/>
        <v>Model: M31</v>
      </c>
      <c r="D17" s="89" t="str">
        <f>VLOOKUP(C17,' Model Estimate'!$M$4:$N$27,2,0)</f>
        <v xml:space="preserve"> NRX_CUR1 </v>
      </c>
      <c r="E17" s="89" t="s">
        <v>117</v>
      </c>
      <c r="F17" s="90" t="str">
        <f>_xlfn.IFNA(VLOOKUP($A17,' Model Estimate'!$A$6:$J$83,3,0)," ")</f>
        <v xml:space="preserve"> </v>
      </c>
      <c r="G17" s="166">
        <f>_xlfn.IFNA(VLOOKUP($A17,' Model Estimate'!$A$6:$J$83,4,0),0)</f>
        <v>0</v>
      </c>
      <c r="H17" s="159">
        <f>_xlfn.IFNA(VLOOKUP($A17,' Model Estimate'!$A$6:$J$83,5,0),0)</f>
        <v>0</v>
      </c>
      <c r="I17" s="159">
        <f>_xlfn.IFNA(VLOOKUP($A17,' Model Estimate'!$A$6:$J$83,6,0),0)</f>
        <v>0</v>
      </c>
      <c r="J17" s="165" t="str">
        <f>_xlfn.IFNA(VLOOKUP($A17,' Model Estimate'!$A$6:$J$83,7,0)," ")</f>
        <v xml:space="preserve"> </v>
      </c>
      <c r="K17" s="159">
        <f>_xlfn.IFNA(VLOOKUP($A17,' Model Estimate'!$A$6:$J$83,8,0),0)</f>
        <v>0</v>
      </c>
      <c r="L17" s="163">
        <f>_xlfn.IFNA(VLOOKUP($A17,' Model Estimate'!$A$6:$J$83,9,0),0)</f>
        <v>0</v>
      </c>
      <c r="M17" s="169">
        <f>_xlfn.IFNA(VLOOKUP($A17,' Model Estimate'!$A$6:$J$83,10,0),0)</f>
        <v>0</v>
      </c>
      <c r="N17" s="161">
        <f>VLOOKUP(E17,[2]QC!$E$5:$F$53,2,0)</f>
        <v>190.4745844</v>
      </c>
      <c r="O17" s="2">
        <f t="shared" si="3"/>
        <v>0</v>
      </c>
      <c r="P17" s="7"/>
      <c r="V17" s="77"/>
      <c r="W17" s="77"/>
      <c r="X17" s="77"/>
      <c r="Y17" s="77"/>
      <c r="Z17" s="174" t="s">
        <v>28</v>
      </c>
      <c r="AA17" s="175"/>
      <c r="AB17" s="80">
        <f>X16*AB15</f>
        <v>0</v>
      </c>
    </row>
    <row r="18" spans="1:30" ht="15" customHeight="1" x14ac:dyDescent="0.2">
      <c r="A18" s="143" t="str">
        <f t="shared" si="1"/>
        <v>Model: M31Vnrx_cur_ROOT</v>
      </c>
      <c r="B18" s="143" t="str">
        <f>LEFT(E18,4)</f>
        <v>Vnrx</v>
      </c>
      <c r="C18" s="89" t="str">
        <f t="shared" si="2"/>
        <v>Model: M31</v>
      </c>
      <c r="D18" s="89" t="str">
        <f>VLOOKUP(C18,' Model Estimate'!$M$4:$N$27,2,0)</f>
        <v xml:space="preserve"> NRX_CUR1 </v>
      </c>
      <c r="E18" s="88" t="s">
        <v>118</v>
      </c>
      <c r="F18" s="90" t="str">
        <f>_xlfn.IFNA(VLOOKUP($A18,' Model Estimate'!$A$6:$J$83,3,0)," ")</f>
        <v xml:space="preserve"> </v>
      </c>
      <c r="G18" s="166">
        <f>_xlfn.IFNA(VLOOKUP($A18,' Model Estimate'!$A$6:$J$83,4,0),0)</f>
        <v>0</v>
      </c>
      <c r="H18" s="159">
        <f>_xlfn.IFNA(VLOOKUP($A18,' Model Estimate'!$A$6:$J$83,5,0),0)</f>
        <v>0</v>
      </c>
      <c r="I18" s="159">
        <f>_xlfn.IFNA(VLOOKUP($A18,' Model Estimate'!$A$6:$J$83,6,0),0)</f>
        <v>0</v>
      </c>
      <c r="J18" s="165" t="str">
        <f>_xlfn.IFNA(VLOOKUP($A18,' Model Estimate'!$A$6:$J$83,7,0)," ")</f>
        <v xml:space="preserve"> </v>
      </c>
      <c r="K18" s="159">
        <f>_xlfn.IFNA(VLOOKUP($A18,' Model Estimate'!$A$6:$J$83,8,0),0)</f>
        <v>0</v>
      </c>
      <c r="L18" s="163">
        <f>_xlfn.IFNA(VLOOKUP($A18,' Model Estimate'!$A$6:$J$83,9,0),0)</f>
        <v>0</v>
      </c>
      <c r="M18" s="169">
        <f>_xlfn.IFNA(VLOOKUP($A18,' Model Estimate'!$A$6:$J$83,10,0),0)</f>
        <v>0</v>
      </c>
      <c r="N18" s="161">
        <f>VLOOKUP(E18,[2]QC!$E$5:$F$53,2,0)</f>
        <v>251.2247729</v>
      </c>
      <c r="O18" s="2">
        <f t="shared" si="3"/>
        <v>0</v>
      </c>
      <c r="P18" s="7"/>
      <c r="V18" s="77"/>
      <c r="W18" s="77"/>
      <c r="X18" s="77"/>
      <c r="Y18" s="77"/>
      <c r="Z18" s="84"/>
      <c r="AA18" s="84"/>
      <c r="AB18" s="85"/>
    </row>
    <row r="19" spans="1:30" ht="15" customHeight="1" x14ac:dyDescent="0.2">
      <c r="A19" s="143" t="str">
        <f t="shared" si="1"/>
        <v>Model: M31PCPIND</v>
      </c>
      <c r="B19" s="143"/>
      <c r="C19" s="147" t="str">
        <f t="shared" si="2"/>
        <v>Model: M31</v>
      </c>
      <c r="D19" s="147" t="str">
        <f>VLOOKUP(C19,' Model Estimate'!$M$4:$N$27,2,0)</f>
        <v xml:space="preserve"> NRX_CUR1 </v>
      </c>
      <c r="E19" s="147" t="s">
        <v>71</v>
      </c>
      <c r="F19" s="146" t="str">
        <f>_xlfn.IFNA(VLOOKUP($A19,' Model Estimate'!$A$6:$J$83,3,0)," ")</f>
        <v xml:space="preserve"> </v>
      </c>
      <c r="G19" s="166">
        <f>_xlfn.IFNA(VLOOKUP($A19,' Model Estimate'!$A$6:$J$83,4,0),0)</f>
        <v>0</v>
      </c>
      <c r="H19" s="159">
        <f>_xlfn.IFNA(VLOOKUP($A19,' Model Estimate'!$A$6:$J$83,5,0),0)</f>
        <v>0</v>
      </c>
      <c r="I19" s="159">
        <f>_xlfn.IFNA(VLOOKUP($A19,' Model Estimate'!$A$6:$J$83,6,0),0)</f>
        <v>0</v>
      </c>
      <c r="J19" s="164" t="str">
        <f>_xlfn.IFNA(VLOOKUP($A19,' Model Estimate'!$A$6:$J$83,7,0)," ")</f>
        <v xml:space="preserve"> </v>
      </c>
      <c r="K19" s="159">
        <f>_xlfn.IFNA(VLOOKUP($A19,' Model Estimate'!$A$6:$J$83,8,0),0)</f>
        <v>0</v>
      </c>
      <c r="L19" s="163">
        <f>_xlfn.IFNA(VLOOKUP($A19,' Model Estimate'!$A$6:$J$83,9,0),0)</f>
        <v>0</v>
      </c>
      <c r="M19" s="169">
        <f>_xlfn.IFNA(VLOOKUP($A19,' Model Estimate'!$A$6:$J$83,10,0),0)</f>
        <v>0</v>
      </c>
      <c r="N19" s="162"/>
      <c r="O19" s="2">
        <f t="shared" si="3"/>
        <v>0</v>
      </c>
      <c r="P19" s="7"/>
      <c r="V19" s="77"/>
      <c r="W19" s="77"/>
      <c r="X19" s="77"/>
      <c r="Y19" s="77"/>
      <c r="Z19" s="84"/>
      <c r="AA19" s="84"/>
      <c r="AB19" s="85"/>
    </row>
    <row r="20" spans="1:30" ht="15" customHeight="1" x14ac:dyDescent="0.25">
      <c r="A20" s="143"/>
      <c r="B20" s="143"/>
      <c r="C20" s="149"/>
      <c r="D20" s="149"/>
      <c r="E20" s="149"/>
      <c r="F20" s="150"/>
      <c r="G20"/>
      <c r="H20"/>
      <c r="I20"/>
      <c r="J20"/>
      <c r="K20"/>
      <c r="L20"/>
      <c r="M20"/>
      <c r="N20" s="153"/>
      <c r="O20" s="93"/>
      <c r="P20" s="7"/>
      <c r="V20" s="77"/>
      <c r="W20" s="77"/>
      <c r="X20" s="77"/>
      <c r="Y20" s="77"/>
      <c r="Z20" s="84"/>
      <c r="AA20" s="84"/>
      <c r="AB20" s="85"/>
    </row>
    <row r="21" spans="1:30" ht="15" customHeight="1" x14ac:dyDescent="0.2">
      <c r="A21" s="143"/>
      <c r="B21" s="143"/>
      <c r="C21" s="190" t="s">
        <v>126</v>
      </c>
      <c r="D21" s="190"/>
      <c r="E21" s="190"/>
      <c r="F21" s="150"/>
      <c r="G21" s="149"/>
      <c r="H21" s="149"/>
      <c r="I21" s="149"/>
      <c r="J21" s="151"/>
      <c r="K21" s="152"/>
      <c r="L21" s="152"/>
      <c r="M21" s="152"/>
      <c r="N21" s="153"/>
      <c r="O21" s="93"/>
      <c r="P21" s="7"/>
      <c r="V21" s="77"/>
      <c r="W21" s="77"/>
      <c r="X21" s="77"/>
      <c r="Y21" s="77"/>
      <c r="Z21" s="84"/>
      <c r="AA21" s="84"/>
      <c r="AB21" s="85"/>
    </row>
    <row r="22" spans="1:30" ht="27.6" customHeight="1" x14ac:dyDescent="0.25">
      <c r="Q22" s="173" t="s">
        <v>146</v>
      </c>
    </row>
    <row r="23" spans="1:30" ht="63.75" customHeight="1" x14ac:dyDescent="0.25">
      <c r="C23" s="181" t="s">
        <v>38</v>
      </c>
      <c r="D23" s="182"/>
      <c r="E23" s="182"/>
      <c r="F23" s="182"/>
      <c r="G23" s="182"/>
      <c r="H23" s="182"/>
      <c r="I23" s="182"/>
      <c r="J23" s="182"/>
      <c r="K23" s="183"/>
      <c r="L23" s="184" t="s">
        <v>138</v>
      </c>
      <c r="M23" s="185"/>
      <c r="N23" s="186" t="s">
        <v>140</v>
      </c>
      <c r="O23" s="187"/>
      <c r="P23" s="63"/>
    </row>
    <row r="24" spans="1:30" ht="51" x14ac:dyDescent="0.25">
      <c r="C24" s="8" t="s">
        <v>1</v>
      </c>
      <c r="D24" s="8" t="s">
        <v>4</v>
      </c>
      <c r="E24" s="8" t="s">
        <v>22</v>
      </c>
      <c r="F24" s="8" t="s">
        <v>12</v>
      </c>
      <c r="G24" s="8" t="s">
        <v>23</v>
      </c>
      <c r="H24" s="8" t="s">
        <v>135</v>
      </c>
      <c r="I24" s="8" t="s">
        <v>136</v>
      </c>
      <c r="J24" s="8" t="s">
        <v>137</v>
      </c>
      <c r="K24" s="8" t="s">
        <v>137</v>
      </c>
      <c r="L24" s="9" t="s">
        <v>39</v>
      </c>
      <c r="M24" s="10" t="s">
        <v>40</v>
      </c>
      <c r="N24" s="11" t="s">
        <v>141</v>
      </c>
      <c r="O24" s="11" t="s">
        <v>139</v>
      </c>
      <c r="P24" s="63"/>
    </row>
    <row r="25" spans="1:30" s="28" customFormat="1" ht="17.25" customHeight="1" x14ac:dyDescent="0.25">
      <c r="C25" s="12">
        <f>R9</f>
        <v>161</v>
      </c>
      <c r="D25" s="13">
        <f>F25/C25</f>
        <v>20.136645962732921</v>
      </c>
      <c r="E25" s="14">
        <f>G25/C25</f>
        <v>81.739130434782609</v>
      </c>
      <c r="F25" s="3">
        <f>N14</f>
        <v>3242</v>
      </c>
      <c r="G25" s="3">
        <f>N13*28</f>
        <v>13160</v>
      </c>
      <c r="H25" s="15">
        <f>Q9</f>
        <v>1468.25</v>
      </c>
      <c r="I25" s="15">
        <f>Q10</f>
        <v>13517.37</v>
      </c>
      <c r="J25" s="15">
        <f>SUM('[3]NPA Totals 2022 (CSV - Pivot Re'!$E$242:$E$253)</f>
        <v>16472</v>
      </c>
      <c r="K25" s="15">
        <f>J25</f>
        <v>16472</v>
      </c>
      <c r="L25" s="100">
        <f>SUM([4]Sheet1!$B$10:$B$21)*28</f>
        <v>13160</v>
      </c>
      <c r="M25" s="101">
        <f>[5]comparison!$G$16</f>
        <v>72764.259999999995</v>
      </c>
      <c r="N25" s="157">
        <f>SUM([4]Sheet1!$B$13:$B$24)*28</f>
        <v>13608</v>
      </c>
      <c r="O25" s="102">
        <f>[6]Sheet1!$D$3</f>
        <v>126305.05</v>
      </c>
      <c r="P25" s="9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28" customFormat="1" ht="33" customHeight="1" x14ac:dyDescent="0.25">
      <c r="C26" s="20"/>
      <c r="D26" s="21"/>
      <c r="E26" s="22"/>
      <c r="F26" s="23"/>
      <c r="G26" s="23"/>
      <c r="H26" s="24"/>
      <c r="I26" s="24"/>
      <c r="J26" s="24"/>
      <c r="L26" s="25"/>
      <c r="M26" s="26"/>
      <c r="N26" s="27"/>
      <c r="O26" s="26"/>
      <c r="P26" s="2"/>
      <c r="Q26" s="2"/>
      <c r="R26" s="2"/>
    </row>
    <row r="27" spans="1:30" ht="51" customHeight="1" x14ac:dyDescent="0.25">
      <c r="C27" s="20"/>
      <c r="D27" s="21"/>
      <c r="E27" s="64"/>
      <c r="F27" s="23"/>
      <c r="G27" s="58" t="s">
        <v>18</v>
      </c>
      <c r="H27" s="24"/>
      <c r="I27" s="59" t="s">
        <v>14</v>
      </c>
      <c r="J27" s="25"/>
      <c r="K27" s="28"/>
      <c r="L27" s="33" t="s">
        <v>13</v>
      </c>
      <c r="M27" s="35" t="s">
        <v>41</v>
      </c>
      <c r="N27" s="34" t="s">
        <v>13</v>
      </c>
      <c r="O27" s="35" t="s">
        <v>143</v>
      </c>
      <c r="P27" s="27"/>
      <c r="Q27" s="66"/>
      <c r="R27" s="26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</row>
    <row r="28" spans="1:30" ht="25.5" customHeight="1" x14ac:dyDescent="0.2">
      <c r="C28" s="16"/>
      <c r="D28" s="16"/>
      <c r="E28" s="174" t="s">
        <v>11</v>
      </c>
      <c r="F28" s="175"/>
      <c r="G28" s="65">
        <f>'[7]2024 NPV'!$E$23</f>
        <v>13.256895257474261</v>
      </c>
      <c r="H28" s="16"/>
      <c r="I28" s="57">
        <f>J25/I25</f>
        <v>1.2185802415706606</v>
      </c>
      <c r="L28" s="29">
        <f>L25/G25</f>
        <v>1</v>
      </c>
      <c r="M28" s="30">
        <f>M25/L25</f>
        <v>5.5291990881458961</v>
      </c>
      <c r="N28" s="32">
        <f>N25/G25</f>
        <v>1.0340425531914894</v>
      </c>
      <c r="O28" s="31">
        <f>O25/N25</f>
        <v>9.2816762198706648</v>
      </c>
    </row>
    <row r="29" spans="1:30" x14ac:dyDescent="0.25">
      <c r="E29" s="16"/>
      <c r="F29" s="16"/>
      <c r="G29" s="16"/>
      <c r="H29" s="16"/>
      <c r="L29" s="18"/>
      <c r="M29" s="19"/>
      <c r="O29" s="17"/>
      <c r="P29" s="17"/>
      <c r="Q29" s="17"/>
    </row>
    <row r="30" spans="1:30" ht="102.75" customHeight="1" x14ac:dyDescent="0.25">
      <c r="C30" s="91"/>
    </row>
    <row r="31" spans="1:30" ht="63.75" x14ac:dyDescent="0.25">
      <c r="C31" s="36" t="s">
        <v>44</v>
      </c>
      <c r="D31" s="37" t="s">
        <v>43</v>
      </c>
      <c r="E31" s="36" t="s">
        <v>15</v>
      </c>
      <c r="F31" s="37" t="s">
        <v>16</v>
      </c>
      <c r="G31" s="37" t="s">
        <v>5</v>
      </c>
      <c r="H31" s="37" t="s">
        <v>6</v>
      </c>
      <c r="I31" s="37" t="s">
        <v>145</v>
      </c>
      <c r="J31" s="38" t="s">
        <v>144</v>
      </c>
      <c r="K31" s="39" t="s">
        <v>7</v>
      </c>
      <c r="L31" s="38" t="s">
        <v>17</v>
      </c>
      <c r="M31" s="37" t="s">
        <v>33</v>
      </c>
      <c r="N31" s="40" t="s">
        <v>9</v>
      </c>
      <c r="O31" s="37" t="s">
        <v>19</v>
      </c>
      <c r="P31" s="37" t="s">
        <v>20</v>
      </c>
    </row>
    <row r="32" spans="1:30" x14ac:dyDescent="0.25">
      <c r="C32" s="49">
        <v>0</v>
      </c>
      <c r="D32" s="81">
        <f t="shared" ref="D32:D38" si="4">$G$13*C32+$G$16*C32*C32</f>
        <v>0</v>
      </c>
      <c r="E32" s="50">
        <f>C32*1</f>
        <v>0</v>
      </c>
      <c r="F32" s="81">
        <f>$G$13*E32+$G$16*E32*E32</f>
        <v>0</v>
      </c>
      <c r="G32" s="51">
        <f>E32*$C$25</f>
        <v>0</v>
      </c>
      <c r="H32" s="51">
        <f>F32*$C$25</f>
        <v>0</v>
      </c>
      <c r="I32" s="51">
        <f>G32*$N$28</f>
        <v>0</v>
      </c>
      <c r="J32" s="52">
        <f>I32*$O$28</f>
        <v>0</v>
      </c>
      <c r="K32" s="53">
        <f>H32*$N$28</f>
        <v>0</v>
      </c>
      <c r="L32" s="54">
        <f>K32*$I$28</f>
        <v>0</v>
      </c>
      <c r="M32" s="55">
        <f>L32/$K$25</f>
        <v>0</v>
      </c>
      <c r="N32" s="56">
        <f>L32*$G$28</f>
        <v>0</v>
      </c>
      <c r="O32" s="60"/>
      <c r="P32" s="60">
        <f>O32*$G$28</f>
        <v>0</v>
      </c>
    </row>
    <row r="33" spans="3:30" s="94" customFormat="1" x14ac:dyDescent="0.25">
      <c r="C33" s="41">
        <v>1</v>
      </c>
      <c r="D33" s="81">
        <f t="shared" si="4"/>
        <v>1.5404100000000001</v>
      </c>
      <c r="E33" s="16">
        <f t="shared" ref="E33:E38" si="5">C33*1</f>
        <v>1</v>
      </c>
      <c r="F33" s="81">
        <f t="shared" ref="F33:F38" si="6">$G$13*E33+$G$16*E33*E33</f>
        <v>1.5404100000000001</v>
      </c>
      <c r="G33" s="43">
        <f t="shared" ref="G33:H38" si="7">E33*$C$25</f>
        <v>161</v>
      </c>
      <c r="H33" s="43">
        <f>F33*$C$25</f>
        <v>248.00601</v>
      </c>
      <c r="I33" s="43">
        <f t="shared" ref="I33:I38" si="8">G33*$N$28</f>
        <v>166.48085106382979</v>
      </c>
      <c r="J33" s="48">
        <f t="shared" ref="J33:J38" si="9">I33*$O$28</f>
        <v>1545.2213563829789</v>
      </c>
      <c r="K33" s="44">
        <f t="shared" ref="K33:K38" si="10">H33*$N$28</f>
        <v>256.44876778723403</v>
      </c>
      <c r="L33" s="45">
        <f t="shared" ref="L33:L38" si="11">K33*$I$28</f>
        <v>312.50340140066589</v>
      </c>
      <c r="M33" s="46">
        <f t="shared" ref="M33:M38" si="12">L33/$K$25</f>
        <v>1.8971794645499387E-2</v>
      </c>
      <c r="N33" s="47">
        <f t="shared" ref="N33:N38" si="13">L33*$G$28</f>
        <v>4142.8248599730632</v>
      </c>
      <c r="O33" s="61">
        <f t="shared" ref="O33:O38" si="14">L33/J33</f>
        <v>0.20223859844402303</v>
      </c>
      <c r="P33" s="61">
        <f>O33*$G$28</f>
        <v>2.6810559165908106</v>
      </c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3:30" x14ac:dyDescent="0.25">
      <c r="C34" s="41">
        <v>2</v>
      </c>
      <c r="D34" s="81">
        <f>$G$13*C34+$G$16*C34*C34</f>
        <v>3.0808200000000001</v>
      </c>
      <c r="E34" s="16">
        <f t="shared" si="5"/>
        <v>2</v>
      </c>
      <c r="F34" s="81">
        <f t="shared" si="6"/>
        <v>3.0808200000000001</v>
      </c>
      <c r="G34" s="43">
        <f t="shared" si="7"/>
        <v>322</v>
      </c>
      <c r="H34" s="43">
        <f t="shared" si="7"/>
        <v>496.01202000000001</v>
      </c>
      <c r="I34" s="43">
        <f>G34*$N$28</f>
        <v>332.96170212765958</v>
      </c>
      <c r="J34" s="48">
        <f t="shared" si="9"/>
        <v>3090.4427127659578</v>
      </c>
      <c r="K34" s="44">
        <f t="shared" si="10"/>
        <v>512.89753557446807</v>
      </c>
      <c r="L34" s="45">
        <f t="shared" si="11"/>
        <v>625.00680280133179</v>
      </c>
      <c r="M34" s="46">
        <f t="shared" si="12"/>
        <v>3.7943589290998773E-2</v>
      </c>
      <c r="N34" s="47">
        <f t="shared" si="13"/>
        <v>8285.6497199461264</v>
      </c>
      <c r="O34" s="61">
        <f t="shared" si="14"/>
        <v>0.20223859844402303</v>
      </c>
      <c r="P34" s="61">
        <f t="shared" ref="P34:P38" si="15">O34*$G$28</f>
        <v>2.6810559165908106</v>
      </c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</row>
    <row r="35" spans="3:30" x14ac:dyDescent="0.25">
      <c r="C35" s="41">
        <v>3</v>
      </c>
      <c r="D35" s="81">
        <f t="shared" si="4"/>
        <v>4.6212300000000006</v>
      </c>
      <c r="E35" s="16">
        <f t="shared" si="5"/>
        <v>3</v>
      </c>
      <c r="F35" s="81">
        <f t="shared" si="6"/>
        <v>4.6212300000000006</v>
      </c>
      <c r="G35" s="43">
        <f t="shared" si="7"/>
        <v>483</v>
      </c>
      <c r="H35" s="43">
        <f t="shared" si="7"/>
        <v>744.01803000000007</v>
      </c>
      <c r="I35" s="43">
        <f t="shared" si="8"/>
        <v>499.44255319148937</v>
      </c>
      <c r="J35" s="48">
        <f t="shared" si="9"/>
        <v>4635.6640691489365</v>
      </c>
      <c r="K35" s="44">
        <f t="shared" si="10"/>
        <v>769.34630336170221</v>
      </c>
      <c r="L35" s="45">
        <f t="shared" si="11"/>
        <v>937.51020420199779</v>
      </c>
      <c r="M35" s="46">
        <f t="shared" si="12"/>
        <v>5.6915383936498164E-2</v>
      </c>
      <c r="N35" s="47">
        <f t="shared" si="13"/>
        <v>12428.47457991919</v>
      </c>
      <c r="O35" s="61">
        <f t="shared" si="14"/>
        <v>0.20223859844402309</v>
      </c>
      <c r="P35" s="61">
        <f t="shared" si="15"/>
        <v>2.681055916590811</v>
      </c>
    </row>
    <row r="36" spans="3:30" x14ac:dyDescent="0.25">
      <c r="C36" s="41">
        <v>4</v>
      </c>
      <c r="D36" s="81">
        <f t="shared" si="4"/>
        <v>6.1616400000000002</v>
      </c>
      <c r="E36" s="16">
        <f t="shared" si="5"/>
        <v>4</v>
      </c>
      <c r="F36" s="81">
        <f t="shared" si="6"/>
        <v>6.1616400000000002</v>
      </c>
      <c r="G36" s="43">
        <f t="shared" si="7"/>
        <v>644</v>
      </c>
      <c r="H36" s="43">
        <f t="shared" si="7"/>
        <v>992.02404000000001</v>
      </c>
      <c r="I36" s="43">
        <f t="shared" si="8"/>
        <v>665.92340425531916</v>
      </c>
      <c r="J36" s="48">
        <f t="shared" si="9"/>
        <v>6180.8854255319156</v>
      </c>
      <c r="K36" s="44">
        <f t="shared" si="10"/>
        <v>1025.7950711489361</v>
      </c>
      <c r="L36" s="45">
        <f t="shared" si="11"/>
        <v>1250.0136056026636</v>
      </c>
      <c r="M36" s="46">
        <f t="shared" si="12"/>
        <v>7.5887178581997547E-2</v>
      </c>
      <c r="N36" s="47">
        <f t="shared" si="13"/>
        <v>16571.299439892253</v>
      </c>
      <c r="O36" s="61">
        <f t="shared" si="14"/>
        <v>0.20223859844402303</v>
      </c>
      <c r="P36" s="61">
        <f t="shared" si="15"/>
        <v>2.6810559165908106</v>
      </c>
    </row>
    <row r="37" spans="3:30" x14ac:dyDescent="0.25">
      <c r="C37" s="41">
        <v>5</v>
      </c>
      <c r="D37" s="81">
        <f t="shared" si="4"/>
        <v>7.7020499999999998</v>
      </c>
      <c r="E37" s="16">
        <f t="shared" si="5"/>
        <v>5</v>
      </c>
      <c r="F37" s="81">
        <f t="shared" si="6"/>
        <v>7.7020499999999998</v>
      </c>
      <c r="G37" s="43">
        <f t="shared" si="7"/>
        <v>805</v>
      </c>
      <c r="H37" s="43">
        <f t="shared" si="7"/>
        <v>1240.0300500000001</v>
      </c>
      <c r="I37" s="43">
        <f t="shared" si="8"/>
        <v>832.404255319149</v>
      </c>
      <c r="J37" s="48">
        <f t="shared" si="9"/>
        <v>7726.1067819148948</v>
      </c>
      <c r="K37" s="44">
        <f t="shared" si="10"/>
        <v>1282.2438389361703</v>
      </c>
      <c r="L37" s="45">
        <f t="shared" si="11"/>
        <v>1562.5170070033296</v>
      </c>
      <c r="M37" s="46">
        <f t="shared" si="12"/>
        <v>9.4858973227496937E-2</v>
      </c>
      <c r="N37" s="47">
        <f t="shared" si="13"/>
        <v>20714.124299865318</v>
      </c>
      <c r="O37" s="61">
        <f t="shared" si="14"/>
        <v>0.20223859844402306</v>
      </c>
      <c r="P37" s="61">
        <f t="shared" si="15"/>
        <v>2.6810559165908106</v>
      </c>
    </row>
    <row r="38" spans="3:30" x14ac:dyDescent="0.25">
      <c r="C38" s="41">
        <v>6</v>
      </c>
      <c r="D38" s="81">
        <f t="shared" si="4"/>
        <v>9.2424600000000012</v>
      </c>
      <c r="E38" s="16">
        <f t="shared" si="5"/>
        <v>6</v>
      </c>
      <c r="F38" s="81">
        <f t="shared" si="6"/>
        <v>9.2424600000000012</v>
      </c>
      <c r="G38" s="43">
        <f t="shared" si="7"/>
        <v>966</v>
      </c>
      <c r="H38" s="43">
        <f t="shared" si="7"/>
        <v>1488.0360600000001</v>
      </c>
      <c r="I38" s="43">
        <f t="shared" si="8"/>
        <v>998.88510638297873</v>
      </c>
      <c r="J38" s="48">
        <f t="shared" si="9"/>
        <v>9271.328138297873</v>
      </c>
      <c r="K38" s="44">
        <f t="shared" si="10"/>
        <v>1538.6926067234044</v>
      </c>
      <c r="L38" s="45">
        <f t="shared" si="11"/>
        <v>1875.0204084039956</v>
      </c>
      <c r="M38" s="46">
        <f t="shared" si="12"/>
        <v>0.11383076787299633</v>
      </c>
      <c r="N38" s="47">
        <f t="shared" si="13"/>
        <v>24856.949159838379</v>
      </c>
      <c r="O38" s="61">
        <f t="shared" si="14"/>
        <v>0.20223859844402309</v>
      </c>
      <c r="P38" s="61">
        <f t="shared" si="15"/>
        <v>2.681055916590811</v>
      </c>
    </row>
    <row r="39" spans="3:30" x14ac:dyDescent="0.25">
      <c r="C39" s="41"/>
      <c r="D39" s="82"/>
      <c r="E39" s="16"/>
      <c r="F39" s="42"/>
      <c r="G39" s="43"/>
      <c r="H39" s="43"/>
      <c r="I39" s="43"/>
      <c r="J39" s="48"/>
      <c r="K39" s="44"/>
      <c r="L39" s="45"/>
      <c r="M39" s="46"/>
      <c r="N39" s="47"/>
      <c r="O39" s="61"/>
      <c r="P39" s="61"/>
    </row>
    <row r="40" spans="3:30" x14ac:dyDescent="0.25">
      <c r="C40" s="41"/>
      <c r="D40" s="82"/>
      <c r="E40" s="16"/>
      <c r="F40" s="42"/>
      <c r="G40" s="43"/>
      <c r="H40" s="43"/>
      <c r="I40" s="43"/>
      <c r="J40" s="48"/>
      <c r="K40" s="44"/>
      <c r="L40" s="45"/>
      <c r="M40" s="46"/>
      <c r="N40" s="47"/>
      <c r="O40" s="61"/>
      <c r="P40" s="61"/>
    </row>
    <row r="41" spans="3:30" x14ac:dyDescent="0.25">
      <c r="C41" s="41"/>
      <c r="D41" s="82"/>
      <c r="E41" s="16"/>
      <c r="F41" s="42"/>
      <c r="G41" s="43"/>
      <c r="H41" s="43"/>
      <c r="I41" s="43"/>
      <c r="J41" s="48"/>
      <c r="K41" s="44"/>
      <c r="L41" s="45"/>
      <c r="M41" s="46"/>
      <c r="N41" s="47"/>
      <c r="O41" s="61"/>
      <c r="P41" s="61"/>
    </row>
    <row r="42" spans="3:30" x14ac:dyDescent="0.25">
      <c r="C42" s="41"/>
      <c r="D42" s="82"/>
      <c r="E42" s="16"/>
      <c r="F42" s="42"/>
      <c r="G42" s="43"/>
      <c r="H42" s="43"/>
      <c r="I42" s="43"/>
      <c r="J42" s="48"/>
      <c r="K42" s="44"/>
      <c r="L42" s="45"/>
      <c r="M42" s="46"/>
      <c r="N42" s="47"/>
      <c r="O42" s="61"/>
      <c r="P42" s="61"/>
    </row>
    <row r="43" spans="3:30" x14ac:dyDescent="0.25">
      <c r="C43" s="41"/>
      <c r="D43" s="82"/>
      <c r="E43" s="16"/>
      <c r="F43" s="42"/>
      <c r="G43" s="43"/>
      <c r="H43" s="43"/>
      <c r="I43" s="43"/>
      <c r="J43" s="48"/>
      <c r="K43" s="44"/>
      <c r="L43" s="45"/>
      <c r="M43" s="46"/>
      <c r="N43" s="47"/>
      <c r="O43" s="61"/>
      <c r="P43" s="61"/>
    </row>
    <row r="44" spans="3:30" x14ac:dyDescent="0.25">
      <c r="C44" s="41"/>
      <c r="D44" s="82"/>
      <c r="E44" s="16"/>
      <c r="F44" s="42"/>
      <c r="G44" s="43"/>
      <c r="H44" s="43"/>
      <c r="I44" s="43"/>
      <c r="J44" s="48"/>
      <c r="K44" s="44"/>
      <c r="L44" s="45"/>
      <c r="M44" s="46"/>
      <c r="N44" s="47"/>
      <c r="O44" s="61"/>
      <c r="P44" s="61"/>
    </row>
    <row r="45" spans="3:30" x14ac:dyDescent="0.25">
      <c r="C45" s="41"/>
      <c r="D45" s="82"/>
      <c r="E45" s="16"/>
      <c r="F45" s="42"/>
      <c r="G45" s="43"/>
      <c r="H45" s="43"/>
      <c r="I45" s="43"/>
      <c r="J45" s="48"/>
      <c r="K45" s="44"/>
      <c r="L45" s="45"/>
      <c r="M45" s="46"/>
      <c r="N45" s="47"/>
      <c r="O45" s="61"/>
      <c r="P45" s="61"/>
    </row>
    <row r="46" spans="3:30" x14ac:dyDescent="0.25">
      <c r="C46" s="41"/>
      <c r="D46" s="82"/>
      <c r="E46" s="16"/>
      <c r="F46" s="42"/>
      <c r="G46" s="43"/>
      <c r="H46" s="43"/>
      <c r="I46" s="43"/>
      <c r="J46" s="48"/>
      <c r="K46" s="44"/>
      <c r="L46" s="45"/>
      <c r="M46" s="46"/>
      <c r="N46" s="47"/>
      <c r="O46" s="61"/>
      <c r="P46" s="61"/>
    </row>
    <row r="47" spans="3:30" x14ac:dyDescent="0.25">
      <c r="C47" s="41"/>
      <c r="D47" s="82"/>
      <c r="E47" s="16"/>
      <c r="F47" s="42"/>
      <c r="G47" s="43"/>
      <c r="H47" s="43"/>
      <c r="I47" s="43"/>
      <c r="J47" s="48"/>
      <c r="K47" s="44"/>
      <c r="L47" s="45"/>
      <c r="M47" s="46"/>
      <c r="N47" s="47"/>
      <c r="O47" s="61"/>
      <c r="P47" s="61"/>
    </row>
    <row r="48" spans="3:30" x14ac:dyDescent="0.25">
      <c r="C48" s="41"/>
      <c r="D48" s="82"/>
      <c r="E48" s="16"/>
      <c r="F48" s="42"/>
      <c r="G48" s="43"/>
      <c r="H48" s="43"/>
      <c r="I48" s="43"/>
      <c r="J48" s="48"/>
      <c r="K48" s="44"/>
      <c r="L48" s="45"/>
      <c r="M48" s="46"/>
      <c r="N48" s="47"/>
      <c r="O48" s="61"/>
      <c r="P48" s="61"/>
    </row>
    <row r="49" spans="3:30" x14ac:dyDescent="0.25">
      <c r="C49" s="41"/>
      <c r="D49" s="82"/>
      <c r="E49" s="16"/>
      <c r="F49" s="42"/>
      <c r="G49" s="43"/>
      <c r="H49" s="43"/>
      <c r="I49" s="43"/>
      <c r="J49" s="48"/>
      <c r="K49" s="44"/>
      <c r="L49" s="45"/>
      <c r="M49" s="46"/>
      <c r="N49" s="47"/>
      <c r="O49" s="61"/>
      <c r="P49" s="61"/>
    </row>
    <row r="50" spans="3:30" x14ac:dyDescent="0.25">
      <c r="C50" s="41"/>
      <c r="D50" s="82"/>
      <c r="E50" s="16"/>
      <c r="F50" s="42"/>
      <c r="G50" s="43"/>
      <c r="H50" s="43"/>
      <c r="I50" s="43"/>
      <c r="J50" s="48"/>
      <c r="K50" s="44"/>
      <c r="L50" s="45"/>
      <c r="M50" s="46"/>
      <c r="N50" s="47"/>
      <c r="O50" s="61"/>
      <c r="P50" s="61"/>
    </row>
    <row r="51" spans="3:30" x14ac:dyDescent="0.25">
      <c r="C51" s="41"/>
      <c r="D51" s="82"/>
      <c r="E51" s="16"/>
      <c r="F51" s="42"/>
      <c r="G51" s="43"/>
      <c r="H51" s="43"/>
      <c r="I51" s="43"/>
      <c r="J51" s="48"/>
      <c r="K51" s="44"/>
      <c r="L51" s="45"/>
      <c r="M51" s="46"/>
      <c r="N51" s="47"/>
      <c r="O51" s="61"/>
      <c r="P51" s="61"/>
    </row>
    <row r="52" spans="3:30" x14ac:dyDescent="0.25">
      <c r="C52" s="41"/>
      <c r="D52" s="82"/>
      <c r="E52" s="16"/>
      <c r="F52" s="42"/>
      <c r="G52" s="43"/>
      <c r="H52" s="43"/>
      <c r="I52" s="43"/>
      <c r="J52" s="48"/>
      <c r="K52" s="44"/>
      <c r="L52" s="45"/>
      <c r="M52" s="46"/>
      <c r="N52" s="47"/>
      <c r="O52" s="61"/>
      <c r="P52" s="61"/>
    </row>
    <row r="53" spans="3:30" x14ac:dyDescent="0.25">
      <c r="C53" s="41"/>
      <c r="D53" s="82"/>
      <c r="E53" s="16"/>
      <c r="F53" s="42"/>
      <c r="G53" s="43"/>
      <c r="H53" s="43"/>
      <c r="I53" s="43"/>
      <c r="J53" s="48"/>
      <c r="K53" s="44"/>
      <c r="L53" s="45"/>
      <c r="M53" s="46"/>
      <c r="N53" s="47"/>
      <c r="O53" s="61"/>
      <c r="P53" s="61"/>
    </row>
    <row r="54" spans="3:30" x14ac:dyDescent="0.25">
      <c r="C54" s="41"/>
      <c r="D54" s="82"/>
      <c r="E54" s="16"/>
      <c r="F54" s="42"/>
      <c r="G54" s="43"/>
      <c r="H54" s="43"/>
      <c r="I54" s="43"/>
      <c r="J54" s="48"/>
      <c r="K54" s="44"/>
      <c r="L54" s="45"/>
      <c r="M54" s="46"/>
      <c r="N54" s="47"/>
      <c r="O54" s="61"/>
      <c r="P54" s="61"/>
    </row>
    <row r="55" spans="3:30" x14ac:dyDescent="0.25">
      <c r="C55" s="41"/>
      <c r="D55" s="82"/>
      <c r="E55" s="16"/>
      <c r="F55" s="42"/>
      <c r="G55" s="43"/>
      <c r="H55" s="43"/>
      <c r="I55" s="43"/>
      <c r="J55" s="48"/>
      <c r="K55" s="44"/>
      <c r="L55" s="45"/>
      <c r="M55" s="46"/>
      <c r="N55" s="47"/>
      <c r="O55" s="61"/>
      <c r="P55" s="61"/>
    </row>
    <row r="56" spans="3:30" x14ac:dyDescent="0.25">
      <c r="C56" s="41"/>
      <c r="D56" s="82"/>
      <c r="E56" s="16"/>
      <c r="F56" s="42"/>
      <c r="G56" s="43"/>
      <c r="H56" s="43"/>
      <c r="I56" s="43"/>
      <c r="J56" s="48"/>
      <c r="K56" s="44"/>
      <c r="L56" s="45"/>
      <c r="M56" s="46"/>
      <c r="N56" s="47"/>
      <c r="O56" s="61"/>
      <c r="P56" s="61"/>
    </row>
    <row r="57" spans="3:30" x14ac:dyDescent="0.25">
      <c r="C57" s="41"/>
      <c r="D57" s="82"/>
      <c r="E57" s="16"/>
      <c r="F57" s="42"/>
      <c r="G57" s="43"/>
      <c r="H57" s="43"/>
      <c r="I57" s="43"/>
      <c r="J57" s="48"/>
      <c r="K57" s="44"/>
      <c r="L57" s="45"/>
      <c r="M57" s="46"/>
      <c r="N57" s="47"/>
      <c r="O57" s="61"/>
      <c r="P57" s="61"/>
    </row>
    <row r="58" spans="3:30" x14ac:dyDescent="0.25">
      <c r="C58" s="41"/>
      <c r="D58" s="82"/>
      <c r="E58" s="16"/>
      <c r="F58" s="42"/>
      <c r="G58" s="43"/>
      <c r="H58" s="43"/>
      <c r="I58" s="43"/>
      <c r="J58" s="48"/>
      <c r="K58" s="44"/>
      <c r="L58" s="45"/>
      <c r="M58" s="46"/>
      <c r="N58" s="47"/>
      <c r="O58" s="61"/>
      <c r="P58" s="61"/>
    </row>
    <row r="59" spans="3:30" x14ac:dyDescent="0.25">
      <c r="C59" s="41"/>
      <c r="D59" s="82"/>
      <c r="E59" s="16"/>
      <c r="F59" s="42"/>
      <c r="G59" s="43"/>
      <c r="H59" s="43"/>
      <c r="I59" s="43"/>
      <c r="J59" s="48"/>
      <c r="K59" s="44"/>
      <c r="L59" s="45"/>
      <c r="M59" s="46"/>
      <c r="N59" s="47"/>
      <c r="O59" s="61"/>
      <c r="P59" s="61"/>
    </row>
    <row r="60" spans="3:30" x14ac:dyDescent="0.25">
      <c r="C60" s="41"/>
      <c r="D60" s="82"/>
      <c r="E60" s="16"/>
      <c r="F60" s="42"/>
      <c r="G60" s="43"/>
      <c r="H60" s="43"/>
      <c r="I60" s="43"/>
      <c r="J60" s="48"/>
      <c r="K60" s="44"/>
      <c r="L60" s="45"/>
      <c r="M60" s="46"/>
      <c r="N60" s="47"/>
      <c r="O60" s="61"/>
      <c r="P60" s="61"/>
    </row>
    <row r="61" spans="3:30" x14ac:dyDescent="0.25">
      <c r="C61" s="41"/>
      <c r="D61" s="82"/>
      <c r="E61" s="16"/>
      <c r="F61" s="42"/>
      <c r="G61" s="43"/>
      <c r="H61" s="43"/>
      <c r="I61" s="43"/>
      <c r="J61" s="48"/>
      <c r="K61" s="44"/>
      <c r="L61" s="45"/>
      <c r="M61" s="46"/>
      <c r="N61" s="47"/>
      <c r="O61" s="61"/>
      <c r="P61" s="61"/>
    </row>
    <row r="62" spans="3:30" x14ac:dyDescent="0.25">
      <c r="C62" s="41"/>
      <c r="D62" s="82"/>
      <c r="E62" s="16"/>
      <c r="F62" s="42"/>
      <c r="G62" s="43"/>
      <c r="H62" s="43"/>
      <c r="I62" s="43"/>
      <c r="J62" s="48"/>
      <c r="K62" s="44"/>
      <c r="L62" s="45"/>
      <c r="M62" s="46"/>
      <c r="N62" s="47"/>
      <c r="O62" s="61"/>
      <c r="P62" s="61"/>
    </row>
    <row r="63" spans="3:30" x14ac:dyDescent="0.25">
      <c r="C63" s="41"/>
      <c r="D63" s="82"/>
      <c r="E63" s="16"/>
      <c r="F63" s="42"/>
      <c r="G63" s="43"/>
      <c r="H63" s="43"/>
      <c r="I63" s="43"/>
      <c r="J63" s="48"/>
      <c r="K63" s="44"/>
      <c r="L63" s="45"/>
      <c r="M63" s="46"/>
      <c r="N63" s="47"/>
      <c r="O63" s="61"/>
      <c r="P63" s="61"/>
    </row>
    <row r="64" spans="3:30" s="67" customFormat="1" x14ac:dyDescent="0.25">
      <c r="C64" s="41"/>
      <c r="D64" s="82"/>
      <c r="E64" s="16"/>
      <c r="F64" s="42"/>
      <c r="G64" s="43"/>
      <c r="H64" s="43"/>
      <c r="I64" s="43"/>
      <c r="J64" s="48"/>
      <c r="K64" s="44"/>
      <c r="L64" s="45"/>
      <c r="M64" s="46"/>
      <c r="N64" s="47"/>
      <c r="O64" s="61"/>
      <c r="P64" s="61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3:30" x14ac:dyDescent="0.25">
      <c r="C65" s="41"/>
      <c r="D65" s="82"/>
      <c r="E65" s="69"/>
      <c r="F65" s="68"/>
      <c r="G65" s="70"/>
      <c r="H65" s="70"/>
      <c r="I65" s="70"/>
      <c r="J65" s="71"/>
      <c r="K65" s="72"/>
      <c r="L65" s="73"/>
      <c r="M65" s="74"/>
      <c r="N65" s="75"/>
      <c r="O65" s="76"/>
      <c r="P65" s="76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</row>
    <row r="66" spans="3:30" x14ac:dyDescent="0.25">
      <c r="C66" s="41"/>
      <c r="D66" s="82"/>
      <c r="E66" s="16"/>
      <c r="F66" s="42"/>
      <c r="G66" s="43"/>
      <c r="H66" s="43"/>
      <c r="I66" s="43"/>
      <c r="J66" s="48"/>
      <c r="K66" s="44"/>
      <c r="L66" s="45"/>
      <c r="M66" s="46"/>
      <c r="N66" s="47"/>
      <c r="O66" s="61"/>
      <c r="P66" s="61"/>
    </row>
    <row r="67" spans="3:30" x14ac:dyDescent="0.25">
      <c r="C67" s="41"/>
      <c r="D67" s="82"/>
      <c r="E67" s="16"/>
      <c r="F67" s="42"/>
      <c r="G67" s="43"/>
      <c r="H67" s="43"/>
      <c r="I67" s="43"/>
      <c r="J67" s="48"/>
      <c r="K67" s="44"/>
      <c r="L67" s="45"/>
      <c r="M67" s="46"/>
      <c r="N67" s="47"/>
      <c r="O67" s="61"/>
      <c r="P67" s="61"/>
    </row>
    <row r="68" spans="3:30" x14ac:dyDescent="0.25">
      <c r="C68" s="41"/>
      <c r="D68" s="82"/>
      <c r="E68" s="16"/>
      <c r="F68" s="42"/>
      <c r="G68" s="43"/>
      <c r="H68" s="43"/>
      <c r="I68" s="43"/>
      <c r="J68" s="48"/>
      <c r="K68" s="44"/>
      <c r="L68" s="45"/>
      <c r="M68" s="46"/>
      <c r="N68" s="47"/>
      <c r="O68" s="61"/>
      <c r="P68" s="61"/>
    </row>
    <row r="69" spans="3:30" x14ac:dyDescent="0.25">
      <c r="C69" s="41"/>
      <c r="D69" s="82"/>
      <c r="E69" s="16"/>
      <c r="F69" s="42"/>
      <c r="G69" s="43"/>
      <c r="H69" s="43"/>
      <c r="I69" s="43"/>
      <c r="J69" s="48"/>
      <c r="K69" s="44"/>
      <c r="L69" s="45"/>
      <c r="M69" s="46"/>
      <c r="N69" s="47"/>
      <c r="O69" s="61"/>
      <c r="P69" s="61"/>
    </row>
    <row r="70" spans="3:30" x14ac:dyDescent="0.25">
      <c r="C70" s="41"/>
      <c r="D70" s="82"/>
      <c r="E70" s="16"/>
      <c r="F70" s="42"/>
      <c r="G70" s="43"/>
      <c r="H70" s="43"/>
      <c r="I70" s="43"/>
      <c r="J70" s="48"/>
      <c r="K70" s="44"/>
      <c r="L70" s="45"/>
      <c r="M70" s="46"/>
      <c r="N70" s="47"/>
      <c r="O70" s="61"/>
      <c r="P70" s="61"/>
    </row>
    <row r="71" spans="3:30" x14ac:dyDescent="0.25">
      <c r="C71" s="41"/>
      <c r="D71" s="82"/>
      <c r="E71" s="16"/>
      <c r="F71" s="42"/>
      <c r="G71" s="43"/>
      <c r="H71" s="43"/>
      <c r="I71" s="43"/>
      <c r="J71" s="48"/>
      <c r="K71" s="44"/>
      <c r="L71" s="45"/>
      <c r="M71" s="46"/>
      <c r="N71" s="47"/>
      <c r="O71" s="61"/>
      <c r="P71" s="61"/>
    </row>
    <row r="72" spans="3:30" x14ac:dyDescent="0.25">
      <c r="C72" s="41"/>
      <c r="D72" s="82"/>
      <c r="E72" s="16"/>
      <c r="F72" s="42"/>
      <c r="G72" s="43"/>
      <c r="H72" s="43"/>
      <c r="I72" s="43"/>
      <c r="J72" s="48"/>
      <c r="K72" s="44"/>
      <c r="L72" s="45"/>
      <c r="M72" s="46"/>
      <c r="N72" s="47"/>
      <c r="O72" s="61"/>
      <c r="P72" s="61"/>
    </row>
    <row r="73" spans="3:30" x14ac:dyDescent="0.25">
      <c r="C73" s="41"/>
      <c r="D73" s="82"/>
      <c r="E73" s="16"/>
      <c r="F73" s="42"/>
      <c r="G73" s="43"/>
      <c r="H73" s="43"/>
      <c r="I73" s="43"/>
      <c r="J73" s="48"/>
      <c r="K73" s="44"/>
      <c r="L73" s="45"/>
      <c r="M73" s="46"/>
      <c r="N73" s="47"/>
      <c r="O73" s="61"/>
      <c r="P73" s="61"/>
    </row>
    <row r="74" spans="3:30" x14ac:dyDescent="0.25">
      <c r="C74" s="41"/>
      <c r="D74" s="82"/>
      <c r="E74" s="16"/>
      <c r="F74" s="42"/>
      <c r="G74" s="43"/>
      <c r="H74" s="43"/>
      <c r="I74" s="43"/>
      <c r="J74" s="48"/>
      <c r="K74" s="44"/>
      <c r="L74" s="45"/>
      <c r="M74" s="46"/>
      <c r="N74" s="47"/>
      <c r="O74" s="61"/>
      <c r="P74" s="61"/>
    </row>
    <row r="75" spans="3:30" x14ac:dyDescent="0.25">
      <c r="C75" s="41"/>
      <c r="D75" s="82"/>
      <c r="E75" s="16"/>
      <c r="F75" s="42"/>
      <c r="G75" s="43"/>
      <c r="H75" s="43"/>
      <c r="I75" s="43"/>
      <c r="J75" s="48"/>
      <c r="K75" s="44"/>
      <c r="L75" s="45"/>
      <c r="M75" s="46"/>
      <c r="N75" s="47"/>
      <c r="O75" s="61"/>
      <c r="P75" s="61"/>
    </row>
    <row r="76" spans="3:30" x14ac:dyDescent="0.25">
      <c r="C76" s="41"/>
      <c r="D76" s="82"/>
      <c r="E76" s="16"/>
      <c r="F76" s="42"/>
      <c r="G76" s="43"/>
      <c r="H76" s="43"/>
      <c r="I76" s="43"/>
      <c r="J76" s="48"/>
      <c r="K76" s="44"/>
      <c r="L76" s="45"/>
      <c r="M76" s="46"/>
      <c r="N76" s="47"/>
      <c r="O76" s="61"/>
      <c r="P76" s="61"/>
    </row>
    <row r="77" spans="3:30" x14ac:dyDescent="0.25">
      <c r="C77" s="41"/>
      <c r="D77" s="82"/>
      <c r="E77" s="16"/>
      <c r="F77" s="42"/>
      <c r="G77" s="43"/>
      <c r="H77" s="43"/>
      <c r="I77" s="43"/>
      <c r="J77" s="48"/>
      <c r="K77" s="44"/>
      <c r="L77" s="45"/>
      <c r="M77" s="46"/>
      <c r="N77" s="47"/>
      <c r="O77" s="61"/>
      <c r="P77" s="61"/>
    </row>
    <row r="78" spans="3:30" x14ac:dyDescent="0.25">
      <c r="C78" s="41"/>
      <c r="D78" s="82"/>
      <c r="E78" s="16"/>
      <c r="F78" s="42"/>
      <c r="G78" s="43"/>
      <c r="H78" s="43"/>
      <c r="I78" s="43"/>
      <c r="J78" s="48"/>
      <c r="K78" s="44"/>
      <c r="L78" s="45"/>
      <c r="M78" s="46"/>
      <c r="N78" s="47"/>
      <c r="O78" s="61"/>
      <c r="P78" s="61"/>
    </row>
    <row r="79" spans="3:30" x14ac:dyDescent="0.25">
      <c r="C79" s="41"/>
      <c r="D79" s="82"/>
      <c r="E79" s="16"/>
      <c r="F79" s="42"/>
      <c r="G79" s="43"/>
      <c r="H79" s="43"/>
      <c r="I79" s="43"/>
      <c r="J79" s="48"/>
      <c r="K79" s="44"/>
      <c r="L79" s="45"/>
      <c r="M79" s="46"/>
      <c r="N79" s="47"/>
      <c r="O79" s="61"/>
      <c r="P79" s="61"/>
    </row>
    <row r="80" spans="3:30" x14ac:dyDescent="0.25">
      <c r="C80" s="41"/>
      <c r="D80" s="82"/>
      <c r="E80" s="16"/>
      <c r="F80" s="42"/>
      <c r="G80" s="43"/>
      <c r="H80" s="43"/>
      <c r="I80" s="43"/>
      <c r="J80" s="48"/>
      <c r="K80" s="44"/>
      <c r="L80" s="45"/>
      <c r="M80" s="46"/>
      <c r="N80" s="47"/>
      <c r="O80" s="61"/>
      <c r="P80" s="61"/>
    </row>
    <row r="81" spans="3:16" x14ac:dyDescent="0.25">
      <c r="C81" s="41"/>
      <c r="D81" s="82"/>
      <c r="E81" s="16"/>
      <c r="F81" s="42"/>
      <c r="G81" s="43"/>
      <c r="H81" s="43"/>
      <c r="I81" s="43"/>
      <c r="J81" s="48"/>
      <c r="K81" s="44"/>
      <c r="L81" s="45"/>
      <c r="M81" s="46"/>
      <c r="N81" s="47"/>
      <c r="O81" s="61"/>
      <c r="P81" s="61"/>
    </row>
    <row r="82" spans="3:16" x14ac:dyDescent="0.25">
      <c r="C82" s="41"/>
      <c r="D82" s="82"/>
      <c r="E82" s="16"/>
      <c r="F82" s="42"/>
      <c r="G82" s="43"/>
      <c r="H82" s="43"/>
      <c r="I82" s="43"/>
      <c r="J82" s="48"/>
      <c r="K82" s="44"/>
      <c r="L82" s="45"/>
      <c r="M82" s="46"/>
      <c r="N82" s="47"/>
      <c r="O82" s="61"/>
      <c r="P82" s="61"/>
    </row>
    <row r="83" spans="3:16" x14ac:dyDescent="0.25">
      <c r="C83" s="41"/>
      <c r="D83" s="82"/>
      <c r="E83" s="16"/>
      <c r="F83" s="42"/>
      <c r="G83" s="43"/>
      <c r="H83" s="43"/>
      <c r="I83" s="43"/>
      <c r="J83" s="48"/>
      <c r="K83" s="44"/>
      <c r="L83" s="45"/>
      <c r="M83" s="46"/>
      <c r="N83" s="47"/>
      <c r="O83" s="61"/>
      <c r="P83" s="61"/>
    </row>
    <row r="84" spans="3:16" x14ac:dyDescent="0.25">
      <c r="C84" s="41"/>
      <c r="D84" s="82"/>
      <c r="E84" s="16"/>
      <c r="F84" s="42"/>
      <c r="G84" s="43"/>
      <c r="H84" s="43"/>
      <c r="I84" s="43"/>
      <c r="J84" s="48"/>
      <c r="K84" s="44"/>
      <c r="L84" s="45"/>
      <c r="M84" s="46"/>
      <c r="N84" s="47"/>
      <c r="O84" s="61"/>
      <c r="P84" s="61"/>
    </row>
    <row r="85" spans="3:16" x14ac:dyDescent="0.25">
      <c r="C85" s="41"/>
      <c r="D85" s="82"/>
      <c r="E85" s="16"/>
      <c r="F85" s="42"/>
      <c r="G85" s="43"/>
      <c r="H85" s="43"/>
      <c r="I85" s="43"/>
      <c r="J85" s="48"/>
      <c r="K85" s="44"/>
      <c r="L85" s="45"/>
      <c r="M85" s="46"/>
      <c r="N85" s="47"/>
      <c r="O85" s="61"/>
      <c r="P85" s="61"/>
    </row>
    <row r="86" spans="3:16" x14ac:dyDescent="0.25">
      <c r="C86" s="41"/>
      <c r="D86" s="82"/>
      <c r="E86" s="16"/>
      <c r="F86" s="42"/>
      <c r="G86" s="43"/>
      <c r="H86" s="43"/>
      <c r="I86" s="43"/>
      <c r="J86" s="48"/>
      <c r="K86" s="44"/>
      <c r="L86" s="45"/>
      <c r="M86" s="46"/>
      <c r="N86" s="47"/>
      <c r="O86" s="61"/>
      <c r="P86" s="61"/>
    </row>
    <row r="87" spans="3:16" x14ac:dyDescent="0.25">
      <c r="C87" s="41"/>
      <c r="D87" s="82"/>
      <c r="E87" s="16"/>
      <c r="F87" s="42"/>
      <c r="G87" s="43"/>
      <c r="H87" s="43"/>
      <c r="I87" s="43"/>
      <c r="J87" s="48"/>
      <c r="K87" s="44"/>
      <c r="L87" s="45"/>
      <c r="M87" s="46"/>
      <c r="N87" s="47"/>
      <c r="O87" s="61"/>
      <c r="P87" s="61"/>
    </row>
    <row r="88" spans="3:16" x14ac:dyDescent="0.25">
      <c r="C88" s="41"/>
      <c r="D88" s="82"/>
      <c r="E88" s="16"/>
      <c r="F88" s="42"/>
      <c r="G88" s="43"/>
      <c r="H88" s="43"/>
      <c r="I88" s="43"/>
      <c r="J88" s="48"/>
      <c r="K88" s="44"/>
      <c r="L88" s="45"/>
      <c r="M88" s="46"/>
      <c r="N88" s="47"/>
      <c r="O88" s="61"/>
      <c r="P88" s="61"/>
    </row>
    <row r="89" spans="3:16" x14ac:dyDescent="0.25">
      <c r="C89" s="41"/>
      <c r="D89" s="82"/>
      <c r="E89" s="16"/>
      <c r="F89" s="42"/>
      <c r="G89" s="43"/>
      <c r="H89" s="43"/>
      <c r="I89" s="43"/>
      <c r="J89" s="48"/>
      <c r="K89" s="44"/>
      <c r="L89" s="45"/>
      <c r="M89" s="46"/>
      <c r="N89" s="47"/>
      <c r="O89" s="61"/>
      <c r="P89" s="61"/>
    </row>
    <row r="90" spans="3:16" x14ac:dyDescent="0.25">
      <c r="C90" s="41"/>
      <c r="D90" s="82"/>
      <c r="E90" s="16"/>
      <c r="F90" s="42"/>
      <c r="G90" s="43"/>
      <c r="H90" s="43"/>
      <c r="I90" s="43"/>
      <c r="J90" s="48"/>
      <c r="K90" s="44"/>
      <c r="L90" s="45"/>
      <c r="M90" s="46"/>
      <c r="N90" s="47"/>
      <c r="O90" s="61"/>
      <c r="P90" s="61"/>
    </row>
    <row r="91" spans="3:16" x14ac:dyDescent="0.25">
      <c r="C91" s="41"/>
      <c r="D91" s="82"/>
      <c r="E91" s="16"/>
      <c r="F91" s="42"/>
      <c r="G91" s="43"/>
      <c r="H91" s="43"/>
      <c r="I91" s="43"/>
      <c r="J91" s="48"/>
      <c r="K91" s="44"/>
      <c r="L91" s="45"/>
      <c r="M91" s="46"/>
      <c r="N91" s="47"/>
      <c r="O91" s="61"/>
      <c r="P91" s="61"/>
    </row>
    <row r="92" spans="3:16" x14ac:dyDescent="0.25">
      <c r="C92" s="41"/>
      <c r="D92" s="82"/>
      <c r="E92" s="16"/>
      <c r="F92" s="42"/>
      <c r="G92" s="43"/>
      <c r="H92" s="43"/>
      <c r="I92" s="43"/>
      <c r="J92" s="48"/>
      <c r="K92" s="44"/>
      <c r="L92" s="45"/>
      <c r="M92" s="46"/>
      <c r="N92" s="47"/>
      <c r="O92" s="61"/>
      <c r="P92" s="61"/>
    </row>
    <row r="93" spans="3:16" x14ac:dyDescent="0.25">
      <c r="C93" s="41"/>
      <c r="D93" s="82"/>
      <c r="E93" s="16"/>
      <c r="F93" s="42"/>
      <c r="G93" s="43"/>
      <c r="H93" s="43"/>
      <c r="I93" s="43"/>
      <c r="J93" s="48"/>
      <c r="K93" s="44"/>
      <c r="L93" s="45"/>
      <c r="M93" s="46"/>
      <c r="N93" s="47"/>
      <c r="O93" s="61"/>
      <c r="P93" s="61"/>
    </row>
    <row r="94" spans="3:16" x14ac:dyDescent="0.25">
      <c r="C94" s="41"/>
      <c r="D94" s="82"/>
      <c r="E94" s="16"/>
      <c r="F94" s="42"/>
      <c r="G94" s="43"/>
      <c r="H94" s="43"/>
      <c r="I94" s="43"/>
      <c r="J94" s="48"/>
      <c r="K94" s="44"/>
      <c r="L94" s="45"/>
      <c r="M94" s="46"/>
      <c r="N94" s="47"/>
      <c r="O94" s="61"/>
      <c r="P94" s="61"/>
    </row>
    <row r="95" spans="3:16" x14ac:dyDescent="0.25">
      <c r="C95" s="41"/>
      <c r="D95" s="82"/>
      <c r="E95" s="16"/>
      <c r="F95" s="42"/>
      <c r="G95" s="43"/>
      <c r="H95" s="43"/>
      <c r="I95" s="43"/>
      <c r="J95" s="48"/>
      <c r="K95" s="44"/>
      <c r="L95" s="45"/>
      <c r="M95" s="46"/>
      <c r="N95" s="47"/>
      <c r="O95" s="61"/>
      <c r="P95" s="61"/>
    </row>
    <row r="96" spans="3:16" x14ac:dyDescent="0.25">
      <c r="C96" s="41"/>
      <c r="D96" s="82"/>
      <c r="E96" s="16"/>
      <c r="F96" s="42"/>
      <c r="G96" s="43"/>
      <c r="H96" s="43"/>
      <c r="I96" s="43"/>
      <c r="J96" s="48"/>
      <c r="K96" s="44"/>
      <c r="L96" s="45"/>
      <c r="M96" s="46"/>
      <c r="N96" s="47"/>
      <c r="O96" s="61"/>
      <c r="P96" s="61"/>
    </row>
    <row r="97" spans="3:16" x14ac:dyDescent="0.25">
      <c r="C97" s="41"/>
      <c r="D97" s="82"/>
      <c r="E97" s="16"/>
      <c r="F97" s="42"/>
      <c r="G97" s="43"/>
      <c r="H97" s="43"/>
      <c r="I97" s="43"/>
      <c r="J97" s="48"/>
      <c r="K97" s="44"/>
      <c r="L97" s="45"/>
      <c r="M97" s="46"/>
      <c r="N97" s="47"/>
      <c r="O97" s="61"/>
      <c r="P97" s="61"/>
    </row>
    <row r="98" spans="3:16" x14ac:dyDescent="0.25">
      <c r="C98" s="41"/>
      <c r="D98" s="82"/>
      <c r="E98" s="16"/>
      <c r="F98" s="42"/>
      <c r="G98" s="43"/>
      <c r="H98" s="43"/>
      <c r="I98" s="43"/>
      <c r="J98" s="48"/>
      <c r="K98" s="44"/>
      <c r="L98" s="45"/>
      <c r="M98" s="46"/>
      <c r="N98" s="47"/>
      <c r="O98" s="61"/>
      <c r="P98" s="61"/>
    </row>
    <row r="99" spans="3:16" x14ac:dyDescent="0.25">
      <c r="C99" s="41"/>
      <c r="D99" s="82"/>
      <c r="E99" s="16"/>
      <c r="F99" s="42"/>
      <c r="G99" s="43"/>
      <c r="H99" s="43"/>
      <c r="I99" s="43"/>
      <c r="J99" s="48"/>
      <c r="K99" s="44"/>
      <c r="L99" s="45"/>
      <c r="M99" s="46"/>
      <c r="N99" s="47"/>
      <c r="O99" s="61"/>
      <c r="P99" s="61"/>
    </row>
    <row r="100" spans="3:16" x14ac:dyDescent="0.25">
      <c r="C100" s="41"/>
      <c r="D100" s="82"/>
      <c r="E100" s="16"/>
      <c r="F100" s="42"/>
      <c r="G100" s="43"/>
      <c r="H100" s="43"/>
      <c r="I100" s="43"/>
      <c r="J100" s="48"/>
      <c r="K100" s="44"/>
      <c r="L100" s="45"/>
      <c r="M100" s="46"/>
      <c r="N100" s="47"/>
      <c r="O100" s="61"/>
      <c r="P100" s="61"/>
    </row>
    <row r="101" spans="3:16" x14ac:dyDescent="0.25">
      <c r="C101" s="41"/>
      <c r="D101" s="82"/>
      <c r="E101" s="16"/>
      <c r="F101" s="42"/>
      <c r="G101" s="43"/>
      <c r="H101" s="43"/>
      <c r="I101" s="43"/>
      <c r="J101" s="48"/>
      <c r="K101" s="44"/>
      <c r="L101" s="45"/>
      <c r="M101" s="46"/>
      <c r="N101" s="47"/>
      <c r="O101" s="61"/>
      <c r="P101" s="61"/>
    </row>
    <row r="102" spans="3:16" x14ac:dyDescent="0.25">
      <c r="C102" s="41"/>
      <c r="D102" s="82"/>
      <c r="E102" s="16"/>
      <c r="F102" s="42"/>
      <c r="G102" s="43"/>
      <c r="H102" s="43"/>
      <c r="I102" s="43"/>
      <c r="J102" s="48"/>
      <c r="K102" s="44"/>
      <c r="L102" s="45"/>
      <c r="M102" s="46"/>
      <c r="N102" s="47"/>
      <c r="O102" s="61"/>
      <c r="P102" s="61"/>
    </row>
    <row r="103" spans="3:16" x14ac:dyDescent="0.25">
      <c r="C103" s="41"/>
      <c r="D103" s="82"/>
      <c r="E103" s="16"/>
      <c r="F103" s="42"/>
      <c r="G103" s="43"/>
      <c r="H103" s="43"/>
      <c r="I103" s="43"/>
      <c r="J103" s="48"/>
      <c r="K103" s="44"/>
      <c r="L103" s="45"/>
      <c r="M103" s="46"/>
      <c r="N103" s="47"/>
      <c r="O103" s="61"/>
      <c r="P103" s="61"/>
    </row>
    <row r="104" spans="3:16" x14ac:dyDescent="0.25">
      <c r="C104" s="41"/>
      <c r="D104" s="82"/>
      <c r="E104" s="16"/>
      <c r="F104" s="42"/>
      <c r="G104" s="43"/>
      <c r="H104" s="43"/>
      <c r="I104" s="43"/>
      <c r="J104" s="48"/>
      <c r="K104" s="44"/>
      <c r="L104" s="45"/>
      <c r="M104" s="46"/>
      <c r="N104" s="47"/>
      <c r="O104" s="61"/>
      <c r="P104" s="61"/>
    </row>
    <row r="105" spans="3:16" x14ac:dyDescent="0.25">
      <c r="C105" s="41"/>
      <c r="D105" s="82"/>
      <c r="E105" s="16"/>
      <c r="F105" s="42"/>
      <c r="G105" s="43"/>
      <c r="H105" s="43"/>
      <c r="I105" s="43"/>
      <c r="J105" s="48"/>
      <c r="K105" s="44"/>
      <c r="L105" s="45"/>
      <c r="M105" s="46"/>
      <c r="N105" s="47"/>
      <c r="O105" s="61"/>
      <c r="P105" s="61"/>
    </row>
    <row r="106" spans="3:16" x14ac:dyDescent="0.25">
      <c r="C106" s="41"/>
      <c r="D106" s="82"/>
      <c r="E106" s="16"/>
      <c r="F106" s="42"/>
      <c r="G106" s="43"/>
      <c r="H106" s="43"/>
      <c r="I106" s="43"/>
      <c r="J106" s="48"/>
      <c r="K106" s="44"/>
      <c r="L106" s="45"/>
      <c r="M106" s="46"/>
      <c r="N106" s="47"/>
      <c r="O106" s="61"/>
      <c r="P106" s="61"/>
    </row>
    <row r="107" spans="3:16" x14ac:dyDescent="0.25">
      <c r="C107" s="41"/>
      <c r="D107" s="82"/>
      <c r="E107" s="16"/>
      <c r="F107" s="42"/>
      <c r="G107" s="43"/>
      <c r="H107" s="43"/>
      <c r="I107" s="43"/>
      <c r="J107" s="48"/>
      <c r="K107" s="44"/>
      <c r="L107" s="45"/>
      <c r="M107" s="46"/>
      <c r="N107" s="47"/>
      <c r="O107" s="61"/>
      <c r="P107" s="61"/>
    </row>
    <row r="108" spans="3:16" x14ac:dyDescent="0.25">
      <c r="C108" s="41"/>
      <c r="D108" s="82"/>
      <c r="E108" s="16"/>
      <c r="F108" s="42"/>
      <c r="G108" s="43"/>
      <c r="H108" s="43"/>
      <c r="I108" s="43"/>
      <c r="J108" s="48"/>
      <c r="K108" s="44"/>
      <c r="L108" s="45"/>
      <c r="M108" s="46"/>
      <c r="N108" s="47"/>
      <c r="O108" s="61"/>
      <c r="P108" s="61"/>
    </row>
    <row r="109" spans="3:16" x14ac:dyDescent="0.25">
      <c r="C109" s="41"/>
      <c r="D109" s="82"/>
      <c r="E109" s="16"/>
      <c r="F109" s="42"/>
      <c r="G109" s="43"/>
      <c r="H109" s="43"/>
      <c r="I109" s="43"/>
      <c r="J109" s="48"/>
      <c r="K109" s="44"/>
      <c r="L109" s="45"/>
      <c r="M109" s="46"/>
      <c r="N109" s="47"/>
      <c r="O109" s="61"/>
      <c r="P109" s="61"/>
    </row>
    <row r="110" spans="3:16" x14ac:dyDescent="0.25">
      <c r="C110" s="41"/>
      <c r="D110" s="82"/>
      <c r="E110" s="16"/>
      <c r="F110" s="42"/>
      <c r="G110" s="43"/>
      <c r="H110" s="43"/>
      <c r="I110" s="43"/>
      <c r="J110" s="48"/>
      <c r="K110" s="44"/>
      <c r="L110" s="45"/>
      <c r="M110" s="46"/>
      <c r="N110" s="47"/>
      <c r="O110" s="61"/>
      <c r="P110" s="61"/>
    </row>
    <row r="111" spans="3:16" x14ac:dyDescent="0.25">
      <c r="C111" s="41"/>
      <c r="D111" s="82"/>
      <c r="E111" s="16"/>
      <c r="F111" s="42"/>
      <c r="G111" s="43"/>
      <c r="H111" s="43"/>
      <c r="I111" s="43"/>
      <c r="J111" s="48"/>
      <c r="K111" s="44"/>
      <c r="L111" s="45"/>
      <c r="M111" s="46"/>
      <c r="N111" s="47"/>
      <c r="O111" s="61"/>
      <c r="P111" s="61"/>
    </row>
    <row r="112" spans="3:16" x14ac:dyDescent="0.25">
      <c r="C112" s="41"/>
      <c r="D112" s="82"/>
      <c r="E112" s="16"/>
      <c r="F112" s="42"/>
      <c r="G112" s="43"/>
      <c r="H112" s="43"/>
      <c r="I112" s="43"/>
      <c r="J112" s="48"/>
      <c r="K112" s="44"/>
      <c r="L112" s="45"/>
      <c r="M112" s="46"/>
      <c r="N112" s="47"/>
      <c r="O112" s="61"/>
      <c r="P112" s="61"/>
    </row>
    <row r="113" spans="3:16" x14ac:dyDescent="0.25">
      <c r="C113" s="41"/>
      <c r="D113" s="82"/>
      <c r="E113" s="16"/>
      <c r="F113" s="42"/>
      <c r="G113" s="43"/>
      <c r="H113" s="43"/>
      <c r="I113" s="43"/>
      <c r="J113" s="48"/>
      <c r="K113" s="44"/>
      <c r="L113" s="45"/>
      <c r="M113" s="46"/>
      <c r="N113" s="47"/>
      <c r="O113" s="61"/>
      <c r="P113" s="61"/>
    </row>
    <row r="114" spans="3:16" x14ac:dyDescent="0.25">
      <c r="C114" s="41"/>
      <c r="D114" s="82"/>
      <c r="E114" s="16"/>
      <c r="F114" s="42"/>
      <c r="G114" s="43"/>
      <c r="H114" s="43"/>
      <c r="I114" s="43"/>
      <c r="J114" s="48"/>
      <c r="K114" s="44"/>
      <c r="L114" s="45"/>
      <c r="M114" s="46"/>
      <c r="N114" s="47"/>
      <c r="O114" s="61"/>
      <c r="P114" s="61"/>
    </row>
    <row r="115" spans="3:16" x14ac:dyDescent="0.25">
      <c r="C115" s="41"/>
      <c r="D115" s="82"/>
      <c r="E115" s="16"/>
      <c r="F115" s="42"/>
      <c r="G115" s="43"/>
      <c r="H115" s="43"/>
      <c r="I115" s="43"/>
      <c r="J115" s="48"/>
      <c r="K115" s="44"/>
      <c r="L115" s="45"/>
      <c r="M115" s="46"/>
      <c r="N115" s="47"/>
      <c r="O115" s="61"/>
      <c r="P115" s="61"/>
    </row>
    <row r="116" spans="3:16" x14ac:dyDescent="0.25">
      <c r="C116" s="41"/>
      <c r="D116" s="82"/>
      <c r="E116" s="16"/>
      <c r="F116" s="42"/>
      <c r="G116" s="43"/>
      <c r="H116" s="43"/>
      <c r="I116" s="43"/>
      <c r="J116" s="48"/>
      <c r="K116" s="44"/>
      <c r="L116" s="45"/>
      <c r="M116" s="46"/>
      <c r="N116" s="47"/>
      <c r="O116" s="61"/>
      <c r="P116" s="61"/>
    </row>
    <row r="117" spans="3:16" x14ac:dyDescent="0.25">
      <c r="C117" s="41"/>
      <c r="D117" s="82"/>
      <c r="E117" s="16"/>
      <c r="F117" s="42"/>
      <c r="G117" s="43"/>
      <c r="H117" s="43"/>
      <c r="I117" s="43"/>
      <c r="J117" s="48"/>
      <c r="K117" s="44"/>
      <c r="L117" s="45"/>
      <c r="M117" s="46"/>
      <c r="N117" s="47"/>
      <c r="O117" s="61"/>
      <c r="P117" s="61"/>
    </row>
    <row r="118" spans="3:16" x14ac:dyDescent="0.25">
      <c r="C118" s="41"/>
      <c r="D118" s="82"/>
      <c r="E118" s="16"/>
      <c r="F118" s="42"/>
      <c r="G118" s="43"/>
      <c r="H118" s="43"/>
      <c r="I118" s="43"/>
      <c r="J118" s="48"/>
      <c r="K118" s="44"/>
      <c r="L118" s="45"/>
      <c r="M118" s="46"/>
      <c r="N118" s="47"/>
      <c r="O118" s="61"/>
      <c r="P118" s="61"/>
    </row>
    <row r="119" spans="3:16" x14ac:dyDescent="0.25">
      <c r="C119" s="41"/>
      <c r="D119" s="82"/>
      <c r="E119" s="16"/>
      <c r="F119" s="42"/>
      <c r="G119" s="43"/>
      <c r="H119" s="43"/>
      <c r="I119" s="43"/>
      <c r="J119" s="48"/>
      <c r="K119" s="44"/>
      <c r="L119" s="45"/>
      <c r="M119" s="46"/>
      <c r="N119" s="47"/>
      <c r="O119" s="61"/>
      <c r="P119" s="61"/>
    </row>
    <row r="120" spans="3:16" x14ac:dyDescent="0.25">
      <c r="C120" s="41"/>
      <c r="D120" s="82"/>
      <c r="E120" s="16"/>
      <c r="F120" s="42"/>
      <c r="G120" s="43"/>
      <c r="H120" s="43"/>
      <c r="I120" s="43"/>
      <c r="J120" s="48"/>
      <c r="K120" s="44"/>
      <c r="L120" s="45"/>
      <c r="M120" s="46"/>
      <c r="N120" s="47"/>
      <c r="O120" s="61"/>
      <c r="P120" s="61"/>
    </row>
    <row r="121" spans="3:16" x14ac:dyDescent="0.25">
      <c r="C121" s="41"/>
      <c r="D121" s="82"/>
      <c r="E121" s="16"/>
      <c r="F121" s="42"/>
      <c r="G121" s="43"/>
      <c r="H121" s="43"/>
      <c r="I121" s="43"/>
      <c r="J121" s="48"/>
      <c r="K121" s="44"/>
      <c r="L121" s="45"/>
      <c r="M121" s="46"/>
      <c r="N121" s="47"/>
      <c r="O121" s="61"/>
      <c r="P121" s="61"/>
    </row>
    <row r="122" spans="3:16" x14ac:dyDescent="0.25">
      <c r="C122" s="41"/>
      <c r="D122" s="82"/>
      <c r="E122" s="16"/>
      <c r="F122" s="42"/>
      <c r="G122" s="43"/>
      <c r="H122" s="43"/>
      <c r="I122" s="43"/>
      <c r="J122" s="48"/>
      <c r="K122" s="44"/>
      <c r="L122" s="45"/>
      <c r="M122" s="46"/>
      <c r="N122" s="47"/>
      <c r="O122" s="61"/>
      <c r="P122" s="61"/>
    </row>
    <row r="123" spans="3:16" x14ac:dyDescent="0.25">
      <c r="C123" s="41"/>
      <c r="D123" s="82"/>
      <c r="E123" s="16"/>
      <c r="F123" s="42"/>
      <c r="G123" s="43"/>
      <c r="H123" s="43"/>
      <c r="I123" s="43"/>
      <c r="J123" s="48"/>
      <c r="K123" s="44"/>
      <c r="L123" s="45"/>
      <c r="M123" s="46"/>
      <c r="N123" s="47"/>
      <c r="O123" s="61"/>
      <c r="P123" s="61"/>
    </row>
    <row r="124" spans="3:16" x14ac:dyDescent="0.25">
      <c r="C124" s="41"/>
      <c r="D124" s="82"/>
      <c r="E124" s="16"/>
      <c r="F124" s="42"/>
      <c r="G124" s="43"/>
      <c r="H124" s="43"/>
      <c r="I124" s="43"/>
      <c r="J124" s="48"/>
      <c r="K124" s="44"/>
      <c r="L124" s="45"/>
      <c r="M124" s="46"/>
      <c r="N124" s="47"/>
      <c r="O124" s="61"/>
      <c r="P124" s="61"/>
    </row>
    <row r="125" spans="3:16" x14ac:dyDescent="0.25">
      <c r="C125" s="41"/>
      <c r="D125" s="82"/>
      <c r="E125" s="16"/>
      <c r="F125" s="42"/>
      <c r="G125" s="43"/>
      <c r="H125" s="43"/>
      <c r="I125" s="43"/>
      <c r="J125" s="48"/>
      <c r="K125" s="44"/>
      <c r="L125" s="45"/>
      <c r="M125" s="46"/>
      <c r="N125" s="47"/>
      <c r="O125" s="61"/>
      <c r="P125" s="61"/>
    </row>
    <row r="126" spans="3:16" x14ac:dyDescent="0.25">
      <c r="C126" s="41"/>
      <c r="D126" s="82"/>
      <c r="E126" s="16"/>
      <c r="F126" s="42"/>
      <c r="G126" s="43"/>
      <c r="H126" s="43"/>
      <c r="I126" s="43"/>
      <c r="J126" s="48"/>
      <c r="K126" s="44"/>
      <c r="L126" s="45"/>
      <c r="M126" s="46"/>
      <c r="N126" s="47"/>
      <c r="O126" s="61"/>
      <c r="P126" s="61"/>
    </row>
    <row r="127" spans="3:16" x14ac:dyDescent="0.25">
      <c r="C127" s="41"/>
      <c r="D127" s="82"/>
      <c r="E127" s="16"/>
      <c r="F127" s="42"/>
      <c r="G127" s="43"/>
      <c r="H127" s="43"/>
      <c r="I127" s="43"/>
      <c r="J127" s="48"/>
      <c r="K127" s="44"/>
      <c r="L127" s="45"/>
      <c r="M127" s="46"/>
      <c r="N127" s="47"/>
      <c r="O127" s="61"/>
      <c r="P127" s="61"/>
    </row>
    <row r="128" spans="3:16" x14ac:dyDescent="0.25">
      <c r="C128" s="41"/>
      <c r="D128" s="82"/>
      <c r="E128" s="16"/>
      <c r="F128" s="42"/>
      <c r="G128" s="43"/>
      <c r="H128" s="43"/>
      <c r="I128" s="43"/>
      <c r="J128" s="48"/>
      <c r="K128" s="44"/>
      <c r="L128" s="45"/>
      <c r="M128" s="46"/>
      <c r="N128" s="47"/>
      <c r="O128" s="61"/>
      <c r="P128" s="61"/>
    </row>
    <row r="129" spans="3:16" x14ac:dyDescent="0.25">
      <c r="C129" s="41"/>
      <c r="D129" s="82"/>
      <c r="E129" s="16"/>
      <c r="F129" s="42"/>
      <c r="G129" s="43"/>
      <c r="H129" s="43"/>
      <c r="I129" s="43"/>
      <c r="J129" s="48"/>
      <c r="K129" s="44"/>
      <c r="L129" s="45"/>
      <c r="M129" s="46"/>
      <c r="N129" s="47"/>
      <c r="O129" s="61"/>
      <c r="P129" s="61"/>
    </row>
    <row r="130" spans="3:16" x14ac:dyDescent="0.25">
      <c r="C130" s="41"/>
      <c r="D130" s="82"/>
      <c r="E130" s="16"/>
      <c r="F130" s="42"/>
      <c r="G130" s="43"/>
      <c r="H130" s="43"/>
      <c r="I130" s="43"/>
      <c r="J130" s="48"/>
      <c r="K130" s="44"/>
      <c r="L130" s="45"/>
      <c r="M130" s="46"/>
      <c r="N130" s="47"/>
      <c r="O130" s="61"/>
      <c r="P130" s="61"/>
    </row>
    <row r="131" spans="3:16" x14ac:dyDescent="0.25">
      <c r="C131" s="41"/>
      <c r="D131" s="82"/>
      <c r="E131" s="16"/>
      <c r="F131" s="42"/>
      <c r="G131" s="43"/>
      <c r="H131" s="43"/>
      <c r="I131" s="43"/>
      <c r="J131" s="48"/>
      <c r="K131" s="44"/>
      <c r="L131" s="45"/>
      <c r="M131" s="46"/>
      <c r="N131" s="47"/>
      <c r="O131" s="61"/>
      <c r="P131" s="61"/>
    </row>
    <row r="132" spans="3:16" x14ac:dyDescent="0.25">
      <c r="C132" s="41"/>
      <c r="D132" s="82"/>
      <c r="E132" s="16"/>
      <c r="F132" s="42"/>
      <c r="G132" s="43"/>
      <c r="H132" s="43"/>
      <c r="I132" s="43"/>
      <c r="J132" s="48"/>
      <c r="K132" s="44"/>
      <c r="L132" s="45"/>
      <c r="M132" s="46"/>
      <c r="N132" s="47"/>
      <c r="O132" s="61"/>
      <c r="P132" s="61"/>
    </row>
    <row r="133" spans="3:16" x14ac:dyDescent="0.25">
      <c r="C133" s="41"/>
      <c r="D133" s="82"/>
      <c r="E133" s="16"/>
      <c r="F133" s="42"/>
      <c r="G133" s="43"/>
      <c r="H133" s="43"/>
      <c r="I133" s="43"/>
      <c r="J133" s="48"/>
      <c r="K133" s="44"/>
      <c r="L133" s="45"/>
      <c r="M133" s="46"/>
      <c r="N133" s="47"/>
      <c r="O133" s="61"/>
      <c r="P133" s="61"/>
    </row>
    <row r="134" spans="3:16" x14ac:dyDescent="0.25">
      <c r="C134" s="41"/>
      <c r="D134" s="82"/>
      <c r="E134" s="16"/>
      <c r="F134" s="42"/>
      <c r="G134" s="43"/>
      <c r="H134" s="43"/>
      <c r="I134" s="43"/>
      <c r="J134" s="48"/>
      <c r="K134" s="44"/>
      <c r="L134" s="45"/>
      <c r="M134" s="46"/>
      <c r="N134" s="47"/>
      <c r="O134" s="61"/>
      <c r="P134" s="61"/>
    </row>
    <row r="135" spans="3:16" x14ac:dyDescent="0.25">
      <c r="C135" s="41"/>
      <c r="D135" s="82"/>
      <c r="E135" s="16"/>
      <c r="F135" s="42"/>
      <c r="G135" s="43"/>
      <c r="H135" s="43"/>
      <c r="I135" s="43"/>
      <c r="J135" s="48"/>
      <c r="K135" s="44"/>
      <c r="L135" s="45"/>
      <c r="M135" s="46"/>
      <c r="N135" s="47"/>
      <c r="O135" s="61"/>
      <c r="P135" s="61"/>
    </row>
    <row r="136" spans="3:16" x14ac:dyDescent="0.25">
      <c r="C136" s="41"/>
      <c r="D136" s="82"/>
      <c r="E136" s="16"/>
      <c r="F136" s="42"/>
      <c r="G136" s="43"/>
      <c r="H136" s="43"/>
      <c r="I136" s="43"/>
      <c r="J136" s="48"/>
      <c r="K136" s="44"/>
      <c r="L136" s="45"/>
      <c r="M136" s="46"/>
      <c r="N136" s="47"/>
      <c r="O136" s="61"/>
      <c r="P136" s="61"/>
    </row>
    <row r="137" spans="3:16" x14ac:dyDescent="0.25">
      <c r="C137" s="41"/>
      <c r="D137" s="82"/>
      <c r="E137" s="16"/>
      <c r="F137" s="42"/>
      <c r="G137" s="43"/>
      <c r="H137" s="43"/>
      <c r="I137" s="43"/>
      <c r="J137" s="48"/>
      <c r="K137" s="44"/>
      <c r="L137" s="45"/>
      <c r="M137" s="46"/>
      <c r="N137" s="47"/>
      <c r="O137" s="61"/>
      <c r="P137" s="61"/>
    </row>
    <row r="138" spans="3:16" x14ac:dyDescent="0.25">
      <c r="C138" s="41"/>
      <c r="D138" s="82"/>
      <c r="E138" s="16"/>
      <c r="F138" s="42"/>
      <c r="G138" s="43"/>
      <c r="H138" s="43"/>
      <c r="I138" s="43"/>
      <c r="J138" s="48"/>
      <c r="K138" s="44"/>
      <c r="L138" s="45"/>
      <c r="M138" s="46"/>
      <c r="N138" s="47"/>
      <c r="O138" s="61"/>
      <c r="P138" s="61"/>
    </row>
    <row r="139" spans="3:16" x14ac:dyDescent="0.25">
      <c r="C139" s="41"/>
      <c r="D139" s="82"/>
      <c r="E139" s="16"/>
      <c r="F139" s="42"/>
      <c r="G139" s="43"/>
      <c r="H139" s="43"/>
      <c r="I139" s="43"/>
      <c r="J139" s="48"/>
      <c r="K139" s="44"/>
      <c r="L139" s="45"/>
      <c r="M139" s="46"/>
      <c r="N139" s="47"/>
      <c r="O139" s="61"/>
      <c r="P139" s="61"/>
    </row>
    <row r="140" spans="3:16" x14ac:dyDescent="0.25">
      <c r="C140" s="41"/>
      <c r="D140" s="82"/>
      <c r="E140" s="16"/>
      <c r="F140" s="42"/>
      <c r="G140" s="43"/>
      <c r="H140" s="43"/>
      <c r="I140" s="43"/>
      <c r="J140" s="48"/>
      <c r="K140" s="44"/>
      <c r="L140" s="45"/>
      <c r="M140" s="46"/>
      <c r="N140" s="47"/>
      <c r="O140" s="61"/>
      <c r="P140" s="61"/>
    </row>
    <row r="141" spans="3:16" x14ac:dyDescent="0.25">
      <c r="C141" s="41"/>
      <c r="D141" s="82"/>
      <c r="E141" s="16"/>
      <c r="F141" s="42"/>
      <c r="G141" s="43"/>
      <c r="H141" s="43"/>
      <c r="I141" s="43"/>
      <c r="J141" s="48"/>
      <c r="K141" s="44"/>
      <c r="L141" s="45"/>
      <c r="M141" s="46"/>
      <c r="N141" s="47"/>
      <c r="O141" s="61"/>
      <c r="P141" s="61"/>
    </row>
    <row r="142" spans="3:16" x14ac:dyDescent="0.25">
      <c r="C142" s="41"/>
      <c r="D142" s="82"/>
      <c r="E142" s="16"/>
      <c r="F142" s="42"/>
      <c r="G142" s="43"/>
      <c r="H142" s="43"/>
      <c r="I142" s="43"/>
      <c r="J142" s="48"/>
      <c r="K142" s="44"/>
      <c r="L142" s="45"/>
      <c r="M142" s="46"/>
      <c r="N142" s="47"/>
      <c r="O142" s="61"/>
      <c r="P142" s="61"/>
    </row>
    <row r="143" spans="3:16" x14ac:dyDescent="0.25">
      <c r="C143" s="41"/>
      <c r="D143" s="82"/>
      <c r="E143" s="16"/>
      <c r="F143" s="42"/>
      <c r="G143" s="43"/>
      <c r="H143" s="43"/>
      <c r="I143" s="43"/>
      <c r="J143" s="48"/>
      <c r="K143" s="44"/>
      <c r="L143" s="45"/>
      <c r="M143" s="46"/>
      <c r="N143" s="47"/>
      <c r="O143" s="61"/>
      <c r="P143" s="61"/>
    </row>
    <row r="144" spans="3:16" x14ac:dyDescent="0.25">
      <c r="C144" s="41"/>
      <c r="D144" s="82"/>
      <c r="E144" s="16"/>
      <c r="F144" s="42"/>
      <c r="G144" s="43"/>
      <c r="H144" s="43"/>
      <c r="I144" s="43"/>
      <c r="J144" s="48"/>
      <c r="K144" s="44"/>
      <c r="L144" s="45"/>
      <c r="M144" s="46"/>
      <c r="N144" s="47"/>
      <c r="O144" s="61"/>
      <c r="P144" s="61"/>
    </row>
    <row r="145" spans="3:16" x14ac:dyDescent="0.25">
      <c r="C145" s="41"/>
      <c r="D145" s="82"/>
      <c r="E145" s="16"/>
      <c r="F145" s="42"/>
      <c r="G145" s="43"/>
      <c r="H145" s="43"/>
      <c r="I145" s="43"/>
      <c r="J145" s="48"/>
      <c r="K145" s="44"/>
      <c r="L145" s="45"/>
      <c r="M145" s="46"/>
      <c r="N145" s="47"/>
      <c r="O145" s="61"/>
      <c r="P145" s="61"/>
    </row>
    <row r="146" spans="3:16" x14ac:dyDescent="0.25">
      <c r="C146" s="41"/>
      <c r="D146" s="82"/>
      <c r="E146" s="16"/>
      <c r="F146" s="42"/>
      <c r="G146" s="43"/>
      <c r="H146" s="43"/>
      <c r="I146" s="43"/>
      <c r="J146" s="48"/>
      <c r="K146" s="44"/>
      <c r="L146" s="45"/>
      <c r="M146" s="46"/>
      <c r="N146" s="47"/>
      <c r="O146" s="61"/>
      <c r="P146" s="61"/>
    </row>
    <row r="147" spans="3:16" x14ac:dyDescent="0.25">
      <c r="C147" s="41"/>
      <c r="D147" s="82"/>
      <c r="E147" s="16"/>
      <c r="F147" s="42"/>
      <c r="G147" s="43"/>
      <c r="H147" s="43"/>
      <c r="I147" s="43"/>
      <c r="J147" s="48"/>
      <c r="K147" s="44"/>
      <c r="L147" s="45"/>
      <c r="M147" s="46"/>
      <c r="N147" s="47"/>
      <c r="O147" s="61"/>
      <c r="P147" s="61"/>
    </row>
    <row r="148" spans="3:16" x14ac:dyDescent="0.25">
      <c r="C148" s="41"/>
    </row>
    <row r="149" spans="3:16" x14ac:dyDescent="0.25">
      <c r="C149" s="41"/>
    </row>
    <row r="150" spans="3:16" x14ac:dyDescent="0.25">
      <c r="C150" s="41"/>
    </row>
    <row r="151" spans="3:16" x14ac:dyDescent="0.25">
      <c r="C151" s="41"/>
    </row>
    <row r="152" spans="3:16" x14ac:dyDescent="0.25">
      <c r="C152" s="41"/>
    </row>
    <row r="153" spans="3:16" x14ac:dyDescent="0.25">
      <c r="C153" s="41"/>
    </row>
    <row r="154" spans="3:16" x14ac:dyDescent="0.25">
      <c r="C154" s="41"/>
    </row>
    <row r="155" spans="3:16" x14ac:dyDescent="0.25">
      <c r="C155" s="41"/>
    </row>
    <row r="156" spans="3:16" x14ac:dyDescent="0.25">
      <c r="C156" s="41"/>
    </row>
    <row r="157" spans="3:16" x14ac:dyDescent="0.25">
      <c r="C157" s="41"/>
    </row>
    <row r="158" spans="3:16" x14ac:dyDescent="0.25">
      <c r="C158" s="41"/>
    </row>
    <row r="159" spans="3:16" x14ac:dyDescent="0.25">
      <c r="C159" s="41"/>
    </row>
    <row r="160" spans="3:16" x14ac:dyDescent="0.25">
      <c r="C160" s="41"/>
    </row>
    <row r="161" spans="3:3" x14ac:dyDescent="0.25">
      <c r="C161" s="41"/>
    </row>
    <row r="162" spans="3:3" x14ac:dyDescent="0.25">
      <c r="C162" s="41"/>
    </row>
    <row r="163" spans="3:3" x14ac:dyDescent="0.25">
      <c r="C163" s="41"/>
    </row>
    <row r="164" spans="3:3" x14ac:dyDescent="0.25">
      <c r="C164" s="41"/>
    </row>
    <row r="165" spans="3:3" x14ac:dyDescent="0.25">
      <c r="C165" s="41"/>
    </row>
    <row r="166" spans="3:3" x14ac:dyDescent="0.25">
      <c r="C166" s="41"/>
    </row>
    <row r="167" spans="3:3" x14ac:dyDescent="0.25">
      <c r="C167" s="41"/>
    </row>
    <row r="168" spans="3:3" x14ac:dyDescent="0.25">
      <c r="C168" s="41"/>
    </row>
    <row r="169" spans="3:3" x14ac:dyDescent="0.25">
      <c r="C169" s="41"/>
    </row>
    <row r="170" spans="3:3" x14ac:dyDescent="0.25">
      <c r="C170" s="41"/>
    </row>
    <row r="171" spans="3:3" x14ac:dyDescent="0.25">
      <c r="C171" s="41"/>
    </row>
    <row r="172" spans="3:3" x14ac:dyDescent="0.25">
      <c r="C172" s="41"/>
    </row>
    <row r="173" spans="3:3" x14ac:dyDescent="0.25">
      <c r="C173" s="41"/>
    </row>
    <row r="174" spans="3:3" x14ac:dyDescent="0.25">
      <c r="C174" s="41"/>
    </row>
    <row r="175" spans="3:3" x14ac:dyDescent="0.25">
      <c r="C175" s="41"/>
    </row>
    <row r="176" spans="3:3" x14ac:dyDescent="0.25">
      <c r="C176" s="41"/>
    </row>
    <row r="177" spans="3:3" x14ac:dyDescent="0.25">
      <c r="C177" s="41"/>
    </row>
    <row r="178" spans="3:3" x14ac:dyDescent="0.25">
      <c r="C178" s="41"/>
    </row>
    <row r="179" spans="3:3" x14ac:dyDescent="0.25">
      <c r="C179" s="41"/>
    </row>
    <row r="180" spans="3:3" x14ac:dyDescent="0.25">
      <c r="C180" s="41"/>
    </row>
    <row r="181" spans="3:3" x14ac:dyDescent="0.25">
      <c r="C181" s="41"/>
    </row>
    <row r="182" spans="3:3" x14ac:dyDescent="0.25">
      <c r="C182" s="41"/>
    </row>
    <row r="183" spans="3:3" x14ac:dyDescent="0.25">
      <c r="C183" s="41"/>
    </row>
    <row r="184" spans="3:3" x14ac:dyDescent="0.25">
      <c r="C184" s="41"/>
    </row>
    <row r="185" spans="3:3" x14ac:dyDescent="0.25">
      <c r="C185" s="41"/>
    </row>
    <row r="186" spans="3:3" x14ac:dyDescent="0.25">
      <c r="C186" s="41"/>
    </row>
    <row r="187" spans="3:3" x14ac:dyDescent="0.25">
      <c r="C187" s="41"/>
    </row>
    <row r="188" spans="3:3" x14ac:dyDescent="0.25">
      <c r="C188" s="41"/>
    </row>
    <row r="189" spans="3:3" x14ac:dyDescent="0.25">
      <c r="C189" s="41"/>
    </row>
    <row r="190" spans="3:3" x14ac:dyDescent="0.25">
      <c r="C190" s="41"/>
    </row>
    <row r="191" spans="3:3" x14ac:dyDescent="0.25">
      <c r="C191" s="41"/>
    </row>
  </sheetData>
  <mergeCells count="20">
    <mergeCell ref="C23:K23"/>
    <mergeCell ref="L23:M23"/>
    <mergeCell ref="N23:O23"/>
    <mergeCell ref="E28:F28"/>
    <mergeCell ref="C1:L1"/>
    <mergeCell ref="C2:L2"/>
    <mergeCell ref="C3:L3"/>
    <mergeCell ref="C4:L4"/>
    <mergeCell ref="C5:L5"/>
    <mergeCell ref="C21:E21"/>
    <mergeCell ref="E6:F6"/>
    <mergeCell ref="V16:W16"/>
    <mergeCell ref="Z16:AA16"/>
    <mergeCell ref="Z17:AA17"/>
    <mergeCell ref="V13:X13"/>
    <mergeCell ref="Z13:AB13"/>
    <mergeCell ref="V14:X14"/>
    <mergeCell ref="Z14:AB14"/>
    <mergeCell ref="V15:W15"/>
    <mergeCell ref="Z15:AA15"/>
  </mergeCells>
  <phoneticPr fontId="32" type="noConversion"/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C3734C-444D-4E08-BEC1-4C4D0828F3A4}">
          <x14:formula1>
            <xm:f>' Model Estimate'!$L$1:$Q$1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C720-F09B-4AAF-B881-496FAEAECEB3}">
  <dimension ref="A1:Q430"/>
  <sheetViews>
    <sheetView workbookViewId="0">
      <selection activeCell="A7" sqref="A7"/>
    </sheetView>
  </sheetViews>
  <sheetFormatPr defaultRowHeight="15" x14ac:dyDescent="0.25"/>
  <cols>
    <col min="1" max="1" width="11.42578125" style="144" bestFit="1" customWidth="1"/>
    <col min="2" max="2" width="12.140625" bestFit="1" customWidth="1"/>
    <col min="3" max="3" width="3.28515625" bestFit="1" customWidth="1"/>
    <col min="4" max="4" width="10.28515625" bestFit="1" customWidth="1"/>
    <col min="9" max="9" width="21.140625" bestFit="1" customWidth="1"/>
    <col min="10" max="10" width="8.7109375" bestFit="1" customWidth="1"/>
    <col min="12" max="14" width="11.42578125" bestFit="1" customWidth="1"/>
    <col min="15" max="15" width="25.28515625" bestFit="1" customWidth="1"/>
  </cols>
  <sheetData>
    <row r="1" spans="1:17" x14ac:dyDescent="0.25">
      <c r="L1" s="131" t="s">
        <v>50</v>
      </c>
      <c r="M1" s="131" t="s">
        <v>81</v>
      </c>
      <c r="N1" s="131" t="s">
        <v>82</v>
      </c>
      <c r="O1" s="131" t="s">
        <v>83</v>
      </c>
      <c r="P1" s="131" t="s">
        <v>84</v>
      </c>
      <c r="Q1" s="131" t="s">
        <v>85</v>
      </c>
    </row>
    <row r="2" spans="1:17" x14ac:dyDescent="0.25">
      <c r="B2" s="122" t="s">
        <v>116</v>
      </c>
      <c r="C2" s="122"/>
      <c r="D2" s="122"/>
      <c r="E2" s="122"/>
      <c r="F2" s="122"/>
      <c r="G2" s="122"/>
      <c r="H2" s="122"/>
      <c r="I2" s="122"/>
      <c r="J2" s="122"/>
      <c r="K2" s="122"/>
    </row>
    <row r="3" spans="1:17" x14ac:dyDescent="0.25">
      <c r="B3" s="122" t="s">
        <v>50</v>
      </c>
      <c r="C3" s="122"/>
      <c r="D3" s="122"/>
      <c r="E3" s="122"/>
      <c r="F3" s="122"/>
      <c r="G3" s="122"/>
      <c r="H3" s="122"/>
      <c r="I3" s="122"/>
      <c r="J3" s="122"/>
      <c r="K3" s="122"/>
    </row>
    <row r="4" spans="1:17" x14ac:dyDescent="0.25">
      <c r="B4" s="122" t="s">
        <v>119</v>
      </c>
      <c r="C4" s="122"/>
      <c r="D4" s="122"/>
      <c r="E4" s="122"/>
      <c r="F4" s="122"/>
      <c r="G4" s="122"/>
      <c r="H4" s="122"/>
      <c r="I4" s="122"/>
      <c r="J4" s="122"/>
      <c r="K4" s="122"/>
      <c r="M4" s="131" t="s">
        <v>50</v>
      </c>
      <c r="N4" s="123" t="s">
        <v>80</v>
      </c>
      <c r="O4" s="148" t="s">
        <v>127</v>
      </c>
    </row>
    <row r="5" spans="1:17" x14ac:dyDescent="0.25">
      <c r="B5" s="122"/>
      <c r="C5" s="122"/>
      <c r="D5" s="122"/>
      <c r="E5" s="122"/>
      <c r="F5" s="122"/>
      <c r="G5" s="122"/>
      <c r="H5" s="122"/>
      <c r="I5" s="122"/>
      <c r="J5" s="122"/>
      <c r="K5" s="122"/>
      <c r="M5" s="131" t="s">
        <v>81</v>
      </c>
      <c r="N5" s="123" t="s">
        <v>80</v>
      </c>
      <c r="O5" s="154" t="s">
        <v>128</v>
      </c>
    </row>
    <row r="6" spans="1:17" x14ac:dyDescent="0.25">
      <c r="B6" s="105" t="s">
        <v>31</v>
      </c>
      <c r="C6" s="104" t="s">
        <v>61</v>
      </c>
      <c r="D6" s="106" t="s">
        <v>62</v>
      </c>
      <c r="E6" s="106" t="s">
        <v>63</v>
      </c>
      <c r="F6" s="106" t="s">
        <v>64</v>
      </c>
      <c r="G6" s="106" t="s">
        <v>65</v>
      </c>
      <c r="H6" s="106" t="s">
        <v>66</v>
      </c>
      <c r="I6" s="192" t="s">
        <v>67</v>
      </c>
      <c r="J6" s="193"/>
      <c r="K6" s="122"/>
      <c r="M6" s="131" t="s">
        <v>82</v>
      </c>
      <c r="N6" s="123" t="s">
        <v>80</v>
      </c>
      <c r="O6" s="154" t="s">
        <v>129</v>
      </c>
    </row>
    <row r="7" spans="1:17" x14ac:dyDescent="0.25">
      <c r="A7" s="145" t="str">
        <f>_xlfn.CONCAT($B$3,B7)</f>
        <v>Model: M31Intercept</v>
      </c>
      <c r="B7" s="107" t="s">
        <v>34</v>
      </c>
      <c r="C7" s="108">
        <v>1</v>
      </c>
      <c r="D7" s="109">
        <v>-1.6691100000000001</v>
      </c>
      <c r="E7" s="109">
        <v>1.1753</v>
      </c>
      <c r="F7" s="109">
        <v>-1.42</v>
      </c>
      <c r="G7" s="110">
        <v>0.15709999999999999</v>
      </c>
      <c r="H7" s="109">
        <v>0</v>
      </c>
      <c r="I7" s="109">
        <v>-3.6110899999999999</v>
      </c>
      <c r="J7" s="111">
        <v>0.27285999999999999</v>
      </c>
      <c r="K7" s="135" t="e">
        <f>[8]QC!#REF!</f>
        <v>#REF!</v>
      </c>
      <c r="M7" s="131" t="s">
        <v>83</v>
      </c>
      <c r="N7" s="123" t="s">
        <v>80</v>
      </c>
      <c r="O7" s="154" t="s">
        <v>130</v>
      </c>
    </row>
    <row r="8" spans="1:17" x14ac:dyDescent="0.25">
      <c r="A8" s="145" t="str">
        <f t="shared" ref="A8:A13" si="0">_xlfn.CONCAT($B$3,B8)</f>
        <v>Model: M31NRx_pre1</v>
      </c>
      <c r="B8" s="112" t="s">
        <v>51</v>
      </c>
      <c r="C8" s="113">
        <v>1</v>
      </c>
      <c r="D8" s="114">
        <v>1.66567</v>
      </c>
      <c r="E8" s="114">
        <v>0.44061</v>
      </c>
      <c r="F8" s="114">
        <v>3.78</v>
      </c>
      <c r="G8" s="115">
        <v>2.0000000000000001E-4</v>
      </c>
      <c r="H8" s="114">
        <v>1.0367599999999999</v>
      </c>
      <c r="I8" s="114">
        <v>0.93764999999999998</v>
      </c>
      <c r="J8" s="116">
        <v>2.3936999999999999</v>
      </c>
      <c r="K8" s="122">
        <f>VLOOKUP(B8,[8]QC!$A$4:$B$55,2,0)</f>
        <v>224.267</v>
      </c>
      <c r="M8" s="131" t="s">
        <v>84</v>
      </c>
      <c r="N8" s="123" t="s">
        <v>80</v>
      </c>
      <c r="O8" s="154" t="s">
        <v>132</v>
      </c>
    </row>
    <row r="9" spans="1:17" x14ac:dyDescent="0.25">
      <c r="A9" s="145" t="str">
        <f t="shared" si="0"/>
        <v>Model: M31MNRx_pre</v>
      </c>
      <c r="B9" s="112" t="s">
        <v>48</v>
      </c>
      <c r="C9" s="113">
        <v>1</v>
      </c>
      <c r="D9" s="114">
        <v>6.7606999999999997E-4</v>
      </c>
      <c r="E9" s="114">
        <v>4.8734000000000001E-4</v>
      </c>
      <c r="F9" s="114">
        <v>1.39</v>
      </c>
      <c r="G9" s="115">
        <v>0.16689999999999999</v>
      </c>
      <c r="H9" s="114">
        <v>1.2811699999999999</v>
      </c>
      <c r="I9" s="114">
        <v>-1.2917000000000001E-4</v>
      </c>
      <c r="J9" s="116">
        <v>1.48E-3</v>
      </c>
      <c r="K9" s="122">
        <f>VLOOKUP(B9,[8]QC!$A$4:$B$55,2,0)</f>
        <v>195421037</v>
      </c>
      <c r="M9" s="131" t="s">
        <v>85</v>
      </c>
      <c r="N9" s="123" t="s">
        <v>80</v>
      </c>
      <c r="O9" s="154" t="s">
        <v>131</v>
      </c>
    </row>
    <row r="10" spans="1:17" x14ac:dyDescent="0.25">
      <c r="A10" s="145" t="str">
        <f t="shared" si="0"/>
        <v>Model: M31TOT_MMF</v>
      </c>
      <c r="B10" s="112" t="s">
        <v>49</v>
      </c>
      <c r="C10" s="113">
        <v>1</v>
      </c>
      <c r="D10" s="114">
        <v>5.6652800000000001</v>
      </c>
      <c r="E10" s="114">
        <v>2.58528</v>
      </c>
      <c r="F10" s="114">
        <v>2.19</v>
      </c>
      <c r="G10" s="115">
        <v>2.9600000000000001E-2</v>
      </c>
      <c r="H10" s="114">
        <v>1.0237700000000001</v>
      </c>
      <c r="I10" s="114">
        <v>1.39358</v>
      </c>
      <c r="J10" s="116">
        <v>9.9369899999999998</v>
      </c>
      <c r="K10" s="122">
        <f>VLOOKUP(B10,[8]QC!$A$4:$B$55,2,0)</f>
        <v>883</v>
      </c>
    </row>
    <row r="11" spans="1:17" x14ac:dyDescent="0.25">
      <c r="A11" s="145" t="str">
        <f t="shared" si="0"/>
        <v>Model: M31Samples_cur</v>
      </c>
      <c r="B11" s="112" t="s">
        <v>37</v>
      </c>
      <c r="C11" s="113">
        <v>1</v>
      </c>
      <c r="D11" s="114">
        <v>4.47E-3</v>
      </c>
      <c r="E11" s="114">
        <v>1.1999999999999999E-3</v>
      </c>
      <c r="F11" s="114">
        <v>3.73</v>
      </c>
      <c r="G11" s="115">
        <v>2.9999999999999997E-4</v>
      </c>
      <c r="H11" s="114">
        <v>1.6576299999999999</v>
      </c>
      <c r="I11" s="114">
        <v>2.49E-3</v>
      </c>
      <c r="J11" s="116">
        <v>6.45E-3</v>
      </c>
      <c r="K11" s="122">
        <f>VLOOKUP(B11,[8]QC!$A$4:$B$55,2,0)</f>
        <v>1773856</v>
      </c>
    </row>
    <row r="12" spans="1:17" x14ac:dyDescent="0.25">
      <c r="A12" s="145" t="str">
        <f t="shared" si="0"/>
        <v>Model: M31tot_det_cur</v>
      </c>
      <c r="B12" s="112" t="s">
        <v>36</v>
      </c>
      <c r="C12" s="113">
        <v>1</v>
      </c>
      <c r="D12" s="114">
        <v>2.683E-2</v>
      </c>
      <c r="E12" s="114">
        <v>6.0010000000000001E-2</v>
      </c>
      <c r="F12" s="114">
        <v>0.45</v>
      </c>
      <c r="G12" s="115">
        <v>0.65529999999999999</v>
      </c>
      <c r="H12" s="114">
        <v>1.6493</v>
      </c>
      <c r="I12" s="114">
        <v>-7.2330000000000005E-2</v>
      </c>
      <c r="J12" s="116">
        <v>0.12598999999999999</v>
      </c>
      <c r="K12" s="122">
        <f>VLOOKUP(B12,[8]QC!$A$4:$B$55,2,0)</f>
        <v>137960</v>
      </c>
    </row>
    <row r="13" spans="1:17" x14ac:dyDescent="0.25">
      <c r="A13" s="145" t="str">
        <f t="shared" si="0"/>
        <v>Model: M31VNRx_cur</v>
      </c>
      <c r="B13" s="117" t="s">
        <v>35</v>
      </c>
      <c r="C13" s="118">
        <v>1</v>
      </c>
      <c r="D13" s="119">
        <v>1.5404100000000001</v>
      </c>
      <c r="E13" s="119">
        <v>0.43217</v>
      </c>
      <c r="F13" s="119">
        <v>3.56</v>
      </c>
      <c r="G13" s="120">
        <v>5.0000000000000001E-4</v>
      </c>
      <c r="H13" s="119">
        <v>1.1006400000000001</v>
      </c>
      <c r="I13" s="119">
        <v>0.82633000000000001</v>
      </c>
      <c r="J13" s="121">
        <v>2.2545000000000002</v>
      </c>
      <c r="K13" s="122">
        <f>VLOOKUP(B13,[8]QC!$A$4:$B$55,2,0)</f>
        <v>336</v>
      </c>
    </row>
    <row r="14" spans="1:17" x14ac:dyDescent="0.25">
      <c r="B14" s="122"/>
      <c r="C14" s="122"/>
      <c r="D14" s="122"/>
      <c r="E14" s="122"/>
      <c r="F14" s="122"/>
      <c r="G14" s="122"/>
      <c r="H14" s="122"/>
      <c r="I14" s="122"/>
      <c r="J14" s="122"/>
      <c r="K14" s="122"/>
    </row>
    <row r="15" spans="1:17" x14ac:dyDescent="0.25">
      <c r="B15" s="122" t="s">
        <v>116</v>
      </c>
      <c r="C15" s="122"/>
      <c r="D15" s="122"/>
      <c r="E15" s="122"/>
      <c r="F15" s="122"/>
      <c r="G15" s="122"/>
      <c r="H15" s="122"/>
      <c r="I15" s="122"/>
      <c r="J15" s="122"/>
      <c r="K15" s="122"/>
    </row>
    <row r="16" spans="1:17" x14ac:dyDescent="0.25">
      <c r="B16" s="122" t="s">
        <v>81</v>
      </c>
      <c r="C16" s="122"/>
      <c r="D16" s="122"/>
      <c r="E16" s="122"/>
      <c r="F16" s="122"/>
      <c r="G16" s="122"/>
      <c r="H16" s="122"/>
      <c r="I16" s="122"/>
      <c r="J16" s="122"/>
      <c r="K16" s="122"/>
    </row>
    <row r="17" spans="1:11" x14ac:dyDescent="0.25">
      <c r="B17" s="122" t="s">
        <v>119</v>
      </c>
      <c r="C17" s="122"/>
      <c r="D17" s="122"/>
      <c r="E17" s="122"/>
      <c r="F17" s="122"/>
      <c r="G17" s="122"/>
      <c r="H17" s="122"/>
      <c r="I17" s="122"/>
      <c r="J17" s="122"/>
      <c r="K17" s="122"/>
    </row>
    <row r="18" spans="1:11" x14ac:dyDescent="0.25">
      <c r="B18" s="122"/>
      <c r="C18" s="122"/>
      <c r="D18" s="122"/>
      <c r="E18" s="122"/>
      <c r="F18" s="122"/>
      <c r="G18" s="122"/>
      <c r="H18" s="122"/>
      <c r="I18" s="122"/>
      <c r="J18" s="122"/>
      <c r="K18" s="122"/>
    </row>
    <row r="19" spans="1:11" x14ac:dyDescent="0.25">
      <c r="B19" s="107" t="s">
        <v>31</v>
      </c>
      <c r="C19" s="108" t="s">
        <v>61</v>
      </c>
      <c r="D19" s="125" t="s">
        <v>62</v>
      </c>
      <c r="E19" s="125" t="s">
        <v>63</v>
      </c>
      <c r="F19" s="125" t="s">
        <v>64</v>
      </c>
      <c r="G19" s="125" t="s">
        <v>65</v>
      </c>
      <c r="H19" s="125" t="s">
        <v>66</v>
      </c>
      <c r="I19" s="194" t="s">
        <v>67</v>
      </c>
      <c r="J19" s="195"/>
      <c r="K19" s="122"/>
    </row>
    <row r="20" spans="1:11" x14ac:dyDescent="0.25">
      <c r="A20" s="145" t="str">
        <f>_xlfn.CONCAT($B$16,B20)</f>
        <v>Model: M32Intercept</v>
      </c>
      <c r="B20" s="107" t="s">
        <v>34</v>
      </c>
      <c r="C20" s="125" t="s">
        <v>70</v>
      </c>
      <c r="D20" s="109">
        <v>-1.6691100000000001</v>
      </c>
      <c r="E20" s="109">
        <v>1.1753</v>
      </c>
      <c r="F20" s="109">
        <v>-1.42</v>
      </c>
      <c r="G20" s="110">
        <v>0.15709999999999999</v>
      </c>
      <c r="H20" s="109">
        <v>0</v>
      </c>
      <c r="I20" s="109">
        <v>-3.6110899999999999</v>
      </c>
      <c r="J20" s="111">
        <v>0.27285999999999999</v>
      </c>
      <c r="K20" s="122"/>
    </row>
    <row r="21" spans="1:11" x14ac:dyDescent="0.25">
      <c r="A21" s="145" t="str">
        <f t="shared" ref="A21:A27" si="1">_xlfn.CONCAT($B$16,B21)</f>
        <v>Model: M32NRx_pre1</v>
      </c>
      <c r="B21" s="112" t="s">
        <v>51</v>
      </c>
      <c r="C21" s="122">
        <v>1</v>
      </c>
      <c r="D21" s="114">
        <v>1.66567</v>
      </c>
      <c r="E21" s="114">
        <v>0.44061</v>
      </c>
      <c r="F21" s="114">
        <v>3.78</v>
      </c>
      <c r="G21" s="115">
        <v>2.0000000000000001E-4</v>
      </c>
      <c r="H21" s="114">
        <v>1.0367599999999999</v>
      </c>
      <c r="I21" s="114">
        <v>0.93764999999999998</v>
      </c>
      <c r="J21" s="116">
        <v>2.3936999999999999</v>
      </c>
      <c r="K21" s="122"/>
    </row>
    <row r="22" spans="1:11" x14ac:dyDescent="0.25">
      <c r="A22" s="145" t="str">
        <f t="shared" si="1"/>
        <v>Model: M32MNRx_pre</v>
      </c>
      <c r="B22" s="112" t="s">
        <v>48</v>
      </c>
      <c r="C22" s="122">
        <v>1</v>
      </c>
      <c r="D22" s="114">
        <v>6.7606999999999997E-4</v>
      </c>
      <c r="E22" s="114">
        <v>4.8734000000000001E-4</v>
      </c>
      <c r="F22" s="114">
        <v>1.39</v>
      </c>
      <c r="G22" s="115">
        <v>0.16689999999999999</v>
      </c>
      <c r="H22" s="114">
        <v>1.2811699999999999</v>
      </c>
      <c r="I22" s="114">
        <v>-1.2917000000000001E-4</v>
      </c>
      <c r="J22" s="116">
        <v>1.48E-3</v>
      </c>
      <c r="K22" s="122"/>
    </row>
    <row r="23" spans="1:11" x14ac:dyDescent="0.25">
      <c r="A23" s="145" t="str">
        <f t="shared" si="1"/>
        <v>Model: M32TOT_MMF</v>
      </c>
      <c r="B23" s="112" t="s">
        <v>49</v>
      </c>
      <c r="C23" s="122">
        <v>1</v>
      </c>
      <c r="D23" s="114">
        <v>5.6652800000000001</v>
      </c>
      <c r="E23" s="114">
        <v>2.58528</v>
      </c>
      <c r="F23" s="114">
        <v>2.19</v>
      </c>
      <c r="G23" s="115">
        <v>2.9600000000000001E-2</v>
      </c>
      <c r="H23" s="114">
        <v>1.0237700000000001</v>
      </c>
      <c r="I23" s="114">
        <v>1.39358</v>
      </c>
      <c r="J23" s="116">
        <v>9.9369899999999998</v>
      </c>
      <c r="K23" s="122"/>
    </row>
    <row r="24" spans="1:11" x14ac:dyDescent="0.25">
      <c r="A24" s="145" t="str">
        <f t="shared" si="1"/>
        <v>Model: M32Samples_cur</v>
      </c>
      <c r="B24" s="112" t="s">
        <v>37</v>
      </c>
      <c r="C24" s="122">
        <v>1</v>
      </c>
      <c r="D24" s="114">
        <v>4.47E-3</v>
      </c>
      <c r="E24" s="114">
        <v>1.1999999999999999E-3</v>
      </c>
      <c r="F24" s="114">
        <v>3.73</v>
      </c>
      <c r="G24" s="115">
        <v>2.9999999999999997E-4</v>
      </c>
      <c r="H24" s="114">
        <v>1.6576299999999999</v>
      </c>
      <c r="I24" s="114">
        <v>2.49E-3</v>
      </c>
      <c r="J24" s="116">
        <v>6.45E-3</v>
      </c>
      <c r="K24" s="122"/>
    </row>
    <row r="25" spans="1:11" x14ac:dyDescent="0.25">
      <c r="A25" s="145" t="str">
        <f t="shared" si="1"/>
        <v>Model: M32tot_det_cur</v>
      </c>
      <c r="B25" s="112" t="s">
        <v>36</v>
      </c>
      <c r="C25" s="122">
        <v>1</v>
      </c>
      <c r="D25" s="114">
        <v>2.683E-2</v>
      </c>
      <c r="E25" s="114">
        <v>6.0010000000000001E-2</v>
      </c>
      <c r="F25" s="114">
        <v>0.45</v>
      </c>
      <c r="G25" s="115">
        <v>0.65529999999999999</v>
      </c>
      <c r="H25" s="114">
        <v>1.6493</v>
      </c>
      <c r="I25" s="114">
        <v>-7.2330000000000005E-2</v>
      </c>
      <c r="J25" s="116">
        <v>0.12598999999999999</v>
      </c>
      <c r="K25" s="122"/>
    </row>
    <row r="26" spans="1:11" x14ac:dyDescent="0.25">
      <c r="A26" s="145" t="str">
        <f t="shared" si="1"/>
        <v>Model: M32VNRx_cur</v>
      </c>
      <c r="B26" s="112" t="s">
        <v>35</v>
      </c>
      <c r="C26" s="122">
        <v>1</v>
      </c>
      <c r="D26" s="114">
        <v>1.5404100000000001</v>
      </c>
      <c r="E26" s="114">
        <v>0.43217</v>
      </c>
      <c r="F26" s="114">
        <v>3.56</v>
      </c>
      <c r="G26" s="115">
        <v>5.0000000000000001E-4</v>
      </c>
      <c r="H26" s="114">
        <v>1.1006400000000001</v>
      </c>
      <c r="I26" s="114">
        <v>0.82633000000000001</v>
      </c>
      <c r="J26" s="116">
        <v>2.2545000000000002</v>
      </c>
      <c r="K26" s="122"/>
    </row>
    <row r="27" spans="1:11" x14ac:dyDescent="0.25">
      <c r="A27" s="145" t="str">
        <f t="shared" si="1"/>
        <v>Model: M32PCPIND</v>
      </c>
      <c r="B27" s="117" t="s">
        <v>71</v>
      </c>
      <c r="C27" s="126">
        <v>0</v>
      </c>
      <c r="D27" s="128">
        <v>0</v>
      </c>
      <c r="E27" s="128" t="s">
        <v>72</v>
      </c>
      <c r="F27" s="128" t="s">
        <v>72</v>
      </c>
      <c r="G27" s="138" t="s">
        <v>72</v>
      </c>
      <c r="H27" s="128" t="s">
        <v>72</v>
      </c>
      <c r="I27" s="128" t="s">
        <v>72</v>
      </c>
      <c r="J27" s="129" t="s">
        <v>72</v>
      </c>
      <c r="K27" s="122"/>
    </row>
    <row r="28" spans="1:11" x14ac:dyDescent="0.25">
      <c r="B28" s="122"/>
      <c r="C28" s="122"/>
      <c r="D28" s="122"/>
      <c r="E28" s="122"/>
      <c r="F28" s="122"/>
      <c r="G28" s="122"/>
      <c r="H28" s="122"/>
      <c r="I28" s="122"/>
      <c r="J28" s="122"/>
      <c r="K28" s="122"/>
    </row>
    <row r="29" spans="1:11" x14ac:dyDescent="0.25">
      <c r="B29" s="122" t="s">
        <v>116</v>
      </c>
      <c r="C29" s="122"/>
      <c r="D29" s="122"/>
      <c r="E29" s="122"/>
      <c r="F29" s="122"/>
      <c r="G29" s="122"/>
      <c r="H29" s="122"/>
      <c r="I29" s="122"/>
      <c r="J29" s="122"/>
      <c r="K29" s="122"/>
    </row>
    <row r="30" spans="1:11" x14ac:dyDescent="0.25">
      <c r="B30" s="122" t="s">
        <v>82</v>
      </c>
      <c r="C30" s="122"/>
      <c r="D30" s="122"/>
      <c r="E30" s="122"/>
      <c r="F30" s="122"/>
      <c r="G30" s="122"/>
      <c r="H30" s="122"/>
      <c r="I30" s="122"/>
      <c r="J30" s="122"/>
      <c r="K30" s="122"/>
    </row>
    <row r="31" spans="1:11" x14ac:dyDescent="0.25">
      <c r="B31" s="122" t="s">
        <v>119</v>
      </c>
      <c r="C31" s="122"/>
      <c r="D31" s="122"/>
      <c r="E31" s="122"/>
      <c r="F31" s="122"/>
      <c r="G31" s="122"/>
      <c r="H31" s="122"/>
      <c r="I31" s="122"/>
      <c r="J31" s="122"/>
      <c r="K31" s="122"/>
    </row>
    <row r="32" spans="1:11" x14ac:dyDescent="0.25">
      <c r="B32" s="122"/>
      <c r="C32" s="122"/>
      <c r="D32" s="122"/>
      <c r="E32" s="122"/>
      <c r="F32" s="122"/>
      <c r="G32" s="122"/>
      <c r="H32" s="122"/>
      <c r="I32" s="122"/>
      <c r="J32" s="122"/>
      <c r="K32" s="122"/>
    </row>
    <row r="33" spans="1:11" x14ac:dyDescent="0.25">
      <c r="B33" s="107" t="s">
        <v>31</v>
      </c>
      <c r="C33" s="108" t="s">
        <v>61</v>
      </c>
      <c r="D33" s="125" t="s">
        <v>62</v>
      </c>
      <c r="E33" s="125" t="s">
        <v>63</v>
      </c>
      <c r="F33" s="125" t="s">
        <v>64</v>
      </c>
      <c r="G33" s="125" t="s">
        <v>65</v>
      </c>
      <c r="H33" s="125" t="s">
        <v>66</v>
      </c>
      <c r="I33" s="194" t="s">
        <v>67</v>
      </c>
      <c r="J33" s="195"/>
      <c r="K33" s="122"/>
    </row>
    <row r="34" spans="1:11" x14ac:dyDescent="0.25">
      <c r="A34" s="145" t="str">
        <f>_xlfn.CONCAT($B$30,B34)</f>
        <v>Model: M33Intercept</v>
      </c>
      <c r="B34" s="107" t="s">
        <v>34</v>
      </c>
      <c r="C34" s="125">
        <v>1</v>
      </c>
      <c r="D34" s="109">
        <v>1.9972300000000001</v>
      </c>
      <c r="E34" s="109">
        <v>1.64283</v>
      </c>
      <c r="F34" s="109">
        <v>1.22</v>
      </c>
      <c r="G34" s="110">
        <v>0.22550000000000001</v>
      </c>
      <c r="H34" s="109">
        <v>0</v>
      </c>
      <c r="I34" s="109">
        <v>-0.71731999999999996</v>
      </c>
      <c r="J34" s="111">
        <v>4.7117800000000001</v>
      </c>
      <c r="K34" s="122"/>
    </row>
    <row r="35" spans="1:11" x14ac:dyDescent="0.25">
      <c r="A35" s="145" t="str">
        <f t="shared" ref="A35:A41" si="2">_xlfn.CONCAT($B$30,B35)</f>
        <v>Model: M33NRx_pre1</v>
      </c>
      <c r="B35" s="112" t="s">
        <v>51</v>
      </c>
      <c r="C35" s="122">
        <v>1</v>
      </c>
      <c r="D35" s="114">
        <v>1.6245000000000001</v>
      </c>
      <c r="E35" s="114">
        <v>0.43165999999999999</v>
      </c>
      <c r="F35" s="114">
        <v>3.76</v>
      </c>
      <c r="G35" s="115">
        <v>2.0000000000000001E-4</v>
      </c>
      <c r="H35" s="114">
        <v>1.03772</v>
      </c>
      <c r="I35" s="114">
        <v>0.91122999999999998</v>
      </c>
      <c r="J35" s="116">
        <v>2.3377599999999998</v>
      </c>
      <c r="K35" s="122"/>
    </row>
    <row r="36" spans="1:11" x14ac:dyDescent="0.25">
      <c r="A36" s="145" t="str">
        <f t="shared" si="2"/>
        <v>Model: M33MNRx_pre</v>
      </c>
      <c r="B36" s="112" t="s">
        <v>48</v>
      </c>
      <c r="C36" s="122">
        <v>1</v>
      </c>
      <c r="D36" s="114">
        <v>7.7289000000000004E-4</v>
      </c>
      <c r="E36" s="114">
        <v>4.7823000000000001E-4</v>
      </c>
      <c r="F36" s="114">
        <v>1.62</v>
      </c>
      <c r="G36" s="115">
        <v>0.1076</v>
      </c>
      <c r="H36" s="114">
        <v>1.2865599999999999</v>
      </c>
      <c r="I36" s="114">
        <v>-1.7309999999999999E-5</v>
      </c>
      <c r="J36" s="116">
        <v>1.56E-3</v>
      </c>
      <c r="K36" s="122"/>
    </row>
    <row r="37" spans="1:11" x14ac:dyDescent="0.25">
      <c r="A37" s="145" t="str">
        <f t="shared" si="2"/>
        <v>Model: M33TOT_MMF</v>
      </c>
      <c r="B37" s="112" t="s">
        <v>49</v>
      </c>
      <c r="C37" s="122">
        <v>1</v>
      </c>
      <c r="D37" s="114">
        <v>5.8147099999999998</v>
      </c>
      <c r="E37" s="114">
        <v>2.53207</v>
      </c>
      <c r="F37" s="114">
        <v>2.2999999999999998</v>
      </c>
      <c r="G37" s="115">
        <v>2.2700000000000001E-2</v>
      </c>
      <c r="H37" s="114">
        <v>1.0241400000000001</v>
      </c>
      <c r="I37" s="114">
        <v>1.6308199999999999</v>
      </c>
      <c r="J37" s="116">
        <v>9.9985999999999997</v>
      </c>
      <c r="K37" s="122"/>
    </row>
    <row r="38" spans="1:11" x14ac:dyDescent="0.25">
      <c r="A38" s="145" t="str">
        <f t="shared" si="2"/>
        <v>Model: M33Samples_cur</v>
      </c>
      <c r="B38" s="112" t="s">
        <v>37</v>
      </c>
      <c r="C38" s="122">
        <v>1</v>
      </c>
      <c r="D38" s="114">
        <v>4.5399999999999998E-3</v>
      </c>
      <c r="E38" s="114">
        <v>1.17E-3</v>
      </c>
      <c r="F38" s="114">
        <v>3.86</v>
      </c>
      <c r="G38" s="115">
        <v>2.0000000000000001E-4</v>
      </c>
      <c r="H38" s="114">
        <v>1.6581600000000001</v>
      </c>
      <c r="I38" s="114">
        <v>2.5999999999999999E-3</v>
      </c>
      <c r="J38" s="116">
        <v>6.4799999999999996E-3</v>
      </c>
      <c r="K38" s="122"/>
    </row>
    <row r="39" spans="1:11" x14ac:dyDescent="0.25">
      <c r="A39" s="145" t="str">
        <f t="shared" si="2"/>
        <v>Model: M33tot_det_cur</v>
      </c>
      <c r="B39" s="112" t="s">
        <v>36</v>
      </c>
      <c r="C39" s="122">
        <v>1</v>
      </c>
      <c r="D39" s="114">
        <v>3.2969999999999999E-2</v>
      </c>
      <c r="E39" s="114">
        <v>5.8799999999999998E-2</v>
      </c>
      <c r="F39" s="114">
        <v>0.56000000000000005</v>
      </c>
      <c r="G39" s="115">
        <v>0.5756</v>
      </c>
      <c r="H39" s="114">
        <v>1.6511400000000001</v>
      </c>
      <c r="I39" s="114">
        <v>-6.4189999999999997E-2</v>
      </c>
      <c r="J39" s="116">
        <v>0.13014000000000001</v>
      </c>
      <c r="K39" s="122"/>
    </row>
    <row r="40" spans="1:11" x14ac:dyDescent="0.25">
      <c r="A40" s="145" t="str">
        <f t="shared" si="2"/>
        <v>Model: M33VNRx_cur</v>
      </c>
      <c r="B40" s="112" t="s">
        <v>35</v>
      </c>
      <c r="C40" s="122">
        <v>1</v>
      </c>
      <c r="D40" s="135">
        <v>-2.2382</v>
      </c>
      <c r="E40" s="135">
        <v>1.2801800000000001</v>
      </c>
      <c r="F40" s="135">
        <v>-1.75</v>
      </c>
      <c r="G40" s="139">
        <v>8.1900000000000001E-2</v>
      </c>
      <c r="H40" s="135">
        <v>10.07155</v>
      </c>
      <c r="I40" s="135">
        <v>-4.35351</v>
      </c>
      <c r="J40" s="140">
        <v>-0.12288</v>
      </c>
      <c r="K40" s="122"/>
    </row>
    <row r="41" spans="1:11" x14ac:dyDescent="0.25">
      <c r="A41" s="145" t="str">
        <f t="shared" si="2"/>
        <v>Model: M33Vnrx_cur_sq</v>
      </c>
      <c r="B41" s="117" t="s">
        <v>42</v>
      </c>
      <c r="C41" s="126">
        <v>1</v>
      </c>
      <c r="D41" s="128">
        <v>0.43215999999999999</v>
      </c>
      <c r="E41" s="128">
        <v>0.13818</v>
      </c>
      <c r="F41" s="128">
        <v>3.13</v>
      </c>
      <c r="G41" s="141">
        <v>2E-3</v>
      </c>
      <c r="H41" s="128">
        <v>9.8587100000000003</v>
      </c>
      <c r="I41" s="128">
        <v>0.20383000000000001</v>
      </c>
      <c r="J41" s="129">
        <v>0.66049000000000002</v>
      </c>
      <c r="K41" s="122"/>
    </row>
    <row r="42" spans="1:11" x14ac:dyDescent="0.25">
      <c r="B42" s="122"/>
      <c r="C42" s="122"/>
      <c r="D42" s="122"/>
      <c r="E42" s="122"/>
      <c r="F42" s="122"/>
      <c r="G42" s="122"/>
      <c r="H42" s="122"/>
      <c r="I42" s="122"/>
      <c r="J42" s="122"/>
      <c r="K42" s="122"/>
    </row>
    <row r="43" spans="1:11" x14ac:dyDescent="0.25">
      <c r="B43" s="122"/>
      <c r="C43" s="122"/>
      <c r="D43" s="122"/>
      <c r="E43" s="122"/>
      <c r="F43" s="122"/>
      <c r="G43" s="122"/>
      <c r="H43" s="122"/>
      <c r="I43" s="122"/>
      <c r="J43" s="122"/>
      <c r="K43" s="122"/>
    </row>
    <row r="44" spans="1:11" x14ac:dyDescent="0.25">
      <c r="B44" s="122" t="s">
        <v>116</v>
      </c>
      <c r="C44" s="122"/>
      <c r="D44" s="122"/>
      <c r="E44" s="122"/>
      <c r="F44" s="122"/>
      <c r="G44" s="122"/>
      <c r="H44" s="122"/>
      <c r="I44" s="122"/>
      <c r="J44" s="122"/>
      <c r="K44" s="122"/>
    </row>
    <row r="45" spans="1:11" x14ac:dyDescent="0.25">
      <c r="B45" s="122" t="s">
        <v>83</v>
      </c>
      <c r="C45" s="122"/>
      <c r="D45" s="122"/>
      <c r="E45" s="122"/>
      <c r="F45" s="122"/>
      <c r="G45" s="122"/>
      <c r="H45" s="122"/>
      <c r="I45" s="122"/>
      <c r="J45" s="122"/>
      <c r="K45" s="122"/>
    </row>
    <row r="46" spans="1:11" x14ac:dyDescent="0.25">
      <c r="B46" s="122" t="s">
        <v>119</v>
      </c>
      <c r="C46" s="122"/>
      <c r="D46" s="122"/>
      <c r="E46" s="122"/>
      <c r="F46" s="122"/>
      <c r="G46" s="122"/>
      <c r="H46" s="122"/>
      <c r="I46" s="122"/>
      <c r="J46" s="122"/>
      <c r="K46" s="122"/>
    </row>
    <row r="47" spans="1:11" x14ac:dyDescent="0.25">
      <c r="B47" s="122"/>
      <c r="C47" s="122"/>
      <c r="D47" s="122"/>
      <c r="E47" s="122"/>
      <c r="F47" s="122"/>
      <c r="G47" s="122"/>
      <c r="H47" s="122"/>
      <c r="I47" s="122"/>
      <c r="J47" s="122"/>
      <c r="K47" s="122"/>
    </row>
    <row r="48" spans="1:11" x14ac:dyDescent="0.25">
      <c r="B48" s="107" t="s">
        <v>31</v>
      </c>
      <c r="C48" s="108" t="s">
        <v>61</v>
      </c>
      <c r="D48" s="125" t="s">
        <v>62</v>
      </c>
      <c r="E48" s="125" t="s">
        <v>63</v>
      </c>
      <c r="F48" s="125" t="s">
        <v>64</v>
      </c>
      <c r="G48" s="125" t="s">
        <v>65</v>
      </c>
      <c r="H48" s="125" t="s">
        <v>66</v>
      </c>
      <c r="I48" s="194" t="s">
        <v>67</v>
      </c>
      <c r="J48" s="195"/>
      <c r="K48" s="122"/>
    </row>
    <row r="49" spans="1:11" x14ac:dyDescent="0.25">
      <c r="A49" s="145" t="str">
        <f>_xlfn.CONCAT($B$45,B49)</f>
        <v>Model: M34Intercept</v>
      </c>
      <c r="B49" s="107" t="s">
        <v>34</v>
      </c>
      <c r="C49" s="125" t="s">
        <v>70</v>
      </c>
      <c r="D49" s="109">
        <v>1.9972300000000001</v>
      </c>
      <c r="E49" s="109">
        <v>1.64283</v>
      </c>
      <c r="F49" s="109">
        <v>1.22</v>
      </c>
      <c r="G49" s="110">
        <v>0.22550000000000001</v>
      </c>
      <c r="H49" s="109">
        <v>0</v>
      </c>
      <c r="I49" s="109">
        <v>-0.71731999999999996</v>
      </c>
      <c r="J49" s="111">
        <v>4.7117800000000001</v>
      </c>
      <c r="K49" s="122"/>
    </row>
    <row r="50" spans="1:11" x14ac:dyDescent="0.25">
      <c r="A50" s="145" t="str">
        <f t="shared" ref="A50:A57" si="3">_xlfn.CONCAT($B$45,B50)</f>
        <v>Model: M34NRx_pre1</v>
      </c>
      <c r="B50" s="112" t="s">
        <v>51</v>
      </c>
      <c r="C50" s="122">
        <v>1</v>
      </c>
      <c r="D50" s="114">
        <v>1.6245000000000001</v>
      </c>
      <c r="E50" s="114">
        <v>0.43165999999999999</v>
      </c>
      <c r="F50" s="114">
        <v>3.76</v>
      </c>
      <c r="G50" s="115">
        <v>2.0000000000000001E-4</v>
      </c>
      <c r="H50" s="114">
        <v>1.03772</v>
      </c>
      <c r="I50" s="114">
        <v>0.91122999999999998</v>
      </c>
      <c r="J50" s="116">
        <v>2.3377599999999998</v>
      </c>
      <c r="K50" s="122"/>
    </row>
    <row r="51" spans="1:11" x14ac:dyDescent="0.25">
      <c r="A51" s="145" t="str">
        <f t="shared" si="3"/>
        <v>Model: M34MNRx_pre</v>
      </c>
      <c r="B51" s="112" t="s">
        <v>48</v>
      </c>
      <c r="C51" s="122">
        <v>1</v>
      </c>
      <c r="D51" s="114">
        <v>7.7289000000000004E-4</v>
      </c>
      <c r="E51" s="114">
        <v>4.7823000000000001E-4</v>
      </c>
      <c r="F51" s="114">
        <v>1.62</v>
      </c>
      <c r="G51" s="115">
        <v>0.1076</v>
      </c>
      <c r="H51" s="114">
        <v>1.2865599999999999</v>
      </c>
      <c r="I51" s="114">
        <v>-1.7309999999999999E-5</v>
      </c>
      <c r="J51" s="116">
        <v>1.56E-3</v>
      </c>
      <c r="K51" s="122"/>
    </row>
    <row r="52" spans="1:11" x14ac:dyDescent="0.25">
      <c r="A52" s="145" t="str">
        <f t="shared" si="3"/>
        <v>Model: M34TOT_MMF</v>
      </c>
      <c r="B52" s="112" t="s">
        <v>49</v>
      </c>
      <c r="C52" s="122">
        <v>1</v>
      </c>
      <c r="D52" s="114">
        <v>5.8147099999999998</v>
      </c>
      <c r="E52" s="114">
        <v>2.53207</v>
      </c>
      <c r="F52" s="114">
        <v>2.2999999999999998</v>
      </c>
      <c r="G52" s="115">
        <v>2.2700000000000001E-2</v>
      </c>
      <c r="H52" s="114">
        <v>1.0241400000000001</v>
      </c>
      <c r="I52" s="114">
        <v>1.6308199999999999</v>
      </c>
      <c r="J52" s="116">
        <v>9.9985999999999997</v>
      </c>
      <c r="K52" s="122"/>
    </row>
    <row r="53" spans="1:11" x14ac:dyDescent="0.25">
      <c r="A53" s="145" t="str">
        <f t="shared" si="3"/>
        <v>Model: M34Samples_cur</v>
      </c>
      <c r="B53" s="112" t="s">
        <v>37</v>
      </c>
      <c r="C53" s="122">
        <v>1</v>
      </c>
      <c r="D53" s="114">
        <v>4.5399999999999998E-3</v>
      </c>
      <c r="E53" s="114">
        <v>1.17E-3</v>
      </c>
      <c r="F53" s="114">
        <v>3.86</v>
      </c>
      <c r="G53" s="115">
        <v>2.0000000000000001E-4</v>
      </c>
      <c r="H53" s="114">
        <v>1.6581600000000001</v>
      </c>
      <c r="I53" s="114">
        <v>2.5999999999999999E-3</v>
      </c>
      <c r="J53" s="116">
        <v>6.4799999999999996E-3</v>
      </c>
      <c r="K53" s="122"/>
    </row>
    <row r="54" spans="1:11" x14ac:dyDescent="0.25">
      <c r="A54" s="145" t="str">
        <f t="shared" si="3"/>
        <v>Model: M34tot_det_cur</v>
      </c>
      <c r="B54" s="112" t="s">
        <v>36</v>
      </c>
      <c r="C54" s="122">
        <v>1</v>
      </c>
      <c r="D54" s="114">
        <v>3.2969999999999999E-2</v>
      </c>
      <c r="E54" s="114">
        <v>5.8799999999999998E-2</v>
      </c>
      <c r="F54" s="114">
        <v>0.56000000000000005</v>
      </c>
      <c r="G54" s="115">
        <v>0.5756</v>
      </c>
      <c r="H54" s="114">
        <v>1.6511400000000001</v>
      </c>
      <c r="I54" s="114">
        <v>-6.4189999999999997E-2</v>
      </c>
      <c r="J54" s="116">
        <v>0.13014000000000001</v>
      </c>
      <c r="K54" s="122"/>
    </row>
    <row r="55" spans="1:11" x14ac:dyDescent="0.25">
      <c r="A55" s="145" t="str">
        <f t="shared" si="3"/>
        <v>Model: M34VNRx_cur</v>
      </c>
      <c r="B55" s="112" t="s">
        <v>35</v>
      </c>
      <c r="C55" s="122">
        <v>1</v>
      </c>
      <c r="D55" s="122">
        <v>-2.2382</v>
      </c>
      <c r="E55" s="122">
        <v>1.2801800000000001</v>
      </c>
      <c r="F55" s="122">
        <v>-1.75</v>
      </c>
      <c r="G55" s="122">
        <v>8.1900000000000001E-2</v>
      </c>
      <c r="H55" s="122">
        <v>10.07155</v>
      </c>
      <c r="I55" s="122">
        <v>-4.35351</v>
      </c>
      <c r="J55" s="113">
        <v>-0.12288</v>
      </c>
      <c r="K55" s="122"/>
    </row>
    <row r="56" spans="1:11" x14ac:dyDescent="0.25">
      <c r="A56" s="145" t="str">
        <f t="shared" si="3"/>
        <v>Model: M34Vnrx_cur_sq</v>
      </c>
      <c r="B56" s="112" t="s">
        <v>42</v>
      </c>
      <c r="C56" s="122">
        <v>1</v>
      </c>
      <c r="D56" s="122">
        <v>0.43215999999999999</v>
      </c>
      <c r="E56" s="122">
        <v>0.13818</v>
      </c>
      <c r="F56" s="122">
        <v>3.13</v>
      </c>
      <c r="G56" s="122">
        <v>2E-3</v>
      </c>
      <c r="H56" s="122">
        <v>9.8587100000000003</v>
      </c>
      <c r="I56" s="122">
        <v>0.20383000000000001</v>
      </c>
      <c r="J56" s="113">
        <v>0.66049000000000002</v>
      </c>
      <c r="K56" s="122"/>
    </row>
    <row r="57" spans="1:11" x14ac:dyDescent="0.25">
      <c r="A57" s="145" t="str">
        <f t="shared" si="3"/>
        <v>Model: M34PCPIND</v>
      </c>
      <c r="B57" s="117" t="s">
        <v>71</v>
      </c>
      <c r="C57" s="126">
        <v>0</v>
      </c>
      <c r="D57" s="126">
        <v>0</v>
      </c>
      <c r="E57" s="126" t="s">
        <v>72</v>
      </c>
      <c r="F57" s="126" t="s">
        <v>72</v>
      </c>
      <c r="G57" s="126" t="s">
        <v>72</v>
      </c>
      <c r="H57" s="126" t="s">
        <v>72</v>
      </c>
      <c r="I57" s="126" t="s">
        <v>72</v>
      </c>
      <c r="J57" s="118" t="s">
        <v>72</v>
      </c>
      <c r="K57" s="122"/>
    </row>
    <row r="58" spans="1:11" x14ac:dyDescent="0.25">
      <c r="B58" s="122"/>
      <c r="C58" s="122"/>
      <c r="D58" s="122"/>
      <c r="E58" s="122"/>
      <c r="F58" s="122"/>
      <c r="G58" s="122"/>
      <c r="H58" s="122"/>
      <c r="I58" s="122"/>
      <c r="J58" s="122"/>
      <c r="K58" s="122"/>
    </row>
    <row r="59" spans="1:11" x14ac:dyDescent="0.25">
      <c r="B59" s="122" t="s">
        <v>116</v>
      </c>
      <c r="C59" s="122"/>
      <c r="D59" s="122"/>
      <c r="E59" s="122"/>
      <c r="F59" s="122"/>
      <c r="G59" s="122"/>
      <c r="H59" s="122"/>
      <c r="I59" s="122"/>
      <c r="J59" s="122"/>
      <c r="K59" s="122"/>
    </row>
    <row r="60" spans="1:11" x14ac:dyDescent="0.25">
      <c r="B60" s="122" t="s">
        <v>84</v>
      </c>
      <c r="C60" s="122"/>
      <c r="D60" s="122"/>
      <c r="E60" s="122"/>
      <c r="F60" s="122"/>
      <c r="G60" s="122"/>
      <c r="H60" s="122"/>
      <c r="I60" s="122"/>
      <c r="J60" s="122"/>
      <c r="K60" s="122"/>
    </row>
    <row r="61" spans="1:11" x14ac:dyDescent="0.25">
      <c r="B61" s="122" t="s">
        <v>120</v>
      </c>
      <c r="C61" s="122"/>
      <c r="D61" s="122"/>
      <c r="E61" s="122"/>
      <c r="F61" s="122"/>
      <c r="G61" s="122"/>
      <c r="H61" s="122"/>
      <c r="I61" s="122"/>
      <c r="J61" s="122"/>
      <c r="K61" s="122"/>
    </row>
    <row r="62" spans="1:11" x14ac:dyDescent="0.25">
      <c r="B62" s="122"/>
      <c r="C62" s="122"/>
      <c r="D62" s="122"/>
      <c r="E62" s="122"/>
      <c r="F62" s="122"/>
      <c r="G62" s="122"/>
      <c r="H62" s="122"/>
      <c r="I62" s="122"/>
      <c r="J62" s="122"/>
      <c r="K62" s="122"/>
    </row>
    <row r="63" spans="1:11" x14ac:dyDescent="0.25">
      <c r="B63" s="105" t="s">
        <v>31</v>
      </c>
      <c r="C63" s="104" t="s">
        <v>61</v>
      </c>
      <c r="D63" s="106" t="s">
        <v>62</v>
      </c>
      <c r="E63" s="106" t="s">
        <v>63</v>
      </c>
      <c r="F63" s="106" t="s">
        <v>64</v>
      </c>
      <c r="G63" s="106" t="s">
        <v>65</v>
      </c>
      <c r="H63" s="106" t="s">
        <v>66</v>
      </c>
      <c r="I63" s="192" t="s">
        <v>67</v>
      </c>
      <c r="J63" s="193"/>
      <c r="K63" s="122"/>
    </row>
    <row r="64" spans="1:11" x14ac:dyDescent="0.25">
      <c r="A64" s="145" t="str">
        <f>_xlfn.CONCAT($B$60,B64)</f>
        <v>Model: M35Intercept</v>
      </c>
      <c r="B64" s="107" t="s">
        <v>34</v>
      </c>
      <c r="C64" s="108">
        <v>1</v>
      </c>
      <c r="D64" s="109">
        <v>-3.7384400000000002</v>
      </c>
      <c r="E64" s="109">
        <v>1.75678</v>
      </c>
      <c r="F64" s="109">
        <v>-2.13</v>
      </c>
      <c r="G64" s="110">
        <v>3.4500000000000003E-2</v>
      </c>
      <c r="H64" s="109">
        <v>0</v>
      </c>
      <c r="I64" s="109">
        <v>-6.6412000000000004</v>
      </c>
      <c r="J64" s="111">
        <v>-0.83567999999999998</v>
      </c>
      <c r="K64" s="122"/>
    </row>
    <row r="65" spans="1:11" x14ac:dyDescent="0.25">
      <c r="A65" s="145" t="str">
        <f t="shared" ref="A65:A70" si="4">_xlfn.CONCAT($B$60,B65)</f>
        <v>Model: M35NRx_pre1</v>
      </c>
      <c r="B65" s="112" t="s">
        <v>51</v>
      </c>
      <c r="C65" s="113">
        <v>1</v>
      </c>
      <c r="D65" s="114">
        <v>1.6501399999999999</v>
      </c>
      <c r="E65" s="114">
        <v>0.44546999999999998</v>
      </c>
      <c r="F65" s="114">
        <v>3.7</v>
      </c>
      <c r="G65" s="115">
        <v>2.9999999999999997E-4</v>
      </c>
      <c r="H65" s="114">
        <v>1.03742</v>
      </c>
      <c r="I65" s="114">
        <v>0.91407000000000005</v>
      </c>
      <c r="J65" s="116">
        <v>2.3862000000000001</v>
      </c>
      <c r="K65" s="122"/>
    </row>
    <row r="66" spans="1:11" x14ac:dyDescent="0.25">
      <c r="A66" s="145" t="str">
        <f t="shared" si="4"/>
        <v>Model: M35MNRx_pre</v>
      </c>
      <c r="B66" s="112" t="s">
        <v>48</v>
      </c>
      <c r="C66" s="113">
        <v>1</v>
      </c>
      <c r="D66" s="114">
        <v>6.1136000000000003E-4</v>
      </c>
      <c r="E66" s="114">
        <v>4.9158999999999997E-4</v>
      </c>
      <c r="F66" s="114">
        <v>1.24</v>
      </c>
      <c r="G66" s="115">
        <v>0.21510000000000001</v>
      </c>
      <c r="H66" s="114">
        <v>1.2761199999999999</v>
      </c>
      <c r="I66" s="114">
        <v>-2.009E-4</v>
      </c>
      <c r="J66" s="116">
        <v>1.42E-3</v>
      </c>
      <c r="K66" s="122"/>
    </row>
    <row r="67" spans="1:11" x14ac:dyDescent="0.25">
      <c r="A67" s="145" t="str">
        <f t="shared" si="4"/>
        <v>Model: M35TOT_MMF</v>
      </c>
      <c r="B67" s="112" t="s">
        <v>49</v>
      </c>
      <c r="C67" s="113">
        <v>1</v>
      </c>
      <c r="D67" s="114">
        <v>5.5748499999999996</v>
      </c>
      <c r="E67" s="114">
        <v>2.6127199999999999</v>
      </c>
      <c r="F67" s="114">
        <v>2.13</v>
      </c>
      <c r="G67" s="115">
        <v>3.4099999999999998E-2</v>
      </c>
      <c r="H67" s="114">
        <v>1.0235700000000001</v>
      </c>
      <c r="I67" s="114">
        <v>1.2578</v>
      </c>
      <c r="J67" s="116">
        <v>9.8918999999999997</v>
      </c>
      <c r="K67" s="122"/>
    </row>
    <row r="68" spans="1:11" x14ac:dyDescent="0.25">
      <c r="A68" s="145" t="str">
        <f t="shared" si="4"/>
        <v>Model: M35Samples_cur</v>
      </c>
      <c r="B68" s="112" t="s">
        <v>37</v>
      </c>
      <c r="C68" s="113">
        <v>1</v>
      </c>
      <c r="D68" s="114">
        <v>4.6299999999999996E-3</v>
      </c>
      <c r="E68" s="114">
        <v>1.2099999999999999E-3</v>
      </c>
      <c r="F68" s="114">
        <v>3.83</v>
      </c>
      <c r="G68" s="115">
        <v>2.0000000000000001E-4</v>
      </c>
      <c r="H68" s="114">
        <v>1.65313</v>
      </c>
      <c r="I68" s="114">
        <v>2.63E-3</v>
      </c>
      <c r="J68" s="116">
        <v>6.6299999999999996E-3</v>
      </c>
      <c r="K68" s="122"/>
    </row>
    <row r="69" spans="1:11" x14ac:dyDescent="0.25">
      <c r="A69" s="145" t="str">
        <f t="shared" si="4"/>
        <v>Model: M35tot_det_cur</v>
      </c>
      <c r="B69" s="112" t="s">
        <v>36</v>
      </c>
      <c r="C69" s="113">
        <v>1</v>
      </c>
      <c r="D69" s="114">
        <v>3.1620000000000002E-2</v>
      </c>
      <c r="E69" s="114">
        <v>6.0729999999999999E-2</v>
      </c>
      <c r="F69" s="114">
        <v>0.52</v>
      </c>
      <c r="G69" s="115">
        <v>0.60309999999999997</v>
      </c>
      <c r="H69" s="114">
        <v>1.6531100000000001</v>
      </c>
      <c r="I69" s="114">
        <v>-6.8720000000000003E-2</v>
      </c>
      <c r="J69" s="116">
        <v>0.13195999999999999</v>
      </c>
      <c r="K69" s="122"/>
    </row>
    <row r="70" spans="1:11" x14ac:dyDescent="0.25">
      <c r="A70" s="145" t="str">
        <f t="shared" si="4"/>
        <v>Model: M35Vnrx_cur_LN</v>
      </c>
      <c r="B70" s="117" t="s">
        <v>117</v>
      </c>
      <c r="C70" s="118">
        <v>1</v>
      </c>
      <c r="D70" s="119">
        <v>5.1776400000000002</v>
      </c>
      <c r="E70" s="119">
        <v>1.8178399999999999</v>
      </c>
      <c r="F70" s="119">
        <v>2.85</v>
      </c>
      <c r="G70" s="120">
        <v>4.7999999999999996E-3</v>
      </c>
      <c r="H70" s="119">
        <v>1.1036300000000001</v>
      </c>
      <c r="I70" s="119">
        <v>2.1739799999999998</v>
      </c>
      <c r="J70" s="121">
        <v>8.1812900000000006</v>
      </c>
      <c r="K70" s="122"/>
    </row>
    <row r="71" spans="1:11" x14ac:dyDescent="0.25">
      <c r="B71" s="122"/>
      <c r="C71" s="122"/>
      <c r="D71" s="122"/>
      <c r="E71" s="122"/>
      <c r="F71" s="122"/>
      <c r="G71" s="122"/>
      <c r="H71" s="122"/>
      <c r="I71" s="122"/>
      <c r="J71" s="122"/>
      <c r="K71" s="122"/>
    </row>
    <row r="72" spans="1:11" x14ac:dyDescent="0.25">
      <c r="B72" s="122" t="s">
        <v>116</v>
      </c>
      <c r="C72" s="122"/>
      <c r="D72" s="122"/>
      <c r="E72" s="122"/>
      <c r="F72" s="122"/>
      <c r="G72" s="122"/>
      <c r="H72" s="122"/>
      <c r="I72" s="122"/>
      <c r="J72" s="122"/>
      <c r="K72" s="122"/>
    </row>
    <row r="73" spans="1:11" x14ac:dyDescent="0.25">
      <c r="B73" s="122" t="s">
        <v>85</v>
      </c>
      <c r="C73" s="122"/>
      <c r="D73" s="122"/>
      <c r="E73" s="122"/>
      <c r="F73" s="122"/>
      <c r="G73" s="122"/>
      <c r="H73" s="122"/>
      <c r="I73" s="122"/>
      <c r="J73" s="122"/>
      <c r="K73" s="122"/>
    </row>
    <row r="74" spans="1:11" x14ac:dyDescent="0.25">
      <c r="B74" s="122" t="s">
        <v>120</v>
      </c>
      <c r="C74" s="122"/>
      <c r="D74" s="122"/>
      <c r="E74" s="122"/>
      <c r="F74" s="122"/>
      <c r="G74" s="122"/>
      <c r="H74" s="122"/>
      <c r="I74" s="122"/>
      <c r="J74" s="122"/>
      <c r="K74" s="122"/>
    </row>
    <row r="75" spans="1:11" x14ac:dyDescent="0.25">
      <c r="B75" s="122"/>
      <c r="C75" s="122"/>
      <c r="D75" s="122"/>
      <c r="E75" s="122"/>
      <c r="F75" s="122"/>
      <c r="G75" s="122"/>
      <c r="H75" s="122"/>
      <c r="I75" s="122"/>
      <c r="J75" s="122"/>
      <c r="K75" s="122"/>
    </row>
    <row r="76" spans="1:11" x14ac:dyDescent="0.25">
      <c r="B76" s="105" t="s">
        <v>31</v>
      </c>
      <c r="C76" s="104" t="s">
        <v>61</v>
      </c>
      <c r="D76" s="106" t="s">
        <v>62</v>
      </c>
      <c r="E76" s="106" t="s">
        <v>63</v>
      </c>
      <c r="F76" s="106" t="s">
        <v>64</v>
      </c>
      <c r="G76" s="106" t="s">
        <v>65</v>
      </c>
      <c r="H76" s="106" t="s">
        <v>66</v>
      </c>
      <c r="I76" s="192" t="s">
        <v>67</v>
      </c>
      <c r="J76" s="193"/>
      <c r="K76" s="122"/>
    </row>
    <row r="77" spans="1:11" x14ac:dyDescent="0.25">
      <c r="A77" s="145" t="str">
        <f>_xlfn.CONCAT($B$73,B77)</f>
        <v>Model: M36Intercept</v>
      </c>
      <c r="B77" s="107" t="s">
        <v>34</v>
      </c>
      <c r="C77" s="108">
        <v>1</v>
      </c>
      <c r="D77" s="109">
        <v>-4.9762500000000003</v>
      </c>
      <c r="E77" s="109">
        <v>1.9951099999999999</v>
      </c>
      <c r="F77" s="109">
        <v>-2.4900000000000002</v>
      </c>
      <c r="G77" s="110">
        <v>1.34E-2</v>
      </c>
      <c r="H77" s="109">
        <v>0</v>
      </c>
      <c r="I77" s="109">
        <v>-8.2728099999999998</v>
      </c>
      <c r="J77" s="111">
        <v>-1.6796800000000001</v>
      </c>
      <c r="K77" s="122"/>
    </row>
    <row r="78" spans="1:11" x14ac:dyDescent="0.25">
      <c r="A78" s="145" t="str">
        <f t="shared" ref="A78:A83" si="5">_xlfn.CONCAT($B$73,B78)</f>
        <v>Model: M36NRx_pre1</v>
      </c>
      <c r="B78" s="112" t="s">
        <v>51</v>
      </c>
      <c r="C78" s="113">
        <v>1</v>
      </c>
      <c r="D78" s="114">
        <v>1.6567400000000001</v>
      </c>
      <c r="E78" s="114">
        <v>0.44395000000000001</v>
      </c>
      <c r="F78" s="114">
        <v>3.73</v>
      </c>
      <c r="G78" s="115">
        <v>2.0000000000000001E-4</v>
      </c>
      <c r="H78" s="114">
        <v>1.0373000000000001</v>
      </c>
      <c r="I78" s="114">
        <v>0.92318</v>
      </c>
      <c r="J78" s="116">
        <v>2.3902899999999998</v>
      </c>
      <c r="K78" s="122"/>
    </row>
    <row r="79" spans="1:11" x14ac:dyDescent="0.25">
      <c r="A79" s="145" t="str">
        <f t="shared" si="5"/>
        <v>Model: M36MNRx_pre</v>
      </c>
      <c r="B79" s="112" t="s">
        <v>48</v>
      </c>
      <c r="C79" s="113">
        <v>1</v>
      </c>
      <c r="D79" s="114">
        <v>6.3179999999999996E-4</v>
      </c>
      <c r="E79" s="114">
        <v>4.9023999999999997E-4</v>
      </c>
      <c r="F79" s="114">
        <v>1.29</v>
      </c>
      <c r="G79" s="115">
        <v>0.19889999999999999</v>
      </c>
      <c r="H79" s="114">
        <v>1.2777099999999999</v>
      </c>
      <c r="I79" s="114">
        <v>-1.7825E-4</v>
      </c>
      <c r="J79" s="116">
        <v>1.4400000000000001E-3</v>
      </c>
      <c r="K79" s="122"/>
    </row>
    <row r="80" spans="1:11" x14ac:dyDescent="0.25">
      <c r="A80" s="145" t="str">
        <f t="shared" si="5"/>
        <v>Model: M36TOT_MMF</v>
      </c>
      <c r="B80" s="112" t="s">
        <v>49</v>
      </c>
      <c r="C80" s="113">
        <v>1</v>
      </c>
      <c r="D80" s="114">
        <v>5.6061899999999998</v>
      </c>
      <c r="E80" s="114">
        <v>2.6040700000000001</v>
      </c>
      <c r="F80" s="114">
        <v>2.15</v>
      </c>
      <c r="G80" s="115">
        <v>3.2500000000000001E-2</v>
      </c>
      <c r="H80" s="114">
        <v>1.0236499999999999</v>
      </c>
      <c r="I80" s="114">
        <v>1.3034300000000001</v>
      </c>
      <c r="J80" s="116">
        <v>9.9089500000000008</v>
      </c>
      <c r="K80" s="122"/>
    </row>
    <row r="81" spans="1:11" x14ac:dyDescent="0.25">
      <c r="A81" s="145" t="str">
        <f t="shared" si="5"/>
        <v>Model: M36Samples_cur</v>
      </c>
      <c r="B81" s="112" t="s">
        <v>37</v>
      </c>
      <c r="C81" s="113">
        <v>1</v>
      </c>
      <c r="D81" s="114">
        <v>4.5799999999999999E-3</v>
      </c>
      <c r="E81" s="114">
        <v>1.2099999999999999E-3</v>
      </c>
      <c r="F81" s="114">
        <v>3.79</v>
      </c>
      <c r="G81" s="115">
        <v>2.0000000000000001E-4</v>
      </c>
      <c r="H81" s="114">
        <v>1.6552199999999999</v>
      </c>
      <c r="I81" s="114">
        <v>2.5799999999999998E-3</v>
      </c>
      <c r="J81" s="116">
        <v>6.5700000000000003E-3</v>
      </c>
      <c r="K81" s="122"/>
    </row>
    <row r="82" spans="1:11" x14ac:dyDescent="0.25">
      <c r="A82" s="145" t="str">
        <f t="shared" si="5"/>
        <v>Model: M36tot_det_cur</v>
      </c>
      <c r="B82" s="112" t="s">
        <v>36</v>
      </c>
      <c r="C82" s="113">
        <v>1</v>
      </c>
      <c r="D82" s="114">
        <v>2.9659999999999999E-2</v>
      </c>
      <c r="E82" s="114">
        <v>6.0510000000000001E-2</v>
      </c>
      <c r="F82" s="114">
        <v>0.49</v>
      </c>
      <c r="G82" s="115">
        <v>0.62450000000000006</v>
      </c>
      <c r="H82" s="114">
        <v>1.6524799999999999</v>
      </c>
      <c r="I82" s="114">
        <v>-7.0319999999999994E-2</v>
      </c>
      <c r="J82" s="116">
        <v>0.12964999999999999</v>
      </c>
      <c r="K82" s="122"/>
    </row>
    <row r="83" spans="1:11" x14ac:dyDescent="0.25">
      <c r="A83" s="145" t="str">
        <f t="shared" si="5"/>
        <v>Model: M36Vnrx_cur_ROOT</v>
      </c>
      <c r="B83" s="117" t="s">
        <v>118</v>
      </c>
      <c r="C83" s="118">
        <v>1</v>
      </c>
      <c r="D83" s="119">
        <v>4.8221600000000002</v>
      </c>
      <c r="E83" s="119">
        <v>1.5606199999999999</v>
      </c>
      <c r="F83" s="119">
        <v>3.09</v>
      </c>
      <c r="G83" s="120">
        <v>2.3E-3</v>
      </c>
      <c r="H83" s="119">
        <v>1.1042099999999999</v>
      </c>
      <c r="I83" s="119">
        <v>2.2435200000000002</v>
      </c>
      <c r="J83" s="121">
        <v>7.4008000000000003</v>
      </c>
      <c r="K83" s="122"/>
    </row>
    <row r="84" spans="1:11" x14ac:dyDescent="0.25">
      <c r="K84" s="122"/>
    </row>
    <row r="85" spans="1:11" x14ac:dyDescent="0.25">
      <c r="K85" s="122"/>
    </row>
    <row r="86" spans="1:11" x14ac:dyDescent="0.25">
      <c r="K86" s="122"/>
    </row>
    <row r="87" spans="1:11" x14ac:dyDescent="0.25">
      <c r="K87" s="122"/>
    </row>
    <row r="88" spans="1:11" x14ac:dyDescent="0.25">
      <c r="K88" s="122"/>
    </row>
    <row r="89" spans="1:11" x14ac:dyDescent="0.25">
      <c r="K89" s="122"/>
    </row>
    <row r="90" spans="1:11" x14ac:dyDescent="0.25">
      <c r="K90" s="122"/>
    </row>
    <row r="91" spans="1:11" x14ac:dyDescent="0.25">
      <c r="K91" s="122"/>
    </row>
    <row r="92" spans="1:11" x14ac:dyDescent="0.25">
      <c r="K92" s="122"/>
    </row>
    <row r="93" spans="1:11" x14ac:dyDescent="0.25">
      <c r="K93" s="122"/>
    </row>
    <row r="94" spans="1:11" x14ac:dyDescent="0.25">
      <c r="K94" s="122"/>
    </row>
    <row r="95" spans="1:11" x14ac:dyDescent="0.25">
      <c r="K95" s="122"/>
    </row>
    <row r="96" spans="1:11" x14ac:dyDescent="0.25">
      <c r="K96" s="122"/>
    </row>
    <row r="97" spans="2:11" x14ac:dyDescent="0.25">
      <c r="K97" s="122"/>
    </row>
    <row r="98" spans="2:11" x14ac:dyDescent="0.25">
      <c r="K98" s="122"/>
    </row>
    <row r="99" spans="2:11" x14ac:dyDescent="0.25">
      <c r="B99" s="122"/>
      <c r="C99" s="122"/>
      <c r="D99" s="122"/>
      <c r="E99" s="122"/>
      <c r="F99" s="122"/>
      <c r="G99" s="122"/>
      <c r="H99" s="122"/>
      <c r="I99" s="122"/>
      <c r="J99" s="122"/>
      <c r="K99" s="122"/>
    </row>
    <row r="100" spans="2:11" x14ac:dyDescent="0.25"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</row>
    <row r="183" spans="2:11" x14ac:dyDescent="0.25"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</row>
    <row r="184" spans="2:11" x14ac:dyDescent="0.25"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</row>
    <row r="185" spans="2:11" x14ac:dyDescent="0.25">
      <c r="K185" s="122"/>
    </row>
    <row r="186" spans="2:11" x14ac:dyDescent="0.25">
      <c r="K186" s="122"/>
    </row>
    <row r="187" spans="2:11" x14ac:dyDescent="0.25">
      <c r="K187" s="122"/>
    </row>
    <row r="188" spans="2:11" x14ac:dyDescent="0.25">
      <c r="K188" s="122"/>
    </row>
    <row r="189" spans="2:11" x14ac:dyDescent="0.25">
      <c r="K189" s="122"/>
    </row>
    <row r="190" spans="2:11" x14ac:dyDescent="0.25">
      <c r="K190" s="122"/>
    </row>
    <row r="191" spans="2:11" x14ac:dyDescent="0.25">
      <c r="K191" s="122"/>
    </row>
    <row r="192" spans="2:11" x14ac:dyDescent="0.25">
      <c r="K192" s="122"/>
    </row>
    <row r="193" spans="11:11" x14ac:dyDescent="0.25">
      <c r="K193" s="122"/>
    </row>
    <row r="194" spans="11:11" x14ac:dyDescent="0.25">
      <c r="K194" s="122"/>
    </row>
    <row r="195" spans="11:11" x14ac:dyDescent="0.25">
      <c r="K195" s="122"/>
    </row>
    <row r="196" spans="11:11" x14ac:dyDescent="0.25">
      <c r="K196" s="122"/>
    </row>
    <row r="197" spans="11:11" x14ac:dyDescent="0.25">
      <c r="K197" s="122"/>
    </row>
    <row r="198" spans="11:11" x14ac:dyDescent="0.25">
      <c r="K198" s="122"/>
    </row>
    <row r="199" spans="11:11" x14ac:dyDescent="0.25">
      <c r="K199" s="122"/>
    </row>
    <row r="200" spans="11:11" x14ac:dyDescent="0.25">
      <c r="K200" s="122"/>
    </row>
    <row r="201" spans="11:11" x14ac:dyDescent="0.25">
      <c r="K201" s="122"/>
    </row>
    <row r="202" spans="11:11" x14ac:dyDescent="0.25">
      <c r="K202" s="122"/>
    </row>
    <row r="203" spans="11:11" x14ac:dyDescent="0.25">
      <c r="K203" s="122"/>
    </row>
    <row r="204" spans="11:11" x14ac:dyDescent="0.25">
      <c r="K204" s="122"/>
    </row>
    <row r="205" spans="11:11" x14ac:dyDescent="0.25">
      <c r="K205" s="122"/>
    </row>
    <row r="206" spans="11:11" x14ac:dyDescent="0.25">
      <c r="K206" s="122"/>
    </row>
    <row r="207" spans="11:11" x14ac:dyDescent="0.25">
      <c r="K207" s="122"/>
    </row>
    <row r="208" spans="11:11" x14ac:dyDescent="0.25">
      <c r="K208" s="122"/>
    </row>
    <row r="209" spans="11:11" x14ac:dyDescent="0.25">
      <c r="K209" s="122"/>
    </row>
    <row r="210" spans="11:11" x14ac:dyDescent="0.25">
      <c r="K210" s="122"/>
    </row>
    <row r="211" spans="11:11" x14ac:dyDescent="0.25">
      <c r="K211" s="122"/>
    </row>
    <row r="212" spans="11:11" x14ac:dyDescent="0.25">
      <c r="K212" s="122"/>
    </row>
    <row r="213" spans="11:11" x14ac:dyDescent="0.25">
      <c r="K213" s="122"/>
    </row>
    <row r="214" spans="11:11" x14ac:dyDescent="0.25">
      <c r="K214" s="122"/>
    </row>
    <row r="215" spans="11:11" x14ac:dyDescent="0.25">
      <c r="K215" s="122"/>
    </row>
    <row r="216" spans="11:11" x14ac:dyDescent="0.25">
      <c r="K216" s="122"/>
    </row>
    <row r="217" spans="11:11" x14ac:dyDescent="0.25">
      <c r="K217" s="122"/>
    </row>
    <row r="218" spans="11:11" x14ac:dyDescent="0.25">
      <c r="K218" s="122"/>
    </row>
    <row r="219" spans="11:11" x14ac:dyDescent="0.25">
      <c r="K219" s="122"/>
    </row>
    <row r="220" spans="11:11" x14ac:dyDescent="0.25">
      <c r="K220" s="122"/>
    </row>
    <row r="221" spans="11:11" x14ac:dyDescent="0.25">
      <c r="K221" s="122"/>
    </row>
    <row r="222" spans="11:11" x14ac:dyDescent="0.25">
      <c r="K222" s="122"/>
    </row>
    <row r="223" spans="11:11" x14ac:dyDescent="0.25">
      <c r="K223" s="122"/>
    </row>
    <row r="224" spans="11:11" x14ac:dyDescent="0.25">
      <c r="K224" s="122"/>
    </row>
    <row r="225" spans="11:11" x14ac:dyDescent="0.25">
      <c r="K225" s="122"/>
    </row>
    <row r="226" spans="11:11" x14ac:dyDescent="0.25">
      <c r="K226" s="122"/>
    </row>
    <row r="227" spans="11:11" x14ac:dyDescent="0.25">
      <c r="K227" s="122"/>
    </row>
    <row r="228" spans="11:11" x14ac:dyDescent="0.25">
      <c r="K228" s="122"/>
    </row>
    <row r="229" spans="11:11" x14ac:dyDescent="0.25">
      <c r="K229" s="122"/>
    </row>
    <row r="230" spans="11:11" x14ac:dyDescent="0.25">
      <c r="K230" s="122"/>
    </row>
    <row r="231" spans="11:11" x14ac:dyDescent="0.25">
      <c r="K231" s="122"/>
    </row>
    <row r="232" spans="11:11" x14ac:dyDescent="0.25">
      <c r="K232" s="122"/>
    </row>
    <row r="233" spans="11:11" x14ac:dyDescent="0.25">
      <c r="K233" s="122"/>
    </row>
    <row r="234" spans="11:11" x14ac:dyDescent="0.25">
      <c r="K234" s="122"/>
    </row>
    <row r="235" spans="11:11" x14ac:dyDescent="0.25">
      <c r="K235" s="122"/>
    </row>
    <row r="236" spans="11:11" x14ac:dyDescent="0.25">
      <c r="K236" s="122"/>
    </row>
    <row r="237" spans="11:11" x14ac:dyDescent="0.25">
      <c r="K237" s="122"/>
    </row>
    <row r="238" spans="11:11" x14ac:dyDescent="0.25">
      <c r="K238" s="122"/>
    </row>
    <row r="239" spans="11:11" x14ac:dyDescent="0.25">
      <c r="K239" s="122"/>
    </row>
    <row r="240" spans="11:11" x14ac:dyDescent="0.25">
      <c r="K240" s="122"/>
    </row>
    <row r="241" spans="11:11" x14ac:dyDescent="0.25">
      <c r="K241" s="122"/>
    </row>
    <row r="242" spans="11:11" x14ac:dyDescent="0.25">
      <c r="K242" s="122"/>
    </row>
    <row r="243" spans="11:11" x14ac:dyDescent="0.25">
      <c r="K243" s="122"/>
    </row>
    <row r="244" spans="11:11" x14ac:dyDescent="0.25">
      <c r="K244" s="122"/>
    </row>
    <row r="245" spans="11:11" x14ac:dyDescent="0.25">
      <c r="K245" s="122"/>
    </row>
    <row r="246" spans="11:11" x14ac:dyDescent="0.25">
      <c r="K246" s="122"/>
    </row>
    <row r="247" spans="11:11" x14ac:dyDescent="0.25">
      <c r="K247" s="122"/>
    </row>
    <row r="248" spans="11:11" x14ac:dyDescent="0.25">
      <c r="K248" s="122"/>
    </row>
    <row r="249" spans="11:11" x14ac:dyDescent="0.25">
      <c r="K249" s="122"/>
    </row>
    <row r="250" spans="11:11" x14ac:dyDescent="0.25">
      <c r="K250" s="122"/>
    </row>
    <row r="251" spans="11:11" x14ac:dyDescent="0.25">
      <c r="K251" s="122"/>
    </row>
    <row r="252" spans="11:11" x14ac:dyDescent="0.25">
      <c r="K252" s="122"/>
    </row>
    <row r="253" spans="11:11" x14ac:dyDescent="0.25">
      <c r="K253" s="122"/>
    </row>
    <row r="254" spans="11:11" x14ac:dyDescent="0.25">
      <c r="K254" s="122"/>
    </row>
    <row r="255" spans="11:11" x14ac:dyDescent="0.25">
      <c r="K255" s="122"/>
    </row>
    <row r="256" spans="11:11" x14ac:dyDescent="0.25">
      <c r="K256" s="122"/>
    </row>
    <row r="257" spans="11:11" x14ac:dyDescent="0.25">
      <c r="K257" s="122"/>
    </row>
    <row r="258" spans="11:11" x14ac:dyDescent="0.25">
      <c r="K258" s="122"/>
    </row>
    <row r="259" spans="11:11" x14ac:dyDescent="0.25">
      <c r="K259" s="122"/>
    </row>
    <row r="260" spans="11:11" x14ac:dyDescent="0.25">
      <c r="K260" s="122"/>
    </row>
    <row r="261" spans="11:11" x14ac:dyDescent="0.25">
      <c r="K261" s="122"/>
    </row>
    <row r="262" spans="11:11" x14ac:dyDescent="0.25">
      <c r="K262" s="122"/>
    </row>
    <row r="263" spans="11:11" x14ac:dyDescent="0.25">
      <c r="K263" s="122"/>
    </row>
    <row r="264" spans="11:11" x14ac:dyDescent="0.25">
      <c r="K264" s="122"/>
    </row>
    <row r="265" spans="11:11" x14ac:dyDescent="0.25">
      <c r="K265" s="122"/>
    </row>
    <row r="266" spans="11:11" x14ac:dyDescent="0.25">
      <c r="K266" s="122"/>
    </row>
    <row r="267" spans="11:11" x14ac:dyDescent="0.25">
      <c r="K267" s="122"/>
    </row>
    <row r="268" spans="11:11" x14ac:dyDescent="0.25">
      <c r="K268" s="122"/>
    </row>
    <row r="269" spans="11:11" x14ac:dyDescent="0.25">
      <c r="K269" s="122"/>
    </row>
    <row r="270" spans="11:11" x14ac:dyDescent="0.25">
      <c r="K270" s="122"/>
    </row>
    <row r="271" spans="11:11" x14ac:dyDescent="0.25">
      <c r="K271" s="122"/>
    </row>
    <row r="272" spans="11:11" x14ac:dyDescent="0.25">
      <c r="K272" s="122"/>
    </row>
    <row r="273" spans="11:11" x14ac:dyDescent="0.25">
      <c r="K273" s="122"/>
    </row>
    <row r="274" spans="11:11" x14ac:dyDescent="0.25">
      <c r="K274" s="122"/>
    </row>
    <row r="275" spans="11:11" x14ac:dyDescent="0.25">
      <c r="K275" s="122"/>
    </row>
    <row r="276" spans="11:11" x14ac:dyDescent="0.25">
      <c r="K276" s="122"/>
    </row>
    <row r="277" spans="11:11" x14ac:dyDescent="0.25">
      <c r="K277" s="122"/>
    </row>
    <row r="278" spans="11:11" x14ac:dyDescent="0.25">
      <c r="K278" s="122"/>
    </row>
    <row r="279" spans="11:11" x14ac:dyDescent="0.25">
      <c r="K279" s="122"/>
    </row>
    <row r="280" spans="11:11" x14ac:dyDescent="0.25">
      <c r="K280" s="122"/>
    </row>
    <row r="281" spans="11:11" x14ac:dyDescent="0.25">
      <c r="K281" s="122"/>
    </row>
    <row r="282" spans="11:11" x14ac:dyDescent="0.25">
      <c r="K282" s="122"/>
    </row>
    <row r="283" spans="11:11" x14ac:dyDescent="0.25">
      <c r="K283" s="122"/>
    </row>
    <row r="284" spans="11:11" x14ac:dyDescent="0.25">
      <c r="K284" s="122"/>
    </row>
    <row r="285" spans="11:11" x14ac:dyDescent="0.25">
      <c r="K285" s="122"/>
    </row>
    <row r="286" spans="11:11" x14ac:dyDescent="0.25">
      <c r="K286" s="122"/>
    </row>
    <row r="287" spans="11:11" x14ac:dyDescent="0.25">
      <c r="K287" s="122"/>
    </row>
    <row r="288" spans="11:11" x14ac:dyDescent="0.25">
      <c r="K288" s="122"/>
    </row>
    <row r="289" spans="11:11" x14ac:dyDescent="0.25">
      <c r="K289" s="122"/>
    </row>
    <row r="290" spans="11:11" x14ac:dyDescent="0.25">
      <c r="K290" s="122"/>
    </row>
    <row r="291" spans="11:11" x14ac:dyDescent="0.25">
      <c r="K291" s="122"/>
    </row>
    <row r="292" spans="11:11" x14ac:dyDescent="0.25">
      <c r="K292" s="122"/>
    </row>
    <row r="293" spans="11:11" x14ac:dyDescent="0.25">
      <c r="K293" s="122"/>
    </row>
    <row r="294" spans="11:11" x14ac:dyDescent="0.25">
      <c r="K294" s="122"/>
    </row>
    <row r="295" spans="11:11" x14ac:dyDescent="0.25">
      <c r="K295" s="122"/>
    </row>
    <row r="296" spans="11:11" x14ac:dyDescent="0.25">
      <c r="K296" s="122"/>
    </row>
    <row r="297" spans="11:11" x14ac:dyDescent="0.25">
      <c r="K297" s="122"/>
    </row>
    <row r="298" spans="11:11" x14ac:dyDescent="0.25">
      <c r="K298" s="122"/>
    </row>
    <row r="299" spans="11:11" x14ac:dyDescent="0.25">
      <c r="K299" s="122"/>
    </row>
    <row r="300" spans="11:11" x14ac:dyDescent="0.25">
      <c r="K300" s="122"/>
    </row>
    <row r="301" spans="11:11" x14ac:dyDescent="0.25">
      <c r="K301" s="122"/>
    </row>
    <row r="302" spans="11:11" x14ac:dyDescent="0.25">
      <c r="K302" s="122"/>
    </row>
    <row r="303" spans="11:11" x14ac:dyDescent="0.25">
      <c r="K303" s="122"/>
    </row>
    <row r="304" spans="11:11" x14ac:dyDescent="0.25">
      <c r="K304" s="122"/>
    </row>
    <row r="305" spans="11:11" x14ac:dyDescent="0.25">
      <c r="K305" s="122"/>
    </row>
    <row r="306" spans="11:11" x14ac:dyDescent="0.25">
      <c r="K306" s="122"/>
    </row>
    <row r="307" spans="11:11" x14ac:dyDescent="0.25">
      <c r="K307" s="122"/>
    </row>
    <row r="308" spans="11:11" x14ac:dyDescent="0.25">
      <c r="K308" s="122"/>
    </row>
    <row r="309" spans="11:11" x14ac:dyDescent="0.25">
      <c r="K309" s="122"/>
    </row>
    <row r="310" spans="11:11" x14ac:dyDescent="0.25">
      <c r="K310" s="122"/>
    </row>
    <row r="311" spans="11:11" x14ac:dyDescent="0.25">
      <c r="K311" s="122"/>
    </row>
    <row r="312" spans="11:11" x14ac:dyDescent="0.25">
      <c r="K312" s="122"/>
    </row>
    <row r="313" spans="11:11" x14ac:dyDescent="0.25">
      <c r="K313" s="122"/>
    </row>
    <row r="314" spans="11:11" x14ac:dyDescent="0.25">
      <c r="K314" s="122"/>
    </row>
    <row r="315" spans="11:11" x14ac:dyDescent="0.25">
      <c r="K315" s="122"/>
    </row>
    <row r="316" spans="11:11" x14ac:dyDescent="0.25">
      <c r="K316" s="122"/>
    </row>
    <row r="317" spans="11:11" x14ac:dyDescent="0.25">
      <c r="K317" s="122"/>
    </row>
    <row r="318" spans="11:11" x14ac:dyDescent="0.25">
      <c r="K318" s="122"/>
    </row>
    <row r="319" spans="11:11" x14ac:dyDescent="0.25">
      <c r="K319" s="122"/>
    </row>
    <row r="320" spans="11:11" x14ac:dyDescent="0.25">
      <c r="K320" s="122"/>
    </row>
    <row r="321" spans="11:11" x14ac:dyDescent="0.25">
      <c r="K321" s="122"/>
    </row>
    <row r="322" spans="11:11" x14ac:dyDescent="0.25">
      <c r="K322" s="122"/>
    </row>
    <row r="323" spans="11:11" x14ac:dyDescent="0.25">
      <c r="K323" s="122"/>
    </row>
    <row r="324" spans="11:11" x14ac:dyDescent="0.25">
      <c r="K324" s="122"/>
    </row>
    <row r="325" spans="11:11" x14ac:dyDescent="0.25">
      <c r="K325" s="122"/>
    </row>
    <row r="326" spans="11:11" x14ac:dyDescent="0.25">
      <c r="K326" s="122"/>
    </row>
    <row r="327" spans="11:11" x14ac:dyDescent="0.25">
      <c r="K327" s="122"/>
    </row>
    <row r="328" spans="11:11" x14ac:dyDescent="0.25">
      <c r="K328" s="122"/>
    </row>
    <row r="329" spans="11:11" x14ac:dyDescent="0.25">
      <c r="K329" s="122"/>
    </row>
    <row r="330" spans="11:11" x14ac:dyDescent="0.25">
      <c r="K330" s="122"/>
    </row>
    <row r="331" spans="11:11" x14ac:dyDescent="0.25">
      <c r="K331" s="122"/>
    </row>
    <row r="332" spans="11:11" x14ac:dyDescent="0.25">
      <c r="K332" s="122"/>
    </row>
    <row r="333" spans="11:11" x14ac:dyDescent="0.25">
      <c r="K333" s="122"/>
    </row>
    <row r="334" spans="11:11" x14ac:dyDescent="0.25">
      <c r="K334" s="122"/>
    </row>
    <row r="335" spans="11:11" x14ac:dyDescent="0.25">
      <c r="K335" s="122"/>
    </row>
    <row r="336" spans="11:11" x14ac:dyDescent="0.25">
      <c r="K336" s="122"/>
    </row>
    <row r="337" spans="11:11" x14ac:dyDescent="0.25">
      <c r="K337" s="122"/>
    </row>
    <row r="338" spans="11:11" x14ac:dyDescent="0.25">
      <c r="K338" s="122"/>
    </row>
    <row r="339" spans="11:11" x14ac:dyDescent="0.25">
      <c r="K339" s="122"/>
    </row>
    <row r="340" spans="11:11" x14ac:dyDescent="0.25">
      <c r="K340" s="122"/>
    </row>
    <row r="341" spans="11:11" x14ac:dyDescent="0.25">
      <c r="K341" s="122"/>
    </row>
    <row r="342" spans="11:11" x14ac:dyDescent="0.25">
      <c r="K342" s="122"/>
    </row>
    <row r="343" spans="11:11" x14ac:dyDescent="0.25">
      <c r="K343" s="122"/>
    </row>
    <row r="344" spans="11:11" x14ac:dyDescent="0.25">
      <c r="K344" s="122"/>
    </row>
    <row r="345" spans="11:11" x14ac:dyDescent="0.25">
      <c r="K345" s="122"/>
    </row>
    <row r="346" spans="11:11" x14ac:dyDescent="0.25">
      <c r="K346" s="122"/>
    </row>
    <row r="347" spans="11:11" x14ac:dyDescent="0.25">
      <c r="K347" s="122"/>
    </row>
    <row r="348" spans="11:11" x14ac:dyDescent="0.25">
      <c r="K348" s="122"/>
    </row>
    <row r="349" spans="11:11" x14ac:dyDescent="0.25">
      <c r="K349" s="122"/>
    </row>
    <row r="350" spans="11:11" x14ac:dyDescent="0.25">
      <c r="K350" s="122"/>
    </row>
    <row r="351" spans="11:11" x14ac:dyDescent="0.25">
      <c r="K351" s="122"/>
    </row>
    <row r="352" spans="11:11" x14ac:dyDescent="0.25">
      <c r="K352" s="122"/>
    </row>
    <row r="353" spans="11:11" x14ac:dyDescent="0.25">
      <c r="K353" s="122"/>
    </row>
    <row r="354" spans="11:11" x14ac:dyDescent="0.25">
      <c r="K354" s="122"/>
    </row>
    <row r="355" spans="11:11" x14ac:dyDescent="0.25">
      <c r="K355" s="122"/>
    </row>
    <row r="356" spans="11:11" x14ac:dyDescent="0.25">
      <c r="K356" s="122"/>
    </row>
    <row r="357" spans="11:11" x14ac:dyDescent="0.25">
      <c r="K357" s="122"/>
    </row>
    <row r="358" spans="11:11" x14ac:dyDescent="0.25">
      <c r="K358" s="122"/>
    </row>
    <row r="359" spans="11:11" x14ac:dyDescent="0.25">
      <c r="K359" s="122" t="s">
        <v>124</v>
      </c>
    </row>
    <row r="360" spans="11:11" x14ac:dyDescent="0.25">
      <c r="K360" s="122"/>
    </row>
    <row r="361" spans="11:11" x14ac:dyDescent="0.25">
      <c r="K361" s="122"/>
    </row>
    <row r="362" spans="11:11" x14ac:dyDescent="0.25">
      <c r="K362" s="122"/>
    </row>
    <row r="363" spans="11:11" x14ac:dyDescent="0.25">
      <c r="K363" s="122"/>
    </row>
    <row r="364" spans="11:11" x14ac:dyDescent="0.25">
      <c r="K364" s="122"/>
    </row>
    <row r="365" spans="11:11" x14ac:dyDescent="0.25">
      <c r="K365" s="122"/>
    </row>
    <row r="366" spans="11:11" x14ac:dyDescent="0.25">
      <c r="K366" s="122"/>
    </row>
    <row r="367" spans="11:11" x14ac:dyDescent="0.25">
      <c r="K367" s="122"/>
    </row>
    <row r="368" spans="11:11" x14ac:dyDescent="0.25">
      <c r="K368" s="122"/>
    </row>
    <row r="369" spans="11:11" x14ac:dyDescent="0.25">
      <c r="K369" s="122"/>
    </row>
    <row r="370" spans="11:11" x14ac:dyDescent="0.25">
      <c r="K370" s="122"/>
    </row>
    <row r="371" spans="11:11" x14ac:dyDescent="0.25">
      <c r="K371" s="122"/>
    </row>
    <row r="372" spans="11:11" x14ac:dyDescent="0.25">
      <c r="K372" s="122"/>
    </row>
    <row r="373" spans="11:11" x14ac:dyDescent="0.25">
      <c r="K373" s="122"/>
    </row>
    <row r="374" spans="11:11" x14ac:dyDescent="0.25">
      <c r="K374" s="122"/>
    </row>
    <row r="375" spans="11:11" x14ac:dyDescent="0.25">
      <c r="K375" s="122"/>
    </row>
    <row r="376" spans="11:11" x14ac:dyDescent="0.25">
      <c r="K376" s="122"/>
    </row>
    <row r="377" spans="11:11" x14ac:dyDescent="0.25">
      <c r="K377" s="122"/>
    </row>
    <row r="378" spans="11:11" x14ac:dyDescent="0.25">
      <c r="K378" s="122"/>
    </row>
    <row r="379" spans="11:11" x14ac:dyDescent="0.25">
      <c r="K379" s="122"/>
    </row>
    <row r="380" spans="11:11" x14ac:dyDescent="0.25">
      <c r="K380" s="122"/>
    </row>
    <row r="381" spans="11:11" x14ac:dyDescent="0.25">
      <c r="K381" s="122"/>
    </row>
    <row r="382" spans="11:11" x14ac:dyDescent="0.25">
      <c r="K382" s="122"/>
    </row>
    <row r="383" spans="11:11" x14ac:dyDescent="0.25">
      <c r="K383" s="122"/>
    </row>
    <row r="384" spans="11:11" x14ac:dyDescent="0.25">
      <c r="K384" s="122"/>
    </row>
    <row r="385" spans="11:11" x14ac:dyDescent="0.25">
      <c r="K385" s="122"/>
    </row>
    <row r="386" spans="11:11" x14ac:dyDescent="0.25">
      <c r="K386" s="122"/>
    </row>
    <row r="387" spans="11:11" x14ac:dyDescent="0.25">
      <c r="K387" s="122"/>
    </row>
    <row r="388" spans="11:11" x14ac:dyDescent="0.25">
      <c r="K388" s="122"/>
    </row>
    <row r="389" spans="11:11" x14ac:dyDescent="0.25">
      <c r="K389" s="122"/>
    </row>
    <row r="390" spans="11:11" x14ac:dyDescent="0.25">
      <c r="K390" s="122"/>
    </row>
    <row r="391" spans="11:11" x14ac:dyDescent="0.25">
      <c r="K391" s="122"/>
    </row>
    <row r="392" spans="11:11" x14ac:dyDescent="0.25">
      <c r="K392" s="122"/>
    </row>
    <row r="393" spans="11:11" x14ac:dyDescent="0.25">
      <c r="K393" s="122"/>
    </row>
    <row r="394" spans="11:11" x14ac:dyDescent="0.25">
      <c r="K394" s="122"/>
    </row>
    <row r="395" spans="11:11" x14ac:dyDescent="0.25">
      <c r="K395" s="122"/>
    </row>
    <row r="396" spans="11:11" x14ac:dyDescent="0.25">
      <c r="K396" s="122"/>
    </row>
    <row r="397" spans="11:11" x14ac:dyDescent="0.25">
      <c r="K397" s="122"/>
    </row>
    <row r="398" spans="11:11" x14ac:dyDescent="0.25">
      <c r="K398" s="122"/>
    </row>
    <row r="399" spans="11:11" x14ac:dyDescent="0.25">
      <c r="K399" s="122"/>
    </row>
    <row r="400" spans="11:11" x14ac:dyDescent="0.25">
      <c r="K400" s="122"/>
    </row>
    <row r="401" spans="11:11" x14ac:dyDescent="0.25">
      <c r="K401" s="122"/>
    </row>
    <row r="402" spans="11:11" x14ac:dyDescent="0.25">
      <c r="K402" s="122"/>
    </row>
    <row r="403" spans="11:11" x14ac:dyDescent="0.25">
      <c r="K403" s="122"/>
    </row>
    <row r="404" spans="11:11" x14ac:dyDescent="0.25">
      <c r="K404" s="122"/>
    </row>
    <row r="405" spans="11:11" x14ac:dyDescent="0.25">
      <c r="K405" s="122"/>
    </row>
    <row r="406" spans="11:11" x14ac:dyDescent="0.25">
      <c r="K406" s="122"/>
    </row>
    <row r="407" spans="11:11" x14ac:dyDescent="0.25">
      <c r="K407" s="122"/>
    </row>
    <row r="408" spans="11:11" x14ac:dyDescent="0.25">
      <c r="K408" s="122"/>
    </row>
    <row r="409" spans="11:11" x14ac:dyDescent="0.25">
      <c r="K409" s="122"/>
    </row>
    <row r="410" spans="11:11" x14ac:dyDescent="0.25">
      <c r="K410" s="122"/>
    </row>
    <row r="411" spans="11:11" x14ac:dyDescent="0.25">
      <c r="K411" s="122"/>
    </row>
    <row r="412" spans="11:11" x14ac:dyDescent="0.25">
      <c r="K412" s="122"/>
    </row>
    <row r="413" spans="11:11" x14ac:dyDescent="0.25">
      <c r="K413" s="122"/>
    </row>
    <row r="414" spans="11:11" x14ac:dyDescent="0.25">
      <c r="K414" s="122"/>
    </row>
    <row r="415" spans="11:11" x14ac:dyDescent="0.25">
      <c r="K415" s="122"/>
    </row>
    <row r="416" spans="11:11" x14ac:dyDescent="0.25">
      <c r="K416" s="122"/>
    </row>
    <row r="417" spans="11:11" x14ac:dyDescent="0.25">
      <c r="K417" s="122"/>
    </row>
    <row r="418" spans="11:11" x14ac:dyDescent="0.25">
      <c r="K418" s="122"/>
    </row>
    <row r="419" spans="11:11" x14ac:dyDescent="0.25">
      <c r="K419" s="122"/>
    </row>
    <row r="420" spans="11:11" x14ac:dyDescent="0.25">
      <c r="K420" s="122"/>
    </row>
    <row r="421" spans="11:11" x14ac:dyDescent="0.25">
      <c r="K421" s="122"/>
    </row>
    <row r="422" spans="11:11" x14ac:dyDescent="0.25">
      <c r="K422" s="122"/>
    </row>
    <row r="423" spans="11:11" x14ac:dyDescent="0.25">
      <c r="K423" s="122"/>
    </row>
    <row r="424" spans="11:11" x14ac:dyDescent="0.25">
      <c r="K424" s="122"/>
    </row>
    <row r="425" spans="11:11" x14ac:dyDescent="0.25">
      <c r="K425" s="122"/>
    </row>
    <row r="426" spans="11:11" x14ac:dyDescent="0.25">
      <c r="K426" s="122"/>
    </row>
    <row r="427" spans="11:11" x14ac:dyDescent="0.25">
      <c r="K427" s="122"/>
    </row>
    <row r="428" spans="11:11" x14ac:dyDescent="0.25">
      <c r="K428" s="122"/>
    </row>
    <row r="429" spans="11:11" x14ac:dyDescent="0.25">
      <c r="K429" s="122"/>
    </row>
    <row r="430" spans="11:11" x14ac:dyDescent="0.25">
      <c r="K430" s="122"/>
    </row>
  </sheetData>
  <mergeCells count="6">
    <mergeCell ref="I76:J76"/>
    <mergeCell ref="I6:J6"/>
    <mergeCell ref="I19:J19"/>
    <mergeCell ref="I33:J33"/>
    <mergeCell ref="I48:J48"/>
    <mergeCell ref="I63:J63"/>
  </mergeCells>
  <phoneticPr fontId="32" type="noConversion"/>
  <conditionalFormatting sqref="G99:G100 G183:G184 G2:G83">
    <cfRule type="cellIs" dxfId="13" priority="13" operator="greaterThan">
      <formula>0.05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BE47C-08BF-49A4-BF17-BEB196C4C84A}">
  <dimension ref="B1:Q470"/>
  <sheetViews>
    <sheetView workbookViewId="0">
      <selection activeCell="F42" sqref="F42"/>
    </sheetView>
  </sheetViews>
  <sheetFormatPr defaultRowHeight="15" x14ac:dyDescent="0.25"/>
  <cols>
    <col min="2" max="2" width="12.140625" bestFit="1" customWidth="1"/>
    <col min="3" max="3" width="3.28515625" bestFit="1" customWidth="1"/>
    <col min="4" max="4" width="10.28515625" bestFit="1" customWidth="1"/>
    <col min="9" max="9" width="21.140625" bestFit="1" customWidth="1"/>
    <col min="10" max="10" width="8.7109375" bestFit="1" customWidth="1"/>
    <col min="12" max="14" width="11.42578125" bestFit="1" customWidth="1"/>
  </cols>
  <sheetData>
    <row r="1" spans="2:17" x14ac:dyDescent="0.25">
      <c r="L1" s="123" t="s">
        <v>69</v>
      </c>
      <c r="M1" s="122" t="s">
        <v>73</v>
      </c>
      <c r="N1" s="122" t="s">
        <v>75</v>
      </c>
      <c r="O1" s="122" t="s">
        <v>76</v>
      </c>
      <c r="P1" s="122" t="s">
        <v>77</v>
      </c>
      <c r="Q1" s="122" t="s">
        <v>78</v>
      </c>
    </row>
    <row r="2" spans="2:17" x14ac:dyDescent="0.25">
      <c r="B2" s="123" t="s">
        <v>69</v>
      </c>
    </row>
    <row r="3" spans="2:17" x14ac:dyDescent="0.25">
      <c r="B3" s="122" t="s">
        <v>74</v>
      </c>
    </row>
    <row r="4" spans="2:17" x14ac:dyDescent="0.25">
      <c r="B4" s="103" t="s">
        <v>31</v>
      </c>
      <c r="C4" s="134" t="s">
        <v>61</v>
      </c>
      <c r="D4" s="105" t="s">
        <v>62</v>
      </c>
      <c r="E4" s="133" t="s">
        <v>63</v>
      </c>
      <c r="F4" s="133" t="s">
        <v>64</v>
      </c>
      <c r="G4" s="133" t="s">
        <v>65</v>
      </c>
      <c r="H4" s="133" t="s">
        <v>66</v>
      </c>
      <c r="I4" s="196" t="s">
        <v>67</v>
      </c>
      <c r="J4" s="197"/>
      <c r="M4" s="131" t="s">
        <v>69</v>
      </c>
      <c r="N4" s="131" t="s">
        <v>79</v>
      </c>
    </row>
    <row r="5" spans="2:17" x14ac:dyDescent="0.25">
      <c r="B5" s="107" t="s">
        <v>34</v>
      </c>
      <c r="C5" s="137">
        <v>1</v>
      </c>
      <c r="D5" s="109">
        <v>-1.6691100000000001</v>
      </c>
      <c r="E5" s="109">
        <v>1.1753</v>
      </c>
      <c r="F5" s="109">
        <v>-1.42</v>
      </c>
      <c r="G5" s="110">
        <v>0.15709999999999999</v>
      </c>
      <c r="H5" s="109">
        <v>0</v>
      </c>
      <c r="I5" s="109">
        <v>-3.6110899999999999</v>
      </c>
      <c r="J5" s="111">
        <v>0.27285999999999999</v>
      </c>
      <c r="M5" s="131" t="s">
        <v>73</v>
      </c>
      <c r="N5" s="131" t="s">
        <v>79</v>
      </c>
    </row>
    <row r="6" spans="2:17" x14ac:dyDescent="0.25">
      <c r="B6" s="112" t="s">
        <v>68</v>
      </c>
      <c r="C6" s="113">
        <v>1</v>
      </c>
      <c r="D6" s="114">
        <v>0.66566999999999998</v>
      </c>
      <c r="E6" s="114">
        <v>0.44061</v>
      </c>
      <c r="F6" s="114">
        <v>1.51</v>
      </c>
      <c r="G6" s="115">
        <v>0.13239999999999999</v>
      </c>
      <c r="H6" s="114">
        <v>1.0367599999999999</v>
      </c>
      <c r="I6" s="114">
        <v>-6.2350000000000003E-2</v>
      </c>
      <c r="J6" s="116">
        <v>1.3936999999999999</v>
      </c>
      <c r="M6" s="131" t="s">
        <v>75</v>
      </c>
      <c r="N6" s="131" t="s">
        <v>79</v>
      </c>
    </row>
    <row r="7" spans="2:17" x14ac:dyDescent="0.25">
      <c r="B7" s="112" t="s">
        <v>48</v>
      </c>
      <c r="C7" s="113">
        <v>1</v>
      </c>
      <c r="D7" s="114">
        <v>6.7606999999999997E-4</v>
      </c>
      <c r="E7" s="114">
        <v>4.8734000000000001E-4</v>
      </c>
      <c r="F7" s="114">
        <v>1.39</v>
      </c>
      <c r="G7" s="115">
        <v>0.16689999999999999</v>
      </c>
      <c r="H7" s="114">
        <v>1.2811699999999999</v>
      </c>
      <c r="I7" s="114">
        <v>-1.2917000000000001E-4</v>
      </c>
      <c r="J7" s="116">
        <v>1.48E-3</v>
      </c>
      <c r="M7" s="131" t="s">
        <v>76</v>
      </c>
      <c r="N7" s="131" t="s">
        <v>79</v>
      </c>
    </row>
    <row r="8" spans="2:17" x14ac:dyDescent="0.25">
      <c r="B8" s="112" t="s">
        <v>49</v>
      </c>
      <c r="C8" s="113">
        <v>1</v>
      </c>
      <c r="D8" s="114">
        <v>5.6652800000000001</v>
      </c>
      <c r="E8" s="114">
        <v>2.58528</v>
      </c>
      <c r="F8" s="114">
        <v>2.19</v>
      </c>
      <c r="G8" s="115">
        <v>2.9600000000000001E-2</v>
      </c>
      <c r="H8" s="114">
        <v>1.0237700000000001</v>
      </c>
      <c r="I8" s="114">
        <v>1.39358</v>
      </c>
      <c r="J8" s="116">
        <v>9.9369899999999998</v>
      </c>
      <c r="M8" s="131" t="s">
        <v>77</v>
      </c>
      <c r="N8" s="131" t="s">
        <v>79</v>
      </c>
    </row>
    <row r="9" spans="2:17" x14ac:dyDescent="0.25">
      <c r="B9" s="112" t="s">
        <v>37</v>
      </c>
      <c r="C9" s="113">
        <v>1</v>
      </c>
      <c r="D9" s="114">
        <v>4.47E-3</v>
      </c>
      <c r="E9" s="114">
        <v>1.1999999999999999E-3</v>
      </c>
      <c r="F9" s="114">
        <v>3.73</v>
      </c>
      <c r="G9" s="115">
        <v>2.9999999999999997E-4</v>
      </c>
      <c r="H9" s="114">
        <v>1.6576299999999999</v>
      </c>
      <c r="I9" s="114">
        <v>2.49E-3</v>
      </c>
      <c r="J9" s="116">
        <v>6.45E-3</v>
      </c>
      <c r="M9" s="131" t="s">
        <v>78</v>
      </c>
      <c r="N9" s="131" t="s">
        <v>79</v>
      </c>
    </row>
    <row r="10" spans="2:17" x14ac:dyDescent="0.25">
      <c r="B10" s="112" t="s">
        <v>36</v>
      </c>
      <c r="C10" s="113">
        <v>1</v>
      </c>
      <c r="D10" s="114">
        <v>2.683E-2</v>
      </c>
      <c r="E10" s="114">
        <v>6.0010000000000001E-2</v>
      </c>
      <c r="F10" s="114">
        <v>0.45</v>
      </c>
      <c r="G10" s="115">
        <v>0.65529999999999999</v>
      </c>
      <c r="H10" s="114">
        <v>1.6493</v>
      </c>
      <c r="I10" s="114">
        <v>-7.2330000000000005E-2</v>
      </c>
      <c r="J10" s="116">
        <v>0.12598999999999999</v>
      </c>
      <c r="M10" s="131" t="s">
        <v>50</v>
      </c>
      <c r="N10" s="137" t="s">
        <v>80</v>
      </c>
    </row>
    <row r="11" spans="2:17" x14ac:dyDescent="0.25">
      <c r="B11" s="117" t="s">
        <v>35</v>
      </c>
      <c r="C11" s="118">
        <v>1</v>
      </c>
      <c r="D11" s="119">
        <v>2.5404100000000001</v>
      </c>
      <c r="E11" s="119">
        <v>0.43217</v>
      </c>
      <c r="F11" s="119">
        <v>5.88</v>
      </c>
      <c r="G11" s="120">
        <v>1E-4</v>
      </c>
      <c r="H11" s="119">
        <v>1.1006400000000001</v>
      </c>
      <c r="I11" s="119">
        <v>1.82633</v>
      </c>
      <c r="J11" s="121">
        <v>3.2545000000000002</v>
      </c>
      <c r="M11" s="131" t="s">
        <v>81</v>
      </c>
      <c r="N11" s="137" t="s">
        <v>86</v>
      </c>
    </row>
    <row r="12" spans="2:17" x14ac:dyDescent="0.25">
      <c r="M12" s="131" t="s">
        <v>82</v>
      </c>
      <c r="N12" s="137" t="s">
        <v>87</v>
      </c>
    </row>
    <row r="13" spans="2:17" x14ac:dyDescent="0.25">
      <c r="B13" s="122" t="s">
        <v>73</v>
      </c>
      <c r="M13" s="131" t="s">
        <v>83</v>
      </c>
      <c r="N13" s="137" t="s">
        <v>88</v>
      </c>
    </row>
    <row r="14" spans="2:17" x14ac:dyDescent="0.25">
      <c r="B14" s="122" t="s">
        <v>74</v>
      </c>
      <c r="M14" s="131" t="s">
        <v>84</v>
      </c>
      <c r="N14" s="137" t="s">
        <v>89</v>
      </c>
    </row>
    <row r="15" spans="2:17" x14ac:dyDescent="0.25">
      <c r="B15" s="124" t="s">
        <v>31</v>
      </c>
      <c r="C15" s="137" t="s">
        <v>61</v>
      </c>
      <c r="D15" s="107" t="s">
        <v>62</v>
      </c>
      <c r="E15" s="136" t="s">
        <v>63</v>
      </c>
      <c r="F15" s="136" t="s">
        <v>64</v>
      </c>
      <c r="G15" s="136" t="s">
        <v>65</v>
      </c>
      <c r="H15" s="136" t="s">
        <v>66</v>
      </c>
      <c r="I15" s="198" t="s">
        <v>67</v>
      </c>
      <c r="J15" s="199"/>
      <c r="M15" s="131" t="s">
        <v>85</v>
      </c>
      <c r="N15" s="137" t="s">
        <v>90</v>
      </c>
    </row>
    <row r="16" spans="2:17" x14ac:dyDescent="0.25">
      <c r="B16" s="107" t="s">
        <v>34</v>
      </c>
      <c r="C16" s="136" t="s">
        <v>70</v>
      </c>
      <c r="D16" s="109">
        <v>-1.6691100000000001</v>
      </c>
      <c r="E16" s="109">
        <v>1.1753</v>
      </c>
      <c r="F16" s="109">
        <v>-1.42</v>
      </c>
      <c r="G16" s="110">
        <v>0.15709999999999999</v>
      </c>
      <c r="H16" s="109">
        <v>0</v>
      </c>
      <c r="I16" s="109">
        <v>-3.6110899999999999</v>
      </c>
      <c r="J16" s="111">
        <v>0.27285999999999999</v>
      </c>
      <c r="M16" s="131" t="s">
        <v>92</v>
      </c>
      <c r="N16" s="130" t="s">
        <v>91</v>
      </c>
    </row>
    <row r="17" spans="2:14" x14ac:dyDescent="0.25">
      <c r="B17" s="112" t="s">
        <v>68</v>
      </c>
      <c r="C17" s="122">
        <v>1</v>
      </c>
      <c r="D17" s="114">
        <v>0.66566999999999998</v>
      </c>
      <c r="E17" s="114">
        <v>0.44061</v>
      </c>
      <c r="F17" s="114">
        <v>1.51</v>
      </c>
      <c r="G17" s="115">
        <v>0.13239999999999999</v>
      </c>
      <c r="H17" s="114">
        <v>1.0367599999999999</v>
      </c>
      <c r="I17" s="114">
        <v>-6.2350000000000003E-2</v>
      </c>
      <c r="J17" s="116">
        <v>1.3936999999999999</v>
      </c>
      <c r="M17" s="131" t="s">
        <v>93</v>
      </c>
      <c r="N17" s="130" t="s">
        <v>98</v>
      </c>
    </row>
    <row r="18" spans="2:14" x14ac:dyDescent="0.25">
      <c r="B18" s="112" t="s">
        <v>48</v>
      </c>
      <c r="C18" s="122">
        <v>1</v>
      </c>
      <c r="D18" s="114">
        <v>6.7606999999999997E-4</v>
      </c>
      <c r="E18" s="114">
        <v>4.8734000000000001E-4</v>
      </c>
      <c r="F18" s="114">
        <v>1.39</v>
      </c>
      <c r="G18" s="115">
        <v>0.16689999999999999</v>
      </c>
      <c r="H18" s="114">
        <v>1.2811699999999999</v>
      </c>
      <c r="I18" s="114">
        <v>-1.2917000000000001E-4</v>
      </c>
      <c r="J18" s="116">
        <v>1.48E-3</v>
      </c>
      <c r="M18" s="131" t="s">
        <v>94</v>
      </c>
      <c r="N18" s="130" t="s">
        <v>99</v>
      </c>
    </row>
    <row r="19" spans="2:14" x14ac:dyDescent="0.25">
      <c r="B19" s="112" t="s">
        <v>49</v>
      </c>
      <c r="C19" s="122">
        <v>1</v>
      </c>
      <c r="D19" s="114">
        <v>5.6652800000000001</v>
      </c>
      <c r="E19" s="114">
        <v>2.58528</v>
      </c>
      <c r="F19" s="114">
        <v>2.19</v>
      </c>
      <c r="G19" s="115">
        <v>2.9600000000000001E-2</v>
      </c>
      <c r="H19" s="114">
        <v>1.0237700000000001</v>
      </c>
      <c r="I19" s="114">
        <v>1.39358</v>
      </c>
      <c r="J19" s="116">
        <v>9.9369899999999998</v>
      </c>
      <c r="M19" s="131" t="s">
        <v>95</v>
      </c>
      <c r="N19" s="130" t="s">
        <v>100</v>
      </c>
    </row>
    <row r="20" spans="2:14" x14ac:dyDescent="0.25">
      <c r="B20" s="112" t="s">
        <v>37</v>
      </c>
      <c r="C20" s="122">
        <v>1</v>
      </c>
      <c r="D20" s="114">
        <v>4.47E-3</v>
      </c>
      <c r="E20" s="114">
        <v>1.1999999999999999E-3</v>
      </c>
      <c r="F20" s="114">
        <v>3.73</v>
      </c>
      <c r="G20" s="115">
        <v>2.9999999999999997E-4</v>
      </c>
      <c r="H20" s="114">
        <v>1.6576299999999999</v>
      </c>
      <c r="I20" s="114">
        <v>2.49E-3</v>
      </c>
      <c r="J20" s="116">
        <v>6.45E-3</v>
      </c>
      <c r="M20" s="131" t="s">
        <v>96</v>
      </c>
      <c r="N20" s="130" t="s">
        <v>101</v>
      </c>
    </row>
    <row r="21" spans="2:14" x14ac:dyDescent="0.25">
      <c r="B21" s="112" t="s">
        <v>36</v>
      </c>
      <c r="C21" s="122">
        <v>1</v>
      </c>
      <c r="D21" s="114">
        <v>2.683E-2</v>
      </c>
      <c r="E21" s="114">
        <v>6.0010000000000001E-2</v>
      </c>
      <c r="F21" s="114">
        <v>0.45</v>
      </c>
      <c r="G21" s="115">
        <v>0.65529999999999999</v>
      </c>
      <c r="H21" s="114">
        <v>1.6493</v>
      </c>
      <c r="I21" s="114">
        <v>-7.2330000000000005E-2</v>
      </c>
      <c r="J21" s="116">
        <v>0.12598999999999999</v>
      </c>
      <c r="M21" s="131" t="s">
        <v>97</v>
      </c>
      <c r="N21" s="130" t="s">
        <v>102</v>
      </c>
    </row>
    <row r="22" spans="2:14" x14ac:dyDescent="0.25">
      <c r="B22" s="112" t="s">
        <v>35</v>
      </c>
      <c r="C22" s="122">
        <v>1</v>
      </c>
      <c r="D22" s="114">
        <v>2.5404100000000001</v>
      </c>
      <c r="E22" s="114">
        <v>0.43217</v>
      </c>
      <c r="F22" s="114">
        <v>5.88</v>
      </c>
      <c r="G22" s="115">
        <v>1E-4</v>
      </c>
      <c r="H22" s="114">
        <v>1.1006400000000001</v>
      </c>
      <c r="I22" s="114">
        <v>1.82633</v>
      </c>
      <c r="J22" s="116">
        <v>3.2545000000000002</v>
      </c>
      <c r="M22" s="131" t="s">
        <v>104</v>
      </c>
      <c r="N22" s="137" t="s">
        <v>103</v>
      </c>
    </row>
    <row r="23" spans="2:14" x14ac:dyDescent="0.25">
      <c r="B23" s="117" t="s">
        <v>71</v>
      </c>
      <c r="C23" s="126">
        <v>0</v>
      </c>
      <c r="D23" s="127">
        <v>0</v>
      </c>
      <c r="E23" s="127" t="s">
        <v>72</v>
      </c>
      <c r="F23" s="127" t="s">
        <v>72</v>
      </c>
      <c r="G23" s="115" t="s">
        <v>72</v>
      </c>
      <c r="H23" s="128" t="s">
        <v>72</v>
      </c>
      <c r="I23" s="128" t="s">
        <v>72</v>
      </c>
      <c r="J23" s="129" t="s">
        <v>72</v>
      </c>
      <c r="M23" s="131" t="s">
        <v>105</v>
      </c>
      <c r="N23" s="137" t="s">
        <v>103</v>
      </c>
    </row>
    <row r="24" spans="2:14" x14ac:dyDescent="0.25">
      <c r="M24" s="131" t="s">
        <v>106</v>
      </c>
      <c r="N24" s="137" t="s">
        <v>103</v>
      </c>
    </row>
    <row r="25" spans="2:14" x14ac:dyDescent="0.25">
      <c r="B25" s="122" t="s">
        <v>75</v>
      </c>
      <c r="C25" s="122"/>
      <c r="D25" s="122"/>
      <c r="E25" s="122"/>
      <c r="F25" s="122"/>
      <c r="G25" s="122"/>
      <c r="H25" s="122"/>
      <c r="I25" s="122"/>
      <c r="J25" s="122"/>
      <c r="K25" s="122"/>
      <c r="M25" s="131" t="s">
        <v>107</v>
      </c>
      <c r="N25" s="137" t="s">
        <v>103</v>
      </c>
    </row>
    <row r="26" spans="2:14" x14ac:dyDescent="0.25">
      <c r="B26" s="122" t="s">
        <v>74</v>
      </c>
      <c r="C26" s="122"/>
      <c r="D26" s="122"/>
      <c r="E26" s="122"/>
      <c r="F26" s="122"/>
      <c r="G26" s="122"/>
      <c r="H26" s="122"/>
      <c r="I26" s="122"/>
      <c r="J26" s="122"/>
      <c r="K26" s="122"/>
      <c r="M26" s="131" t="s">
        <v>108</v>
      </c>
      <c r="N26" s="137" t="s">
        <v>103</v>
      </c>
    </row>
    <row r="27" spans="2:14" x14ac:dyDescent="0.25">
      <c r="B27" s="124" t="s">
        <v>31</v>
      </c>
      <c r="C27" s="137" t="s">
        <v>61</v>
      </c>
      <c r="D27" s="107" t="s">
        <v>62</v>
      </c>
      <c r="E27" s="136" t="s">
        <v>63</v>
      </c>
      <c r="F27" s="136" t="s">
        <v>64</v>
      </c>
      <c r="G27" s="136" t="s">
        <v>65</v>
      </c>
      <c r="H27" s="136" t="s">
        <v>66</v>
      </c>
      <c r="I27" s="136" t="s">
        <v>67</v>
      </c>
      <c r="J27" s="137"/>
      <c r="K27" s="122"/>
      <c r="M27" s="131" t="s">
        <v>109</v>
      </c>
      <c r="N27" s="137" t="s">
        <v>103</v>
      </c>
    </row>
    <row r="28" spans="2:14" x14ac:dyDescent="0.25">
      <c r="B28" s="107" t="s">
        <v>34</v>
      </c>
      <c r="C28" s="136">
        <v>1</v>
      </c>
      <c r="D28" s="109">
        <v>1.9972300000000001</v>
      </c>
      <c r="E28" s="109">
        <v>1.64283</v>
      </c>
      <c r="F28" s="109">
        <v>1.22</v>
      </c>
      <c r="G28" s="110">
        <v>0.22550000000000001</v>
      </c>
      <c r="H28" s="109">
        <v>0</v>
      </c>
      <c r="I28" s="109">
        <v>-0.71731999999999996</v>
      </c>
      <c r="J28" s="111">
        <v>4.7117800000000001</v>
      </c>
      <c r="K28" s="122"/>
    </row>
    <row r="29" spans="2:14" x14ac:dyDescent="0.25">
      <c r="B29" s="112" t="s">
        <v>68</v>
      </c>
      <c r="C29" s="122">
        <v>1</v>
      </c>
      <c r="D29" s="114">
        <v>0.62450000000000006</v>
      </c>
      <c r="E29" s="114">
        <v>0.43165999999999999</v>
      </c>
      <c r="F29" s="114">
        <v>1.45</v>
      </c>
      <c r="G29" s="115">
        <v>0.14949999999999999</v>
      </c>
      <c r="H29" s="114">
        <v>1.03772</v>
      </c>
      <c r="I29" s="114">
        <v>-8.8770000000000002E-2</v>
      </c>
      <c r="J29" s="116">
        <v>1.3377600000000001</v>
      </c>
      <c r="K29" s="122"/>
    </row>
    <row r="30" spans="2:14" x14ac:dyDescent="0.25">
      <c r="B30" s="112" t="s">
        <v>48</v>
      </c>
      <c r="C30" s="122">
        <v>1</v>
      </c>
      <c r="D30" s="114">
        <v>7.7289000000000004E-4</v>
      </c>
      <c r="E30" s="114">
        <v>4.7823000000000001E-4</v>
      </c>
      <c r="F30" s="114">
        <v>1.62</v>
      </c>
      <c r="G30" s="115">
        <v>0.1076</v>
      </c>
      <c r="H30" s="114">
        <v>1.2865599999999999</v>
      </c>
      <c r="I30" s="114">
        <v>-1.7309999999999999E-5</v>
      </c>
      <c r="J30" s="116">
        <v>1.56E-3</v>
      </c>
      <c r="K30" s="122"/>
    </row>
    <row r="31" spans="2:14" x14ac:dyDescent="0.25">
      <c r="B31" s="112" t="s">
        <v>49</v>
      </c>
      <c r="C31" s="122">
        <v>1</v>
      </c>
      <c r="D31" s="114">
        <v>5.8147099999999998</v>
      </c>
      <c r="E31" s="114">
        <v>2.53207</v>
      </c>
      <c r="F31" s="114">
        <v>2.2999999999999998</v>
      </c>
      <c r="G31" s="115">
        <v>2.2700000000000001E-2</v>
      </c>
      <c r="H31" s="114">
        <v>1.0241400000000001</v>
      </c>
      <c r="I31" s="114">
        <v>1.6308199999999999</v>
      </c>
      <c r="J31" s="116">
        <v>9.9985999999999997</v>
      </c>
      <c r="K31" s="122"/>
    </row>
    <row r="32" spans="2:14" x14ac:dyDescent="0.25">
      <c r="B32" s="112" t="s">
        <v>37</v>
      </c>
      <c r="C32" s="122">
        <v>1</v>
      </c>
      <c r="D32" s="114">
        <v>4.5399999999999998E-3</v>
      </c>
      <c r="E32" s="114">
        <v>1.17E-3</v>
      </c>
      <c r="F32" s="114">
        <v>3.86</v>
      </c>
      <c r="G32" s="115">
        <v>2.0000000000000001E-4</v>
      </c>
      <c r="H32" s="114">
        <v>1.6581600000000001</v>
      </c>
      <c r="I32" s="114">
        <v>2.5999999999999999E-3</v>
      </c>
      <c r="J32" s="116">
        <v>6.4799999999999996E-3</v>
      </c>
      <c r="K32" s="122"/>
    </row>
    <row r="33" spans="2:11" x14ac:dyDescent="0.25">
      <c r="B33" s="112" t="s">
        <v>36</v>
      </c>
      <c r="C33" s="122">
        <v>1</v>
      </c>
      <c r="D33" s="114">
        <v>3.2969999999999999E-2</v>
      </c>
      <c r="E33" s="114">
        <v>5.8799999999999998E-2</v>
      </c>
      <c r="F33" s="114">
        <v>0.56000000000000005</v>
      </c>
      <c r="G33" s="115">
        <v>0.5756</v>
      </c>
      <c r="H33" s="114">
        <v>1.6511400000000001</v>
      </c>
      <c r="I33" s="114">
        <v>-6.4189999999999997E-2</v>
      </c>
      <c r="J33" s="116">
        <v>0.13014000000000001</v>
      </c>
      <c r="K33" s="122"/>
    </row>
    <row r="34" spans="2:11" x14ac:dyDescent="0.25">
      <c r="B34" s="112" t="s">
        <v>35</v>
      </c>
      <c r="C34" s="122">
        <v>1</v>
      </c>
      <c r="D34" s="114">
        <v>-1.2382</v>
      </c>
      <c r="E34" s="114">
        <v>1.2801800000000001</v>
      </c>
      <c r="F34" s="114">
        <v>-0.97</v>
      </c>
      <c r="G34" s="115">
        <v>0.33460000000000001</v>
      </c>
      <c r="H34" s="114">
        <v>10.07155</v>
      </c>
      <c r="I34" s="114">
        <v>-3.35351</v>
      </c>
      <c r="J34" s="116">
        <v>0.87712000000000001</v>
      </c>
      <c r="K34" s="122"/>
    </row>
    <row r="35" spans="2:11" x14ac:dyDescent="0.25">
      <c r="B35" s="117" t="s">
        <v>42</v>
      </c>
      <c r="C35" s="126">
        <v>1</v>
      </c>
      <c r="D35" s="119">
        <v>0.43215999999999999</v>
      </c>
      <c r="E35" s="119">
        <v>0.13818</v>
      </c>
      <c r="F35" s="119">
        <v>3.13</v>
      </c>
      <c r="G35" s="120">
        <v>2E-3</v>
      </c>
      <c r="H35" s="119">
        <v>9.8587100000000003</v>
      </c>
      <c r="I35" s="119">
        <v>0.20383000000000001</v>
      </c>
      <c r="J35" s="121">
        <v>0.66049000000000002</v>
      </c>
      <c r="K35" s="122"/>
    </row>
    <row r="36" spans="2:11" x14ac:dyDescent="0.25">
      <c r="K36" s="122"/>
    </row>
    <row r="37" spans="2:11" x14ac:dyDescent="0.25">
      <c r="B37" s="122"/>
      <c r="C37" s="122"/>
      <c r="D37" s="122"/>
      <c r="E37" s="122"/>
      <c r="F37" s="122"/>
      <c r="G37" s="122"/>
      <c r="H37" s="122"/>
      <c r="I37" s="122"/>
      <c r="J37" s="122"/>
      <c r="K37" s="122"/>
    </row>
    <row r="38" spans="2:11" x14ac:dyDescent="0.25">
      <c r="B38" s="122"/>
      <c r="C38" s="122"/>
      <c r="D38" s="122"/>
      <c r="E38" s="122"/>
      <c r="F38" s="122"/>
      <c r="G38" s="122"/>
      <c r="H38" s="122"/>
      <c r="I38" s="122"/>
      <c r="J38" s="122"/>
      <c r="K38" s="122"/>
    </row>
    <row r="39" spans="2:11" x14ac:dyDescent="0.25">
      <c r="B39" s="122" t="s">
        <v>116</v>
      </c>
      <c r="C39" s="122"/>
      <c r="D39" s="122"/>
      <c r="E39" s="122"/>
      <c r="F39" s="122"/>
      <c r="G39" s="122"/>
      <c r="H39" s="122"/>
      <c r="I39" s="122"/>
      <c r="J39" s="122"/>
      <c r="K39" s="122"/>
    </row>
    <row r="40" spans="2:11" x14ac:dyDescent="0.25">
      <c r="B40" s="122" t="s">
        <v>76</v>
      </c>
      <c r="C40" s="122"/>
      <c r="D40" s="122"/>
      <c r="E40" s="122"/>
      <c r="F40" s="122"/>
      <c r="G40" s="122"/>
      <c r="H40" s="122"/>
      <c r="I40" s="122"/>
      <c r="J40" s="122"/>
      <c r="K40" s="122"/>
    </row>
    <row r="41" spans="2:11" x14ac:dyDescent="0.25">
      <c r="B41" s="122" t="s">
        <v>74</v>
      </c>
      <c r="C41" s="122"/>
      <c r="D41" s="122"/>
      <c r="E41" s="122"/>
      <c r="F41" s="122"/>
      <c r="G41" s="122"/>
      <c r="H41" s="122"/>
      <c r="I41" s="122"/>
      <c r="J41" s="122"/>
      <c r="K41" s="122"/>
    </row>
    <row r="42" spans="2:11" x14ac:dyDescent="0.25">
      <c r="B42" s="122"/>
      <c r="C42" s="122"/>
      <c r="D42" s="122"/>
      <c r="E42" s="122"/>
      <c r="F42" s="122"/>
      <c r="G42" s="122"/>
      <c r="H42" s="122"/>
      <c r="I42" s="122"/>
      <c r="J42" s="122"/>
      <c r="K42" s="122"/>
    </row>
    <row r="43" spans="2:11" x14ac:dyDescent="0.25">
      <c r="B43" s="122"/>
      <c r="C43" s="122"/>
      <c r="D43" s="122"/>
      <c r="E43" s="122"/>
      <c r="F43" s="122"/>
      <c r="G43" s="122"/>
      <c r="H43" s="122"/>
      <c r="I43" s="122"/>
      <c r="J43" s="122"/>
      <c r="K43" s="122"/>
    </row>
    <row r="44" spans="2:11" x14ac:dyDescent="0.25">
      <c r="B44" s="123" t="s">
        <v>110</v>
      </c>
      <c r="C44" s="123">
        <v>8.7403200000000005</v>
      </c>
      <c r="D44" s="123" t="s">
        <v>111</v>
      </c>
      <c r="E44" s="123">
        <v>0.36299999999999999</v>
      </c>
      <c r="F44" s="122"/>
      <c r="G44" s="122"/>
      <c r="H44" s="122"/>
      <c r="I44" s="122"/>
      <c r="J44" s="122"/>
      <c r="K44" s="122"/>
    </row>
    <row r="45" spans="2:11" x14ac:dyDescent="0.25">
      <c r="B45" s="123" t="s">
        <v>112</v>
      </c>
      <c r="C45" s="123">
        <v>6.4737600000000004</v>
      </c>
      <c r="D45" s="123" t="s">
        <v>113</v>
      </c>
      <c r="E45" s="123">
        <v>0.34110000000000001</v>
      </c>
      <c r="F45" s="122"/>
      <c r="G45" s="122"/>
      <c r="H45" s="122"/>
      <c r="I45" s="122"/>
      <c r="J45" s="122"/>
      <c r="K45" s="122"/>
    </row>
    <row r="46" spans="2:11" x14ac:dyDescent="0.25">
      <c r="B46" s="122" t="s">
        <v>114</v>
      </c>
      <c r="C46" s="122">
        <v>135.01140000000001</v>
      </c>
      <c r="D46" s="122"/>
      <c r="E46" s="122"/>
      <c r="F46" s="122"/>
      <c r="G46" s="122"/>
      <c r="H46" s="122"/>
      <c r="I46" s="122"/>
      <c r="J46" s="122"/>
      <c r="K46" s="122"/>
    </row>
    <row r="47" spans="2:11" x14ac:dyDescent="0.25">
      <c r="B47" s="122"/>
      <c r="C47" s="122"/>
      <c r="D47" s="122"/>
      <c r="E47" s="122"/>
      <c r="F47" s="122"/>
      <c r="G47" s="122"/>
      <c r="H47" s="122"/>
      <c r="I47" s="122"/>
      <c r="J47" s="122"/>
      <c r="K47" s="122"/>
    </row>
    <row r="48" spans="2:11" x14ac:dyDescent="0.25">
      <c r="B48" s="122" t="s">
        <v>115</v>
      </c>
      <c r="C48" s="122"/>
      <c r="D48" s="122"/>
      <c r="E48" s="122"/>
      <c r="F48" s="122"/>
      <c r="G48" s="122"/>
      <c r="H48" s="122"/>
      <c r="I48" s="122"/>
      <c r="J48" s="122"/>
      <c r="K48" s="122"/>
    </row>
    <row r="49" spans="2:11" x14ac:dyDescent="0.25">
      <c r="B49" s="103" t="s">
        <v>31</v>
      </c>
      <c r="C49" s="134" t="s">
        <v>61</v>
      </c>
      <c r="D49" s="105" t="s">
        <v>62</v>
      </c>
      <c r="E49" s="133" t="s">
        <v>63</v>
      </c>
      <c r="F49" s="133" t="s">
        <v>64</v>
      </c>
      <c r="G49" s="133" t="s">
        <v>65</v>
      </c>
      <c r="H49" s="133" t="s">
        <v>66</v>
      </c>
      <c r="I49" s="196" t="s">
        <v>67</v>
      </c>
      <c r="J49" s="197"/>
      <c r="K49" s="122"/>
    </row>
    <row r="50" spans="2:11" x14ac:dyDescent="0.25">
      <c r="B50" s="107" t="s">
        <v>34</v>
      </c>
      <c r="C50" s="137" t="s">
        <v>70</v>
      </c>
      <c r="D50" s="109">
        <v>1.9972300000000001</v>
      </c>
      <c r="E50" s="109">
        <v>1.64283</v>
      </c>
      <c r="F50" s="109">
        <v>1.22</v>
      </c>
      <c r="G50" s="110">
        <v>0.22550000000000001</v>
      </c>
      <c r="H50" s="109">
        <v>0</v>
      </c>
      <c r="I50" s="109">
        <v>-0.71731999999999996</v>
      </c>
      <c r="J50" s="111">
        <v>4.7117800000000001</v>
      </c>
      <c r="K50" s="122"/>
    </row>
    <row r="51" spans="2:11" x14ac:dyDescent="0.25">
      <c r="B51" s="112" t="s">
        <v>68</v>
      </c>
      <c r="C51" s="113">
        <v>1</v>
      </c>
      <c r="D51" s="114">
        <v>0.62450000000000006</v>
      </c>
      <c r="E51" s="114">
        <v>0.43165999999999999</v>
      </c>
      <c r="F51" s="114">
        <v>1.45</v>
      </c>
      <c r="G51" s="115">
        <v>0.14949999999999999</v>
      </c>
      <c r="H51" s="114">
        <v>1.03772</v>
      </c>
      <c r="I51" s="114">
        <v>-8.8770000000000002E-2</v>
      </c>
      <c r="J51" s="116">
        <v>1.3377600000000001</v>
      </c>
      <c r="K51" s="122"/>
    </row>
    <row r="52" spans="2:11" x14ac:dyDescent="0.25">
      <c r="B52" s="112" t="s">
        <v>48</v>
      </c>
      <c r="C52" s="113">
        <v>1</v>
      </c>
      <c r="D52" s="114">
        <v>7.7289000000000004E-4</v>
      </c>
      <c r="E52" s="114">
        <v>4.7823000000000001E-4</v>
      </c>
      <c r="F52" s="114">
        <v>1.62</v>
      </c>
      <c r="G52" s="115">
        <v>0.1076</v>
      </c>
      <c r="H52" s="114">
        <v>1.2865599999999999</v>
      </c>
      <c r="I52" s="114">
        <v>-1.7309999999999999E-5</v>
      </c>
      <c r="J52" s="116">
        <v>1.56E-3</v>
      </c>
      <c r="K52" s="122"/>
    </row>
    <row r="53" spans="2:11" x14ac:dyDescent="0.25">
      <c r="B53" s="112" t="s">
        <v>49</v>
      </c>
      <c r="C53" s="113">
        <v>1</v>
      </c>
      <c r="D53" s="114">
        <v>5.8147099999999998</v>
      </c>
      <c r="E53" s="114">
        <v>2.53207</v>
      </c>
      <c r="F53" s="114">
        <v>2.2999999999999998</v>
      </c>
      <c r="G53" s="115">
        <v>2.2700000000000001E-2</v>
      </c>
      <c r="H53" s="114">
        <v>1.0241400000000001</v>
      </c>
      <c r="I53" s="114">
        <v>1.6308199999999999</v>
      </c>
      <c r="J53" s="116">
        <v>9.9985999999999997</v>
      </c>
      <c r="K53" s="122"/>
    </row>
    <row r="54" spans="2:11" x14ac:dyDescent="0.25">
      <c r="B54" s="112" t="s">
        <v>37</v>
      </c>
      <c r="C54" s="113">
        <v>1</v>
      </c>
      <c r="D54" s="114">
        <v>4.5399999999999998E-3</v>
      </c>
      <c r="E54" s="114">
        <v>1.17E-3</v>
      </c>
      <c r="F54" s="114">
        <v>3.86</v>
      </c>
      <c r="G54" s="115">
        <v>2.0000000000000001E-4</v>
      </c>
      <c r="H54" s="114">
        <v>1.6581600000000001</v>
      </c>
      <c r="I54" s="114">
        <v>2.5999999999999999E-3</v>
      </c>
      <c r="J54" s="116">
        <v>6.4799999999999996E-3</v>
      </c>
      <c r="K54" s="122"/>
    </row>
    <row r="55" spans="2:11" x14ac:dyDescent="0.25">
      <c r="B55" s="112" t="s">
        <v>36</v>
      </c>
      <c r="C55" s="113">
        <v>1</v>
      </c>
      <c r="D55" s="114">
        <v>3.2969999999999999E-2</v>
      </c>
      <c r="E55" s="114">
        <v>5.8799999999999998E-2</v>
      </c>
      <c r="F55" s="114">
        <v>0.56000000000000005</v>
      </c>
      <c r="G55" s="115">
        <v>0.5756</v>
      </c>
      <c r="H55" s="114">
        <v>1.6511400000000001</v>
      </c>
      <c r="I55" s="114">
        <v>-6.4189999999999997E-2</v>
      </c>
      <c r="J55" s="116">
        <v>0.13014000000000001</v>
      </c>
      <c r="K55" s="122"/>
    </row>
    <row r="56" spans="2:11" x14ac:dyDescent="0.25">
      <c r="B56" s="112" t="s">
        <v>35</v>
      </c>
      <c r="C56" s="113">
        <v>1</v>
      </c>
      <c r="D56" s="114">
        <v>-1.2382</v>
      </c>
      <c r="E56" s="114">
        <v>1.2801800000000001</v>
      </c>
      <c r="F56" s="114">
        <v>-0.97</v>
      </c>
      <c r="G56" s="115">
        <v>0.33460000000000001</v>
      </c>
      <c r="H56" s="114">
        <v>10.07155</v>
      </c>
      <c r="I56" s="114">
        <v>-3.35351</v>
      </c>
      <c r="J56" s="116">
        <v>0.87712000000000001</v>
      </c>
      <c r="K56" s="122"/>
    </row>
    <row r="57" spans="2:11" x14ac:dyDescent="0.25">
      <c r="B57" s="112" t="s">
        <v>42</v>
      </c>
      <c r="C57" s="113">
        <v>1</v>
      </c>
      <c r="D57" s="114">
        <v>0.43215999999999999</v>
      </c>
      <c r="E57" s="114">
        <v>0.13818</v>
      </c>
      <c r="F57" s="114">
        <v>3.13</v>
      </c>
      <c r="G57" s="115">
        <v>2E-3</v>
      </c>
      <c r="H57" s="114">
        <v>9.8587100000000003</v>
      </c>
      <c r="I57" s="114">
        <v>0.20383000000000001</v>
      </c>
      <c r="J57" s="116">
        <v>0.66049000000000002</v>
      </c>
      <c r="K57" s="122"/>
    </row>
    <row r="58" spans="2:11" x14ac:dyDescent="0.25">
      <c r="B58" s="132" t="s">
        <v>71</v>
      </c>
      <c r="C58" s="118">
        <v>0</v>
      </c>
      <c r="D58" s="119">
        <v>0</v>
      </c>
      <c r="E58" s="119" t="s">
        <v>72</v>
      </c>
      <c r="F58" s="119" t="s">
        <v>72</v>
      </c>
      <c r="G58" s="120" t="s">
        <v>72</v>
      </c>
      <c r="H58" s="119" t="s">
        <v>72</v>
      </c>
      <c r="I58" s="119" t="s">
        <v>72</v>
      </c>
      <c r="J58" s="121" t="s">
        <v>72</v>
      </c>
      <c r="K58" s="122"/>
    </row>
    <row r="59" spans="2:11" x14ac:dyDescent="0.25">
      <c r="B59" s="122"/>
      <c r="C59" s="122"/>
      <c r="D59" s="122"/>
      <c r="E59" s="122"/>
      <c r="F59" s="122"/>
      <c r="G59" s="122"/>
      <c r="H59" s="122"/>
      <c r="I59" s="122"/>
      <c r="J59" s="122"/>
      <c r="K59" s="122"/>
    </row>
    <row r="60" spans="2:11" x14ac:dyDescent="0.25">
      <c r="B60" s="122"/>
      <c r="C60" s="122"/>
      <c r="D60" s="122"/>
      <c r="E60" s="122"/>
      <c r="F60" s="122"/>
      <c r="G60" s="122"/>
      <c r="H60" s="122"/>
      <c r="I60" s="122"/>
      <c r="J60" s="122"/>
      <c r="K60" s="122"/>
    </row>
    <row r="61" spans="2:11" x14ac:dyDescent="0.25">
      <c r="B61" s="122" t="s">
        <v>116</v>
      </c>
      <c r="C61" s="122"/>
      <c r="D61" s="122"/>
      <c r="E61" s="122"/>
      <c r="F61" s="122"/>
      <c r="G61" s="122"/>
      <c r="H61" s="122"/>
      <c r="I61" s="122"/>
      <c r="J61" s="122"/>
      <c r="K61" s="122"/>
    </row>
    <row r="62" spans="2:11" x14ac:dyDescent="0.25">
      <c r="B62" s="122" t="s">
        <v>77</v>
      </c>
      <c r="C62" s="122"/>
      <c r="D62" s="122"/>
      <c r="E62" s="122"/>
      <c r="F62" s="122"/>
      <c r="G62" s="122"/>
      <c r="H62" s="122"/>
      <c r="I62" s="122"/>
      <c r="J62" s="122"/>
      <c r="K62" s="122"/>
    </row>
    <row r="63" spans="2:11" x14ac:dyDescent="0.25">
      <c r="B63" s="122" t="s">
        <v>74</v>
      </c>
      <c r="C63" s="122"/>
      <c r="D63" s="122"/>
      <c r="E63" s="122"/>
      <c r="F63" s="122"/>
      <c r="G63" s="122"/>
      <c r="H63" s="122"/>
      <c r="I63" s="122"/>
      <c r="J63" s="122"/>
      <c r="K63" s="122"/>
    </row>
    <row r="64" spans="2:11" x14ac:dyDescent="0.25">
      <c r="B64" s="122"/>
      <c r="C64" s="122"/>
      <c r="D64" s="122"/>
      <c r="E64" s="122"/>
      <c r="F64" s="122"/>
      <c r="G64" s="122"/>
      <c r="H64" s="122"/>
      <c r="I64" s="122"/>
      <c r="J64" s="122"/>
      <c r="K64" s="122"/>
    </row>
    <row r="65" spans="2:11" x14ac:dyDescent="0.25">
      <c r="B65" s="122"/>
      <c r="C65" s="122"/>
      <c r="D65" s="122"/>
      <c r="E65" s="122"/>
      <c r="F65" s="122"/>
      <c r="G65" s="122"/>
      <c r="H65" s="122"/>
      <c r="I65" s="122"/>
      <c r="J65" s="122"/>
      <c r="K65" s="122"/>
    </row>
    <row r="66" spans="2:11" x14ac:dyDescent="0.25">
      <c r="B66" s="123" t="s">
        <v>110</v>
      </c>
      <c r="C66" s="123">
        <v>9.1085100000000008</v>
      </c>
      <c r="D66" s="123" t="s">
        <v>111</v>
      </c>
      <c r="E66" s="123">
        <v>0.30480000000000002</v>
      </c>
      <c r="F66" s="122"/>
      <c r="G66" s="122"/>
      <c r="H66" s="122"/>
      <c r="I66" s="122"/>
      <c r="J66" s="122"/>
      <c r="K66" s="122"/>
    </row>
    <row r="67" spans="2:11" x14ac:dyDescent="0.25">
      <c r="B67" s="123" t="s">
        <v>112</v>
      </c>
      <c r="C67" s="123">
        <v>6.4737600000000004</v>
      </c>
      <c r="D67" s="123" t="s">
        <v>113</v>
      </c>
      <c r="E67" s="123">
        <v>0.28449999999999998</v>
      </c>
      <c r="F67" s="122"/>
      <c r="G67" s="122"/>
      <c r="H67" s="122"/>
      <c r="I67" s="122"/>
      <c r="J67" s="122"/>
      <c r="K67" s="122"/>
    </row>
    <row r="68" spans="2:11" x14ac:dyDescent="0.25">
      <c r="B68" s="122" t="s">
        <v>114</v>
      </c>
      <c r="C68" s="122">
        <v>140.69888</v>
      </c>
      <c r="D68" s="122"/>
      <c r="E68" s="122"/>
      <c r="F68" s="122"/>
      <c r="G68" s="122"/>
      <c r="H68" s="122"/>
      <c r="I68" s="122"/>
      <c r="J68" s="122"/>
      <c r="K68" s="122"/>
    </row>
    <row r="69" spans="2:11" x14ac:dyDescent="0.25">
      <c r="B69" s="122"/>
      <c r="C69" s="122"/>
      <c r="D69" s="122"/>
      <c r="E69" s="122"/>
      <c r="F69" s="122"/>
      <c r="G69" s="122"/>
      <c r="H69" s="122"/>
      <c r="I69" s="122"/>
      <c r="J69" s="122"/>
      <c r="K69" s="122"/>
    </row>
    <row r="70" spans="2:11" x14ac:dyDescent="0.25">
      <c r="B70" s="122" t="s">
        <v>115</v>
      </c>
      <c r="C70" s="122"/>
      <c r="D70" s="122"/>
      <c r="E70" s="122"/>
      <c r="F70" s="122"/>
      <c r="G70" s="122"/>
      <c r="H70" s="122"/>
      <c r="I70" s="122"/>
      <c r="J70" s="122"/>
      <c r="K70" s="122"/>
    </row>
    <row r="71" spans="2:11" x14ac:dyDescent="0.25">
      <c r="B71" s="105" t="s">
        <v>31</v>
      </c>
      <c r="C71" s="134" t="s">
        <v>61</v>
      </c>
      <c r="D71" s="133" t="s">
        <v>62</v>
      </c>
      <c r="E71" s="133" t="s">
        <v>63</v>
      </c>
      <c r="F71" s="133" t="s">
        <v>64</v>
      </c>
      <c r="G71" s="133" t="s">
        <v>65</v>
      </c>
      <c r="H71" s="133" t="s">
        <v>66</v>
      </c>
      <c r="I71" s="192" t="s">
        <v>67</v>
      </c>
      <c r="J71" s="193"/>
      <c r="K71" s="122"/>
    </row>
    <row r="72" spans="2:11" x14ac:dyDescent="0.25">
      <c r="B72" s="107" t="s">
        <v>34</v>
      </c>
      <c r="C72" s="137">
        <v>1</v>
      </c>
      <c r="D72" s="109">
        <v>-5.5792599999999997</v>
      </c>
      <c r="E72" s="109">
        <v>1.7737799999999999</v>
      </c>
      <c r="F72" s="109">
        <v>-3.15</v>
      </c>
      <c r="G72" s="110">
        <v>1.9E-3</v>
      </c>
      <c r="H72" s="109">
        <v>0</v>
      </c>
      <c r="I72" s="109">
        <v>-8.5101200000000006</v>
      </c>
      <c r="J72" s="111">
        <v>-2.6484100000000002</v>
      </c>
      <c r="K72" s="122"/>
    </row>
    <row r="73" spans="2:11" x14ac:dyDescent="0.25">
      <c r="B73" s="112" t="s">
        <v>68</v>
      </c>
      <c r="C73" s="113">
        <v>1</v>
      </c>
      <c r="D73" s="114">
        <v>0.65178999999999998</v>
      </c>
      <c r="E73" s="114">
        <v>0.44978000000000001</v>
      </c>
      <c r="F73" s="114">
        <v>1.45</v>
      </c>
      <c r="G73" s="115">
        <v>0.14879999999999999</v>
      </c>
      <c r="H73" s="114">
        <v>1.03742</v>
      </c>
      <c r="I73" s="114">
        <v>-9.1399999999999995E-2</v>
      </c>
      <c r="J73" s="116">
        <v>1.39497</v>
      </c>
      <c r="K73" s="122"/>
    </row>
    <row r="74" spans="2:11" x14ac:dyDescent="0.25">
      <c r="B74" s="112" t="s">
        <v>48</v>
      </c>
      <c r="C74" s="113">
        <v>1</v>
      </c>
      <c r="D74" s="114">
        <v>5.8230000000000001E-4</v>
      </c>
      <c r="E74" s="114">
        <v>4.9633999999999995E-4</v>
      </c>
      <c r="F74" s="114">
        <v>1.17</v>
      </c>
      <c r="G74" s="115">
        <v>0.24210000000000001</v>
      </c>
      <c r="H74" s="114">
        <v>1.2761199999999999</v>
      </c>
      <c r="I74" s="114">
        <v>-2.3782E-4</v>
      </c>
      <c r="J74" s="116">
        <v>1.4E-3</v>
      </c>
      <c r="K74" s="122"/>
    </row>
    <row r="75" spans="2:11" x14ac:dyDescent="0.25">
      <c r="B75" s="112" t="s">
        <v>49</v>
      </c>
      <c r="C75" s="113">
        <v>1</v>
      </c>
      <c r="D75" s="114">
        <v>5.5508199999999999</v>
      </c>
      <c r="E75" s="114">
        <v>2.6379999999999999</v>
      </c>
      <c r="F75" s="114">
        <v>2.1</v>
      </c>
      <c r="G75" s="115">
        <v>3.6600000000000001E-2</v>
      </c>
      <c r="H75" s="114">
        <v>1.0235700000000001</v>
      </c>
      <c r="I75" s="114">
        <v>1.1919900000000001</v>
      </c>
      <c r="J75" s="116">
        <v>9.9096499999999992</v>
      </c>
      <c r="K75" s="122"/>
    </row>
    <row r="76" spans="2:11" x14ac:dyDescent="0.25">
      <c r="B76" s="112" t="s">
        <v>37</v>
      </c>
      <c r="C76" s="113">
        <v>1</v>
      </c>
      <c r="D76" s="114">
        <v>4.6699999999999997E-3</v>
      </c>
      <c r="E76" s="114">
        <v>1.2199999999999999E-3</v>
      </c>
      <c r="F76" s="114">
        <v>3.82</v>
      </c>
      <c r="G76" s="115">
        <v>2.0000000000000001E-4</v>
      </c>
      <c r="H76" s="114">
        <v>1.65313</v>
      </c>
      <c r="I76" s="114">
        <v>2.65E-3</v>
      </c>
      <c r="J76" s="116">
        <v>6.6899999999999998E-3</v>
      </c>
      <c r="K76" s="122"/>
    </row>
    <row r="77" spans="2:11" x14ac:dyDescent="0.25">
      <c r="B77" s="112" t="s">
        <v>36</v>
      </c>
      <c r="C77" s="113">
        <v>1</v>
      </c>
      <c r="D77" s="114">
        <v>3.1379999999999998E-2</v>
      </c>
      <c r="E77" s="114">
        <v>6.132E-2</v>
      </c>
      <c r="F77" s="114">
        <v>0.51</v>
      </c>
      <c r="G77" s="115">
        <v>0.60929999999999995</v>
      </c>
      <c r="H77" s="114">
        <v>1.6531100000000001</v>
      </c>
      <c r="I77" s="114">
        <v>-6.9930000000000006E-2</v>
      </c>
      <c r="J77" s="116">
        <v>0.13270000000000001</v>
      </c>
      <c r="K77" s="122"/>
    </row>
    <row r="78" spans="2:11" x14ac:dyDescent="0.25">
      <c r="B78" s="117" t="s">
        <v>117</v>
      </c>
      <c r="C78" s="118">
        <v>1</v>
      </c>
      <c r="D78" s="119">
        <v>9.1821400000000004</v>
      </c>
      <c r="E78" s="119">
        <v>1.8354299999999999</v>
      </c>
      <c r="F78" s="119">
        <v>5</v>
      </c>
      <c r="G78" s="120">
        <v>1E-4</v>
      </c>
      <c r="H78" s="119">
        <v>1.1036300000000001</v>
      </c>
      <c r="I78" s="119">
        <v>6.1494099999999996</v>
      </c>
      <c r="J78" s="121">
        <v>12.21486</v>
      </c>
      <c r="K78" s="122"/>
    </row>
    <row r="79" spans="2:11" x14ac:dyDescent="0.25">
      <c r="B79" s="122"/>
      <c r="C79" s="122"/>
      <c r="D79" s="122"/>
      <c r="E79" s="122"/>
      <c r="F79" s="122"/>
      <c r="G79" s="122"/>
      <c r="H79" s="122"/>
      <c r="I79" s="122"/>
      <c r="J79" s="122"/>
      <c r="K79" s="122"/>
    </row>
    <row r="80" spans="2:11" x14ac:dyDescent="0.25">
      <c r="B80" s="122"/>
      <c r="C80" s="122"/>
      <c r="D80" s="122"/>
      <c r="E80" s="122"/>
      <c r="F80" s="122"/>
      <c r="G80" s="122"/>
      <c r="H80" s="122"/>
      <c r="I80" s="122"/>
      <c r="J80" s="122"/>
      <c r="K80" s="122"/>
    </row>
    <row r="81" spans="2:11" x14ac:dyDescent="0.25">
      <c r="B81" s="122" t="s">
        <v>116</v>
      </c>
      <c r="C81" s="122"/>
      <c r="D81" s="122"/>
      <c r="E81" s="122"/>
      <c r="F81" s="122"/>
      <c r="G81" s="122"/>
      <c r="H81" s="122"/>
      <c r="I81" s="122"/>
      <c r="J81" s="122"/>
      <c r="K81" s="122"/>
    </row>
    <row r="82" spans="2:11" x14ac:dyDescent="0.25">
      <c r="B82" s="122" t="s">
        <v>78</v>
      </c>
      <c r="C82" s="122"/>
      <c r="D82" s="122"/>
      <c r="E82" s="122"/>
      <c r="F82" s="122"/>
      <c r="G82" s="122"/>
      <c r="H82" s="122"/>
      <c r="I82" s="122"/>
      <c r="J82" s="122"/>
      <c r="K82" s="122"/>
    </row>
    <row r="83" spans="2:11" x14ac:dyDescent="0.25">
      <c r="B83" s="122" t="s">
        <v>74</v>
      </c>
      <c r="C83" s="122"/>
      <c r="D83" s="122"/>
      <c r="E83" s="122"/>
      <c r="F83" s="122"/>
      <c r="G83" s="122"/>
      <c r="H83" s="122"/>
      <c r="I83" s="122"/>
      <c r="J83" s="122"/>
      <c r="K83" s="122"/>
    </row>
    <row r="84" spans="2:11" x14ac:dyDescent="0.25">
      <c r="B84" s="122"/>
      <c r="C84" s="122"/>
      <c r="D84" s="122"/>
      <c r="E84" s="122"/>
      <c r="F84" s="122"/>
      <c r="G84" s="122"/>
      <c r="H84" s="122"/>
      <c r="I84" s="122"/>
      <c r="J84" s="122"/>
      <c r="K84" s="122"/>
    </row>
    <row r="85" spans="2:11" x14ac:dyDescent="0.25">
      <c r="B85" s="122"/>
      <c r="C85" s="122"/>
      <c r="D85" s="122"/>
      <c r="E85" s="122"/>
      <c r="F85" s="122"/>
      <c r="G85" s="122"/>
      <c r="H85" s="122"/>
      <c r="I85" s="122"/>
      <c r="J85" s="122"/>
      <c r="K85" s="122"/>
    </row>
    <row r="86" spans="2:11" x14ac:dyDescent="0.25">
      <c r="B86" s="123" t="s">
        <v>110</v>
      </c>
      <c r="C86" s="123">
        <v>9.0457099999999997</v>
      </c>
      <c r="D86" s="123" t="s">
        <v>111</v>
      </c>
      <c r="E86" s="123">
        <v>0.31440000000000001</v>
      </c>
      <c r="F86" s="122"/>
      <c r="G86" s="122"/>
      <c r="H86" s="122"/>
      <c r="I86" s="122"/>
      <c r="J86" s="122"/>
      <c r="K86" s="122"/>
    </row>
    <row r="87" spans="2:11" x14ac:dyDescent="0.25">
      <c r="B87" s="123" t="s">
        <v>112</v>
      </c>
      <c r="C87" s="123">
        <v>6.4737600000000004</v>
      </c>
      <c r="D87" s="123" t="s">
        <v>113</v>
      </c>
      <c r="E87" s="123">
        <v>0.29430000000000001</v>
      </c>
      <c r="F87" s="122"/>
      <c r="G87" s="122"/>
      <c r="H87" s="122"/>
      <c r="I87" s="122"/>
      <c r="J87" s="122"/>
      <c r="K87" s="122"/>
    </row>
    <row r="88" spans="2:11" x14ac:dyDescent="0.25">
      <c r="B88" s="122" t="s">
        <v>114</v>
      </c>
      <c r="C88" s="122">
        <v>139.7287</v>
      </c>
      <c r="D88" s="122"/>
      <c r="E88" s="122"/>
      <c r="F88" s="122"/>
      <c r="G88" s="122"/>
      <c r="H88" s="122"/>
      <c r="I88" s="122"/>
      <c r="J88" s="122"/>
      <c r="K88" s="122"/>
    </row>
    <row r="89" spans="2:11" x14ac:dyDescent="0.25">
      <c r="B89" s="122"/>
      <c r="C89" s="122"/>
      <c r="D89" s="122"/>
      <c r="E89" s="122"/>
      <c r="F89" s="122"/>
      <c r="G89" s="122"/>
      <c r="H89" s="122"/>
      <c r="I89" s="122"/>
      <c r="J89" s="122"/>
      <c r="K89" s="122"/>
    </row>
    <row r="90" spans="2:11" x14ac:dyDescent="0.25">
      <c r="B90" s="122" t="s">
        <v>115</v>
      </c>
      <c r="C90" s="122"/>
      <c r="D90" s="122"/>
      <c r="E90" s="122"/>
      <c r="F90" s="122"/>
      <c r="G90" s="122"/>
      <c r="H90" s="122"/>
      <c r="I90" s="122"/>
      <c r="J90" s="122"/>
      <c r="K90" s="122"/>
    </row>
    <row r="91" spans="2:11" x14ac:dyDescent="0.25">
      <c r="B91" s="105" t="s">
        <v>31</v>
      </c>
      <c r="C91" s="134" t="s">
        <v>61</v>
      </c>
      <c r="D91" s="133" t="s">
        <v>62</v>
      </c>
      <c r="E91" s="133" t="s">
        <v>63</v>
      </c>
      <c r="F91" s="133" t="s">
        <v>64</v>
      </c>
      <c r="G91" s="133" t="s">
        <v>65</v>
      </c>
      <c r="H91" s="133" t="s">
        <v>66</v>
      </c>
      <c r="I91" s="192" t="s">
        <v>67</v>
      </c>
      <c r="J91" s="193"/>
      <c r="K91" s="122"/>
    </row>
    <row r="92" spans="2:11" x14ac:dyDescent="0.25">
      <c r="B92" s="107" t="s">
        <v>34</v>
      </c>
      <c r="C92" s="137">
        <v>1</v>
      </c>
      <c r="D92" s="109">
        <v>-7.5471899999999996</v>
      </c>
      <c r="E92" s="109">
        <v>2.00726</v>
      </c>
      <c r="F92" s="109">
        <v>-3.76</v>
      </c>
      <c r="G92" s="110">
        <v>2.0000000000000001E-4</v>
      </c>
      <c r="H92" s="109">
        <v>0</v>
      </c>
      <c r="I92" s="109">
        <v>-10.86382</v>
      </c>
      <c r="J92" s="111">
        <v>-4.2305599999999997</v>
      </c>
      <c r="K92" s="122"/>
    </row>
    <row r="93" spans="2:11" x14ac:dyDescent="0.25">
      <c r="B93" s="112" t="s">
        <v>68</v>
      </c>
      <c r="C93" s="113">
        <v>1</v>
      </c>
      <c r="D93" s="114">
        <v>0.65910999999999997</v>
      </c>
      <c r="E93" s="114">
        <v>0.44666</v>
      </c>
      <c r="F93" s="114">
        <v>1.48</v>
      </c>
      <c r="G93" s="115">
        <v>0.1416</v>
      </c>
      <c r="H93" s="114">
        <v>1.0373000000000001</v>
      </c>
      <c r="I93" s="114">
        <v>-7.8909999999999994E-2</v>
      </c>
      <c r="J93" s="116">
        <v>1.39713</v>
      </c>
      <c r="K93" s="122"/>
    </row>
    <row r="94" spans="2:11" x14ac:dyDescent="0.25">
      <c r="B94" s="112" t="s">
        <v>48</v>
      </c>
      <c r="C94" s="113">
        <v>1</v>
      </c>
      <c r="D94" s="114">
        <v>6.1313999999999997E-4</v>
      </c>
      <c r="E94" s="114">
        <v>4.9322999999999999E-4</v>
      </c>
      <c r="F94" s="114">
        <v>1.24</v>
      </c>
      <c r="G94" s="115">
        <v>0.2152</v>
      </c>
      <c r="H94" s="114">
        <v>1.2777099999999999</v>
      </c>
      <c r="I94" s="114">
        <v>-2.0183000000000001E-4</v>
      </c>
      <c r="J94" s="116">
        <v>1.4300000000000001E-3</v>
      </c>
      <c r="K94" s="122"/>
    </row>
    <row r="95" spans="2:11" x14ac:dyDescent="0.25">
      <c r="B95" s="112" t="s">
        <v>49</v>
      </c>
      <c r="C95" s="113">
        <v>1</v>
      </c>
      <c r="D95" s="114">
        <v>5.5929399999999996</v>
      </c>
      <c r="E95" s="114">
        <v>2.61992</v>
      </c>
      <c r="F95" s="114">
        <v>2.13</v>
      </c>
      <c r="G95" s="115">
        <v>3.4000000000000002E-2</v>
      </c>
      <c r="H95" s="114">
        <v>1.0236499999999999</v>
      </c>
      <c r="I95" s="114">
        <v>1.2639899999999999</v>
      </c>
      <c r="J95" s="116">
        <v>9.9218899999999994</v>
      </c>
      <c r="K95" s="122"/>
    </row>
    <row r="96" spans="2:11" x14ac:dyDescent="0.25">
      <c r="B96" s="112" t="s">
        <v>37</v>
      </c>
      <c r="C96" s="113">
        <v>1</v>
      </c>
      <c r="D96" s="114">
        <v>4.5999999999999999E-3</v>
      </c>
      <c r="E96" s="114">
        <v>1.2099999999999999E-3</v>
      </c>
      <c r="F96" s="114">
        <v>3.78</v>
      </c>
      <c r="G96" s="115">
        <v>2.0000000000000001E-4</v>
      </c>
      <c r="H96" s="114">
        <v>1.6552199999999999</v>
      </c>
      <c r="I96" s="114">
        <v>2.5899999999999999E-3</v>
      </c>
      <c r="J96" s="116">
        <v>6.6E-3</v>
      </c>
      <c r="K96" s="122"/>
    </row>
    <row r="97" spans="2:11" x14ac:dyDescent="0.25">
      <c r="B97" s="112" t="s">
        <v>36</v>
      </c>
      <c r="C97" s="113">
        <v>1</v>
      </c>
      <c r="D97" s="114">
        <v>2.9159999999999998E-2</v>
      </c>
      <c r="E97" s="114">
        <v>6.0879999999999997E-2</v>
      </c>
      <c r="F97" s="114">
        <v>0.48</v>
      </c>
      <c r="G97" s="115">
        <v>0.63239999999999996</v>
      </c>
      <c r="H97" s="114">
        <v>1.6524799999999999</v>
      </c>
      <c r="I97" s="114">
        <v>-7.1429999999999993E-2</v>
      </c>
      <c r="J97" s="116">
        <v>0.12975999999999999</v>
      </c>
      <c r="K97" s="122"/>
    </row>
    <row r="98" spans="2:11" x14ac:dyDescent="0.25">
      <c r="B98" s="117" t="s">
        <v>118</v>
      </c>
      <c r="C98" s="118">
        <v>1</v>
      </c>
      <c r="D98" s="119">
        <v>8.3426899999999993</v>
      </c>
      <c r="E98" s="119">
        <v>1.57012</v>
      </c>
      <c r="F98" s="119">
        <v>5.31</v>
      </c>
      <c r="G98" s="120">
        <v>1E-4</v>
      </c>
      <c r="H98" s="119">
        <v>1.1042099999999999</v>
      </c>
      <c r="I98" s="119">
        <v>5.7483599999999999</v>
      </c>
      <c r="J98" s="121">
        <v>10.93703</v>
      </c>
      <c r="K98" s="122"/>
    </row>
    <row r="99" spans="2:11" x14ac:dyDescent="0.25">
      <c r="B99" s="122"/>
      <c r="C99" s="122"/>
      <c r="D99" s="122"/>
      <c r="E99" s="122"/>
      <c r="F99" s="122"/>
      <c r="G99" s="122"/>
      <c r="H99" s="122"/>
      <c r="I99" s="122"/>
      <c r="J99" s="122"/>
      <c r="K99" s="122"/>
    </row>
    <row r="100" spans="2:11" x14ac:dyDescent="0.25"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</row>
    <row r="101" spans="2:11" x14ac:dyDescent="0.25">
      <c r="B101" s="122" t="s">
        <v>116</v>
      </c>
      <c r="C101" s="122"/>
      <c r="D101" s="122"/>
      <c r="E101" s="122"/>
      <c r="F101" s="122"/>
      <c r="G101" s="122"/>
      <c r="H101" s="122"/>
      <c r="I101" s="122"/>
      <c r="J101" s="122"/>
      <c r="K101" s="122"/>
    </row>
    <row r="102" spans="2:11" x14ac:dyDescent="0.25">
      <c r="B102" s="122" t="s">
        <v>50</v>
      </c>
      <c r="C102" s="122"/>
      <c r="D102" s="122"/>
      <c r="E102" s="122"/>
      <c r="F102" s="122"/>
      <c r="G102" s="122"/>
      <c r="H102" s="122"/>
      <c r="I102" s="122"/>
      <c r="J102" s="122"/>
      <c r="K102" s="122"/>
    </row>
    <row r="103" spans="2:11" x14ac:dyDescent="0.25">
      <c r="B103" s="122" t="s">
        <v>119</v>
      </c>
      <c r="C103" s="122"/>
      <c r="D103" s="122"/>
      <c r="E103" s="122"/>
      <c r="F103" s="122"/>
      <c r="G103" s="122"/>
      <c r="H103" s="122"/>
      <c r="I103" s="122"/>
      <c r="J103" s="122"/>
      <c r="K103" s="122"/>
    </row>
    <row r="104" spans="2:11" x14ac:dyDescent="0.25"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</row>
    <row r="105" spans="2:11" x14ac:dyDescent="0.25"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</row>
    <row r="106" spans="2:11" x14ac:dyDescent="0.25">
      <c r="B106" s="123" t="s">
        <v>110</v>
      </c>
      <c r="C106" s="123">
        <v>8.9255499999999994</v>
      </c>
      <c r="D106" s="123" t="s">
        <v>111</v>
      </c>
      <c r="E106" s="123">
        <v>0.29659999999999997</v>
      </c>
      <c r="F106" s="122"/>
      <c r="G106" s="122"/>
      <c r="H106" s="122"/>
      <c r="I106" s="122"/>
      <c r="J106" s="122"/>
      <c r="K106" s="122"/>
    </row>
    <row r="107" spans="2:11" x14ac:dyDescent="0.25">
      <c r="B107" s="123" t="s">
        <v>112</v>
      </c>
      <c r="C107" s="123">
        <v>5.0862499999999997</v>
      </c>
      <c r="D107" s="123" t="s">
        <v>113</v>
      </c>
      <c r="E107" s="123">
        <v>0.27600000000000002</v>
      </c>
      <c r="F107" s="122"/>
      <c r="G107" s="122"/>
      <c r="H107" s="122"/>
      <c r="I107" s="122"/>
      <c r="J107" s="122"/>
      <c r="K107" s="122"/>
    </row>
    <row r="108" spans="2:11" x14ac:dyDescent="0.25">
      <c r="B108" s="122" t="s">
        <v>114</v>
      </c>
      <c r="C108" s="122">
        <v>175.48371</v>
      </c>
      <c r="D108" s="122"/>
      <c r="E108" s="122"/>
      <c r="F108" s="122"/>
      <c r="G108" s="122"/>
      <c r="H108" s="122"/>
      <c r="I108" s="122"/>
      <c r="J108" s="122"/>
      <c r="K108" s="122"/>
    </row>
    <row r="109" spans="2:11" x14ac:dyDescent="0.25"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</row>
    <row r="110" spans="2:11" x14ac:dyDescent="0.25">
      <c r="B110" s="122" t="s">
        <v>115</v>
      </c>
      <c r="C110" s="122"/>
      <c r="D110" s="122"/>
      <c r="E110" s="122"/>
      <c r="F110" s="122"/>
      <c r="G110" s="122"/>
      <c r="H110" s="122"/>
      <c r="I110" s="122"/>
      <c r="J110" s="122"/>
      <c r="K110" s="122"/>
    </row>
    <row r="111" spans="2:11" x14ac:dyDescent="0.25">
      <c r="B111" s="105" t="s">
        <v>31</v>
      </c>
      <c r="C111" s="134" t="s">
        <v>61</v>
      </c>
      <c r="D111" s="133" t="s">
        <v>62</v>
      </c>
      <c r="E111" s="133" t="s">
        <v>63</v>
      </c>
      <c r="F111" s="133" t="s">
        <v>64</v>
      </c>
      <c r="G111" s="133" t="s">
        <v>65</v>
      </c>
      <c r="H111" s="133" t="s">
        <v>66</v>
      </c>
      <c r="I111" s="192" t="s">
        <v>67</v>
      </c>
      <c r="J111" s="193"/>
      <c r="K111" s="122"/>
    </row>
    <row r="112" spans="2:11" x14ac:dyDescent="0.25">
      <c r="B112" s="107" t="s">
        <v>34</v>
      </c>
      <c r="C112" s="137">
        <v>1</v>
      </c>
      <c r="D112" s="109">
        <v>-1.6691100000000001</v>
      </c>
      <c r="E112" s="109">
        <v>1.1753</v>
      </c>
      <c r="F112" s="109">
        <v>-1.42</v>
      </c>
      <c r="G112" s="110">
        <v>0.15709999999999999</v>
      </c>
      <c r="H112" s="109">
        <v>0</v>
      </c>
      <c r="I112" s="109">
        <v>-3.6110899999999999</v>
      </c>
      <c r="J112" s="111">
        <v>0.27285999999999999</v>
      </c>
      <c r="K112" s="135" t="e">
        <f>[8]QC!#REF!</f>
        <v>#REF!</v>
      </c>
    </row>
    <row r="113" spans="2:11" x14ac:dyDescent="0.25">
      <c r="B113" s="112" t="s">
        <v>51</v>
      </c>
      <c r="C113" s="113">
        <v>1</v>
      </c>
      <c r="D113" s="114">
        <v>1.66567</v>
      </c>
      <c r="E113" s="114">
        <v>0.44061</v>
      </c>
      <c r="F113" s="114">
        <v>3.78</v>
      </c>
      <c r="G113" s="115">
        <v>2.0000000000000001E-4</v>
      </c>
      <c r="H113" s="114">
        <v>1.0367599999999999</v>
      </c>
      <c r="I113" s="114">
        <v>0.93764999999999998</v>
      </c>
      <c r="J113" s="116">
        <v>2.3936999999999999</v>
      </c>
      <c r="K113" s="122">
        <f>VLOOKUP(B113,[8]QC!$A$4:$B$55,2,0)</f>
        <v>224.267</v>
      </c>
    </row>
    <row r="114" spans="2:11" x14ac:dyDescent="0.25">
      <c r="B114" s="112" t="s">
        <v>48</v>
      </c>
      <c r="C114" s="113">
        <v>1</v>
      </c>
      <c r="D114" s="114">
        <v>6.7606999999999997E-4</v>
      </c>
      <c r="E114" s="114">
        <v>4.8734000000000001E-4</v>
      </c>
      <c r="F114" s="114">
        <v>1.39</v>
      </c>
      <c r="G114" s="115">
        <v>0.16689999999999999</v>
      </c>
      <c r="H114" s="114">
        <v>1.2811699999999999</v>
      </c>
      <c r="I114" s="114">
        <v>-1.2917000000000001E-4</v>
      </c>
      <c r="J114" s="116">
        <v>1.48E-3</v>
      </c>
      <c r="K114" s="122">
        <f>VLOOKUP(B114,[8]QC!$A$4:$B$55,2,0)</f>
        <v>195421037</v>
      </c>
    </row>
    <row r="115" spans="2:11" x14ac:dyDescent="0.25">
      <c r="B115" s="112" t="s">
        <v>49</v>
      </c>
      <c r="C115" s="113">
        <v>1</v>
      </c>
      <c r="D115" s="114">
        <v>5.6652800000000001</v>
      </c>
      <c r="E115" s="114">
        <v>2.58528</v>
      </c>
      <c r="F115" s="114">
        <v>2.19</v>
      </c>
      <c r="G115" s="115">
        <v>2.9600000000000001E-2</v>
      </c>
      <c r="H115" s="114">
        <v>1.0237700000000001</v>
      </c>
      <c r="I115" s="114">
        <v>1.39358</v>
      </c>
      <c r="J115" s="116">
        <v>9.9369899999999998</v>
      </c>
      <c r="K115" s="122">
        <f>VLOOKUP(B115,[8]QC!$A$4:$B$55,2,0)</f>
        <v>883</v>
      </c>
    </row>
    <row r="116" spans="2:11" x14ac:dyDescent="0.25">
      <c r="B116" s="112" t="s">
        <v>37</v>
      </c>
      <c r="C116" s="113">
        <v>1</v>
      </c>
      <c r="D116" s="114">
        <v>4.47E-3</v>
      </c>
      <c r="E116" s="114">
        <v>1.1999999999999999E-3</v>
      </c>
      <c r="F116" s="114">
        <v>3.73</v>
      </c>
      <c r="G116" s="115">
        <v>2.9999999999999997E-4</v>
      </c>
      <c r="H116" s="114">
        <v>1.6576299999999999</v>
      </c>
      <c r="I116" s="114">
        <v>2.49E-3</v>
      </c>
      <c r="J116" s="116">
        <v>6.45E-3</v>
      </c>
      <c r="K116" s="122">
        <f>VLOOKUP(B116,[8]QC!$A$4:$B$55,2,0)</f>
        <v>1773856</v>
      </c>
    </row>
    <row r="117" spans="2:11" x14ac:dyDescent="0.25">
      <c r="B117" s="112" t="s">
        <v>36</v>
      </c>
      <c r="C117" s="113">
        <v>1</v>
      </c>
      <c r="D117" s="114">
        <v>2.683E-2</v>
      </c>
      <c r="E117" s="114">
        <v>6.0010000000000001E-2</v>
      </c>
      <c r="F117" s="114">
        <v>0.45</v>
      </c>
      <c r="G117" s="115">
        <v>0.65529999999999999</v>
      </c>
      <c r="H117" s="114">
        <v>1.6493</v>
      </c>
      <c r="I117" s="114">
        <v>-7.2330000000000005E-2</v>
      </c>
      <c r="J117" s="116">
        <v>0.12598999999999999</v>
      </c>
      <c r="K117" s="122">
        <f>VLOOKUP(B117,[8]QC!$A$4:$B$55,2,0)</f>
        <v>137960</v>
      </c>
    </row>
    <row r="118" spans="2:11" x14ac:dyDescent="0.25">
      <c r="B118" s="117" t="s">
        <v>35</v>
      </c>
      <c r="C118" s="118">
        <v>1</v>
      </c>
      <c r="D118" s="119">
        <v>1.5404100000000001</v>
      </c>
      <c r="E118" s="119">
        <v>0.43217</v>
      </c>
      <c r="F118" s="119">
        <v>3.56</v>
      </c>
      <c r="G118" s="120">
        <v>5.0000000000000001E-4</v>
      </c>
      <c r="H118" s="119">
        <v>1.1006400000000001</v>
      </c>
      <c r="I118" s="119">
        <v>0.82633000000000001</v>
      </c>
      <c r="J118" s="121">
        <v>2.2545000000000002</v>
      </c>
      <c r="K118" s="122">
        <f>VLOOKUP(B118,[8]QC!$A$4:$B$55,2,0)</f>
        <v>336</v>
      </c>
    </row>
    <row r="119" spans="2:11" x14ac:dyDescent="0.25"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</row>
    <row r="120" spans="2:11" x14ac:dyDescent="0.25"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</row>
    <row r="121" spans="2:11" x14ac:dyDescent="0.25">
      <c r="B121" s="122" t="s">
        <v>116</v>
      </c>
      <c r="C121" s="122"/>
      <c r="D121" s="122"/>
      <c r="E121" s="122"/>
      <c r="F121" s="122"/>
      <c r="G121" s="122"/>
      <c r="H121" s="122"/>
      <c r="I121" s="122"/>
      <c r="J121" s="122"/>
      <c r="K121" s="122"/>
    </row>
    <row r="122" spans="2:11" x14ac:dyDescent="0.25">
      <c r="B122" s="122" t="s">
        <v>81</v>
      </c>
      <c r="C122" s="122"/>
      <c r="D122" s="122"/>
      <c r="E122" s="122"/>
      <c r="F122" s="122"/>
      <c r="G122" s="122"/>
      <c r="H122" s="122"/>
      <c r="I122" s="122"/>
      <c r="J122" s="122"/>
      <c r="K122" s="122"/>
    </row>
    <row r="123" spans="2:11" x14ac:dyDescent="0.25">
      <c r="B123" s="122" t="s">
        <v>119</v>
      </c>
      <c r="C123" s="122"/>
      <c r="D123" s="122"/>
      <c r="E123" s="122"/>
      <c r="F123" s="122"/>
      <c r="G123" s="122"/>
      <c r="H123" s="122"/>
      <c r="I123" s="122"/>
      <c r="J123" s="122"/>
      <c r="K123" s="122"/>
    </row>
    <row r="124" spans="2:11" x14ac:dyDescent="0.25"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</row>
    <row r="125" spans="2:11" x14ac:dyDescent="0.25"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</row>
    <row r="126" spans="2:11" x14ac:dyDescent="0.25">
      <c r="B126" s="123" t="s">
        <v>110</v>
      </c>
      <c r="C126" s="123">
        <v>8.9255499999999994</v>
      </c>
      <c r="D126" s="123" t="s">
        <v>111</v>
      </c>
      <c r="E126" s="123">
        <v>0.29659999999999997</v>
      </c>
      <c r="F126" s="122"/>
      <c r="G126" s="122"/>
      <c r="H126" s="122"/>
      <c r="I126" s="122"/>
      <c r="J126" s="122"/>
      <c r="K126" s="122"/>
    </row>
    <row r="127" spans="2:11" x14ac:dyDescent="0.25">
      <c r="B127" s="123" t="s">
        <v>112</v>
      </c>
      <c r="C127" s="123">
        <v>5.0862499999999997</v>
      </c>
      <c r="D127" s="123" t="s">
        <v>113</v>
      </c>
      <c r="E127" s="123">
        <v>0.27600000000000002</v>
      </c>
      <c r="F127" s="122"/>
      <c r="G127" s="122"/>
      <c r="H127" s="122"/>
      <c r="I127" s="122"/>
      <c r="J127" s="122"/>
      <c r="K127" s="122"/>
    </row>
    <row r="128" spans="2:11" x14ac:dyDescent="0.25">
      <c r="B128" s="122" t="s">
        <v>114</v>
      </c>
      <c r="C128" s="122">
        <v>175.48371</v>
      </c>
      <c r="D128" s="122"/>
      <c r="E128" s="122"/>
      <c r="F128" s="122"/>
      <c r="G128" s="122"/>
      <c r="H128" s="122"/>
      <c r="I128" s="122"/>
      <c r="J128" s="122"/>
      <c r="K128" s="122"/>
    </row>
    <row r="129" spans="2:11" x14ac:dyDescent="0.25"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</row>
    <row r="130" spans="2:11" x14ac:dyDescent="0.25">
      <c r="B130" s="122" t="s">
        <v>115</v>
      </c>
      <c r="C130" s="122"/>
      <c r="D130" s="122"/>
      <c r="E130" s="122"/>
      <c r="F130" s="122"/>
      <c r="G130" s="122"/>
      <c r="H130" s="122"/>
      <c r="I130" s="122"/>
      <c r="J130" s="122"/>
      <c r="K130" s="122"/>
    </row>
    <row r="131" spans="2:11" x14ac:dyDescent="0.25">
      <c r="B131" s="107" t="s">
        <v>31</v>
      </c>
      <c r="C131" s="137" t="s">
        <v>61</v>
      </c>
      <c r="D131" s="136" t="s">
        <v>62</v>
      </c>
      <c r="E131" s="136" t="s">
        <v>63</v>
      </c>
      <c r="F131" s="136" t="s">
        <v>64</v>
      </c>
      <c r="G131" s="136" t="s">
        <v>65</v>
      </c>
      <c r="H131" s="136" t="s">
        <v>66</v>
      </c>
      <c r="I131" s="194" t="s">
        <v>67</v>
      </c>
      <c r="J131" s="195"/>
      <c r="K131" s="122"/>
    </row>
    <row r="132" spans="2:11" x14ac:dyDescent="0.25">
      <c r="B132" s="107" t="s">
        <v>34</v>
      </c>
      <c r="C132" s="136" t="s">
        <v>70</v>
      </c>
      <c r="D132" s="109">
        <v>-1.6691100000000001</v>
      </c>
      <c r="E132" s="109">
        <v>1.1753</v>
      </c>
      <c r="F132" s="109">
        <v>-1.42</v>
      </c>
      <c r="G132" s="110">
        <v>0.15709999999999999</v>
      </c>
      <c r="H132" s="109">
        <v>0</v>
      </c>
      <c r="I132" s="109">
        <v>-3.6110899999999999</v>
      </c>
      <c r="J132" s="111">
        <v>0.27285999999999999</v>
      </c>
      <c r="K132" s="122"/>
    </row>
    <row r="133" spans="2:11" x14ac:dyDescent="0.25">
      <c r="B133" s="112" t="s">
        <v>51</v>
      </c>
      <c r="C133" s="122">
        <v>1</v>
      </c>
      <c r="D133" s="114">
        <v>1.66567</v>
      </c>
      <c r="E133" s="114">
        <v>0.44061</v>
      </c>
      <c r="F133" s="114">
        <v>3.78</v>
      </c>
      <c r="G133" s="115">
        <v>2.0000000000000001E-4</v>
      </c>
      <c r="H133" s="114">
        <v>1.0367599999999999</v>
      </c>
      <c r="I133" s="114">
        <v>0.93764999999999998</v>
      </c>
      <c r="J133" s="116">
        <v>2.3936999999999999</v>
      </c>
      <c r="K133" s="122"/>
    </row>
    <row r="134" spans="2:11" x14ac:dyDescent="0.25">
      <c r="B134" s="112" t="s">
        <v>48</v>
      </c>
      <c r="C134" s="122">
        <v>1</v>
      </c>
      <c r="D134" s="114">
        <v>6.7606999999999997E-4</v>
      </c>
      <c r="E134" s="114">
        <v>4.8734000000000001E-4</v>
      </c>
      <c r="F134" s="114">
        <v>1.39</v>
      </c>
      <c r="G134" s="115">
        <v>0.16689999999999999</v>
      </c>
      <c r="H134" s="114">
        <v>1.2811699999999999</v>
      </c>
      <c r="I134" s="114">
        <v>-1.2917000000000001E-4</v>
      </c>
      <c r="J134" s="116">
        <v>1.48E-3</v>
      </c>
      <c r="K134" s="122"/>
    </row>
    <row r="135" spans="2:11" x14ac:dyDescent="0.25">
      <c r="B135" s="112" t="s">
        <v>49</v>
      </c>
      <c r="C135" s="122">
        <v>1</v>
      </c>
      <c r="D135" s="114">
        <v>5.6652800000000001</v>
      </c>
      <c r="E135" s="114">
        <v>2.58528</v>
      </c>
      <c r="F135" s="114">
        <v>2.19</v>
      </c>
      <c r="G135" s="115">
        <v>2.9600000000000001E-2</v>
      </c>
      <c r="H135" s="114">
        <v>1.0237700000000001</v>
      </c>
      <c r="I135" s="114">
        <v>1.39358</v>
      </c>
      <c r="J135" s="116">
        <v>9.9369899999999998</v>
      </c>
      <c r="K135" s="122"/>
    </row>
    <row r="136" spans="2:11" x14ac:dyDescent="0.25">
      <c r="B136" s="112" t="s">
        <v>37</v>
      </c>
      <c r="C136" s="122">
        <v>1</v>
      </c>
      <c r="D136" s="114">
        <v>4.47E-3</v>
      </c>
      <c r="E136" s="114">
        <v>1.1999999999999999E-3</v>
      </c>
      <c r="F136" s="114">
        <v>3.73</v>
      </c>
      <c r="G136" s="115">
        <v>2.9999999999999997E-4</v>
      </c>
      <c r="H136" s="114">
        <v>1.6576299999999999</v>
      </c>
      <c r="I136" s="114">
        <v>2.49E-3</v>
      </c>
      <c r="J136" s="116">
        <v>6.45E-3</v>
      </c>
      <c r="K136" s="122"/>
    </row>
    <row r="137" spans="2:11" x14ac:dyDescent="0.25">
      <c r="B137" s="112" t="s">
        <v>36</v>
      </c>
      <c r="C137" s="122">
        <v>1</v>
      </c>
      <c r="D137" s="114">
        <v>2.683E-2</v>
      </c>
      <c r="E137" s="114">
        <v>6.0010000000000001E-2</v>
      </c>
      <c r="F137" s="114">
        <v>0.45</v>
      </c>
      <c r="G137" s="115">
        <v>0.65529999999999999</v>
      </c>
      <c r="H137" s="114">
        <v>1.6493</v>
      </c>
      <c r="I137" s="114">
        <v>-7.2330000000000005E-2</v>
      </c>
      <c r="J137" s="116">
        <v>0.12598999999999999</v>
      </c>
      <c r="K137" s="122"/>
    </row>
    <row r="138" spans="2:11" x14ac:dyDescent="0.25">
      <c r="B138" s="112" t="s">
        <v>35</v>
      </c>
      <c r="C138" s="122">
        <v>1</v>
      </c>
      <c r="D138" s="114">
        <v>1.5404100000000001</v>
      </c>
      <c r="E138" s="114">
        <v>0.43217</v>
      </c>
      <c r="F138" s="114">
        <v>3.56</v>
      </c>
      <c r="G138" s="115">
        <v>5.0000000000000001E-4</v>
      </c>
      <c r="H138" s="114">
        <v>1.1006400000000001</v>
      </c>
      <c r="I138" s="114">
        <v>0.82633000000000001</v>
      </c>
      <c r="J138" s="116">
        <v>2.2545000000000002</v>
      </c>
      <c r="K138" s="122"/>
    </row>
    <row r="139" spans="2:11" x14ac:dyDescent="0.25">
      <c r="B139" s="117" t="s">
        <v>71</v>
      </c>
      <c r="C139" s="126">
        <v>0</v>
      </c>
      <c r="D139" s="128">
        <v>0</v>
      </c>
      <c r="E139" s="128" t="s">
        <v>72</v>
      </c>
      <c r="F139" s="128" t="s">
        <v>72</v>
      </c>
      <c r="G139" s="138" t="s">
        <v>72</v>
      </c>
      <c r="H139" s="128" t="s">
        <v>72</v>
      </c>
      <c r="I139" s="128" t="s">
        <v>72</v>
      </c>
      <c r="J139" s="129" t="s">
        <v>72</v>
      </c>
      <c r="K139" s="122"/>
    </row>
    <row r="140" spans="2:11" x14ac:dyDescent="0.25"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</row>
    <row r="141" spans="2:11" x14ac:dyDescent="0.25">
      <c r="B141" s="122" t="s">
        <v>116</v>
      </c>
      <c r="C141" s="122"/>
      <c r="D141" s="122"/>
      <c r="E141" s="122"/>
      <c r="F141" s="122"/>
      <c r="G141" s="122"/>
      <c r="H141" s="122"/>
      <c r="I141" s="122"/>
      <c r="J141" s="122"/>
      <c r="K141" s="122"/>
    </row>
    <row r="142" spans="2:11" x14ac:dyDescent="0.25">
      <c r="B142" s="122" t="s">
        <v>82</v>
      </c>
      <c r="C142" s="122"/>
      <c r="D142" s="122"/>
      <c r="E142" s="122"/>
      <c r="F142" s="122"/>
      <c r="G142" s="122"/>
      <c r="H142" s="122"/>
      <c r="I142" s="122"/>
      <c r="J142" s="122"/>
      <c r="K142" s="122"/>
    </row>
    <row r="143" spans="2:11" x14ac:dyDescent="0.25">
      <c r="B143" s="122" t="s">
        <v>119</v>
      </c>
      <c r="C143" s="122"/>
      <c r="D143" s="122"/>
      <c r="E143" s="122"/>
      <c r="F143" s="122"/>
      <c r="G143" s="122"/>
      <c r="H143" s="122"/>
      <c r="I143" s="122"/>
      <c r="J143" s="122"/>
      <c r="K143" s="122"/>
    </row>
    <row r="144" spans="2:11" x14ac:dyDescent="0.25"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</row>
    <row r="145" spans="2:11" x14ac:dyDescent="0.25"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</row>
    <row r="146" spans="2:11" x14ac:dyDescent="0.25">
      <c r="B146" s="123" t="s">
        <v>110</v>
      </c>
      <c r="C146" s="123">
        <v>8.7403200000000005</v>
      </c>
      <c r="D146" s="123" t="s">
        <v>111</v>
      </c>
      <c r="E146" s="123">
        <v>0.32869999999999999</v>
      </c>
      <c r="F146" s="122"/>
      <c r="G146" s="122"/>
      <c r="H146" s="122"/>
      <c r="I146" s="122"/>
      <c r="J146" s="122"/>
      <c r="K146" s="122"/>
    </row>
    <row r="147" spans="2:11" x14ac:dyDescent="0.25">
      <c r="B147" s="123" t="s">
        <v>112</v>
      </c>
      <c r="C147" s="123">
        <v>5.0862499999999997</v>
      </c>
      <c r="D147" s="123" t="s">
        <v>113</v>
      </c>
      <c r="E147" s="123">
        <v>0.30570000000000003</v>
      </c>
      <c r="F147" s="122"/>
      <c r="G147" s="122"/>
      <c r="H147" s="122"/>
      <c r="I147" s="122"/>
      <c r="J147" s="122"/>
      <c r="K147" s="122"/>
    </row>
    <row r="148" spans="2:11" x14ac:dyDescent="0.25">
      <c r="B148" s="122" t="s">
        <v>114</v>
      </c>
      <c r="C148" s="122">
        <v>171.84196</v>
      </c>
      <c r="D148" s="122"/>
      <c r="E148" s="122"/>
      <c r="F148" s="122"/>
      <c r="G148" s="122"/>
      <c r="H148" s="122"/>
      <c r="I148" s="122"/>
      <c r="J148" s="122"/>
      <c r="K148" s="122"/>
    </row>
    <row r="149" spans="2:11" x14ac:dyDescent="0.25"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</row>
    <row r="150" spans="2:11" x14ac:dyDescent="0.25">
      <c r="B150" s="122" t="s">
        <v>115</v>
      </c>
      <c r="C150" s="122"/>
      <c r="D150" s="122"/>
      <c r="E150" s="122"/>
      <c r="F150" s="122"/>
      <c r="G150" s="122"/>
      <c r="H150" s="122"/>
      <c r="I150" s="122"/>
      <c r="J150" s="122"/>
      <c r="K150" s="122"/>
    </row>
    <row r="151" spans="2:11" x14ac:dyDescent="0.25">
      <c r="B151" s="107" t="s">
        <v>31</v>
      </c>
      <c r="C151" s="137" t="s">
        <v>61</v>
      </c>
      <c r="D151" s="136" t="s">
        <v>62</v>
      </c>
      <c r="E151" s="136" t="s">
        <v>63</v>
      </c>
      <c r="F151" s="136" t="s">
        <v>64</v>
      </c>
      <c r="G151" s="136" t="s">
        <v>65</v>
      </c>
      <c r="H151" s="136" t="s">
        <v>66</v>
      </c>
      <c r="I151" s="194" t="s">
        <v>67</v>
      </c>
      <c r="J151" s="195"/>
      <c r="K151" s="122"/>
    </row>
    <row r="152" spans="2:11" x14ac:dyDescent="0.25">
      <c r="B152" s="107" t="s">
        <v>34</v>
      </c>
      <c r="C152" s="136">
        <v>1</v>
      </c>
      <c r="D152" s="109">
        <v>1.9972300000000001</v>
      </c>
      <c r="E152" s="109">
        <v>1.64283</v>
      </c>
      <c r="F152" s="109">
        <v>1.22</v>
      </c>
      <c r="G152" s="110">
        <v>0.22550000000000001</v>
      </c>
      <c r="H152" s="109">
        <v>0</v>
      </c>
      <c r="I152" s="109">
        <v>-0.71731999999999996</v>
      </c>
      <c r="J152" s="111">
        <v>4.7117800000000001</v>
      </c>
      <c r="K152" s="122"/>
    </row>
    <row r="153" spans="2:11" x14ac:dyDescent="0.25">
      <c r="B153" s="112" t="s">
        <v>51</v>
      </c>
      <c r="C153" s="122">
        <v>1</v>
      </c>
      <c r="D153" s="114">
        <v>1.6245000000000001</v>
      </c>
      <c r="E153" s="114">
        <v>0.43165999999999999</v>
      </c>
      <c r="F153" s="114">
        <v>3.76</v>
      </c>
      <c r="G153" s="115">
        <v>2.0000000000000001E-4</v>
      </c>
      <c r="H153" s="114">
        <v>1.03772</v>
      </c>
      <c r="I153" s="114">
        <v>0.91122999999999998</v>
      </c>
      <c r="J153" s="116">
        <v>2.3377599999999998</v>
      </c>
      <c r="K153" s="122"/>
    </row>
    <row r="154" spans="2:11" x14ac:dyDescent="0.25">
      <c r="B154" s="112" t="s">
        <v>48</v>
      </c>
      <c r="C154" s="122">
        <v>1</v>
      </c>
      <c r="D154" s="114">
        <v>7.7289000000000004E-4</v>
      </c>
      <c r="E154" s="114">
        <v>4.7823000000000001E-4</v>
      </c>
      <c r="F154" s="114">
        <v>1.62</v>
      </c>
      <c r="G154" s="115">
        <v>0.1076</v>
      </c>
      <c r="H154" s="114">
        <v>1.2865599999999999</v>
      </c>
      <c r="I154" s="114">
        <v>-1.7309999999999999E-5</v>
      </c>
      <c r="J154" s="116">
        <v>1.56E-3</v>
      </c>
      <c r="K154" s="122"/>
    </row>
    <row r="155" spans="2:11" x14ac:dyDescent="0.25">
      <c r="B155" s="112" t="s">
        <v>49</v>
      </c>
      <c r="C155" s="122">
        <v>1</v>
      </c>
      <c r="D155" s="114">
        <v>5.8147099999999998</v>
      </c>
      <c r="E155" s="114">
        <v>2.53207</v>
      </c>
      <c r="F155" s="114">
        <v>2.2999999999999998</v>
      </c>
      <c r="G155" s="115">
        <v>2.2700000000000001E-2</v>
      </c>
      <c r="H155" s="114">
        <v>1.0241400000000001</v>
      </c>
      <c r="I155" s="114">
        <v>1.6308199999999999</v>
      </c>
      <c r="J155" s="116">
        <v>9.9985999999999997</v>
      </c>
      <c r="K155" s="122"/>
    </row>
    <row r="156" spans="2:11" x14ac:dyDescent="0.25">
      <c r="B156" s="112" t="s">
        <v>37</v>
      </c>
      <c r="C156" s="122">
        <v>1</v>
      </c>
      <c r="D156" s="114">
        <v>4.5399999999999998E-3</v>
      </c>
      <c r="E156" s="114">
        <v>1.17E-3</v>
      </c>
      <c r="F156" s="114">
        <v>3.86</v>
      </c>
      <c r="G156" s="115">
        <v>2.0000000000000001E-4</v>
      </c>
      <c r="H156" s="114">
        <v>1.6581600000000001</v>
      </c>
      <c r="I156" s="114">
        <v>2.5999999999999999E-3</v>
      </c>
      <c r="J156" s="116">
        <v>6.4799999999999996E-3</v>
      </c>
      <c r="K156" s="122"/>
    </row>
    <row r="157" spans="2:11" x14ac:dyDescent="0.25">
      <c r="B157" s="112" t="s">
        <v>36</v>
      </c>
      <c r="C157" s="122">
        <v>1</v>
      </c>
      <c r="D157" s="114">
        <v>3.2969999999999999E-2</v>
      </c>
      <c r="E157" s="114">
        <v>5.8799999999999998E-2</v>
      </c>
      <c r="F157" s="114">
        <v>0.56000000000000005</v>
      </c>
      <c r="G157" s="115">
        <v>0.5756</v>
      </c>
      <c r="H157" s="114">
        <v>1.6511400000000001</v>
      </c>
      <c r="I157" s="114">
        <v>-6.4189999999999997E-2</v>
      </c>
      <c r="J157" s="116">
        <v>0.13014000000000001</v>
      </c>
      <c r="K157" s="122"/>
    </row>
    <row r="158" spans="2:11" x14ac:dyDescent="0.25">
      <c r="B158" s="112" t="s">
        <v>35</v>
      </c>
      <c r="C158" s="122">
        <v>1</v>
      </c>
      <c r="D158" s="135">
        <v>-2.2382</v>
      </c>
      <c r="E158" s="135">
        <v>1.2801800000000001</v>
      </c>
      <c r="F158" s="135">
        <v>-1.75</v>
      </c>
      <c r="G158" s="139">
        <v>8.1900000000000001E-2</v>
      </c>
      <c r="H158" s="135">
        <v>10.07155</v>
      </c>
      <c r="I158" s="135">
        <v>-4.35351</v>
      </c>
      <c r="J158" s="140">
        <v>-0.12288</v>
      </c>
      <c r="K158" s="122"/>
    </row>
    <row r="159" spans="2:11" x14ac:dyDescent="0.25">
      <c r="B159" s="117" t="s">
        <v>42</v>
      </c>
      <c r="C159" s="126">
        <v>1</v>
      </c>
      <c r="D159" s="128">
        <v>0.43215999999999999</v>
      </c>
      <c r="E159" s="128">
        <v>0.13818</v>
      </c>
      <c r="F159" s="128">
        <v>3.13</v>
      </c>
      <c r="G159" s="141">
        <v>2E-3</v>
      </c>
      <c r="H159" s="128">
        <v>9.8587100000000003</v>
      </c>
      <c r="I159" s="128">
        <v>0.20383000000000001</v>
      </c>
      <c r="J159" s="129">
        <v>0.66049000000000002</v>
      </c>
      <c r="K159" s="122"/>
    </row>
    <row r="160" spans="2:11" x14ac:dyDescent="0.25"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</row>
    <row r="161" spans="2:11" x14ac:dyDescent="0.25"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</row>
    <row r="162" spans="2:11" x14ac:dyDescent="0.25">
      <c r="B162" s="122" t="s">
        <v>116</v>
      </c>
      <c r="C162" s="122"/>
      <c r="D162" s="122"/>
      <c r="E162" s="122"/>
      <c r="F162" s="122"/>
      <c r="G162" s="122"/>
      <c r="H162" s="122"/>
      <c r="I162" s="122"/>
      <c r="J162" s="122"/>
      <c r="K162" s="122"/>
    </row>
    <row r="163" spans="2:11" x14ac:dyDescent="0.25">
      <c r="B163" s="122" t="s">
        <v>83</v>
      </c>
      <c r="C163" s="122"/>
      <c r="D163" s="122"/>
      <c r="E163" s="122"/>
      <c r="F163" s="122"/>
      <c r="G163" s="122"/>
      <c r="H163" s="122"/>
      <c r="I163" s="122"/>
      <c r="J163" s="122"/>
      <c r="K163" s="122"/>
    </row>
    <row r="164" spans="2:11" x14ac:dyDescent="0.25">
      <c r="B164" s="122" t="s">
        <v>119</v>
      </c>
      <c r="C164" s="122"/>
      <c r="D164" s="122"/>
      <c r="E164" s="122"/>
      <c r="F164" s="122"/>
      <c r="G164" s="122"/>
      <c r="H164" s="122"/>
      <c r="I164" s="122"/>
      <c r="J164" s="122"/>
      <c r="K164" s="122"/>
    </row>
    <row r="165" spans="2:11" x14ac:dyDescent="0.25"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</row>
    <row r="166" spans="2:11" x14ac:dyDescent="0.2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</row>
    <row r="167" spans="2:11" x14ac:dyDescent="0.25">
      <c r="B167" s="123" t="s">
        <v>110</v>
      </c>
      <c r="C167" s="123">
        <v>8.7403200000000005</v>
      </c>
      <c r="D167" s="123" t="s">
        <v>111</v>
      </c>
      <c r="E167" s="123">
        <v>0.32869999999999999</v>
      </c>
      <c r="F167" s="122"/>
      <c r="G167" s="122"/>
      <c r="H167" s="122"/>
      <c r="I167" s="122"/>
      <c r="J167" s="122"/>
      <c r="K167" s="122"/>
    </row>
    <row r="168" spans="2:11" x14ac:dyDescent="0.25">
      <c r="B168" s="123" t="s">
        <v>112</v>
      </c>
      <c r="C168" s="123">
        <v>5.0862499999999997</v>
      </c>
      <c r="D168" s="123" t="s">
        <v>113</v>
      </c>
      <c r="E168" s="123">
        <v>0.30570000000000003</v>
      </c>
      <c r="F168" s="122"/>
      <c r="G168" s="122"/>
      <c r="H168" s="122"/>
      <c r="I168" s="122"/>
      <c r="J168" s="122"/>
      <c r="K168" s="122"/>
    </row>
    <row r="169" spans="2:11" x14ac:dyDescent="0.25">
      <c r="B169" s="122" t="s">
        <v>114</v>
      </c>
      <c r="C169" s="122">
        <v>171.84196</v>
      </c>
      <c r="D169" s="122"/>
      <c r="E169" s="122"/>
      <c r="F169" s="122"/>
      <c r="G169" s="122"/>
      <c r="H169" s="122"/>
      <c r="I169" s="122"/>
      <c r="J169" s="122"/>
      <c r="K169" s="122"/>
    </row>
    <row r="170" spans="2:11" x14ac:dyDescent="0.25"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</row>
    <row r="171" spans="2:11" x14ac:dyDescent="0.25">
      <c r="B171" s="122" t="s">
        <v>115</v>
      </c>
      <c r="C171" s="122"/>
      <c r="D171" s="122"/>
      <c r="E171" s="122"/>
      <c r="F171" s="122"/>
      <c r="G171" s="122"/>
      <c r="H171" s="122"/>
      <c r="I171" s="122"/>
      <c r="J171" s="122"/>
      <c r="K171" s="122"/>
    </row>
    <row r="172" spans="2:11" x14ac:dyDescent="0.25">
      <c r="B172" s="107" t="s">
        <v>31</v>
      </c>
      <c r="C172" s="137" t="s">
        <v>61</v>
      </c>
      <c r="D172" s="136" t="s">
        <v>62</v>
      </c>
      <c r="E172" s="136" t="s">
        <v>63</v>
      </c>
      <c r="F172" s="136" t="s">
        <v>64</v>
      </c>
      <c r="G172" s="136" t="s">
        <v>65</v>
      </c>
      <c r="H172" s="136" t="s">
        <v>66</v>
      </c>
      <c r="I172" s="194" t="s">
        <v>67</v>
      </c>
      <c r="J172" s="195"/>
      <c r="K172" s="122"/>
    </row>
    <row r="173" spans="2:11" x14ac:dyDescent="0.25">
      <c r="B173" s="107" t="s">
        <v>34</v>
      </c>
      <c r="C173" s="136" t="s">
        <v>70</v>
      </c>
      <c r="D173" s="109">
        <v>1.9972300000000001</v>
      </c>
      <c r="E173" s="109">
        <v>1.64283</v>
      </c>
      <c r="F173" s="109">
        <v>1.22</v>
      </c>
      <c r="G173" s="110">
        <v>0.22550000000000001</v>
      </c>
      <c r="H173" s="109">
        <v>0</v>
      </c>
      <c r="I173" s="109">
        <v>-0.71731999999999996</v>
      </c>
      <c r="J173" s="111">
        <v>4.7117800000000001</v>
      </c>
      <c r="K173" s="122"/>
    </row>
    <row r="174" spans="2:11" x14ac:dyDescent="0.25">
      <c r="B174" s="112" t="s">
        <v>51</v>
      </c>
      <c r="C174" s="122">
        <v>1</v>
      </c>
      <c r="D174" s="114">
        <v>1.6245000000000001</v>
      </c>
      <c r="E174" s="114">
        <v>0.43165999999999999</v>
      </c>
      <c r="F174" s="114">
        <v>3.76</v>
      </c>
      <c r="G174" s="115">
        <v>2.0000000000000001E-4</v>
      </c>
      <c r="H174" s="114">
        <v>1.03772</v>
      </c>
      <c r="I174" s="114">
        <v>0.91122999999999998</v>
      </c>
      <c r="J174" s="116">
        <v>2.3377599999999998</v>
      </c>
      <c r="K174" s="122"/>
    </row>
    <row r="175" spans="2:11" x14ac:dyDescent="0.25">
      <c r="B175" s="112" t="s">
        <v>48</v>
      </c>
      <c r="C175" s="122">
        <v>1</v>
      </c>
      <c r="D175" s="114">
        <v>7.7289000000000004E-4</v>
      </c>
      <c r="E175" s="114">
        <v>4.7823000000000001E-4</v>
      </c>
      <c r="F175" s="114">
        <v>1.62</v>
      </c>
      <c r="G175" s="115">
        <v>0.1076</v>
      </c>
      <c r="H175" s="114">
        <v>1.2865599999999999</v>
      </c>
      <c r="I175" s="114">
        <v>-1.7309999999999999E-5</v>
      </c>
      <c r="J175" s="116">
        <v>1.56E-3</v>
      </c>
      <c r="K175" s="122"/>
    </row>
    <row r="176" spans="2:11" x14ac:dyDescent="0.25">
      <c r="B176" s="112" t="s">
        <v>49</v>
      </c>
      <c r="C176" s="122">
        <v>1</v>
      </c>
      <c r="D176" s="114">
        <v>5.8147099999999998</v>
      </c>
      <c r="E176" s="114">
        <v>2.53207</v>
      </c>
      <c r="F176" s="114">
        <v>2.2999999999999998</v>
      </c>
      <c r="G176" s="115">
        <v>2.2700000000000001E-2</v>
      </c>
      <c r="H176" s="114">
        <v>1.0241400000000001</v>
      </c>
      <c r="I176" s="114">
        <v>1.6308199999999999</v>
      </c>
      <c r="J176" s="116">
        <v>9.9985999999999997</v>
      </c>
      <c r="K176" s="122"/>
    </row>
    <row r="177" spans="2:11" x14ac:dyDescent="0.25">
      <c r="B177" s="112" t="s">
        <v>37</v>
      </c>
      <c r="C177" s="122">
        <v>1</v>
      </c>
      <c r="D177" s="114">
        <v>4.5399999999999998E-3</v>
      </c>
      <c r="E177" s="114">
        <v>1.17E-3</v>
      </c>
      <c r="F177" s="114">
        <v>3.86</v>
      </c>
      <c r="G177" s="115">
        <v>2.0000000000000001E-4</v>
      </c>
      <c r="H177" s="114">
        <v>1.6581600000000001</v>
      </c>
      <c r="I177" s="114">
        <v>2.5999999999999999E-3</v>
      </c>
      <c r="J177" s="116">
        <v>6.4799999999999996E-3</v>
      </c>
      <c r="K177" s="122"/>
    </row>
    <row r="178" spans="2:11" x14ac:dyDescent="0.25">
      <c r="B178" s="112" t="s">
        <v>36</v>
      </c>
      <c r="C178" s="122">
        <v>1</v>
      </c>
      <c r="D178" s="114">
        <v>3.2969999999999999E-2</v>
      </c>
      <c r="E178" s="114">
        <v>5.8799999999999998E-2</v>
      </c>
      <c r="F178" s="114">
        <v>0.56000000000000005</v>
      </c>
      <c r="G178" s="115">
        <v>0.5756</v>
      </c>
      <c r="H178" s="114">
        <v>1.6511400000000001</v>
      </c>
      <c r="I178" s="114">
        <v>-6.4189999999999997E-2</v>
      </c>
      <c r="J178" s="116">
        <v>0.13014000000000001</v>
      </c>
      <c r="K178" s="122"/>
    </row>
    <row r="179" spans="2:11" x14ac:dyDescent="0.25">
      <c r="B179" s="112" t="s">
        <v>35</v>
      </c>
      <c r="C179" s="122">
        <v>1</v>
      </c>
      <c r="D179" s="122">
        <v>-2.2382</v>
      </c>
      <c r="E179" s="122">
        <v>1.2801800000000001</v>
      </c>
      <c r="F179" s="122">
        <v>-1.75</v>
      </c>
      <c r="G179" s="122">
        <v>8.1900000000000001E-2</v>
      </c>
      <c r="H179" s="122">
        <v>10.07155</v>
      </c>
      <c r="I179" s="122">
        <v>-4.35351</v>
      </c>
      <c r="J179" s="113">
        <v>-0.12288</v>
      </c>
      <c r="K179" s="122"/>
    </row>
    <row r="180" spans="2:11" x14ac:dyDescent="0.25">
      <c r="B180" s="112" t="s">
        <v>42</v>
      </c>
      <c r="C180" s="122">
        <v>1</v>
      </c>
      <c r="D180" s="122">
        <v>0.43215999999999999</v>
      </c>
      <c r="E180" s="122">
        <v>0.13818</v>
      </c>
      <c r="F180" s="122">
        <v>3.13</v>
      </c>
      <c r="G180" s="122">
        <v>2E-3</v>
      </c>
      <c r="H180" s="122">
        <v>9.8587100000000003</v>
      </c>
      <c r="I180" s="122">
        <v>0.20383000000000001</v>
      </c>
      <c r="J180" s="113">
        <v>0.66049000000000002</v>
      </c>
      <c r="K180" s="122"/>
    </row>
    <row r="181" spans="2:11" x14ac:dyDescent="0.25">
      <c r="B181" s="117" t="s">
        <v>71</v>
      </c>
      <c r="C181" s="126">
        <v>0</v>
      </c>
      <c r="D181" s="126">
        <v>0</v>
      </c>
      <c r="E181" s="126" t="s">
        <v>72</v>
      </c>
      <c r="F181" s="126" t="s">
        <v>72</v>
      </c>
      <c r="G181" s="126" t="s">
        <v>72</v>
      </c>
      <c r="H181" s="126" t="s">
        <v>72</v>
      </c>
      <c r="I181" s="126" t="s">
        <v>72</v>
      </c>
      <c r="J181" s="118" t="s">
        <v>72</v>
      </c>
      <c r="K181" s="122"/>
    </row>
    <row r="182" spans="2:11" x14ac:dyDescent="0.25"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</row>
    <row r="183" spans="2:11" x14ac:dyDescent="0.25"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</row>
    <row r="184" spans="2:11" x14ac:dyDescent="0.25"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</row>
    <row r="185" spans="2:11" x14ac:dyDescent="0.25">
      <c r="B185" s="122" t="s">
        <v>116</v>
      </c>
      <c r="C185" s="122"/>
      <c r="D185" s="122"/>
      <c r="E185" s="122"/>
      <c r="F185" s="122"/>
      <c r="G185" s="122"/>
      <c r="H185" s="122"/>
      <c r="I185" s="122"/>
      <c r="J185" s="122"/>
      <c r="K185" s="122"/>
    </row>
    <row r="186" spans="2:11" x14ac:dyDescent="0.25">
      <c r="B186" s="122" t="s">
        <v>84</v>
      </c>
      <c r="C186" s="122"/>
      <c r="D186" s="122"/>
      <c r="E186" s="122"/>
      <c r="F186" s="122"/>
      <c r="G186" s="122"/>
      <c r="H186" s="122"/>
      <c r="I186" s="122"/>
      <c r="J186" s="122"/>
      <c r="K186" s="122"/>
    </row>
    <row r="187" spans="2:11" x14ac:dyDescent="0.25">
      <c r="B187" s="122" t="s">
        <v>120</v>
      </c>
      <c r="C187" s="122"/>
      <c r="D187" s="122"/>
      <c r="E187" s="122"/>
      <c r="F187" s="122"/>
      <c r="G187" s="122"/>
      <c r="H187" s="122"/>
      <c r="I187" s="122"/>
      <c r="J187" s="122"/>
      <c r="K187" s="122"/>
    </row>
    <row r="188" spans="2:11" x14ac:dyDescent="0.25"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</row>
    <row r="189" spans="2:11" x14ac:dyDescent="0.25"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</row>
    <row r="190" spans="2:11" x14ac:dyDescent="0.25">
      <c r="B190" s="123" t="s">
        <v>110</v>
      </c>
      <c r="C190" s="123">
        <v>9.02121</v>
      </c>
      <c r="D190" s="123" t="s">
        <v>111</v>
      </c>
      <c r="E190" s="123">
        <v>0.28139999999999998</v>
      </c>
      <c r="F190" s="122"/>
      <c r="G190" s="122"/>
      <c r="H190" s="122"/>
      <c r="I190" s="122"/>
      <c r="J190" s="122"/>
      <c r="K190" s="122"/>
    </row>
    <row r="191" spans="2:11" x14ac:dyDescent="0.25">
      <c r="B191" s="123" t="s">
        <v>112</v>
      </c>
      <c r="C191" s="123">
        <v>5.0862499999999997</v>
      </c>
      <c r="D191" s="123" t="s">
        <v>113</v>
      </c>
      <c r="E191" s="123">
        <v>0.26040000000000002</v>
      </c>
      <c r="F191" s="122"/>
      <c r="G191" s="122"/>
      <c r="H191" s="122"/>
      <c r="I191" s="122"/>
      <c r="J191" s="122"/>
      <c r="K191" s="122"/>
    </row>
    <row r="192" spans="2:11" x14ac:dyDescent="0.25">
      <c r="B192" s="122" t="s">
        <v>114</v>
      </c>
      <c r="C192" s="122">
        <v>177.36439999999999</v>
      </c>
      <c r="D192" s="122"/>
      <c r="E192" s="122"/>
      <c r="F192" s="122"/>
      <c r="G192" s="122"/>
      <c r="H192" s="122"/>
      <c r="I192" s="122"/>
      <c r="J192" s="122"/>
      <c r="K192" s="122"/>
    </row>
    <row r="193" spans="2:11" x14ac:dyDescent="0.25"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</row>
    <row r="194" spans="2:11" x14ac:dyDescent="0.25">
      <c r="B194" s="122" t="s">
        <v>115</v>
      </c>
      <c r="C194" s="122"/>
      <c r="D194" s="122"/>
      <c r="E194" s="122"/>
      <c r="F194" s="122"/>
      <c r="G194" s="122"/>
      <c r="H194" s="122"/>
      <c r="I194" s="122"/>
      <c r="J194" s="122"/>
      <c r="K194" s="122"/>
    </row>
    <row r="195" spans="2:11" x14ac:dyDescent="0.25">
      <c r="B195" s="105" t="s">
        <v>31</v>
      </c>
      <c r="C195" s="134" t="s">
        <v>61</v>
      </c>
      <c r="D195" s="133" t="s">
        <v>62</v>
      </c>
      <c r="E195" s="133" t="s">
        <v>63</v>
      </c>
      <c r="F195" s="133" t="s">
        <v>64</v>
      </c>
      <c r="G195" s="133" t="s">
        <v>65</v>
      </c>
      <c r="H195" s="133" t="s">
        <v>66</v>
      </c>
      <c r="I195" s="192" t="s">
        <v>67</v>
      </c>
      <c r="J195" s="193"/>
      <c r="K195" s="122"/>
    </row>
    <row r="196" spans="2:11" x14ac:dyDescent="0.25">
      <c r="B196" s="107" t="s">
        <v>34</v>
      </c>
      <c r="C196" s="137">
        <v>1</v>
      </c>
      <c r="D196" s="109">
        <v>-3.7384400000000002</v>
      </c>
      <c r="E196" s="109">
        <v>1.75678</v>
      </c>
      <c r="F196" s="109">
        <v>-2.13</v>
      </c>
      <c r="G196" s="110">
        <v>3.4500000000000003E-2</v>
      </c>
      <c r="H196" s="109">
        <v>0</v>
      </c>
      <c r="I196" s="109">
        <v>-6.6412000000000004</v>
      </c>
      <c r="J196" s="111">
        <v>-0.83567999999999998</v>
      </c>
      <c r="K196" s="122"/>
    </row>
    <row r="197" spans="2:11" x14ac:dyDescent="0.25">
      <c r="B197" s="112" t="s">
        <v>51</v>
      </c>
      <c r="C197" s="113">
        <v>1</v>
      </c>
      <c r="D197" s="114">
        <v>1.6501399999999999</v>
      </c>
      <c r="E197" s="114">
        <v>0.44546999999999998</v>
      </c>
      <c r="F197" s="114">
        <v>3.7</v>
      </c>
      <c r="G197" s="115">
        <v>2.9999999999999997E-4</v>
      </c>
      <c r="H197" s="114">
        <v>1.03742</v>
      </c>
      <c r="I197" s="114">
        <v>0.91407000000000005</v>
      </c>
      <c r="J197" s="116">
        <v>2.3862000000000001</v>
      </c>
      <c r="K197" s="122"/>
    </row>
    <row r="198" spans="2:11" x14ac:dyDescent="0.25">
      <c r="B198" s="112" t="s">
        <v>48</v>
      </c>
      <c r="C198" s="113">
        <v>1</v>
      </c>
      <c r="D198" s="114">
        <v>6.1136000000000003E-4</v>
      </c>
      <c r="E198" s="114">
        <v>4.9158999999999997E-4</v>
      </c>
      <c r="F198" s="114">
        <v>1.24</v>
      </c>
      <c r="G198" s="115">
        <v>0.21510000000000001</v>
      </c>
      <c r="H198" s="114">
        <v>1.2761199999999999</v>
      </c>
      <c r="I198" s="114">
        <v>-2.009E-4</v>
      </c>
      <c r="J198" s="116">
        <v>1.42E-3</v>
      </c>
      <c r="K198" s="122"/>
    </row>
    <row r="199" spans="2:11" x14ac:dyDescent="0.25">
      <c r="B199" s="112" t="s">
        <v>49</v>
      </c>
      <c r="C199" s="113">
        <v>1</v>
      </c>
      <c r="D199" s="114">
        <v>5.5748499999999996</v>
      </c>
      <c r="E199" s="114">
        <v>2.6127199999999999</v>
      </c>
      <c r="F199" s="114">
        <v>2.13</v>
      </c>
      <c r="G199" s="115">
        <v>3.4099999999999998E-2</v>
      </c>
      <c r="H199" s="114">
        <v>1.0235700000000001</v>
      </c>
      <c r="I199" s="114">
        <v>1.2578</v>
      </c>
      <c r="J199" s="116">
        <v>9.8918999999999997</v>
      </c>
      <c r="K199" s="122"/>
    </row>
    <row r="200" spans="2:11" x14ac:dyDescent="0.25">
      <c r="B200" s="112" t="s">
        <v>37</v>
      </c>
      <c r="C200" s="113">
        <v>1</v>
      </c>
      <c r="D200" s="114">
        <v>4.6299999999999996E-3</v>
      </c>
      <c r="E200" s="114">
        <v>1.2099999999999999E-3</v>
      </c>
      <c r="F200" s="114">
        <v>3.83</v>
      </c>
      <c r="G200" s="115">
        <v>2.0000000000000001E-4</v>
      </c>
      <c r="H200" s="114">
        <v>1.65313</v>
      </c>
      <c r="I200" s="114">
        <v>2.63E-3</v>
      </c>
      <c r="J200" s="116">
        <v>6.6299999999999996E-3</v>
      </c>
      <c r="K200" s="122"/>
    </row>
    <row r="201" spans="2:11" x14ac:dyDescent="0.25">
      <c r="B201" s="112" t="s">
        <v>36</v>
      </c>
      <c r="C201" s="113">
        <v>1</v>
      </c>
      <c r="D201" s="114">
        <v>3.1620000000000002E-2</v>
      </c>
      <c r="E201" s="114">
        <v>6.0729999999999999E-2</v>
      </c>
      <c r="F201" s="114">
        <v>0.52</v>
      </c>
      <c r="G201" s="115">
        <v>0.60309999999999997</v>
      </c>
      <c r="H201" s="114">
        <v>1.6531100000000001</v>
      </c>
      <c r="I201" s="114">
        <v>-6.8720000000000003E-2</v>
      </c>
      <c r="J201" s="116">
        <v>0.13195999999999999</v>
      </c>
      <c r="K201" s="122"/>
    </row>
    <row r="202" spans="2:11" x14ac:dyDescent="0.25">
      <c r="B202" s="117" t="s">
        <v>117</v>
      </c>
      <c r="C202" s="118">
        <v>1</v>
      </c>
      <c r="D202" s="119">
        <v>5.1776400000000002</v>
      </c>
      <c r="E202" s="119">
        <v>1.8178399999999999</v>
      </c>
      <c r="F202" s="119">
        <v>2.85</v>
      </c>
      <c r="G202" s="120">
        <v>4.7999999999999996E-3</v>
      </c>
      <c r="H202" s="119">
        <v>1.1036300000000001</v>
      </c>
      <c r="I202" s="119">
        <v>2.1739799999999998</v>
      </c>
      <c r="J202" s="121">
        <v>8.1812900000000006</v>
      </c>
      <c r="K202" s="122"/>
    </row>
    <row r="203" spans="2:11" x14ac:dyDescent="0.25"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</row>
    <row r="204" spans="2:11" x14ac:dyDescent="0.25"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</row>
    <row r="205" spans="2:11" x14ac:dyDescent="0.25">
      <c r="B205" s="122" t="s">
        <v>116</v>
      </c>
      <c r="C205" s="122"/>
      <c r="D205" s="122"/>
      <c r="E205" s="122"/>
      <c r="F205" s="122"/>
      <c r="G205" s="122"/>
      <c r="H205" s="122"/>
      <c r="I205" s="122"/>
      <c r="J205" s="122"/>
      <c r="K205" s="122"/>
    </row>
    <row r="206" spans="2:11" x14ac:dyDescent="0.25">
      <c r="B206" s="122" t="s">
        <v>85</v>
      </c>
      <c r="C206" s="122"/>
      <c r="D206" s="122"/>
      <c r="E206" s="122"/>
      <c r="F206" s="122"/>
      <c r="G206" s="122"/>
      <c r="H206" s="122"/>
      <c r="I206" s="122"/>
      <c r="J206" s="122"/>
      <c r="K206" s="122"/>
    </row>
    <row r="207" spans="2:11" x14ac:dyDescent="0.25">
      <c r="B207" s="122" t="s">
        <v>120</v>
      </c>
      <c r="C207" s="122"/>
      <c r="D207" s="122"/>
      <c r="E207" s="122"/>
      <c r="F207" s="122"/>
      <c r="G207" s="122"/>
      <c r="H207" s="122"/>
      <c r="I207" s="122"/>
      <c r="J207" s="122"/>
      <c r="K207" s="122"/>
    </row>
    <row r="208" spans="2:11" x14ac:dyDescent="0.25"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</row>
    <row r="209" spans="2:11" x14ac:dyDescent="0.25"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</row>
    <row r="210" spans="2:11" x14ac:dyDescent="0.25">
      <c r="B210" s="123" t="s">
        <v>110</v>
      </c>
      <c r="C210" s="123">
        <v>8.9909800000000004</v>
      </c>
      <c r="D210" s="123" t="s">
        <v>111</v>
      </c>
      <c r="E210" s="123">
        <v>0.28620000000000001</v>
      </c>
      <c r="F210" s="122"/>
      <c r="G210" s="122"/>
      <c r="H210" s="122"/>
      <c r="I210" s="122"/>
      <c r="J210" s="122"/>
      <c r="K210" s="122"/>
    </row>
    <row r="211" spans="2:11" x14ac:dyDescent="0.25">
      <c r="B211" s="123" t="s">
        <v>112</v>
      </c>
      <c r="C211" s="123">
        <v>5.0862499999999997</v>
      </c>
      <c r="D211" s="123" t="s">
        <v>113</v>
      </c>
      <c r="E211" s="123">
        <v>0.26529999999999998</v>
      </c>
      <c r="F211" s="122"/>
      <c r="G211" s="122"/>
      <c r="H211" s="122"/>
      <c r="I211" s="122"/>
      <c r="J211" s="122"/>
      <c r="K211" s="122"/>
    </row>
    <row r="212" spans="2:11" x14ac:dyDescent="0.25">
      <c r="B212" s="122" t="s">
        <v>114</v>
      </c>
      <c r="C212" s="122">
        <v>176.77021999999999</v>
      </c>
      <c r="D212" s="122"/>
      <c r="E212" s="122"/>
      <c r="F212" s="122"/>
      <c r="G212" s="122"/>
      <c r="H212" s="122"/>
      <c r="I212" s="122"/>
      <c r="J212" s="122"/>
      <c r="K212" s="122"/>
    </row>
    <row r="213" spans="2:11" x14ac:dyDescent="0.25"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</row>
    <row r="214" spans="2:11" x14ac:dyDescent="0.25">
      <c r="B214" s="122" t="s">
        <v>115</v>
      </c>
      <c r="C214" s="122"/>
      <c r="D214" s="122"/>
      <c r="E214" s="122"/>
      <c r="F214" s="122"/>
      <c r="G214" s="122"/>
      <c r="H214" s="122"/>
      <c r="I214" s="122"/>
      <c r="J214" s="122"/>
      <c r="K214" s="122"/>
    </row>
    <row r="215" spans="2:11" x14ac:dyDescent="0.25">
      <c r="B215" s="105" t="s">
        <v>31</v>
      </c>
      <c r="C215" s="134" t="s">
        <v>61</v>
      </c>
      <c r="D215" s="133" t="s">
        <v>62</v>
      </c>
      <c r="E215" s="133" t="s">
        <v>63</v>
      </c>
      <c r="F215" s="133" t="s">
        <v>64</v>
      </c>
      <c r="G215" s="133" t="s">
        <v>65</v>
      </c>
      <c r="H215" s="133" t="s">
        <v>66</v>
      </c>
      <c r="I215" s="192" t="s">
        <v>67</v>
      </c>
      <c r="J215" s="193"/>
      <c r="K215" s="122"/>
    </row>
    <row r="216" spans="2:11" x14ac:dyDescent="0.25">
      <c r="B216" s="107" t="s">
        <v>34</v>
      </c>
      <c r="C216" s="137">
        <v>1</v>
      </c>
      <c r="D216" s="109">
        <v>-4.9762500000000003</v>
      </c>
      <c r="E216" s="109">
        <v>1.9951099999999999</v>
      </c>
      <c r="F216" s="109">
        <v>-2.4900000000000002</v>
      </c>
      <c r="G216" s="110">
        <v>1.34E-2</v>
      </c>
      <c r="H216" s="109">
        <v>0</v>
      </c>
      <c r="I216" s="109">
        <v>-8.2728099999999998</v>
      </c>
      <c r="J216" s="111">
        <v>-1.6796800000000001</v>
      </c>
      <c r="K216" s="122"/>
    </row>
    <row r="217" spans="2:11" x14ac:dyDescent="0.25">
      <c r="B217" s="112" t="s">
        <v>51</v>
      </c>
      <c r="C217" s="113">
        <v>1</v>
      </c>
      <c r="D217" s="114">
        <v>1.6567400000000001</v>
      </c>
      <c r="E217" s="114">
        <v>0.44395000000000001</v>
      </c>
      <c r="F217" s="114">
        <v>3.73</v>
      </c>
      <c r="G217" s="115">
        <v>2.0000000000000001E-4</v>
      </c>
      <c r="H217" s="114">
        <v>1.0373000000000001</v>
      </c>
      <c r="I217" s="114">
        <v>0.92318</v>
      </c>
      <c r="J217" s="116">
        <v>2.3902899999999998</v>
      </c>
      <c r="K217" s="122"/>
    </row>
    <row r="218" spans="2:11" x14ac:dyDescent="0.25">
      <c r="B218" s="112" t="s">
        <v>48</v>
      </c>
      <c r="C218" s="113">
        <v>1</v>
      </c>
      <c r="D218" s="114">
        <v>6.3179999999999996E-4</v>
      </c>
      <c r="E218" s="114">
        <v>4.9023999999999997E-4</v>
      </c>
      <c r="F218" s="114">
        <v>1.29</v>
      </c>
      <c r="G218" s="115">
        <v>0.19889999999999999</v>
      </c>
      <c r="H218" s="114">
        <v>1.2777099999999999</v>
      </c>
      <c r="I218" s="114">
        <v>-1.7825E-4</v>
      </c>
      <c r="J218" s="116">
        <v>1.4400000000000001E-3</v>
      </c>
      <c r="K218" s="122"/>
    </row>
    <row r="219" spans="2:11" x14ac:dyDescent="0.25">
      <c r="B219" s="112" t="s">
        <v>49</v>
      </c>
      <c r="C219" s="113">
        <v>1</v>
      </c>
      <c r="D219" s="114">
        <v>5.6061899999999998</v>
      </c>
      <c r="E219" s="114">
        <v>2.6040700000000001</v>
      </c>
      <c r="F219" s="114">
        <v>2.15</v>
      </c>
      <c r="G219" s="115">
        <v>3.2500000000000001E-2</v>
      </c>
      <c r="H219" s="114">
        <v>1.0236499999999999</v>
      </c>
      <c r="I219" s="114">
        <v>1.3034300000000001</v>
      </c>
      <c r="J219" s="116">
        <v>9.9089500000000008</v>
      </c>
      <c r="K219" s="122"/>
    </row>
    <row r="220" spans="2:11" x14ac:dyDescent="0.25">
      <c r="B220" s="112" t="s">
        <v>37</v>
      </c>
      <c r="C220" s="113">
        <v>1</v>
      </c>
      <c r="D220" s="114">
        <v>4.5799999999999999E-3</v>
      </c>
      <c r="E220" s="114">
        <v>1.2099999999999999E-3</v>
      </c>
      <c r="F220" s="114">
        <v>3.79</v>
      </c>
      <c r="G220" s="115">
        <v>2.0000000000000001E-4</v>
      </c>
      <c r="H220" s="114">
        <v>1.6552199999999999</v>
      </c>
      <c r="I220" s="114">
        <v>2.5799999999999998E-3</v>
      </c>
      <c r="J220" s="116">
        <v>6.5700000000000003E-3</v>
      </c>
      <c r="K220" s="122"/>
    </row>
    <row r="221" spans="2:11" x14ac:dyDescent="0.25">
      <c r="B221" s="112" t="s">
        <v>36</v>
      </c>
      <c r="C221" s="113">
        <v>1</v>
      </c>
      <c r="D221" s="114">
        <v>2.9659999999999999E-2</v>
      </c>
      <c r="E221" s="114">
        <v>6.0510000000000001E-2</v>
      </c>
      <c r="F221" s="114">
        <v>0.49</v>
      </c>
      <c r="G221" s="115">
        <v>0.62450000000000006</v>
      </c>
      <c r="H221" s="114">
        <v>1.6524799999999999</v>
      </c>
      <c r="I221" s="114">
        <v>-7.0319999999999994E-2</v>
      </c>
      <c r="J221" s="116">
        <v>0.12964999999999999</v>
      </c>
      <c r="K221" s="122"/>
    </row>
    <row r="222" spans="2:11" x14ac:dyDescent="0.25">
      <c r="B222" s="117" t="s">
        <v>118</v>
      </c>
      <c r="C222" s="118">
        <v>1</v>
      </c>
      <c r="D222" s="119">
        <v>4.8221600000000002</v>
      </c>
      <c r="E222" s="119">
        <v>1.5606199999999999</v>
      </c>
      <c r="F222" s="119">
        <v>3.09</v>
      </c>
      <c r="G222" s="120">
        <v>2.3E-3</v>
      </c>
      <c r="H222" s="119">
        <v>1.1042099999999999</v>
      </c>
      <c r="I222" s="119">
        <v>2.2435200000000002</v>
      </c>
      <c r="J222" s="121">
        <v>7.4008000000000003</v>
      </c>
      <c r="K222" s="122"/>
    </row>
    <row r="223" spans="2:11" x14ac:dyDescent="0.25"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</row>
    <row r="224" spans="2:11" x14ac:dyDescent="0.25"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</row>
    <row r="225" spans="2:11" x14ac:dyDescent="0.25">
      <c r="B225" s="122" t="s">
        <v>116</v>
      </c>
      <c r="C225" s="122"/>
      <c r="D225" s="122"/>
      <c r="E225" s="122"/>
      <c r="F225" s="122"/>
      <c r="G225" s="122"/>
      <c r="H225" s="122"/>
      <c r="I225" s="122"/>
      <c r="J225" s="122"/>
      <c r="K225" s="122"/>
    </row>
    <row r="226" spans="2:11" x14ac:dyDescent="0.25">
      <c r="B226" s="122" t="s">
        <v>92</v>
      </c>
      <c r="C226" s="122"/>
      <c r="D226" s="122"/>
      <c r="E226" s="122"/>
      <c r="F226" s="122"/>
      <c r="G226" s="122"/>
      <c r="H226" s="122"/>
      <c r="I226" s="122"/>
      <c r="J226" s="122"/>
      <c r="K226" s="122"/>
    </row>
    <row r="227" spans="2:11" x14ac:dyDescent="0.25">
      <c r="B227" s="122" t="s">
        <v>121</v>
      </c>
      <c r="C227" s="122"/>
      <c r="D227" s="122"/>
      <c r="E227" s="122"/>
      <c r="F227" s="122"/>
      <c r="G227" s="122"/>
      <c r="H227" s="122"/>
      <c r="I227" s="122"/>
      <c r="J227" s="122"/>
      <c r="K227" s="122"/>
    </row>
    <row r="228" spans="2:11" x14ac:dyDescent="0.25"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</row>
    <row r="229" spans="2:11" x14ac:dyDescent="0.25"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</row>
    <row r="230" spans="2:11" x14ac:dyDescent="0.25">
      <c r="B230" s="123" t="s">
        <v>110</v>
      </c>
      <c r="C230" s="123">
        <v>8.9255499999999994</v>
      </c>
      <c r="D230" s="123" t="s">
        <v>111</v>
      </c>
      <c r="E230" s="123">
        <v>0.25879999999999997</v>
      </c>
      <c r="F230" s="122"/>
      <c r="G230" s="122"/>
      <c r="H230" s="122"/>
      <c r="I230" s="122"/>
      <c r="J230" s="122"/>
      <c r="K230" s="122"/>
    </row>
    <row r="231" spans="2:11" x14ac:dyDescent="0.25">
      <c r="B231" s="123" t="s">
        <v>112</v>
      </c>
      <c r="C231" s="123">
        <v>4.8888600000000002</v>
      </c>
      <c r="D231" s="123" t="s">
        <v>113</v>
      </c>
      <c r="E231" s="123">
        <v>0.23710000000000001</v>
      </c>
      <c r="F231" s="122"/>
      <c r="G231" s="122"/>
      <c r="H231" s="122"/>
      <c r="I231" s="122"/>
      <c r="J231" s="122"/>
      <c r="K231" s="122"/>
    </row>
    <row r="232" spans="2:11" x14ac:dyDescent="0.25">
      <c r="B232" s="122" t="s">
        <v>114</v>
      </c>
      <c r="C232" s="122">
        <v>182.56917000000001</v>
      </c>
      <c r="D232" s="122"/>
      <c r="E232" s="122"/>
      <c r="F232" s="122"/>
      <c r="G232" s="122"/>
      <c r="H232" s="122"/>
      <c r="I232" s="122"/>
      <c r="J232" s="122"/>
      <c r="K232" s="122"/>
    </row>
    <row r="233" spans="2:11" x14ac:dyDescent="0.25"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</row>
    <row r="234" spans="2:11" x14ac:dyDescent="0.25">
      <c r="B234" s="122" t="s">
        <v>115</v>
      </c>
      <c r="C234" s="122"/>
      <c r="D234" s="122"/>
      <c r="E234" s="122"/>
      <c r="F234" s="122"/>
      <c r="G234" s="122"/>
      <c r="H234" s="122"/>
      <c r="I234" s="122"/>
      <c r="J234" s="122"/>
      <c r="K234" s="122"/>
    </row>
    <row r="235" spans="2:11" x14ac:dyDescent="0.25">
      <c r="B235" s="105" t="s">
        <v>31</v>
      </c>
      <c r="C235" s="134" t="s">
        <v>61</v>
      </c>
      <c r="D235" s="133" t="s">
        <v>62</v>
      </c>
      <c r="E235" s="133" t="s">
        <v>63</v>
      </c>
      <c r="F235" s="133" t="s">
        <v>64</v>
      </c>
      <c r="G235" s="133" t="s">
        <v>65</v>
      </c>
      <c r="H235" s="133" t="s">
        <v>66</v>
      </c>
      <c r="I235" s="192" t="s">
        <v>67</v>
      </c>
      <c r="J235" s="193"/>
      <c r="K235" s="122"/>
    </row>
    <row r="236" spans="2:11" x14ac:dyDescent="0.25">
      <c r="B236" s="107" t="s">
        <v>34</v>
      </c>
      <c r="C236" s="137">
        <v>1</v>
      </c>
      <c r="D236" s="109">
        <v>-1.6691100000000001</v>
      </c>
      <c r="E236" s="109">
        <v>1.1753</v>
      </c>
      <c r="F236" s="109">
        <v>-1.42</v>
      </c>
      <c r="G236" s="110">
        <v>0.15709999999999999</v>
      </c>
      <c r="H236" s="109">
        <v>0</v>
      </c>
      <c r="I236" s="109">
        <v>-3.6110899999999999</v>
      </c>
      <c r="J236" s="111">
        <v>0.27285999999999999</v>
      </c>
      <c r="K236" s="122"/>
    </row>
    <row r="237" spans="2:11" x14ac:dyDescent="0.25">
      <c r="B237" s="112" t="s">
        <v>51</v>
      </c>
      <c r="C237" s="113">
        <v>1</v>
      </c>
      <c r="D237" s="114">
        <v>0.66566999999999998</v>
      </c>
      <c r="E237" s="114">
        <v>0.44061</v>
      </c>
      <c r="F237" s="114">
        <v>1.51</v>
      </c>
      <c r="G237" s="115">
        <v>0.13239999999999999</v>
      </c>
      <c r="H237" s="114">
        <v>1.0367599999999999</v>
      </c>
      <c r="I237" s="114">
        <v>-6.2350000000000003E-2</v>
      </c>
      <c r="J237" s="116">
        <v>1.3936999999999999</v>
      </c>
      <c r="K237" s="122"/>
    </row>
    <row r="238" spans="2:11" x14ac:dyDescent="0.25">
      <c r="B238" s="112" t="s">
        <v>48</v>
      </c>
      <c r="C238" s="113">
        <v>1</v>
      </c>
      <c r="D238" s="114">
        <v>6.7606999999999997E-4</v>
      </c>
      <c r="E238" s="114">
        <v>4.8734000000000001E-4</v>
      </c>
      <c r="F238" s="114">
        <v>1.39</v>
      </c>
      <c r="G238" s="115">
        <v>0.16689999999999999</v>
      </c>
      <c r="H238" s="114">
        <v>1.2811699999999999</v>
      </c>
      <c r="I238" s="114">
        <v>-1.2917000000000001E-4</v>
      </c>
      <c r="J238" s="116">
        <v>1.48E-3</v>
      </c>
      <c r="K238" s="122"/>
    </row>
    <row r="239" spans="2:11" x14ac:dyDescent="0.25">
      <c r="B239" s="112" t="s">
        <v>49</v>
      </c>
      <c r="C239" s="113">
        <v>1</v>
      </c>
      <c r="D239" s="114">
        <v>5.6652800000000001</v>
      </c>
      <c r="E239" s="114">
        <v>2.58528</v>
      </c>
      <c r="F239" s="114">
        <v>2.19</v>
      </c>
      <c r="G239" s="115">
        <v>2.9600000000000001E-2</v>
      </c>
      <c r="H239" s="114">
        <v>1.0237700000000001</v>
      </c>
      <c r="I239" s="114">
        <v>1.39358</v>
      </c>
      <c r="J239" s="116">
        <v>9.9369899999999998</v>
      </c>
      <c r="K239" s="122"/>
    </row>
    <row r="240" spans="2:11" x14ac:dyDescent="0.25">
      <c r="B240" s="112" t="s">
        <v>37</v>
      </c>
      <c r="C240" s="113">
        <v>1</v>
      </c>
      <c r="D240" s="114">
        <v>4.47E-3</v>
      </c>
      <c r="E240" s="114">
        <v>1.1999999999999999E-3</v>
      </c>
      <c r="F240" s="114">
        <v>3.73</v>
      </c>
      <c r="G240" s="115">
        <v>2.9999999999999997E-4</v>
      </c>
      <c r="H240" s="114">
        <v>1.6576299999999999</v>
      </c>
      <c r="I240" s="114">
        <v>2.49E-3</v>
      </c>
      <c r="J240" s="116">
        <v>6.45E-3</v>
      </c>
      <c r="K240" s="122"/>
    </row>
    <row r="241" spans="2:11" x14ac:dyDescent="0.25">
      <c r="B241" s="112" t="s">
        <v>36</v>
      </c>
      <c r="C241" s="113">
        <v>1</v>
      </c>
      <c r="D241" s="114">
        <v>2.683E-2</v>
      </c>
      <c r="E241" s="114">
        <v>6.0010000000000001E-2</v>
      </c>
      <c r="F241" s="114">
        <v>0.45</v>
      </c>
      <c r="G241" s="115">
        <v>0.65529999999999999</v>
      </c>
      <c r="H241" s="114">
        <v>1.6493</v>
      </c>
      <c r="I241" s="114">
        <v>-7.2330000000000005E-2</v>
      </c>
      <c r="J241" s="116">
        <v>0.12598999999999999</v>
      </c>
      <c r="K241" s="122"/>
    </row>
    <row r="242" spans="2:11" x14ac:dyDescent="0.25">
      <c r="B242" s="117" t="s">
        <v>35</v>
      </c>
      <c r="C242" s="118">
        <v>1</v>
      </c>
      <c r="D242" s="119">
        <v>1.5404100000000001</v>
      </c>
      <c r="E242" s="119">
        <v>0.43217</v>
      </c>
      <c r="F242" s="119">
        <v>3.56</v>
      </c>
      <c r="G242" s="120">
        <v>5.0000000000000001E-4</v>
      </c>
      <c r="H242" s="119">
        <v>1.1006400000000001</v>
      </c>
      <c r="I242" s="119">
        <v>0.82633000000000001</v>
      </c>
      <c r="J242" s="121">
        <v>2.2545000000000002</v>
      </c>
      <c r="K242" s="122"/>
    </row>
    <row r="243" spans="2:11" x14ac:dyDescent="0.25"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</row>
    <row r="244" spans="2:11" x14ac:dyDescent="0.25"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</row>
    <row r="245" spans="2:11" x14ac:dyDescent="0.25">
      <c r="B245" s="122" t="s">
        <v>116</v>
      </c>
      <c r="C245" s="122"/>
      <c r="D245" s="122"/>
      <c r="E245" s="122"/>
      <c r="F245" s="122"/>
      <c r="G245" s="122"/>
      <c r="H245" s="122"/>
      <c r="I245" s="122"/>
      <c r="J245" s="122"/>
      <c r="K245" s="122"/>
    </row>
    <row r="246" spans="2:11" x14ac:dyDescent="0.25">
      <c r="B246" s="122" t="s">
        <v>93</v>
      </c>
      <c r="C246" s="122"/>
      <c r="D246" s="122"/>
      <c r="E246" s="122"/>
      <c r="F246" s="122"/>
      <c r="G246" s="122"/>
      <c r="H246" s="122"/>
      <c r="I246" s="122"/>
      <c r="J246" s="122"/>
      <c r="K246" s="122"/>
    </row>
    <row r="247" spans="2:11" x14ac:dyDescent="0.25">
      <c r="B247" s="122" t="s">
        <v>122</v>
      </c>
      <c r="C247" s="122"/>
      <c r="D247" s="122"/>
      <c r="E247" s="122"/>
      <c r="F247" s="122"/>
      <c r="G247" s="122"/>
      <c r="H247" s="122"/>
      <c r="I247" s="122"/>
      <c r="J247" s="122"/>
      <c r="K247" s="122"/>
    </row>
    <row r="248" spans="2:11" x14ac:dyDescent="0.25"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</row>
    <row r="249" spans="2:11" x14ac:dyDescent="0.25"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</row>
    <row r="250" spans="2:11" x14ac:dyDescent="0.25">
      <c r="B250" s="123" t="s">
        <v>110</v>
      </c>
      <c r="C250" s="123">
        <v>8.9255499999999994</v>
      </c>
      <c r="D250" s="123" t="s">
        <v>111</v>
      </c>
      <c r="E250" s="123">
        <v>0.25879999999999997</v>
      </c>
      <c r="F250" s="122"/>
      <c r="G250" s="122"/>
      <c r="H250" s="122"/>
      <c r="I250" s="122"/>
      <c r="J250" s="122"/>
      <c r="K250" s="122"/>
    </row>
    <row r="251" spans="2:11" x14ac:dyDescent="0.25">
      <c r="B251" s="123" t="s">
        <v>112</v>
      </c>
      <c r="C251" s="123">
        <v>4.8888600000000002</v>
      </c>
      <c r="D251" s="123" t="s">
        <v>113</v>
      </c>
      <c r="E251" s="123">
        <v>0.23710000000000001</v>
      </c>
      <c r="F251" s="122"/>
      <c r="G251" s="122"/>
      <c r="H251" s="122"/>
      <c r="I251" s="122"/>
      <c r="J251" s="122"/>
      <c r="K251" s="122"/>
    </row>
    <row r="252" spans="2:11" x14ac:dyDescent="0.25">
      <c r="B252" s="122" t="s">
        <v>114</v>
      </c>
      <c r="C252" s="122">
        <v>182.56917000000001</v>
      </c>
      <c r="D252" s="122"/>
      <c r="E252" s="122"/>
      <c r="F252" s="122"/>
      <c r="G252" s="122"/>
      <c r="H252" s="122"/>
      <c r="I252" s="122"/>
      <c r="J252" s="122"/>
      <c r="K252" s="122"/>
    </row>
    <row r="253" spans="2:11" x14ac:dyDescent="0.25"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</row>
    <row r="254" spans="2:11" x14ac:dyDescent="0.25">
      <c r="B254" s="122" t="s">
        <v>115</v>
      </c>
      <c r="C254" s="122"/>
      <c r="D254" s="122"/>
      <c r="E254" s="122"/>
      <c r="F254" s="122"/>
      <c r="G254" s="122"/>
      <c r="H254" s="122"/>
      <c r="I254" s="122"/>
      <c r="J254" s="122"/>
      <c r="K254" s="122"/>
    </row>
    <row r="255" spans="2:11" x14ac:dyDescent="0.25">
      <c r="B255" s="107" t="s">
        <v>31</v>
      </c>
      <c r="C255" s="137" t="s">
        <v>61</v>
      </c>
      <c r="D255" s="136" t="s">
        <v>62</v>
      </c>
      <c r="E255" s="136" t="s">
        <v>63</v>
      </c>
      <c r="F255" s="136" t="s">
        <v>64</v>
      </c>
      <c r="G255" s="136" t="s">
        <v>65</v>
      </c>
      <c r="H255" s="136" t="s">
        <v>66</v>
      </c>
      <c r="I255" s="194" t="s">
        <v>67</v>
      </c>
      <c r="J255" s="195"/>
      <c r="K255" s="122"/>
    </row>
    <row r="256" spans="2:11" x14ac:dyDescent="0.25">
      <c r="B256" s="107" t="s">
        <v>34</v>
      </c>
      <c r="C256" s="136" t="s">
        <v>70</v>
      </c>
      <c r="D256" s="109">
        <v>-1.6691100000000001</v>
      </c>
      <c r="E256" s="109">
        <v>1.1753</v>
      </c>
      <c r="F256" s="109">
        <v>-1.42</v>
      </c>
      <c r="G256" s="110">
        <v>0.15709999999999999</v>
      </c>
      <c r="H256" s="109">
        <v>0</v>
      </c>
      <c r="I256" s="109">
        <v>-3.6110899999999999</v>
      </c>
      <c r="J256" s="111">
        <v>0.27285999999999999</v>
      </c>
      <c r="K256" s="122"/>
    </row>
    <row r="257" spans="2:11" x14ac:dyDescent="0.25">
      <c r="B257" s="112" t="s">
        <v>51</v>
      </c>
      <c r="C257" s="122">
        <v>1</v>
      </c>
      <c r="D257" s="114">
        <v>0.66566999999999998</v>
      </c>
      <c r="E257" s="114">
        <v>0.44061</v>
      </c>
      <c r="F257" s="114">
        <v>1.51</v>
      </c>
      <c r="G257" s="115">
        <v>0.13239999999999999</v>
      </c>
      <c r="H257" s="114">
        <v>1.0367599999999999</v>
      </c>
      <c r="I257" s="114">
        <v>-6.2350000000000003E-2</v>
      </c>
      <c r="J257" s="116">
        <v>1.3936999999999999</v>
      </c>
      <c r="K257" s="122"/>
    </row>
    <row r="258" spans="2:11" x14ac:dyDescent="0.25">
      <c r="B258" s="112" t="s">
        <v>48</v>
      </c>
      <c r="C258" s="122">
        <v>1</v>
      </c>
      <c r="D258" s="114">
        <v>6.7606999999999997E-4</v>
      </c>
      <c r="E258" s="114">
        <v>4.8734000000000001E-4</v>
      </c>
      <c r="F258" s="114">
        <v>1.39</v>
      </c>
      <c r="G258" s="115">
        <v>0.16689999999999999</v>
      </c>
      <c r="H258" s="114">
        <v>1.2811699999999999</v>
      </c>
      <c r="I258" s="114">
        <v>-1.2917000000000001E-4</v>
      </c>
      <c r="J258" s="116">
        <v>1.48E-3</v>
      </c>
      <c r="K258" s="122"/>
    </row>
    <row r="259" spans="2:11" x14ac:dyDescent="0.25">
      <c r="B259" s="112" t="s">
        <v>49</v>
      </c>
      <c r="C259" s="122">
        <v>1</v>
      </c>
      <c r="D259" s="114">
        <v>5.6652800000000001</v>
      </c>
      <c r="E259" s="114">
        <v>2.58528</v>
      </c>
      <c r="F259" s="114">
        <v>2.19</v>
      </c>
      <c r="G259" s="115">
        <v>2.9600000000000001E-2</v>
      </c>
      <c r="H259" s="114">
        <v>1.0237700000000001</v>
      </c>
      <c r="I259" s="114">
        <v>1.39358</v>
      </c>
      <c r="J259" s="116">
        <v>9.9369899999999998</v>
      </c>
      <c r="K259" s="122"/>
    </row>
    <row r="260" spans="2:11" x14ac:dyDescent="0.25">
      <c r="B260" s="112" t="s">
        <v>37</v>
      </c>
      <c r="C260" s="122">
        <v>1</v>
      </c>
      <c r="D260" s="114">
        <v>4.47E-3</v>
      </c>
      <c r="E260" s="114">
        <v>1.1999999999999999E-3</v>
      </c>
      <c r="F260" s="114">
        <v>3.73</v>
      </c>
      <c r="G260" s="115">
        <v>2.9999999999999997E-4</v>
      </c>
      <c r="H260" s="114">
        <v>1.6576299999999999</v>
      </c>
      <c r="I260" s="114">
        <v>2.49E-3</v>
      </c>
      <c r="J260" s="116">
        <v>6.45E-3</v>
      </c>
      <c r="K260" s="122"/>
    </row>
    <row r="261" spans="2:11" x14ac:dyDescent="0.25">
      <c r="B261" s="112" t="s">
        <v>36</v>
      </c>
      <c r="C261" s="122">
        <v>1</v>
      </c>
      <c r="D261" s="114">
        <v>2.683E-2</v>
      </c>
      <c r="E261" s="114">
        <v>6.0010000000000001E-2</v>
      </c>
      <c r="F261" s="114">
        <v>0.45</v>
      </c>
      <c r="G261" s="115">
        <v>0.65529999999999999</v>
      </c>
      <c r="H261" s="114">
        <v>1.6493</v>
      </c>
      <c r="I261" s="114">
        <v>-7.2330000000000005E-2</v>
      </c>
      <c r="J261" s="116">
        <v>0.12598999999999999</v>
      </c>
      <c r="K261" s="122"/>
    </row>
    <row r="262" spans="2:11" x14ac:dyDescent="0.25">
      <c r="B262" s="112" t="s">
        <v>35</v>
      </c>
      <c r="C262" s="122">
        <v>1</v>
      </c>
      <c r="D262" s="114">
        <v>1.5404100000000001</v>
      </c>
      <c r="E262" s="114">
        <v>0.43217</v>
      </c>
      <c r="F262" s="114">
        <v>3.56</v>
      </c>
      <c r="G262" s="115">
        <v>5.0000000000000001E-4</v>
      </c>
      <c r="H262" s="114">
        <v>1.1006400000000001</v>
      </c>
      <c r="I262" s="114">
        <v>0.82633000000000001</v>
      </c>
      <c r="J262" s="116">
        <v>2.2545000000000002</v>
      </c>
      <c r="K262" s="122"/>
    </row>
    <row r="263" spans="2:11" x14ac:dyDescent="0.25">
      <c r="B263" s="117" t="s">
        <v>71</v>
      </c>
      <c r="C263" s="126">
        <v>0</v>
      </c>
      <c r="D263" s="128">
        <v>0</v>
      </c>
      <c r="E263" s="128" t="s">
        <v>72</v>
      </c>
      <c r="F263" s="128" t="s">
        <v>72</v>
      </c>
      <c r="G263" s="138" t="s">
        <v>72</v>
      </c>
      <c r="H263" s="128" t="s">
        <v>72</v>
      </c>
      <c r="I263" s="128" t="s">
        <v>72</v>
      </c>
      <c r="J263" s="129" t="s">
        <v>72</v>
      </c>
      <c r="K263" s="122"/>
    </row>
    <row r="264" spans="2:11" x14ac:dyDescent="0.25"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</row>
    <row r="265" spans="2:11" x14ac:dyDescent="0.25"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</row>
    <row r="266" spans="2:11" x14ac:dyDescent="0.25">
      <c r="B266" s="122" t="s">
        <v>116</v>
      </c>
      <c r="C266" s="122"/>
      <c r="D266" s="122"/>
      <c r="E266" s="122"/>
      <c r="F266" s="122"/>
      <c r="G266" s="122"/>
      <c r="H266" s="122"/>
      <c r="I266" s="122"/>
      <c r="J266" s="122"/>
      <c r="K266" s="122"/>
    </row>
    <row r="267" spans="2:11" x14ac:dyDescent="0.25">
      <c r="B267" s="122" t="s">
        <v>94</v>
      </c>
      <c r="C267" s="122"/>
      <c r="D267" s="122"/>
      <c r="E267" s="122"/>
      <c r="F267" s="122"/>
      <c r="G267" s="122"/>
      <c r="H267" s="122"/>
      <c r="I267" s="122"/>
      <c r="J267" s="122"/>
      <c r="K267" s="122"/>
    </row>
    <row r="268" spans="2:11" x14ac:dyDescent="0.25">
      <c r="B268" s="122" t="s">
        <v>122</v>
      </c>
      <c r="C268" s="122"/>
      <c r="D268" s="122"/>
      <c r="E268" s="122"/>
      <c r="F268" s="122"/>
      <c r="G268" s="122"/>
      <c r="H268" s="122"/>
      <c r="I268" s="122"/>
      <c r="J268" s="122"/>
      <c r="K268" s="122"/>
    </row>
    <row r="269" spans="2:11" x14ac:dyDescent="0.25"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</row>
    <row r="270" spans="2:11" x14ac:dyDescent="0.25"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</row>
    <row r="271" spans="2:11" x14ac:dyDescent="0.25">
      <c r="B271" s="123" t="s">
        <v>110</v>
      </c>
      <c r="C271" s="123">
        <v>8.7403200000000005</v>
      </c>
      <c r="D271" s="123" t="s">
        <v>111</v>
      </c>
      <c r="E271" s="123">
        <v>0.29270000000000002</v>
      </c>
      <c r="F271" s="122"/>
      <c r="G271" s="122"/>
      <c r="H271" s="122"/>
      <c r="I271" s="122"/>
      <c r="J271" s="122"/>
      <c r="K271" s="122"/>
    </row>
    <row r="272" spans="2:11" x14ac:dyDescent="0.25">
      <c r="B272" s="123" t="s">
        <v>112</v>
      </c>
      <c r="C272" s="123">
        <v>4.8888600000000002</v>
      </c>
      <c r="D272" s="123" t="s">
        <v>113</v>
      </c>
      <c r="E272" s="123">
        <v>0.26840000000000003</v>
      </c>
      <c r="F272" s="122"/>
      <c r="G272" s="122"/>
      <c r="H272" s="122"/>
      <c r="I272" s="122"/>
      <c r="J272" s="122"/>
      <c r="K272" s="122"/>
    </row>
    <row r="273" spans="2:11" x14ac:dyDescent="0.25">
      <c r="B273" s="122" t="s">
        <v>114</v>
      </c>
      <c r="C273" s="122">
        <v>178.78038000000001</v>
      </c>
      <c r="D273" s="122"/>
      <c r="E273" s="122"/>
      <c r="F273" s="122"/>
      <c r="G273" s="122"/>
      <c r="H273" s="122"/>
      <c r="I273" s="122"/>
      <c r="J273" s="122"/>
      <c r="K273" s="122"/>
    </row>
    <row r="274" spans="2:11" x14ac:dyDescent="0.25"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</row>
    <row r="275" spans="2:11" x14ac:dyDescent="0.25">
      <c r="B275" s="122" t="s">
        <v>115</v>
      </c>
      <c r="C275" s="122"/>
      <c r="D275" s="122"/>
      <c r="E275" s="122"/>
      <c r="F275" s="122"/>
      <c r="G275" s="122"/>
      <c r="H275" s="122"/>
      <c r="I275" s="122"/>
      <c r="J275" s="122"/>
      <c r="K275" s="122"/>
    </row>
    <row r="276" spans="2:11" x14ac:dyDescent="0.25">
      <c r="B276" s="107" t="s">
        <v>31</v>
      </c>
      <c r="C276" s="137" t="s">
        <v>61</v>
      </c>
      <c r="D276" s="136" t="s">
        <v>62</v>
      </c>
      <c r="E276" s="136" t="s">
        <v>63</v>
      </c>
      <c r="F276" s="136" t="s">
        <v>64</v>
      </c>
      <c r="G276" s="136" t="s">
        <v>65</v>
      </c>
      <c r="H276" s="136" t="s">
        <v>66</v>
      </c>
      <c r="I276" s="194" t="s">
        <v>67</v>
      </c>
      <c r="J276" s="195"/>
      <c r="K276" s="122"/>
    </row>
    <row r="277" spans="2:11" x14ac:dyDescent="0.25">
      <c r="B277" s="107" t="s">
        <v>34</v>
      </c>
      <c r="C277" s="136">
        <v>1</v>
      </c>
      <c r="D277" s="109">
        <v>1.9972300000000001</v>
      </c>
      <c r="E277" s="109">
        <v>1.64283</v>
      </c>
      <c r="F277" s="109">
        <v>1.22</v>
      </c>
      <c r="G277" s="110">
        <v>0.22550000000000001</v>
      </c>
      <c r="H277" s="109">
        <v>0</v>
      </c>
      <c r="I277" s="109">
        <v>-0.71731999999999996</v>
      </c>
      <c r="J277" s="111">
        <v>4.7117800000000001</v>
      </c>
      <c r="K277" s="122"/>
    </row>
    <row r="278" spans="2:11" x14ac:dyDescent="0.25">
      <c r="B278" s="112" t="s">
        <v>51</v>
      </c>
      <c r="C278" s="122">
        <v>1</v>
      </c>
      <c r="D278" s="114">
        <v>0.62450000000000006</v>
      </c>
      <c r="E278" s="114">
        <v>0.43165999999999999</v>
      </c>
      <c r="F278" s="114">
        <v>1.45</v>
      </c>
      <c r="G278" s="115">
        <v>0.14949999999999999</v>
      </c>
      <c r="H278" s="114">
        <v>1.03772</v>
      </c>
      <c r="I278" s="114">
        <v>-8.8770000000000002E-2</v>
      </c>
      <c r="J278" s="116">
        <v>1.3377600000000001</v>
      </c>
      <c r="K278" s="122"/>
    </row>
    <row r="279" spans="2:11" x14ac:dyDescent="0.25">
      <c r="B279" s="112" t="s">
        <v>48</v>
      </c>
      <c r="C279" s="122">
        <v>1</v>
      </c>
      <c r="D279" s="114">
        <v>7.7289000000000004E-4</v>
      </c>
      <c r="E279" s="114">
        <v>4.7823000000000001E-4</v>
      </c>
      <c r="F279" s="114">
        <v>1.62</v>
      </c>
      <c r="G279" s="115">
        <v>0.1076</v>
      </c>
      <c r="H279" s="114">
        <v>1.2865599999999999</v>
      </c>
      <c r="I279" s="114">
        <v>-1.7309999999999999E-5</v>
      </c>
      <c r="J279" s="116">
        <v>1.56E-3</v>
      </c>
      <c r="K279" s="122"/>
    </row>
    <row r="280" spans="2:11" x14ac:dyDescent="0.25">
      <c r="B280" s="112" t="s">
        <v>49</v>
      </c>
      <c r="C280" s="122">
        <v>1</v>
      </c>
      <c r="D280" s="114">
        <v>5.8147099999999998</v>
      </c>
      <c r="E280" s="114">
        <v>2.53207</v>
      </c>
      <c r="F280" s="114">
        <v>2.2999999999999998</v>
      </c>
      <c r="G280" s="115">
        <v>2.2700000000000001E-2</v>
      </c>
      <c r="H280" s="114">
        <v>1.0241400000000001</v>
      </c>
      <c r="I280" s="114">
        <v>1.6308199999999999</v>
      </c>
      <c r="J280" s="116">
        <v>9.9985999999999997</v>
      </c>
      <c r="K280" s="122"/>
    </row>
    <row r="281" spans="2:11" x14ac:dyDescent="0.25">
      <c r="B281" s="112" t="s">
        <v>37</v>
      </c>
      <c r="C281" s="122">
        <v>1</v>
      </c>
      <c r="D281" s="114">
        <v>4.5399999999999998E-3</v>
      </c>
      <c r="E281" s="114">
        <v>1.17E-3</v>
      </c>
      <c r="F281" s="114">
        <v>3.86</v>
      </c>
      <c r="G281" s="115">
        <v>2.0000000000000001E-4</v>
      </c>
      <c r="H281" s="114">
        <v>1.6581600000000001</v>
      </c>
      <c r="I281" s="114">
        <v>2.5999999999999999E-3</v>
      </c>
      <c r="J281" s="116">
        <v>6.4799999999999996E-3</v>
      </c>
      <c r="K281" s="122"/>
    </row>
    <row r="282" spans="2:11" x14ac:dyDescent="0.25">
      <c r="B282" s="112" t="s">
        <v>36</v>
      </c>
      <c r="C282" s="122">
        <v>1</v>
      </c>
      <c r="D282" s="114">
        <v>3.2969999999999999E-2</v>
      </c>
      <c r="E282" s="114">
        <v>5.8799999999999998E-2</v>
      </c>
      <c r="F282" s="114">
        <v>0.56000000000000005</v>
      </c>
      <c r="G282" s="115">
        <v>0.5756</v>
      </c>
      <c r="H282" s="114">
        <v>1.6511400000000001</v>
      </c>
      <c r="I282" s="114">
        <v>-6.4189999999999997E-2</v>
      </c>
      <c r="J282" s="116">
        <v>0.13014000000000001</v>
      </c>
      <c r="K282" s="122"/>
    </row>
    <row r="283" spans="2:11" x14ac:dyDescent="0.25">
      <c r="B283" s="112" t="s">
        <v>35</v>
      </c>
      <c r="C283" s="122">
        <v>1</v>
      </c>
      <c r="D283" s="114">
        <v>-2.2382</v>
      </c>
      <c r="E283" s="114">
        <v>1.2801800000000001</v>
      </c>
      <c r="F283" s="114">
        <v>-1.75</v>
      </c>
      <c r="G283" s="115">
        <v>8.1900000000000001E-2</v>
      </c>
      <c r="H283" s="114">
        <v>10.07155</v>
      </c>
      <c r="I283" s="114">
        <v>-4.35351</v>
      </c>
      <c r="J283" s="116">
        <v>-0.12288</v>
      </c>
      <c r="K283" s="122"/>
    </row>
    <row r="284" spans="2:11" x14ac:dyDescent="0.25">
      <c r="B284" s="117" t="s">
        <v>42</v>
      </c>
      <c r="C284" s="126">
        <v>1</v>
      </c>
      <c r="D284" s="126">
        <v>0.43215999999999999</v>
      </c>
      <c r="E284" s="126">
        <v>0.13818</v>
      </c>
      <c r="F284" s="126">
        <v>3.13</v>
      </c>
      <c r="G284" s="126">
        <v>2E-3</v>
      </c>
      <c r="H284" s="126">
        <v>9.8587100000000003</v>
      </c>
      <c r="I284" s="126">
        <v>0.20383000000000001</v>
      </c>
      <c r="J284" s="118">
        <v>0.66049000000000002</v>
      </c>
      <c r="K284" s="122"/>
    </row>
    <row r="285" spans="2:11" x14ac:dyDescent="0.25"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</row>
    <row r="286" spans="2:11" x14ac:dyDescent="0.25"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</row>
    <row r="287" spans="2:11" x14ac:dyDescent="0.25">
      <c r="B287" s="122" t="s">
        <v>116</v>
      </c>
      <c r="C287" s="122"/>
      <c r="D287" s="122"/>
      <c r="E287" s="122"/>
      <c r="F287" s="122"/>
      <c r="G287" s="122"/>
      <c r="H287" s="122"/>
      <c r="I287" s="122"/>
      <c r="J287" s="122"/>
      <c r="K287" s="122"/>
    </row>
    <row r="288" spans="2:11" x14ac:dyDescent="0.25">
      <c r="B288" s="122" t="s">
        <v>95</v>
      </c>
      <c r="C288" s="122"/>
      <c r="D288" s="122"/>
      <c r="E288" s="122"/>
      <c r="F288" s="122"/>
      <c r="G288" s="122"/>
      <c r="H288" s="122"/>
      <c r="I288" s="122"/>
      <c r="J288" s="122"/>
      <c r="K288" s="122"/>
    </row>
    <row r="289" spans="2:11" x14ac:dyDescent="0.25">
      <c r="B289" s="122" t="s">
        <v>122</v>
      </c>
      <c r="C289" s="122"/>
      <c r="D289" s="122"/>
      <c r="E289" s="122"/>
      <c r="F289" s="122"/>
      <c r="G289" s="122"/>
      <c r="H289" s="122"/>
      <c r="I289" s="122"/>
      <c r="J289" s="122"/>
      <c r="K289" s="122"/>
    </row>
    <row r="290" spans="2:11" x14ac:dyDescent="0.25"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</row>
    <row r="291" spans="2:11" x14ac:dyDescent="0.25"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</row>
    <row r="292" spans="2:11" x14ac:dyDescent="0.25">
      <c r="B292" s="123" t="s">
        <v>110</v>
      </c>
      <c r="C292" s="123">
        <v>8.7403200000000005</v>
      </c>
      <c r="D292" s="123" t="s">
        <v>111</v>
      </c>
      <c r="E292" s="123">
        <v>0.29270000000000002</v>
      </c>
      <c r="F292" s="122"/>
      <c r="G292" s="122"/>
      <c r="H292" s="122"/>
      <c r="I292" s="122"/>
      <c r="J292" s="122"/>
      <c r="K292" s="122"/>
    </row>
    <row r="293" spans="2:11" x14ac:dyDescent="0.25">
      <c r="B293" s="123" t="s">
        <v>112</v>
      </c>
      <c r="C293" s="123">
        <v>4.8888600000000002</v>
      </c>
      <c r="D293" s="123" t="s">
        <v>113</v>
      </c>
      <c r="E293" s="123">
        <v>0.26840000000000003</v>
      </c>
      <c r="F293" s="122"/>
      <c r="G293" s="122"/>
      <c r="H293" s="122"/>
      <c r="I293" s="122"/>
      <c r="J293" s="122"/>
      <c r="K293" s="122"/>
    </row>
    <row r="294" spans="2:11" x14ac:dyDescent="0.25">
      <c r="B294" s="122" t="s">
        <v>114</v>
      </c>
      <c r="C294" s="122">
        <v>178.78038000000001</v>
      </c>
      <c r="D294" s="122"/>
      <c r="E294" s="122"/>
      <c r="F294" s="122"/>
      <c r="G294" s="122"/>
      <c r="H294" s="122"/>
      <c r="I294" s="122"/>
      <c r="J294" s="122"/>
      <c r="K294" s="122"/>
    </row>
    <row r="295" spans="2:11" x14ac:dyDescent="0.25"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</row>
    <row r="296" spans="2:11" x14ac:dyDescent="0.25">
      <c r="B296" s="122" t="s">
        <v>115</v>
      </c>
      <c r="C296" s="122"/>
      <c r="D296" s="122"/>
      <c r="E296" s="122"/>
      <c r="F296" s="122"/>
      <c r="G296" s="122"/>
      <c r="H296" s="122"/>
      <c r="I296" s="122"/>
      <c r="J296" s="122"/>
      <c r="K296" s="122"/>
    </row>
    <row r="297" spans="2:11" x14ac:dyDescent="0.25">
      <c r="B297" s="107" t="s">
        <v>31</v>
      </c>
      <c r="C297" s="137" t="s">
        <v>61</v>
      </c>
      <c r="D297" s="136" t="s">
        <v>62</v>
      </c>
      <c r="E297" s="136" t="s">
        <v>63</v>
      </c>
      <c r="F297" s="136" t="s">
        <v>64</v>
      </c>
      <c r="G297" s="136" t="s">
        <v>65</v>
      </c>
      <c r="H297" s="136" t="s">
        <v>66</v>
      </c>
      <c r="I297" s="194" t="s">
        <v>67</v>
      </c>
      <c r="J297" s="195"/>
      <c r="K297" s="122"/>
    </row>
    <row r="298" spans="2:11" x14ac:dyDescent="0.25">
      <c r="B298" s="107" t="s">
        <v>34</v>
      </c>
      <c r="C298" s="136" t="s">
        <v>70</v>
      </c>
      <c r="D298" s="109">
        <v>1.9972300000000001</v>
      </c>
      <c r="E298" s="109">
        <v>1.64283</v>
      </c>
      <c r="F298" s="109">
        <v>1.22</v>
      </c>
      <c r="G298" s="110">
        <v>0.22550000000000001</v>
      </c>
      <c r="H298" s="109">
        <v>0</v>
      </c>
      <c r="I298" s="109">
        <v>-0.71731999999999996</v>
      </c>
      <c r="J298" s="111">
        <v>4.7117800000000001</v>
      </c>
      <c r="K298" s="122"/>
    </row>
    <row r="299" spans="2:11" x14ac:dyDescent="0.25">
      <c r="B299" s="112" t="s">
        <v>51</v>
      </c>
      <c r="C299" s="122">
        <v>1</v>
      </c>
      <c r="D299" s="114">
        <v>0.62450000000000006</v>
      </c>
      <c r="E299" s="114">
        <v>0.43165999999999999</v>
      </c>
      <c r="F299" s="114">
        <v>1.45</v>
      </c>
      <c r="G299" s="115">
        <v>0.14949999999999999</v>
      </c>
      <c r="H299" s="114">
        <v>1.03772</v>
      </c>
      <c r="I299" s="114">
        <v>-8.8770000000000002E-2</v>
      </c>
      <c r="J299" s="116">
        <v>1.3377600000000001</v>
      </c>
      <c r="K299" s="122"/>
    </row>
    <row r="300" spans="2:11" x14ac:dyDescent="0.25">
      <c r="B300" s="112" t="s">
        <v>48</v>
      </c>
      <c r="C300" s="122">
        <v>1</v>
      </c>
      <c r="D300" s="114">
        <v>7.7289000000000004E-4</v>
      </c>
      <c r="E300" s="114">
        <v>4.7823000000000001E-4</v>
      </c>
      <c r="F300" s="114">
        <v>1.62</v>
      </c>
      <c r="G300" s="115">
        <v>0.1076</v>
      </c>
      <c r="H300" s="114">
        <v>1.2865599999999999</v>
      </c>
      <c r="I300" s="114">
        <v>-1.7309999999999999E-5</v>
      </c>
      <c r="J300" s="116">
        <v>1.56E-3</v>
      </c>
      <c r="K300" s="122"/>
    </row>
    <row r="301" spans="2:11" x14ac:dyDescent="0.25">
      <c r="B301" s="112" t="s">
        <v>49</v>
      </c>
      <c r="C301" s="122">
        <v>1</v>
      </c>
      <c r="D301" s="114">
        <v>5.8147099999999998</v>
      </c>
      <c r="E301" s="114">
        <v>2.53207</v>
      </c>
      <c r="F301" s="114">
        <v>2.2999999999999998</v>
      </c>
      <c r="G301" s="115">
        <v>2.2700000000000001E-2</v>
      </c>
      <c r="H301" s="114">
        <v>1.0241400000000001</v>
      </c>
      <c r="I301" s="114">
        <v>1.6308199999999999</v>
      </c>
      <c r="J301" s="116">
        <v>9.9985999999999997</v>
      </c>
      <c r="K301" s="122"/>
    </row>
    <row r="302" spans="2:11" x14ac:dyDescent="0.25">
      <c r="B302" s="112" t="s">
        <v>37</v>
      </c>
      <c r="C302" s="122">
        <v>1</v>
      </c>
      <c r="D302" s="114">
        <v>4.5399999999999998E-3</v>
      </c>
      <c r="E302" s="114">
        <v>1.17E-3</v>
      </c>
      <c r="F302" s="114">
        <v>3.86</v>
      </c>
      <c r="G302" s="115">
        <v>2.0000000000000001E-4</v>
      </c>
      <c r="H302" s="114">
        <v>1.6581600000000001</v>
      </c>
      <c r="I302" s="114">
        <v>2.5999999999999999E-3</v>
      </c>
      <c r="J302" s="116">
        <v>6.4799999999999996E-3</v>
      </c>
      <c r="K302" s="122"/>
    </row>
    <row r="303" spans="2:11" x14ac:dyDescent="0.25">
      <c r="B303" s="112" t="s">
        <v>36</v>
      </c>
      <c r="C303" s="122">
        <v>1</v>
      </c>
      <c r="D303" s="114">
        <v>3.2969999999999999E-2</v>
      </c>
      <c r="E303" s="114">
        <v>5.8799999999999998E-2</v>
      </c>
      <c r="F303" s="114">
        <v>0.56000000000000005</v>
      </c>
      <c r="G303" s="115">
        <v>0.5756</v>
      </c>
      <c r="H303" s="114">
        <v>1.6511400000000001</v>
      </c>
      <c r="I303" s="114">
        <v>-6.4189999999999997E-2</v>
      </c>
      <c r="J303" s="116">
        <v>0.13014000000000001</v>
      </c>
      <c r="K303" s="122"/>
    </row>
    <row r="304" spans="2:11" x14ac:dyDescent="0.25">
      <c r="B304" s="112" t="s">
        <v>35</v>
      </c>
      <c r="C304" s="122">
        <v>1</v>
      </c>
      <c r="D304" s="114">
        <v>-2.2382</v>
      </c>
      <c r="E304" s="114">
        <v>1.2801800000000001</v>
      </c>
      <c r="F304" s="114">
        <v>-1.75</v>
      </c>
      <c r="G304" s="115">
        <v>8.1900000000000001E-2</v>
      </c>
      <c r="H304" s="114">
        <v>10.07155</v>
      </c>
      <c r="I304" s="114">
        <v>-4.35351</v>
      </c>
      <c r="J304" s="116">
        <v>-0.12288</v>
      </c>
      <c r="K304" s="122"/>
    </row>
    <row r="305" spans="2:11" x14ac:dyDescent="0.25">
      <c r="B305" s="112" t="s">
        <v>42</v>
      </c>
      <c r="C305" s="122">
        <v>1</v>
      </c>
      <c r="D305" s="122">
        <v>0.43215999999999999</v>
      </c>
      <c r="E305" s="122">
        <v>0.13818</v>
      </c>
      <c r="F305" s="122">
        <v>3.13</v>
      </c>
      <c r="G305" s="122">
        <v>2E-3</v>
      </c>
      <c r="H305" s="122">
        <v>9.8587100000000003</v>
      </c>
      <c r="I305" s="122">
        <v>0.20383000000000001</v>
      </c>
      <c r="J305" s="113">
        <v>0.66049000000000002</v>
      </c>
      <c r="K305" s="122"/>
    </row>
    <row r="306" spans="2:11" x14ac:dyDescent="0.25">
      <c r="B306" s="117" t="s">
        <v>71</v>
      </c>
      <c r="C306" s="126">
        <v>0</v>
      </c>
      <c r="D306" s="128">
        <v>0</v>
      </c>
      <c r="E306" s="128" t="s">
        <v>72</v>
      </c>
      <c r="F306" s="128" t="s">
        <v>72</v>
      </c>
      <c r="G306" s="138" t="s">
        <v>72</v>
      </c>
      <c r="H306" s="128" t="s">
        <v>72</v>
      </c>
      <c r="I306" s="128" t="s">
        <v>72</v>
      </c>
      <c r="J306" s="129" t="s">
        <v>72</v>
      </c>
      <c r="K306" s="122"/>
    </row>
    <row r="307" spans="2:11" x14ac:dyDescent="0.25"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</row>
    <row r="308" spans="2:11" x14ac:dyDescent="0.25"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</row>
    <row r="309" spans="2:11" x14ac:dyDescent="0.25">
      <c r="B309" s="122" t="s">
        <v>116</v>
      </c>
      <c r="C309" s="122"/>
      <c r="D309" s="122"/>
      <c r="E309" s="122"/>
      <c r="F309" s="122"/>
      <c r="G309" s="122"/>
      <c r="H309" s="122"/>
      <c r="I309" s="122"/>
      <c r="J309" s="122"/>
      <c r="K309" s="122"/>
    </row>
    <row r="310" spans="2:11" x14ac:dyDescent="0.25">
      <c r="B310" s="122" t="s">
        <v>96</v>
      </c>
      <c r="C310" s="122"/>
      <c r="D310" s="122"/>
      <c r="E310" s="122"/>
      <c r="F310" s="122"/>
      <c r="G310" s="122"/>
      <c r="H310" s="122"/>
      <c r="I310" s="122"/>
      <c r="J310" s="122"/>
      <c r="K310" s="122"/>
    </row>
    <row r="311" spans="2:11" x14ac:dyDescent="0.25">
      <c r="B311" s="122" t="s">
        <v>122</v>
      </c>
      <c r="C311" s="122"/>
      <c r="D311" s="122"/>
      <c r="E311" s="122"/>
      <c r="F311" s="122"/>
      <c r="G311" s="122"/>
      <c r="H311" s="122"/>
      <c r="I311" s="122"/>
      <c r="J311" s="122"/>
      <c r="K311" s="122"/>
    </row>
    <row r="312" spans="2:11" x14ac:dyDescent="0.25"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</row>
    <row r="313" spans="2:11" x14ac:dyDescent="0.25"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</row>
    <row r="314" spans="2:11" x14ac:dyDescent="0.25">
      <c r="B314" s="123" t="s">
        <v>110</v>
      </c>
      <c r="C314" s="123">
        <v>9.02121</v>
      </c>
      <c r="D314" s="123" t="s">
        <v>111</v>
      </c>
      <c r="E314" s="123">
        <v>0.24279999999999999</v>
      </c>
      <c r="F314" s="122"/>
      <c r="G314" s="122"/>
      <c r="H314" s="122"/>
      <c r="I314" s="122"/>
      <c r="J314" s="122"/>
      <c r="K314" s="122"/>
    </row>
    <row r="315" spans="2:11" x14ac:dyDescent="0.25">
      <c r="B315" s="123" t="s">
        <v>112</v>
      </c>
      <c r="C315" s="123">
        <v>4.8888600000000002</v>
      </c>
      <c r="D315" s="123" t="s">
        <v>113</v>
      </c>
      <c r="E315" s="123">
        <v>0.22059999999999999</v>
      </c>
      <c r="F315" s="122"/>
      <c r="G315" s="122"/>
      <c r="H315" s="122"/>
      <c r="I315" s="122"/>
      <c r="J315" s="122"/>
      <c r="K315" s="122"/>
    </row>
    <row r="316" spans="2:11" x14ac:dyDescent="0.25">
      <c r="B316" s="122" t="s">
        <v>114</v>
      </c>
      <c r="C316" s="122">
        <v>184.5258</v>
      </c>
      <c r="D316" s="122"/>
      <c r="E316" s="122"/>
      <c r="F316" s="122"/>
      <c r="G316" s="122"/>
      <c r="H316" s="122"/>
      <c r="I316" s="122"/>
      <c r="J316" s="122"/>
      <c r="K316" s="122"/>
    </row>
    <row r="317" spans="2:11" x14ac:dyDescent="0.25"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</row>
    <row r="318" spans="2:11" x14ac:dyDescent="0.25">
      <c r="B318" s="122" t="s">
        <v>115</v>
      </c>
      <c r="C318" s="122"/>
      <c r="D318" s="122"/>
      <c r="E318" s="122"/>
      <c r="F318" s="122"/>
      <c r="G318" s="122"/>
      <c r="H318" s="122"/>
      <c r="I318" s="122"/>
      <c r="J318" s="122"/>
      <c r="K318" s="122"/>
    </row>
    <row r="319" spans="2:11" x14ac:dyDescent="0.25">
      <c r="B319" s="107" t="s">
        <v>31</v>
      </c>
      <c r="C319" s="137" t="s">
        <v>61</v>
      </c>
      <c r="D319" s="136" t="s">
        <v>62</v>
      </c>
      <c r="E319" s="136" t="s">
        <v>63</v>
      </c>
      <c r="F319" s="136" t="s">
        <v>64</v>
      </c>
      <c r="G319" s="136" t="s">
        <v>65</v>
      </c>
      <c r="H319" s="136" t="s">
        <v>66</v>
      </c>
      <c r="I319" s="194" t="s">
        <v>67</v>
      </c>
      <c r="J319" s="195"/>
      <c r="K319" s="122"/>
    </row>
    <row r="320" spans="2:11" x14ac:dyDescent="0.25">
      <c r="B320" s="107" t="s">
        <v>34</v>
      </c>
      <c r="C320" s="136">
        <v>1</v>
      </c>
      <c r="D320" s="109">
        <v>-3.7384400000000002</v>
      </c>
      <c r="E320" s="109">
        <v>1.75678</v>
      </c>
      <c r="F320" s="109">
        <v>-2.13</v>
      </c>
      <c r="G320" s="110">
        <v>3.4500000000000003E-2</v>
      </c>
      <c r="H320" s="109">
        <v>0</v>
      </c>
      <c r="I320" s="109">
        <v>-6.6412000000000004</v>
      </c>
      <c r="J320" s="111">
        <v>-0.83567999999999998</v>
      </c>
      <c r="K320" s="122"/>
    </row>
    <row r="321" spans="2:11" x14ac:dyDescent="0.25">
      <c r="B321" s="112" t="s">
        <v>51</v>
      </c>
      <c r="C321" s="122">
        <v>1</v>
      </c>
      <c r="D321" s="114">
        <v>0.65014000000000005</v>
      </c>
      <c r="E321" s="114">
        <v>0.44546999999999998</v>
      </c>
      <c r="F321" s="114">
        <v>1.46</v>
      </c>
      <c r="G321" s="115">
        <v>0.14599999999999999</v>
      </c>
      <c r="H321" s="114">
        <v>1.03742</v>
      </c>
      <c r="I321" s="114">
        <v>-8.5930000000000006E-2</v>
      </c>
      <c r="J321" s="116">
        <v>1.3862000000000001</v>
      </c>
      <c r="K321" s="122"/>
    </row>
    <row r="322" spans="2:11" x14ac:dyDescent="0.25">
      <c r="B322" s="112" t="s">
        <v>48</v>
      </c>
      <c r="C322" s="122">
        <v>1</v>
      </c>
      <c r="D322" s="114">
        <v>6.1136000000000003E-4</v>
      </c>
      <c r="E322" s="114">
        <v>4.9158999999999997E-4</v>
      </c>
      <c r="F322" s="114">
        <v>1.24</v>
      </c>
      <c r="G322" s="115">
        <v>0.21510000000000001</v>
      </c>
      <c r="H322" s="114">
        <v>1.2761199999999999</v>
      </c>
      <c r="I322" s="114">
        <v>-2.009E-4</v>
      </c>
      <c r="J322" s="116">
        <v>1.42E-3</v>
      </c>
      <c r="K322" s="122"/>
    </row>
    <row r="323" spans="2:11" x14ac:dyDescent="0.25">
      <c r="B323" s="112" t="s">
        <v>49</v>
      </c>
      <c r="C323" s="122">
        <v>1</v>
      </c>
      <c r="D323" s="114">
        <v>5.5748499999999996</v>
      </c>
      <c r="E323" s="114">
        <v>2.6127199999999999</v>
      </c>
      <c r="F323" s="114">
        <v>2.13</v>
      </c>
      <c r="G323" s="115">
        <v>3.4099999999999998E-2</v>
      </c>
      <c r="H323" s="114">
        <v>1.0235700000000001</v>
      </c>
      <c r="I323" s="114">
        <v>1.2578</v>
      </c>
      <c r="J323" s="116">
        <v>9.8918999999999997</v>
      </c>
      <c r="K323" s="122"/>
    </row>
    <row r="324" spans="2:11" x14ac:dyDescent="0.25">
      <c r="B324" s="112" t="s">
        <v>37</v>
      </c>
      <c r="C324" s="122">
        <v>1</v>
      </c>
      <c r="D324" s="114">
        <v>4.6299999999999996E-3</v>
      </c>
      <c r="E324" s="114">
        <v>1.2099999999999999E-3</v>
      </c>
      <c r="F324" s="114">
        <v>3.83</v>
      </c>
      <c r="G324" s="115">
        <v>2.0000000000000001E-4</v>
      </c>
      <c r="H324" s="114">
        <v>1.65313</v>
      </c>
      <c r="I324" s="114">
        <v>2.63E-3</v>
      </c>
      <c r="J324" s="116">
        <v>6.6299999999999996E-3</v>
      </c>
      <c r="K324" s="122"/>
    </row>
    <row r="325" spans="2:11" x14ac:dyDescent="0.25">
      <c r="B325" s="112" t="s">
        <v>36</v>
      </c>
      <c r="C325" s="122">
        <v>1</v>
      </c>
      <c r="D325" s="114">
        <v>3.1620000000000002E-2</v>
      </c>
      <c r="E325" s="114">
        <v>6.0729999999999999E-2</v>
      </c>
      <c r="F325" s="114">
        <v>0.52</v>
      </c>
      <c r="G325" s="115">
        <v>0.60309999999999997</v>
      </c>
      <c r="H325" s="114">
        <v>1.6531100000000001</v>
      </c>
      <c r="I325" s="114">
        <v>-6.8720000000000003E-2</v>
      </c>
      <c r="J325" s="116">
        <v>0.13195999999999999</v>
      </c>
      <c r="K325" s="122"/>
    </row>
    <row r="326" spans="2:11" x14ac:dyDescent="0.25">
      <c r="B326" s="117" t="s">
        <v>117</v>
      </c>
      <c r="C326" s="126">
        <v>1</v>
      </c>
      <c r="D326" s="119">
        <v>5.1776400000000002</v>
      </c>
      <c r="E326" s="119">
        <v>1.8178399999999999</v>
      </c>
      <c r="F326" s="119">
        <v>2.85</v>
      </c>
      <c r="G326" s="120">
        <v>4.7999999999999996E-3</v>
      </c>
      <c r="H326" s="119">
        <v>1.1036300000000001</v>
      </c>
      <c r="I326" s="119">
        <v>2.1739799999999998</v>
      </c>
      <c r="J326" s="121">
        <v>8.1812900000000006</v>
      </c>
      <c r="K326" s="122"/>
    </row>
    <row r="327" spans="2:11" x14ac:dyDescent="0.25"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</row>
    <row r="328" spans="2:11" x14ac:dyDescent="0.25"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</row>
    <row r="329" spans="2:11" x14ac:dyDescent="0.25">
      <c r="B329" s="122" t="s">
        <v>116</v>
      </c>
      <c r="C329" s="122"/>
      <c r="D329" s="122"/>
      <c r="E329" s="122"/>
      <c r="F329" s="122"/>
      <c r="G329" s="122"/>
      <c r="H329" s="122"/>
      <c r="I329" s="122"/>
      <c r="J329" s="122"/>
      <c r="K329" s="122"/>
    </row>
    <row r="330" spans="2:11" x14ac:dyDescent="0.25">
      <c r="B330" s="122" t="s">
        <v>97</v>
      </c>
      <c r="C330" s="122"/>
      <c r="D330" s="122"/>
      <c r="E330" s="122"/>
      <c r="F330" s="122"/>
      <c r="G330" s="122"/>
      <c r="H330" s="122"/>
      <c r="I330" s="122"/>
      <c r="J330" s="122"/>
      <c r="K330" s="122"/>
    </row>
    <row r="331" spans="2:11" x14ac:dyDescent="0.25">
      <c r="B331" s="122" t="s">
        <v>122</v>
      </c>
      <c r="C331" s="122"/>
      <c r="D331" s="122"/>
      <c r="E331" s="122"/>
      <c r="F331" s="122"/>
      <c r="G331" s="122"/>
      <c r="H331" s="122"/>
      <c r="I331" s="122"/>
      <c r="J331" s="122"/>
      <c r="K331" s="122"/>
    </row>
    <row r="332" spans="2:11" x14ac:dyDescent="0.25"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</row>
    <row r="333" spans="2:11" x14ac:dyDescent="0.25"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</row>
    <row r="334" spans="2:11" x14ac:dyDescent="0.25">
      <c r="B334" s="123" t="s">
        <v>110</v>
      </c>
      <c r="C334" s="123">
        <v>8.9909800000000004</v>
      </c>
      <c r="D334" s="123" t="s">
        <v>111</v>
      </c>
      <c r="E334" s="123">
        <v>0.24790000000000001</v>
      </c>
      <c r="F334" s="122"/>
      <c r="G334" s="122"/>
      <c r="H334" s="122"/>
      <c r="I334" s="122"/>
      <c r="J334" s="122"/>
      <c r="K334" s="122"/>
    </row>
    <row r="335" spans="2:11" x14ac:dyDescent="0.25">
      <c r="B335" s="123" t="s">
        <v>112</v>
      </c>
      <c r="C335" s="123">
        <v>4.8888600000000002</v>
      </c>
      <c r="D335" s="123" t="s">
        <v>113</v>
      </c>
      <c r="E335" s="123">
        <v>0.2258</v>
      </c>
      <c r="F335" s="122"/>
      <c r="G335" s="122"/>
      <c r="H335" s="122"/>
      <c r="I335" s="122"/>
      <c r="J335" s="122"/>
      <c r="K335" s="122"/>
    </row>
    <row r="336" spans="2:11" x14ac:dyDescent="0.25">
      <c r="B336" s="122" t="s">
        <v>114</v>
      </c>
      <c r="C336" s="122">
        <v>183.90763000000001</v>
      </c>
      <c r="D336" s="122"/>
      <c r="E336" s="122"/>
      <c r="F336" s="122"/>
      <c r="G336" s="122"/>
      <c r="H336" s="122"/>
      <c r="I336" s="122"/>
      <c r="J336" s="122"/>
      <c r="K336" s="122"/>
    </row>
    <row r="337" spans="2:11" x14ac:dyDescent="0.25"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</row>
    <row r="338" spans="2:11" x14ac:dyDescent="0.25">
      <c r="B338" s="122" t="s">
        <v>115</v>
      </c>
      <c r="C338" s="122"/>
      <c r="D338" s="122"/>
      <c r="E338" s="122"/>
      <c r="F338" s="122"/>
      <c r="G338" s="122"/>
      <c r="H338" s="122"/>
      <c r="I338" s="122"/>
      <c r="J338" s="122"/>
      <c r="K338" s="122"/>
    </row>
    <row r="339" spans="2:11" x14ac:dyDescent="0.25">
      <c r="B339" s="107" t="s">
        <v>31</v>
      </c>
      <c r="C339" s="137" t="s">
        <v>61</v>
      </c>
      <c r="D339" s="136" t="s">
        <v>62</v>
      </c>
      <c r="E339" s="136" t="s">
        <v>63</v>
      </c>
      <c r="F339" s="136" t="s">
        <v>64</v>
      </c>
      <c r="G339" s="136" t="s">
        <v>65</v>
      </c>
      <c r="H339" s="136" t="s">
        <v>66</v>
      </c>
      <c r="I339" s="194" t="s">
        <v>67</v>
      </c>
      <c r="J339" s="195"/>
      <c r="K339" s="122"/>
    </row>
    <row r="340" spans="2:11" x14ac:dyDescent="0.25">
      <c r="B340" s="107" t="s">
        <v>34</v>
      </c>
      <c r="C340" s="136">
        <v>1</v>
      </c>
      <c r="D340" s="109">
        <v>-4.9762500000000003</v>
      </c>
      <c r="E340" s="109">
        <v>1.9951099999999999</v>
      </c>
      <c r="F340" s="109">
        <v>-2.4900000000000002</v>
      </c>
      <c r="G340" s="110">
        <v>1.34E-2</v>
      </c>
      <c r="H340" s="109">
        <v>0</v>
      </c>
      <c r="I340" s="109">
        <v>-8.2728099999999998</v>
      </c>
      <c r="J340" s="111">
        <v>-1.6796800000000001</v>
      </c>
      <c r="K340" s="122"/>
    </row>
    <row r="341" spans="2:11" x14ac:dyDescent="0.25">
      <c r="B341" s="112" t="s">
        <v>51</v>
      </c>
      <c r="C341" s="122">
        <v>1</v>
      </c>
      <c r="D341" s="114">
        <v>0.65673999999999999</v>
      </c>
      <c r="E341" s="114">
        <v>0.44395000000000001</v>
      </c>
      <c r="F341" s="114">
        <v>1.48</v>
      </c>
      <c r="G341" s="115">
        <v>0.1406</v>
      </c>
      <c r="H341" s="114">
        <v>1.0373000000000001</v>
      </c>
      <c r="I341" s="114">
        <v>-7.6819999999999999E-2</v>
      </c>
      <c r="J341" s="116">
        <v>1.39029</v>
      </c>
      <c r="K341" s="122"/>
    </row>
    <row r="342" spans="2:11" x14ac:dyDescent="0.25">
      <c r="B342" s="112" t="s">
        <v>48</v>
      </c>
      <c r="C342" s="122">
        <v>1</v>
      </c>
      <c r="D342" s="114">
        <v>6.3179999999999996E-4</v>
      </c>
      <c r="E342" s="114">
        <v>4.9023999999999997E-4</v>
      </c>
      <c r="F342" s="114">
        <v>1.29</v>
      </c>
      <c r="G342" s="115">
        <v>0.19889999999999999</v>
      </c>
      <c r="H342" s="114">
        <v>1.2777099999999999</v>
      </c>
      <c r="I342" s="114">
        <v>-1.7825E-4</v>
      </c>
      <c r="J342" s="116">
        <v>1.4400000000000001E-3</v>
      </c>
      <c r="K342" s="122"/>
    </row>
    <row r="343" spans="2:11" x14ac:dyDescent="0.25">
      <c r="B343" s="112" t="s">
        <v>49</v>
      </c>
      <c r="C343" s="122">
        <v>1</v>
      </c>
      <c r="D343" s="114">
        <v>5.6061899999999998</v>
      </c>
      <c r="E343" s="114">
        <v>2.6040700000000001</v>
      </c>
      <c r="F343" s="114">
        <v>2.15</v>
      </c>
      <c r="G343" s="115">
        <v>3.2500000000000001E-2</v>
      </c>
      <c r="H343" s="114">
        <v>1.0236499999999999</v>
      </c>
      <c r="I343" s="114">
        <v>1.3034300000000001</v>
      </c>
      <c r="J343" s="116">
        <v>9.9089500000000008</v>
      </c>
      <c r="K343" s="122"/>
    </row>
    <row r="344" spans="2:11" x14ac:dyDescent="0.25">
      <c r="B344" s="112" t="s">
        <v>37</v>
      </c>
      <c r="C344" s="122">
        <v>1</v>
      </c>
      <c r="D344" s="114">
        <v>4.5799999999999999E-3</v>
      </c>
      <c r="E344" s="114">
        <v>1.2099999999999999E-3</v>
      </c>
      <c r="F344" s="114">
        <v>3.79</v>
      </c>
      <c r="G344" s="115">
        <v>2.0000000000000001E-4</v>
      </c>
      <c r="H344" s="114">
        <v>1.6552199999999999</v>
      </c>
      <c r="I344" s="114">
        <v>2.5799999999999998E-3</v>
      </c>
      <c r="J344" s="116">
        <v>6.5700000000000003E-3</v>
      </c>
      <c r="K344" s="122"/>
    </row>
    <row r="345" spans="2:11" x14ac:dyDescent="0.25">
      <c r="B345" s="112" t="s">
        <v>36</v>
      </c>
      <c r="C345" s="122">
        <v>1</v>
      </c>
      <c r="D345" s="114">
        <v>2.9659999999999999E-2</v>
      </c>
      <c r="E345" s="114">
        <v>6.0510000000000001E-2</v>
      </c>
      <c r="F345" s="114">
        <v>0.49</v>
      </c>
      <c r="G345" s="115">
        <v>0.62450000000000006</v>
      </c>
      <c r="H345" s="114">
        <v>1.6524799999999999</v>
      </c>
      <c r="I345" s="114">
        <v>-7.0319999999999994E-2</v>
      </c>
      <c r="J345" s="116">
        <v>0.12964999999999999</v>
      </c>
      <c r="K345" s="122"/>
    </row>
    <row r="346" spans="2:11" x14ac:dyDescent="0.25">
      <c r="B346" s="117" t="s">
        <v>118</v>
      </c>
      <c r="C346" s="126">
        <v>1</v>
      </c>
      <c r="D346" s="119">
        <v>4.8221600000000002</v>
      </c>
      <c r="E346" s="119">
        <v>1.5606199999999999</v>
      </c>
      <c r="F346" s="119">
        <v>3.09</v>
      </c>
      <c r="G346" s="120">
        <v>2.3E-3</v>
      </c>
      <c r="H346" s="119">
        <v>1.1042099999999999</v>
      </c>
      <c r="I346" s="119">
        <v>2.2435200000000002</v>
      </c>
      <c r="J346" s="121">
        <v>7.4008000000000003</v>
      </c>
      <c r="K346" s="122"/>
    </row>
    <row r="347" spans="2:11" x14ac:dyDescent="0.25"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</row>
    <row r="348" spans="2:11" x14ac:dyDescent="0.25"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</row>
    <row r="349" spans="2:11" x14ac:dyDescent="0.25">
      <c r="B349" s="122" t="s">
        <v>116</v>
      </c>
      <c r="C349" s="122"/>
      <c r="D349" s="122"/>
      <c r="E349" s="122"/>
      <c r="F349" s="122"/>
      <c r="G349" s="122"/>
      <c r="H349" s="122"/>
      <c r="I349" s="122"/>
      <c r="J349" s="122"/>
      <c r="K349" s="122"/>
    </row>
    <row r="350" spans="2:11" x14ac:dyDescent="0.25">
      <c r="B350" s="122" t="s">
        <v>104</v>
      </c>
      <c r="C350" s="122"/>
      <c r="D350" s="122"/>
      <c r="E350" s="122"/>
      <c r="F350" s="122"/>
      <c r="G350" s="122"/>
      <c r="H350" s="122"/>
      <c r="I350" s="122"/>
      <c r="J350" s="122"/>
      <c r="K350" s="122"/>
    </row>
    <row r="351" spans="2:11" x14ac:dyDescent="0.25">
      <c r="B351" s="122" t="s">
        <v>123</v>
      </c>
      <c r="C351" s="122"/>
      <c r="D351" s="122"/>
      <c r="E351" s="122"/>
      <c r="F351" s="122"/>
      <c r="G351" s="122"/>
      <c r="H351" s="122"/>
      <c r="I351" s="122"/>
      <c r="J351" s="122"/>
      <c r="K351" s="122"/>
    </row>
    <row r="352" spans="2:11" x14ac:dyDescent="0.25"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</row>
    <row r="353" spans="2:11" x14ac:dyDescent="0.25"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</row>
    <row r="354" spans="2:11" x14ac:dyDescent="0.25">
      <c r="B354" s="123" t="s">
        <v>110</v>
      </c>
      <c r="C354" s="123">
        <v>8.9255499999999994</v>
      </c>
      <c r="D354" s="123" t="s">
        <v>111</v>
      </c>
      <c r="E354" s="123">
        <v>0.36230000000000001</v>
      </c>
      <c r="F354" s="122"/>
      <c r="G354" s="122"/>
      <c r="H354" s="122"/>
      <c r="I354" s="122"/>
      <c r="J354" s="122"/>
      <c r="K354" s="122"/>
    </row>
    <row r="355" spans="2:11" x14ac:dyDescent="0.25">
      <c r="B355" s="123" t="s">
        <v>112</v>
      </c>
      <c r="C355" s="123">
        <v>6.6711600000000004</v>
      </c>
      <c r="D355" s="123" t="s">
        <v>113</v>
      </c>
      <c r="E355" s="123">
        <v>0.34360000000000002</v>
      </c>
      <c r="F355" s="122"/>
      <c r="G355" s="122"/>
      <c r="H355" s="122"/>
      <c r="I355" s="122"/>
      <c r="J355" s="122"/>
      <c r="K355" s="122"/>
    </row>
    <row r="356" spans="2:11" x14ac:dyDescent="0.25">
      <c r="B356" s="122" t="s">
        <v>114</v>
      </c>
      <c r="C356" s="122">
        <v>133.79303999999999</v>
      </c>
      <c r="D356" s="122"/>
      <c r="E356" s="122"/>
      <c r="F356" s="122"/>
      <c r="G356" s="122"/>
      <c r="H356" s="122"/>
      <c r="I356" s="122"/>
      <c r="J356" s="122"/>
      <c r="K356" s="122"/>
    </row>
    <row r="357" spans="2:11" x14ac:dyDescent="0.25"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</row>
    <row r="358" spans="2:11" x14ac:dyDescent="0.25">
      <c r="B358" s="122" t="s">
        <v>115</v>
      </c>
      <c r="C358" s="122"/>
      <c r="D358" s="122"/>
      <c r="E358" s="122"/>
      <c r="F358" s="122"/>
      <c r="G358" s="122"/>
      <c r="H358" s="122"/>
      <c r="I358" s="122"/>
      <c r="J358" s="122"/>
      <c r="K358" s="122"/>
    </row>
    <row r="359" spans="2:11" x14ac:dyDescent="0.25">
      <c r="B359" s="105" t="s">
        <v>31</v>
      </c>
      <c r="C359" s="134" t="s">
        <v>61</v>
      </c>
      <c r="D359" s="133" t="s">
        <v>62</v>
      </c>
      <c r="E359" s="133" t="s">
        <v>63</v>
      </c>
      <c r="F359" s="133" t="s">
        <v>64</v>
      </c>
      <c r="G359" s="133" t="s">
        <v>65</v>
      </c>
      <c r="H359" s="133" t="s">
        <v>66</v>
      </c>
      <c r="I359" s="192" t="s">
        <v>67</v>
      </c>
      <c r="J359" s="193"/>
      <c r="K359" s="122"/>
    </row>
    <row r="360" spans="2:11" x14ac:dyDescent="0.25">
      <c r="B360" s="107" t="s">
        <v>34</v>
      </c>
      <c r="C360" s="137">
        <v>1</v>
      </c>
      <c r="D360" s="109">
        <v>-1.6691100000000001</v>
      </c>
      <c r="E360" s="109">
        <v>1.1753</v>
      </c>
      <c r="F360" s="109">
        <v>-1.42</v>
      </c>
      <c r="G360" s="110">
        <v>0.15709999999999999</v>
      </c>
      <c r="H360" s="109">
        <v>0</v>
      </c>
      <c r="I360" s="109">
        <v>-3.6110899999999999</v>
      </c>
      <c r="J360" s="111">
        <v>0.27285999999999999</v>
      </c>
      <c r="K360" s="122"/>
    </row>
    <row r="361" spans="2:11" x14ac:dyDescent="0.25">
      <c r="B361" s="112" t="s">
        <v>68</v>
      </c>
      <c r="C361" s="113">
        <v>1</v>
      </c>
      <c r="D361" s="114">
        <v>1.66567</v>
      </c>
      <c r="E361" s="114">
        <v>0.44061</v>
      </c>
      <c r="F361" s="114">
        <v>3.78</v>
      </c>
      <c r="G361" s="115">
        <v>2.0000000000000001E-4</v>
      </c>
      <c r="H361" s="114">
        <v>1.0367599999999999</v>
      </c>
      <c r="I361" s="114">
        <v>0.93764999999999998</v>
      </c>
      <c r="J361" s="116">
        <v>2.3936999999999999</v>
      </c>
      <c r="K361" s="122"/>
    </row>
    <row r="362" spans="2:11" x14ac:dyDescent="0.25">
      <c r="B362" s="112" t="s">
        <v>48</v>
      </c>
      <c r="C362" s="113">
        <v>1</v>
      </c>
      <c r="D362" s="114">
        <v>6.7606999999999997E-4</v>
      </c>
      <c r="E362" s="114">
        <v>4.8734000000000001E-4</v>
      </c>
      <c r="F362" s="114">
        <v>1.39</v>
      </c>
      <c r="G362" s="115">
        <v>0.16689999999999999</v>
      </c>
      <c r="H362" s="114">
        <v>1.2811699999999999</v>
      </c>
      <c r="I362" s="114">
        <v>-1.2917000000000001E-4</v>
      </c>
      <c r="J362" s="116">
        <v>1.48E-3</v>
      </c>
      <c r="K362" s="122"/>
    </row>
    <row r="363" spans="2:11" x14ac:dyDescent="0.25">
      <c r="B363" s="112" t="s">
        <v>49</v>
      </c>
      <c r="C363" s="113">
        <v>1</v>
      </c>
      <c r="D363" s="114">
        <v>5.6652800000000001</v>
      </c>
      <c r="E363" s="114">
        <v>2.58528</v>
      </c>
      <c r="F363" s="114">
        <v>2.19</v>
      </c>
      <c r="G363" s="115">
        <v>2.9600000000000001E-2</v>
      </c>
      <c r="H363" s="114">
        <v>1.0237700000000001</v>
      </c>
      <c r="I363" s="114">
        <v>1.39358</v>
      </c>
      <c r="J363" s="116">
        <v>9.9369899999999998</v>
      </c>
      <c r="K363" s="122"/>
    </row>
    <row r="364" spans="2:11" x14ac:dyDescent="0.25">
      <c r="B364" s="112" t="s">
        <v>37</v>
      </c>
      <c r="C364" s="113">
        <v>1</v>
      </c>
      <c r="D364" s="114">
        <v>4.47E-3</v>
      </c>
      <c r="E364" s="114">
        <v>1.1999999999999999E-3</v>
      </c>
      <c r="F364" s="114">
        <v>3.73</v>
      </c>
      <c r="G364" s="115">
        <v>2.9999999999999997E-4</v>
      </c>
      <c r="H364" s="114">
        <v>1.6576299999999999</v>
      </c>
      <c r="I364" s="114">
        <v>2.49E-3</v>
      </c>
      <c r="J364" s="116">
        <v>6.45E-3</v>
      </c>
      <c r="K364" s="122"/>
    </row>
    <row r="365" spans="2:11" x14ac:dyDescent="0.25">
      <c r="B365" s="112" t="s">
        <v>36</v>
      </c>
      <c r="C365" s="113">
        <v>1</v>
      </c>
      <c r="D365" s="114">
        <v>2.683E-2</v>
      </c>
      <c r="E365" s="114">
        <v>6.0010000000000001E-2</v>
      </c>
      <c r="F365" s="114">
        <v>0.45</v>
      </c>
      <c r="G365" s="115">
        <v>0.65529999999999999</v>
      </c>
      <c r="H365" s="114">
        <v>1.6493</v>
      </c>
      <c r="I365" s="114">
        <v>-7.2330000000000005E-2</v>
      </c>
      <c r="J365" s="116">
        <v>0.12598999999999999</v>
      </c>
      <c r="K365" s="122"/>
    </row>
    <row r="366" spans="2:11" x14ac:dyDescent="0.25">
      <c r="B366" s="117" t="s">
        <v>35</v>
      </c>
      <c r="C366" s="118">
        <v>1</v>
      </c>
      <c r="D366" s="119">
        <v>2.5404100000000001</v>
      </c>
      <c r="E366" s="119">
        <v>0.43217</v>
      </c>
      <c r="F366" s="119">
        <v>5.88</v>
      </c>
      <c r="G366" s="120">
        <v>1E-4</v>
      </c>
      <c r="H366" s="119">
        <v>1.1006400000000001</v>
      </c>
      <c r="I366" s="119">
        <v>1.82633</v>
      </c>
      <c r="J366" s="121">
        <v>3.2545000000000002</v>
      </c>
      <c r="K366" s="122"/>
    </row>
    <row r="367" spans="2:11" x14ac:dyDescent="0.25"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</row>
    <row r="368" spans="2:11" x14ac:dyDescent="0.25"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</row>
    <row r="369" spans="2:11" x14ac:dyDescent="0.25">
      <c r="B369" s="122" t="s">
        <v>116</v>
      </c>
      <c r="C369" s="122"/>
      <c r="D369" s="122"/>
      <c r="E369" s="122"/>
      <c r="F369" s="122"/>
      <c r="G369" s="122"/>
      <c r="H369" s="122"/>
      <c r="I369" s="122"/>
      <c r="J369" s="122"/>
      <c r="K369" s="122"/>
    </row>
    <row r="370" spans="2:11" x14ac:dyDescent="0.25">
      <c r="B370" s="122" t="s">
        <v>105</v>
      </c>
      <c r="C370" s="122"/>
      <c r="D370" s="122"/>
      <c r="E370" s="122"/>
      <c r="F370" s="122"/>
      <c r="G370" s="122"/>
      <c r="H370" s="122"/>
      <c r="I370" s="122"/>
      <c r="J370" s="122"/>
      <c r="K370" s="122"/>
    </row>
    <row r="371" spans="2:11" x14ac:dyDescent="0.25">
      <c r="B371" s="122" t="s">
        <v>123</v>
      </c>
      <c r="C371" s="122"/>
      <c r="D371" s="122"/>
      <c r="E371" s="122"/>
      <c r="F371" s="122"/>
      <c r="G371" s="122"/>
      <c r="H371" s="122"/>
      <c r="I371" s="122"/>
      <c r="J371" s="122"/>
      <c r="K371" s="122"/>
    </row>
    <row r="372" spans="2:11" x14ac:dyDescent="0.25"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</row>
    <row r="373" spans="2:11" x14ac:dyDescent="0.25"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</row>
    <row r="374" spans="2:11" x14ac:dyDescent="0.25">
      <c r="B374" s="123" t="s">
        <v>110</v>
      </c>
      <c r="C374" s="123">
        <v>8.9255499999999994</v>
      </c>
      <c r="D374" s="123" t="s">
        <v>111</v>
      </c>
      <c r="E374" s="123">
        <v>0.36230000000000001</v>
      </c>
      <c r="F374" s="122"/>
      <c r="G374" s="122"/>
      <c r="H374" s="122"/>
      <c r="I374" s="122"/>
      <c r="J374" s="122"/>
      <c r="K374" s="122"/>
    </row>
    <row r="375" spans="2:11" x14ac:dyDescent="0.25">
      <c r="B375" s="123" t="s">
        <v>112</v>
      </c>
      <c r="C375" s="123">
        <v>6.6711600000000004</v>
      </c>
      <c r="D375" s="123" t="s">
        <v>113</v>
      </c>
      <c r="E375" s="123">
        <v>0.34360000000000002</v>
      </c>
      <c r="F375" s="122"/>
      <c r="G375" s="122"/>
      <c r="H375" s="122"/>
      <c r="I375" s="122"/>
      <c r="J375" s="122"/>
      <c r="K375" s="122"/>
    </row>
    <row r="376" spans="2:11" x14ac:dyDescent="0.25">
      <c r="B376" s="122" t="s">
        <v>114</v>
      </c>
      <c r="C376" s="122">
        <v>133.79303999999999</v>
      </c>
      <c r="D376" s="122"/>
      <c r="E376" s="122"/>
      <c r="F376" s="122"/>
      <c r="G376" s="122"/>
      <c r="H376" s="122"/>
      <c r="I376" s="122"/>
      <c r="J376" s="122"/>
      <c r="K376" s="122"/>
    </row>
    <row r="377" spans="2:11" x14ac:dyDescent="0.25"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</row>
    <row r="378" spans="2:11" x14ac:dyDescent="0.25">
      <c r="B378" s="122" t="s">
        <v>115</v>
      </c>
      <c r="C378" s="122"/>
      <c r="D378" s="122"/>
      <c r="E378" s="122"/>
      <c r="F378" s="122"/>
      <c r="G378" s="122"/>
      <c r="H378" s="122"/>
      <c r="I378" s="122"/>
      <c r="J378" s="122"/>
      <c r="K378" s="122"/>
    </row>
    <row r="379" spans="2:11" x14ac:dyDescent="0.25">
      <c r="B379" s="107" t="s">
        <v>31</v>
      </c>
      <c r="C379" s="137" t="s">
        <v>61</v>
      </c>
      <c r="D379" s="136" t="s">
        <v>62</v>
      </c>
      <c r="E379" s="136" t="s">
        <v>63</v>
      </c>
      <c r="F379" s="136" t="s">
        <v>64</v>
      </c>
      <c r="G379" s="136" t="s">
        <v>65</v>
      </c>
      <c r="H379" s="136" t="s">
        <v>66</v>
      </c>
      <c r="I379" s="194" t="s">
        <v>67</v>
      </c>
      <c r="J379" s="195"/>
      <c r="K379" s="122"/>
    </row>
    <row r="380" spans="2:11" x14ac:dyDescent="0.25">
      <c r="B380" s="107" t="s">
        <v>34</v>
      </c>
      <c r="C380" s="136" t="s">
        <v>70</v>
      </c>
      <c r="D380" s="109">
        <v>-1.6691100000000001</v>
      </c>
      <c r="E380" s="109">
        <v>1.1753</v>
      </c>
      <c r="F380" s="109">
        <v>-1.42</v>
      </c>
      <c r="G380" s="110">
        <v>0.15709999999999999</v>
      </c>
      <c r="H380" s="109">
        <v>0</v>
      </c>
      <c r="I380" s="109">
        <v>-3.6110899999999999</v>
      </c>
      <c r="J380" s="111">
        <v>0.27285999999999999</v>
      </c>
      <c r="K380" s="122"/>
    </row>
    <row r="381" spans="2:11" x14ac:dyDescent="0.25">
      <c r="B381" s="112" t="s">
        <v>68</v>
      </c>
      <c r="C381" s="122">
        <v>1</v>
      </c>
      <c r="D381" s="114">
        <v>1.66567</v>
      </c>
      <c r="E381" s="114">
        <v>0.44061</v>
      </c>
      <c r="F381" s="114">
        <v>3.78</v>
      </c>
      <c r="G381" s="115">
        <v>2.0000000000000001E-4</v>
      </c>
      <c r="H381" s="114">
        <v>1.0367599999999999</v>
      </c>
      <c r="I381" s="114">
        <v>0.93764999999999998</v>
      </c>
      <c r="J381" s="116">
        <v>2.3936999999999999</v>
      </c>
      <c r="K381" s="122"/>
    </row>
    <row r="382" spans="2:11" x14ac:dyDescent="0.25">
      <c r="B382" s="112" t="s">
        <v>48</v>
      </c>
      <c r="C382" s="122">
        <v>1</v>
      </c>
      <c r="D382" s="114">
        <v>6.7606999999999997E-4</v>
      </c>
      <c r="E382" s="114">
        <v>4.8734000000000001E-4</v>
      </c>
      <c r="F382" s="114">
        <v>1.39</v>
      </c>
      <c r="G382" s="115">
        <v>0.16689999999999999</v>
      </c>
      <c r="H382" s="114">
        <v>1.2811699999999999</v>
      </c>
      <c r="I382" s="114">
        <v>-1.2917000000000001E-4</v>
      </c>
      <c r="J382" s="116">
        <v>1.48E-3</v>
      </c>
      <c r="K382" s="122"/>
    </row>
    <row r="383" spans="2:11" x14ac:dyDescent="0.25">
      <c r="B383" s="112" t="s">
        <v>49</v>
      </c>
      <c r="C383" s="122">
        <v>1</v>
      </c>
      <c r="D383" s="114">
        <v>5.6652800000000001</v>
      </c>
      <c r="E383" s="114">
        <v>2.58528</v>
      </c>
      <c r="F383" s="114">
        <v>2.19</v>
      </c>
      <c r="G383" s="115">
        <v>2.9600000000000001E-2</v>
      </c>
      <c r="H383" s="114">
        <v>1.0237700000000001</v>
      </c>
      <c r="I383" s="114">
        <v>1.39358</v>
      </c>
      <c r="J383" s="116">
        <v>9.9369899999999998</v>
      </c>
      <c r="K383" s="122"/>
    </row>
    <row r="384" spans="2:11" x14ac:dyDescent="0.25">
      <c r="B384" s="112" t="s">
        <v>37</v>
      </c>
      <c r="C384" s="122">
        <v>1</v>
      </c>
      <c r="D384" s="114">
        <v>4.47E-3</v>
      </c>
      <c r="E384" s="114">
        <v>1.1999999999999999E-3</v>
      </c>
      <c r="F384" s="114">
        <v>3.73</v>
      </c>
      <c r="G384" s="115">
        <v>2.9999999999999997E-4</v>
      </c>
      <c r="H384" s="114">
        <v>1.6576299999999999</v>
      </c>
      <c r="I384" s="114">
        <v>2.49E-3</v>
      </c>
      <c r="J384" s="116">
        <v>6.45E-3</v>
      </c>
      <c r="K384" s="122"/>
    </row>
    <row r="385" spans="2:11" x14ac:dyDescent="0.25">
      <c r="B385" s="112" t="s">
        <v>36</v>
      </c>
      <c r="C385" s="122">
        <v>1</v>
      </c>
      <c r="D385" s="114">
        <v>2.683E-2</v>
      </c>
      <c r="E385" s="114">
        <v>6.0010000000000001E-2</v>
      </c>
      <c r="F385" s="114">
        <v>0.45</v>
      </c>
      <c r="G385" s="115">
        <v>0.65529999999999999</v>
      </c>
      <c r="H385" s="114">
        <v>1.6493</v>
      </c>
      <c r="I385" s="114">
        <v>-7.2330000000000005E-2</v>
      </c>
      <c r="J385" s="116">
        <v>0.12598999999999999</v>
      </c>
      <c r="K385" s="122"/>
    </row>
    <row r="386" spans="2:11" x14ac:dyDescent="0.25">
      <c r="B386" s="112" t="s">
        <v>35</v>
      </c>
      <c r="C386" s="122">
        <v>1</v>
      </c>
      <c r="D386" s="114">
        <v>2.5404100000000001</v>
      </c>
      <c r="E386" s="114">
        <v>0.43217</v>
      </c>
      <c r="F386" s="114">
        <v>5.88</v>
      </c>
      <c r="G386" s="115">
        <v>1E-4</v>
      </c>
      <c r="H386" s="114">
        <v>1.1006400000000001</v>
      </c>
      <c r="I386" s="114">
        <v>1.82633</v>
      </c>
      <c r="J386" s="116">
        <v>3.2545000000000002</v>
      </c>
      <c r="K386" s="122"/>
    </row>
    <row r="387" spans="2:11" x14ac:dyDescent="0.25">
      <c r="B387" s="117" t="s">
        <v>71</v>
      </c>
      <c r="C387" s="126">
        <v>0</v>
      </c>
      <c r="D387" s="128">
        <v>0</v>
      </c>
      <c r="E387" s="128" t="s">
        <v>72</v>
      </c>
      <c r="F387" s="128" t="s">
        <v>72</v>
      </c>
      <c r="G387" s="138" t="s">
        <v>72</v>
      </c>
      <c r="H387" s="128" t="s">
        <v>72</v>
      </c>
      <c r="I387" s="128" t="s">
        <v>72</v>
      </c>
      <c r="J387" s="129" t="s">
        <v>72</v>
      </c>
      <c r="K387" s="122"/>
    </row>
    <row r="388" spans="2:11" x14ac:dyDescent="0.25"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</row>
    <row r="389" spans="2:11" x14ac:dyDescent="0.25">
      <c r="B389" s="122" t="s">
        <v>116</v>
      </c>
      <c r="C389" s="122"/>
      <c r="D389" s="122"/>
      <c r="E389" s="122"/>
      <c r="F389" s="122"/>
      <c r="G389" s="122"/>
      <c r="H389" s="122"/>
      <c r="I389" s="122"/>
      <c r="J389" s="122"/>
      <c r="K389" s="122"/>
    </row>
    <row r="390" spans="2:11" x14ac:dyDescent="0.25">
      <c r="B390" s="122" t="s">
        <v>106</v>
      </c>
      <c r="C390" s="122"/>
      <c r="D390" s="122"/>
      <c r="E390" s="122"/>
      <c r="F390" s="122"/>
      <c r="G390" s="122"/>
      <c r="H390" s="122"/>
      <c r="I390" s="122"/>
      <c r="J390" s="122"/>
      <c r="K390" s="122"/>
    </row>
    <row r="391" spans="2:11" x14ac:dyDescent="0.25">
      <c r="B391" s="122" t="s">
        <v>123</v>
      </c>
      <c r="C391" s="122"/>
      <c r="D391" s="122"/>
      <c r="E391" s="122"/>
      <c r="F391" s="122"/>
      <c r="G391" s="122"/>
      <c r="H391" s="122"/>
      <c r="I391" s="122"/>
      <c r="J391" s="122"/>
      <c r="K391" s="122"/>
    </row>
    <row r="392" spans="2:11" x14ac:dyDescent="0.25"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</row>
    <row r="393" spans="2:11" x14ac:dyDescent="0.25"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</row>
    <row r="394" spans="2:11" x14ac:dyDescent="0.25">
      <c r="B394" s="123" t="s">
        <v>110</v>
      </c>
      <c r="C394" s="123">
        <v>8.7403200000000005</v>
      </c>
      <c r="D394" s="123" t="s">
        <v>111</v>
      </c>
      <c r="E394" s="123">
        <v>0.39150000000000001</v>
      </c>
      <c r="F394" s="122"/>
      <c r="G394" s="122"/>
      <c r="H394" s="122"/>
      <c r="I394" s="122"/>
      <c r="J394" s="122"/>
      <c r="K394" s="122"/>
    </row>
    <row r="395" spans="2:11" x14ac:dyDescent="0.25">
      <c r="B395" s="123" t="s">
        <v>112</v>
      </c>
      <c r="C395" s="123">
        <v>6.6711600000000004</v>
      </c>
      <c r="D395" s="123" t="s">
        <v>113</v>
      </c>
      <c r="E395" s="123">
        <v>0.37059999999999998</v>
      </c>
      <c r="F395" s="122"/>
      <c r="G395" s="122"/>
      <c r="H395" s="122"/>
      <c r="I395" s="122"/>
      <c r="J395" s="122"/>
      <c r="K395" s="122"/>
    </row>
    <row r="396" spans="2:11" x14ac:dyDescent="0.25">
      <c r="B396" s="122" t="s">
        <v>114</v>
      </c>
      <c r="C396" s="122">
        <v>131.01648</v>
      </c>
      <c r="D396" s="122"/>
      <c r="E396" s="122"/>
      <c r="F396" s="122"/>
      <c r="G396" s="122"/>
      <c r="H396" s="122"/>
      <c r="I396" s="122"/>
      <c r="J396" s="122"/>
      <c r="K396" s="122"/>
    </row>
    <row r="397" spans="2:11" x14ac:dyDescent="0.25"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</row>
    <row r="398" spans="2:11" x14ac:dyDescent="0.25">
      <c r="B398" s="122" t="s">
        <v>115</v>
      </c>
      <c r="C398" s="122"/>
      <c r="D398" s="122"/>
      <c r="E398" s="122"/>
      <c r="F398" s="122"/>
      <c r="G398" s="122"/>
      <c r="H398" s="122"/>
      <c r="I398" s="122"/>
      <c r="J398" s="122"/>
      <c r="K398" s="122"/>
    </row>
    <row r="399" spans="2:11" x14ac:dyDescent="0.25">
      <c r="B399" s="107" t="s">
        <v>31</v>
      </c>
      <c r="C399" s="137" t="s">
        <v>61</v>
      </c>
      <c r="D399" s="136" t="s">
        <v>62</v>
      </c>
      <c r="E399" s="136" t="s">
        <v>63</v>
      </c>
      <c r="F399" s="136" t="s">
        <v>64</v>
      </c>
      <c r="G399" s="136" t="s">
        <v>65</v>
      </c>
      <c r="H399" s="136" t="s">
        <v>66</v>
      </c>
      <c r="I399" s="194" t="s">
        <v>67</v>
      </c>
      <c r="J399" s="195"/>
      <c r="K399" s="122" t="s">
        <v>124</v>
      </c>
    </row>
    <row r="400" spans="2:11" x14ac:dyDescent="0.25">
      <c r="B400" s="107" t="s">
        <v>34</v>
      </c>
      <c r="C400" s="136">
        <v>1</v>
      </c>
      <c r="D400" s="109">
        <v>1.9972300000000001</v>
      </c>
      <c r="E400" s="109">
        <v>1.64283</v>
      </c>
      <c r="F400" s="109">
        <v>1.22</v>
      </c>
      <c r="G400" s="110">
        <v>0.22550000000000001</v>
      </c>
      <c r="H400" s="109">
        <v>0</v>
      </c>
      <c r="I400" s="109">
        <v>-0.71731999999999996</v>
      </c>
      <c r="J400" s="111">
        <v>4.7117800000000001</v>
      </c>
      <c r="K400" s="122"/>
    </row>
    <row r="401" spans="2:11" x14ac:dyDescent="0.25">
      <c r="B401" s="112" t="s">
        <v>68</v>
      </c>
      <c r="C401" s="122">
        <v>1</v>
      </c>
      <c r="D401" s="114">
        <v>1.6245000000000001</v>
      </c>
      <c r="E401" s="114">
        <v>0.43165999999999999</v>
      </c>
      <c r="F401" s="114">
        <v>3.76</v>
      </c>
      <c r="G401" s="115">
        <v>2.0000000000000001E-4</v>
      </c>
      <c r="H401" s="114">
        <v>1.03772</v>
      </c>
      <c r="I401" s="114">
        <v>0.91122999999999998</v>
      </c>
      <c r="J401" s="116">
        <v>2.3377599999999998</v>
      </c>
      <c r="K401" s="122"/>
    </row>
    <row r="402" spans="2:11" x14ac:dyDescent="0.25">
      <c r="B402" s="112" t="s">
        <v>48</v>
      </c>
      <c r="C402" s="122">
        <v>1</v>
      </c>
      <c r="D402" s="114">
        <v>7.7289000000000004E-4</v>
      </c>
      <c r="E402" s="114">
        <v>4.7823000000000001E-4</v>
      </c>
      <c r="F402" s="114">
        <v>1.62</v>
      </c>
      <c r="G402" s="115">
        <v>0.1076</v>
      </c>
      <c r="H402" s="114">
        <v>1.2865599999999999</v>
      </c>
      <c r="I402" s="114">
        <v>-1.7309999999999999E-5</v>
      </c>
      <c r="J402" s="116">
        <v>1.56E-3</v>
      </c>
      <c r="K402" s="122"/>
    </row>
    <row r="403" spans="2:11" x14ac:dyDescent="0.25">
      <c r="B403" s="112" t="s">
        <v>49</v>
      </c>
      <c r="C403" s="122">
        <v>1</v>
      </c>
      <c r="D403" s="114">
        <v>5.8147099999999998</v>
      </c>
      <c r="E403" s="114">
        <v>2.53207</v>
      </c>
      <c r="F403" s="114">
        <v>2.2999999999999998</v>
      </c>
      <c r="G403" s="115">
        <v>2.2700000000000001E-2</v>
      </c>
      <c r="H403" s="114">
        <v>1.0241400000000001</v>
      </c>
      <c r="I403" s="114">
        <v>1.6308199999999999</v>
      </c>
      <c r="J403" s="116">
        <v>9.9985999999999997</v>
      </c>
      <c r="K403" s="122"/>
    </row>
    <row r="404" spans="2:11" x14ac:dyDescent="0.25">
      <c r="B404" s="112" t="s">
        <v>37</v>
      </c>
      <c r="C404" s="122">
        <v>1</v>
      </c>
      <c r="D404" s="114">
        <v>4.5399999999999998E-3</v>
      </c>
      <c r="E404" s="114">
        <v>1.17E-3</v>
      </c>
      <c r="F404" s="114">
        <v>3.86</v>
      </c>
      <c r="G404" s="115">
        <v>2.0000000000000001E-4</v>
      </c>
      <c r="H404" s="114">
        <v>1.6581600000000001</v>
      </c>
      <c r="I404" s="114">
        <v>2.5999999999999999E-3</v>
      </c>
      <c r="J404" s="116">
        <v>6.4799999999999996E-3</v>
      </c>
      <c r="K404" s="122"/>
    </row>
    <row r="405" spans="2:11" x14ac:dyDescent="0.25">
      <c r="B405" s="112" t="s">
        <v>36</v>
      </c>
      <c r="C405" s="122">
        <v>1</v>
      </c>
      <c r="D405" s="114">
        <v>3.2969999999999999E-2</v>
      </c>
      <c r="E405" s="114">
        <v>5.8799999999999998E-2</v>
      </c>
      <c r="F405" s="114">
        <v>0.56000000000000005</v>
      </c>
      <c r="G405" s="115">
        <v>0.5756</v>
      </c>
      <c r="H405" s="114">
        <v>1.6511400000000001</v>
      </c>
      <c r="I405" s="114">
        <v>-6.4189999999999997E-2</v>
      </c>
      <c r="J405" s="116">
        <v>0.13014000000000001</v>
      </c>
      <c r="K405" s="122"/>
    </row>
    <row r="406" spans="2:11" x14ac:dyDescent="0.25">
      <c r="B406" s="112" t="s">
        <v>35</v>
      </c>
      <c r="C406" s="122">
        <v>1</v>
      </c>
      <c r="D406" s="135">
        <v>-1.2382</v>
      </c>
      <c r="E406" s="135">
        <v>1.2801800000000001</v>
      </c>
      <c r="F406" s="135">
        <v>-0.97</v>
      </c>
      <c r="G406" s="115">
        <v>0.33460000000000001</v>
      </c>
      <c r="H406" s="135">
        <v>10.07155</v>
      </c>
      <c r="I406" s="135">
        <v>-3.35351</v>
      </c>
      <c r="J406" s="140">
        <v>0.87712000000000001</v>
      </c>
      <c r="K406" s="122"/>
    </row>
    <row r="407" spans="2:11" x14ac:dyDescent="0.25">
      <c r="B407" s="117" t="s">
        <v>42</v>
      </c>
      <c r="C407" s="126">
        <v>1</v>
      </c>
      <c r="D407" s="128">
        <v>0.43215999999999999</v>
      </c>
      <c r="E407" s="128">
        <v>0.13818</v>
      </c>
      <c r="F407" s="128">
        <v>3.13</v>
      </c>
      <c r="G407" s="120">
        <v>2E-3</v>
      </c>
      <c r="H407" s="128">
        <v>9.8587100000000003</v>
      </c>
      <c r="I407" s="128">
        <v>0.20383000000000001</v>
      </c>
      <c r="J407" s="129">
        <v>0.66049000000000002</v>
      </c>
      <c r="K407" s="122"/>
    </row>
    <row r="408" spans="2:11" x14ac:dyDescent="0.25"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</row>
    <row r="409" spans="2:11" x14ac:dyDescent="0.25"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</row>
    <row r="410" spans="2:11" x14ac:dyDescent="0.25">
      <c r="B410" s="122" t="s">
        <v>116</v>
      </c>
      <c r="C410" s="122"/>
      <c r="D410" s="122"/>
      <c r="E410" s="122"/>
      <c r="F410" s="122"/>
      <c r="G410" s="122"/>
      <c r="H410" s="122"/>
      <c r="I410" s="122"/>
      <c r="J410" s="122"/>
      <c r="K410" s="122"/>
    </row>
    <row r="411" spans="2:11" x14ac:dyDescent="0.25">
      <c r="B411" s="122" t="s">
        <v>107</v>
      </c>
      <c r="C411" s="122"/>
      <c r="D411" s="122"/>
      <c r="E411" s="122"/>
      <c r="F411" s="122"/>
      <c r="G411" s="122"/>
      <c r="H411" s="122"/>
      <c r="I411" s="122"/>
      <c r="J411" s="122"/>
      <c r="K411" s="122"/>
    </row>
    <row r="412" spans="2:11" x14ac:dyDescent="0.25">
      <c r="B412" s="122" t="s">
        <v>123</v>
      </c>
      <c r="C412" s="122"/>
      <c r="D412" s="122"/>
      <c r="E412" s="122"/>
      <c r="F412" s="122"/>
      <c r="G412" s="122"/>
      <c r="H412" s="122"/>
      <c r="I412" s="122"/>
      <c r="J412" s="122"/>
      <c r="K412" s="122"/>
    </row>
    <row r="413" spans="2:11" x14ac:dyDescent="0.25"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</row>
    <row r="414" spans="2:11" x14ac:dyDescent="0.25"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</row>
    <row r="415" spans="2:11" x14ac:dyDescent="0.25">
      <c r="B415" s="123" t="s">
        <v>110</v>
      </c>
      <c r="C415" s="123">
        <v>8.7403200000000005</v>
      </c>
      <c r="D415" s="123" t="s">
        <v>111</v>
      </c>
      <c r="E415" s="123">
        <v>0.39150000000000001</v>
      </c>
      <c r="F415" s="122"/>
      <c r="G415" s="122"/>
      <c r="H415" s="122"/>
      <c r="I415" s="122"/>
      <c r="J415" s="122"/>
      <c r="K415" s="122"/>
    </row>
    <row r="416" spans="2:11" x14ac:dyDescent="0.25">
      <c r="B416" s="123" t="s">
        <v>112</v>
      </c>
      <c r="C416" s="123">
        <v>6.6711600000000004</v>
      </c>
      <c r="D416" s="123" t="s">
        <v>113</v>
      </c>
      <c r="E416" s="123">
        <v>0.37059999999999998</v>
      </c>
      <c r="F416" s="122"/>
      <c r="G416" s="122"/>
      <c r="H416" s="122"/>
      <c r="I416" s="122"/>
      <c r="J416" s="122"/>
      <c r="K416" s="122"/>
    </row>
    <row r="417" spans="2:11" x14ac:dyDescent="0.25">
      <c r="B417" s="122" t="s">
        <v>114</v>
      </c>
      <c r="C417" s="122">
        <v>131.01648</v>
      </c>
      <c r="D417" s="122"/>
      <c r="E417" s="122"/>
      <c r="F417" s="122"/>
      <c r="G417" s="122"/>
      <c r="H417" s="122"/>
      <c r="I417" s="122"/>
      <c r="J417" s="122"/>
      <c r="K417" s="122"/>
    </row>
    <row r="418" spans="2:11" x14ac:dyDescent="0.25"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</row>
    <row r="419" spans="2:11" x14ac:dyDescent="0.25">
      <c r="B419" s="122" t="s">
        <v>115</v>
      </c>
      <c r="C419" s="122"/>
      <c r="D419" s="122"/>
      <c r="E419" s="122"/>
      <c r="F419" s="122"/>
      <c r="G419" s="122"/>
      <c r="H419" s="122"/>
      <c r="I419" s="122"/>
      <c r="J419" s="122"/>
      <c r="K419" s="122"/>
    </row>
    <row r="420" spans="2:11" x14ac:dyDescent="0.25">
      <c r="B420" s="107" t="s">
        <v>31</v>
      </c>
      <c r="C420" s="137" t="s">
        <v>61</v>
      </c>
      <c r="D420" s="136" t="s">
        <v>62</v>
      </c>
      <c r="E420" s="136" t="s">
        <v>63</v>
      </c>
      <c r="F420" s="136" t="s">
        <v>64</v>
      </c>
      <c r="G420" s="136" t="s">
        <v>65</v>
      </c>
      <c r="H420" s="136" t="s">
        <v>66</v>
      </c>
      <c r="I420" s="194" t="s">
        <v>67</v>
      </c>
      <c r="J420" s="195"/>
      <c r="K420" s="122"/>
    </row>
    <row r="421" spans="2:11" x14ac:dyDescent="0.25">
      <c r="B421" s="107" t="s">
        <v>34</v>
      </c>
      <c r="C421" s="136" t="s">
        <v>70</v>
      </c>
      <c r="D421" s="109">
        <v>1.9972300000000001</v>
      </c>
      <c r="E421" s="109">
        <v>1.64283</v>
      </c>
      <c r="F421" s="109">
        <v>1.22</v>
      </c>
      <c r="G421" s="110">
        <v>0.22550000000000001</v>
      </c>
      <c r="H421" s="109">
        <v>0</v>
      </c>
      <c r="I421" s="109">
        <v>-0.71731999999999996</v>
      </c>
      <c r="J421" s="111">
        <v>4.7117800000000001</v>
      </c>
      <c r="K421" s="122"/>
    </row>
    <row r="422" spans="2:11" x14ac:dyDescent="0.25">
      <c r="B422" s="112" t="s">
        <v>68</v>
      </c>
      <c r="C422" s="122">
        <v>1</v>
      </c>
      <c r="D422" s="114">
        <v>1.6245000000000001</v>
      </c>
      <c r="E422" s="114">
        <v>0.43165999999999999</v>
      </c>
      <c r="F422" s="114">
        <v>3.76</v>
      </c>
      <c r="G422" s="115">
        <v>2.0000000000000001E-4</v>
      </c>
      <c r="H422" s="114">
        <v>1.03772</v>
      </c>
      <c r="I422" s="114">
        <v>0.91122999999999998</v>
      </c>
      <c r="J422" s="116">
        <v>2.3377599999999998</v>
      </c>
      <c r="K422" s="122"/>
    </row>
    <row r="423" spans="2:11" x14ac:dyDescent="0.25">
      <c r="B423" s="112" t="s">
        <v>48</v>
      </c>
      <c r="C423" s="122">
        <v>1</v>
      </c>
      <c r="D423" s="114">
        <v>7.7289000000000004E-4</v>
      </c>
      <c r="E423" s="114">
        <v>4.7823000000000001E-4</v>
      </c>
      <c r="F423" s="114">
        <v>1.62</v>
      </c>
      <c r="G423" s="115">
        <v>0.1076</v>
      </c>
      <c r="H423" s="114">
        <v>1.2865599999999999</v>
      </c>
      <c r="I423" s="114">
        <v>-1.7309999999999999E-5</v>
      </c>
      <c r="J423" s="116">
        <v>1.56E-3</v>
      </c>
      <c r="K423" s="122"/>
    </row>
    <row r="424" spans="2:11" x14ac:dyDescent="0.25">
      <c r="B424" s="112" t="s">
        <v>49</v>
      </c>
      <c r="C424" s="122">
        <v>1</v>
      </c>
      <c r="D424" s="114">
        <v>5.8147099999999998</v>
      </c>
      <c r="E424" s="114">
        <v>2.53207</v>
      </c>
      <c r="F424" s="114">
        <v>2.2999999999999998</v>
      </c>
      <c r="G424" s="115">
        <v>2.2700000000000001E-2</v>
      </c>
      <c r="H424" s="114">
        <v>1.0241400000000001</v>
      </c>
      <c r="I424" s="114">
        <v>1.6308199999999999</v>
      </c>
      <c r="J424" s="116">
        <v>9.9985999999999997</v>
      </c>
      <c r="K424" s="122"/>
    </row>
    <row r="425" spans="2:11" x14ac:dyDescent="0.25">
      <c r="B425" s="112" t="s">
        <v>37</v>
      </c>
      <c r="C425" s="122">
        <v>1</v>
      </c>
      <c r="D425" s="114">
        <v>4.5399999999999998E-3</v>
      </c>
      <c r="E425" s="114">
        <v>1.17E-3</v>
      </c>
      <c r="F425" s="114">
        <v>3.86</v>
      </c>
      <c r="G425" s="115">
        <v>2.0000000000000001E-4</v>
      </c>
      <c r="H425" s="114">
        <v>1.6581600000000001</v>
      </c>
      <c r="I425" s="114">
        <v>2.5999999999999999E-3</v>
      </c>
      <c r="J425" s="116">
        <v>6.4799999999999996E-3</v>
      </c>
      <c r="K425" s="122"/>
    </row>
    <row r="426" spans="2:11" x14ac:dyDescent="0.25">
      <c r="B426" s="112" t="s">
        <v>36</v>
      </c>
      <c r="C426" s="122">
        <v>1</v>
      </c>
      <c r="D426" s="114">
        <v>3.2969999999999999E-2</v>
      </c>
      <c r="E426" s="114">
        <v>5.8799999999999998E-2</v>
      </c>
      <c r="F426" s="114">
        <v>0.56000000000000005</v>
      </c>
      <c r="G426" s="115">
        <v>0.5756</v>
      </c>
      <c r="H426" s="114">
        <v>1.6511400000000001</v>
      </c>
      <c r="I426" s="114">
        <v>-6.4189999999999997E-2</v>
      </c>
      <c r="J426" s="116">
        <v>0.13014000000000001</v>
      </c>
      <c r="K426" s="122"/>
    </row>
    <row r="427" spans="2:11" x14ac:dyDescent="0.25">
      <c r="B427" s="112" t="s">
        <v>35</v>
      </c>
      <c r="C427" s="122">
        <v>1</v>
      </c>
      <c r="D427" s="135">
        <v>-1.2382</v>
      </c>
      <c r="E427" s="135">
        <v>1.2801800000000001</v>
      </c>
      <c r="F427" s="135">
        <v>-0.97</v>
      </c>
      <c r="G427" s="142">
        <v>0.33460000000000001</v>
      </c>
      <c r="H427" s="135">
        <v>10.07155</v>
      </c>
      <c r="I427" s="135">
        <v>-3.35351</v>
      </c>
      <c r="J427" s="140">
        <v>0.87712000000000001</v>
      </c>
      <c r="K427" s="122"/>
    </row>
    <row r="428" spans="2:11" x14ac:dyDescent="0.25">
      <c r="B428" s="112" t="s">
        <v>42</v>
      </c>
      <c r="C428" s="122">
        <v>1</v>
      </c>
      <c r="D428" s="135">
        <v>0.43215999999999999</v>
      </c>
      <c r="E428" s="135">
        <v>0.13818</v>
      </c>
      <c r="F428" s="135">
        <v>3.13</v>
      </c>
      <c r="G428" s="142">
        <v>2E-3</v>
      </c>
      <c r="H428" s="135">
        <v>9.8587100000000003</v>
      </c>
      <c r="I428" s="135">
        <v>0.20383000000000001</v>
      </c>
      <c r="J428" s="140">
        <v>0.66049000000000002</v>
      </c>
      <c r="K428" s="122"/>
    </row>
    <row r="429" spans="2:11" x14ac:dyDescent="0.25">
      <c r="B429" s="117" t="s">
        <v>71</v>
      </c>
      <c r="C429" s="126">
        <v>0</v>
      </c>
      <c r="D429" s="128">
        <v>0</v>
      </c>
      <c r="E429" s="128" t="s">
        <v>72</v>
      </c>
      <c r="F429" s="128" t="s">
        <v>72</v>
      </c>
      <c r="G429" s="138" t="s">
        <v>72</v>
      </c>
      <c r="H429" s="128" t="s">
        <v>72</v>
      </c>
      <c r="I429" s="128" t="s">
        <v>72</v>
      </c>
      <c r="J429" s="129" t="s">
        <v>72</v>
      </c>
      <c r="K429" s="122"/>
    </row>
    <row r="430" spans="2:11" x14ac:dyDescent="0.25"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</row>
    <row r="431" spans="2:11" x14ac:dyDescent="0.25"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</row>
    <row r="432" spans="2:11" x14ac:dyDescent="0.25"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</row>
    <row r="433" spans="2:11" x14ac:dyDescent="0.25">
      <c r="B433" s="122" t="s">
        <v>116</v>
      </c>
      <c r="C433" s="122"/>
      <c r="D433" s="122"/>
      <c r="E433" s="122"/>
      <c r="F433" s="122"/>
      <c r="G433" s="122"/>
      <c r="H433" s="122"/>
      <c r="I433" s="122"/>
      <c r="J433" s="122"/>
      <c r="K433" s="122"/>
    </row>
    <row r="434" spans="2:11" x14ac:dyDescent="0.25">
      <c r="B434" s="122" t="s">
        <v>108</v>
      </c>
      <c r="C434" s="122"/>
      <c r="D434" s="122"/>
      <c r="E434" s="122"/>
      <c r="F434" s="122"/>
      <c r="G434" s="122"/>
      <c r="H434" s="122"/>
      <c r="I434" s="122"/>
      <c r="J434" s="122"/>
      <c r="K434" s="122"/>
    </row>
    <row r="435" spans="2:11" x14ac:dyDescent="0.25">
      <c r="B435" s="122" t="s">
        <v>125</v>
      </c>
      <c r="C435" s="122"/>
      <c r="D435" s="122"/>
      <c r="E435" s="122"/>
      <c r="F435" s="122"/>
      <c r="G435" s="122"/>
      <c r="H435" s="122"/>
      <c r="I435" s="122"/>
      <c r="J435" s="122"/>
      <c r="K435" s="122"/>
    </row>
    <row r="436" spans="2:11" x14ac:dyDescent="0.25"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</row>
    <row r="437" spans="2:11" x14ac:dyDescent="0.25"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</row>
    <row r="438" spans="2:11" x14ac:dyDescent="0.25">
      <c r="B438" s="123" t="s">
        <v>110</v>
      </c>
      <c r="C438" s="123">
        <v>9.1085100000000008</v>
      </c>
      <c r="D438" s="123" t="s">
        <v>111</v>
      </c>
      <c r="E438" s="123">
        <v>0.33589999999999998</v>
      </c>
      <c r="F438" s="122"/>
      <c r="G438" s="122"/>
      <c r="H438" s="122"/>
      <c r="I438" s="122"/>
      <c r="J438" s="122"/>
      <c r="K438" s="122"/>
    </row>
    <row r="439" spans="2:11" x14ac:dyDescent="0.25">
      <c r="B439" s="123" t="s">
        <v>112</v>
      </c>
      <c r="C439" s="123">
        <v>6.6711600000000004</v>
      </c>
      <c r="D439" s="123" t="s">
        <v>113</v>
      </c>
      <c r="E439" s="123">
        <v>0.31640000000000001</v>
      </c>
      <c r="F439" s="122"/>
      <c r="G439" s="122"/>
      <c r="H439" s="122"/>
      <c r="I439" s="122"/>
      <c r="J439" s="122"/>
      <c r="K439" s="122"/>
    </row>
    <row r="440" spans="2:11" x14ac:dyDescent="0.25">
      <c r="B440" s="122" t="s">
        <v>114</v>
      </c>
      <c r="C440" s="122">
        <v>136.53567000000001</v>
      </c>
      <c r="D440" s="122"/>
      <c r="E440" s="122"/>
      <c r="F440" s="122"/>
      <c r="G440" s="122"/>
      <c r="H440" s="122"/>
      <c r="I440" s="122"/>
      <c r="J440" s="122"/>
      <c r="K440" s="122"/>
    </row>
    <row r="441" spans="2:11" x14ac:dyDescent="0.25"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</row>
    <row r="442" spans="2:11" x14ac:dyDescent="0.25">
      <c r="B442" s="122" t="s">
        <v>115</v>
      </c>
      <c r="C442" s="122"/>
      <c r="D442" s="122"/>
      <c r="E442" s="122"/>
      <c r="F442" s="122"/>
      <c r="G442" s="122"/>
      <c r="H442" s="122"/>
      <c r="I442" s="122"/>
      <c r="J442" s="122"/>
      <c r="K442" s="122"/>
    </row>
    <row r="443" spans="2:11" x14ac:dyDescent="0.25">
      <c r="B443" s="105" t="s">
        <v>31</v>
      </c>
      <c r="C443" s="134" t="s">
        <v>61</v>
      </c>
      <c r="D443" s="133" t="s">
        <v>62</v>
      </c>
      <c r="E443" s="133" t="s">
        <v>63</v>
      </c>
      <c r="F443" s="133" t="s">
        <v>64</v>
      </c>
      <c r="G443" s="133" t="s">
        <v>65</v>
      </c>
      <c r="H443" s="133" t="s">
        <v>66</v>
      </c>
      <c r="I443" s="192" t="s">
        <v>67</v>
      </c>
      <c r="J443" s="193"/>
      <c r="K443" s="122"/>
    </row>
    <row r="444" spans="2:11" x14ac:dyDescent="0.25">
      <c r="B444" s="107" t="s">
        <v>34</v>
      </c>
      <c r="C444" s="137">
        <v>1</v>
      </c>
      <c r="D444" s="109">
        <v>-5.5792599999999997</v>
      </c>
      <c r="E444" s="109">
        <v>1.7737799999999999</v>
      </c>
      <c r="F444" s="109">
        <v>-3.15</v>
      </c>
      <c r="G444" s="110">
        <v>1.9E-3</v>
      </c>
      <c r="H444" s="109">
        <v>0</v>
      </c>
      <c r="I444" s="109">
        <v>-8.5101200000000006</v>
      </c>
      <c r="J444" s="111">
        <v>-2.6484100000000002</v>
      </c>
      <c r="K444" s="122"/>
    </row>
    <row r="445" spans="2:11" x14ac:dyDescent="0.25">
      <c r="B445" s="112" t="s">
        <v>68</v>
      </c>
      <c r="C445" s="113">
        <v>1</v>
      </c>
      <c r="D445" s="114">
        <v>1.6517900000000001</v>
      </c>
      <c r="E445" s="114">
        <v>0.44978000000000001</v>
      </c>
      <c r="F445" s="114">
        <v>3.67</v>
      </c>
      <c r="G445" s="115">
        <v>2.9999999999999997E-4</v>
      </c>
      <c r="H445" s="114">
        <v>1.03742</v>
      </c>
      <c r="I445" s="114">
        <v>0.90859999999999996</v>
      </c>
      <c r="J445" s="116">
        <v>2.3949699999999998</v>
      </c>
      <c r="K445" s="122"/>
    </row>
    <row r="446" spans="2:11" x14ac:dyDescent="0.25">
      <c r="B446" s="112" t="s">
        <v>48</v>
      </c>
      <c r="C446" s="113">
        <v>1</v>
      </c>
      <c r="D446" s="114">
        <v>5.8230000000000001E-4</v>
      </c>
      <c r="E446" s="114">
        <v>4.9633999999999995E-4</v>
      </c>
      <c r="F446" s="114">
        <v>1.17</v>
      </c>
      <c r="G446" s="115">
        <v>0.24210000000000001</v>
      </c>
      <c r="H446" s="114">
        <v>1.2761199999999999</v>
      </c>
      <c r="I446" s="114">
        <v>-2.3782E-4</v>
      </c>
      <c r="J446" s="116">
        <v>1.4E-3</v>
      </c>
      <c r="K446" s="122"/>
    </row>
    <row r="447" spans="2:11" x14ac:dyDescent="0.25">
      <c r="B447" s="112" t="s">
        <v>49</v>
      </c>
      <c r="C447" s="113">
        <v>1</v>
      </c>
      <c r="D447" s="114">
        <v>5.5508199999999999</v>
      </c>
      <c r="E447" s="114">
        <v>2.6379999999999999</v>
      </c>
      <c r="F447" s="114">
        <v>2.1</v>
      </c>
      <c r="G447" s="115">
        <v>3.6600000000000001E-2</v>
      </c>
      <c r="H447" s="114">
        <v>1.0235700000000001</v>
      </c>
      <c r="I447" s="114">
        <v>1.1919900000000001</v>
      </c>
      <c r="J447" s="116">
        <v>9.9096499999999992</v>
      </c>
      <c r="K447" s="122"/>
    </row>
    <row r="448" spans="2:11" x14ac:dyDescent="0.25">
      <c r="B448" s="112" t="s">
        <v>37</v>
      </c>
      <c r="C448" s="113">
        <v>1</v>
      </c>
      <c r="D448" s="114">
        <v>4.6699999999999997E-3</v>
      </c>
      <c r="E448" s="114">
        <v>1.2199999999999999E-3</v>
      </c>
      <c r="F448" s="114">
        <v>3.82</v>
      </c>
      <c r="G448" s="115">
        <v>2.0000000000000001E-4</v>
      </c>
      <c r="H448" s="114">
        <v>1.65313</v>
      </c>
      <c r="I448" s="114">
        <v>2.65E-3</v>
      </c>
      <c r="J448" s="116">
        <v>6.6899999999999998E-3</v>
      </c>
      <c r="K448" s="122"/>
    </row>
    <row r="449" spans="2:11" x14ac:dyDescent="0.25">
      <c r="B449" s="112" t="s">
        <v>36</v>
      </c>
      <c r="C449" s="113">
        <v>1</v>
      </c>
      <c r="D449" s="114">
        <v>3.1379999999999998E-2</v>
      </c>
      <c r="E449" s="114">
        <v>6.132E-2</v>
      </c>
      <c r="F449" s="114">
        <v>0.51</v>
      </c>
      <c r="G449" s="115">
        <v>0.60929999999999995</v>
      </c>
      <c r="H449" s="114">
        <v>1.6531100000000001</v>
      </c>
      <c r="I449" s="114">
        <v>-6.9930000000000006E-2</v>
      </c>
      <c r="J449" s="116">
        <v>0.13270000000000001</v>
      </c>
      <c r="K449" s="122"/>
    </row>
    <row r="450" spans="2:11" x14ac:dyDescent="0.25">
      <c r="B450" s="117" t="s">
        <v>117</v>
      </c>
      <c r="C450" s="118">
        <v>1</v>
      </c>
      <c r="D450" s="119">
        <v>9.1821400000000004</v>
      </c>
      <c r="E450" s="119">
        <v>1.8354299999999999</v>
      </c>
      <c r="F450" s="119">
        <v>5</v>
      </c>
      <c r="G450" s="120">
        <v>1E-4</v>
      </c>
      <c r="H450" s="119">
        <v>1.1036300000000001</v>
      </c>
      <c r="I450" s="119">
        <v>6.1494099999999996</v>
      </c>
      <c r="J450" s="121">
        <v>12.21486</v>
      </c>
      <c r="K450" s="122"/>
    </row>
    <row r="451" spans="2:11" x14ac:dyDescent="0.25"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</row>
    <row r="452" spans="2:11" x14ac:dyDescent="0.25"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</row>
    <row r="453" spans="2:11" x14ac:dyDescent="0.25">
      <c r="B453" s="122" t="s">
        <v>116</v>
      </c>
      <c r="C453" s="122"/>
      <c r="D453" s="122"/>
      <c r="E453" s="122"/>
      <c r="F453" s="122"/>
      <c r="G453" s="122"/>
      <c r="H453" s="122"/>
      <c r="I453" s="122"/>
      <c r="J453" s="122"/>
      <c r="K453" s="122"/>
    </row>
    <row r="454" spans="2:11" x14ac:dyDescent="0.25">
      <c r="B454" s="122" t="s">
        <v>109</v>
      </c>
      <c r="C454" s="122"/>
      <c r="D454" s="122"/>
      <c r="E454" s="122"/>
      <c r="F454" s="122"/>
      <c r="G454" s="122"/>
      <c r="H454" s="122"/>
      <c r="I454" s="122"/>
      <c r="J454" s="122"/>
      <c r="K454" s="122"/>
    </row>
    <row r="455" spans="2:11" x14ac:dyDescent="0.25">
      <c r="B455" s="122" t="s">
        <v>125</v>
      </c>
      <c r="C455" s="122"/>
      <c r="D455" s="122"/>
      <c r="E455" s="122"/>
      <c r="F455" s="122"/>
      <c r="G455" s="122"/>
      <c r="H455" s="122"/>
      <c r="I455" s="122"/>
      <c r="J455" s="122"/>
      <c r="K455" s="122"/>
    </row>
    <row r="456" spans="2:11" x14ac:dyDescent="0.25"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</row>
    <row r="457" spans="2:11" x14ac:dyDescent="0.25"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</row>
    <row r="458" spans="2:11" x14ac:dyDescent="0.25">
      <c r="B458" s="123" t="s">
        <v>110</v>
      </c>
      <c r="C458" s="123">
        <v>9.0457099999999997</v>
      </c>
      <c r="D458" s="123" t="s">
        <v>111</v>
      </c>
      <c r="E458" s="123">
        <v>0.34499999999999997</v>
      </c>
      <c r="F458" s="122"/>
      <c r="G458" s="122"/>
      <c r="H458" s="122"/>
      <c r="I458" s="122"/>
      <c r="J458" s="122"/>
      <c r="K458" s="122"/>
    </row>
    <row r="459" spans="2:11" x14ac:dyDescent="0.25">
      <c r="B459" s="123" t="s">
        <v>112</v>
      </c>
      <c r="C459" s="123">
        <v>6.6711600000000004</v>
      </c>
      <c r="D459" s="123" t="s">
        <v>113</v>
      </c>
      <c r="E459" s="123">
        <v>0.32579999999999998</v>
      </c>
      <c r="F459" s="122"/>
      <c r="G459" s="122"/>
      <c r="H459" s="122"/>
      <c r="I459" s="122"/>
      <c r="J459" s="122"/>
      <c r="K459" s="122"/>
    </row>
    <row r="460" spans="2:11" x14ac:dyDescent="0.25">
      <c r="B460" s="122" t="s">
        <v>114</v>
      </c>
      <c r="C460" s="122">
        <v>135.5942</v>
      </c>
      <c r="D460" s="122"/>
      <c r="E460" s="122"/>
      <c r="F460" s="122"/>
      <c r="G460" s="122"/>
      <c r="H460" s="122"/>
      <c r="I460" s="122"/>
      <c r="J460" s="122"/>
      <c r="K460" s="122"/>
    </row>
    <row r="461" spans="2:11" x14ac:dyDescent="0.25"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</row>
    <row r="462" spans="2:11" x14ac:dyDescent="0.25">
      <c r="B462" s="122" t="s">
        <v>115</v>
      </c>
      <c r="C462" s="122"/>
      <c r="D462" s="122"/>
      <c r="E462" s="122"/>
      <c r="F462" s="122"/>
      <c r="G462" s="122"/>
      <c r="H462" s="122"/>
      <c r="I462" s="122"/>
      <c r="J462" s="122"/>
      <c r="K462" s="122"/>
    </row>
    <row r="463" spans="2:11" x14ac:dyDescent="0.25">
      <c r="B463" s="105" t="s">
        <v>31</v>
      </c>
      <c r="C463" s="134" t="s">
        <v>61</v>
      </c>
      <c r="D463" s="133" t="s">
        <v>62</v>
      </c>
      <c r="E463" s="133" t="s">
        <v>63</v>
      </c>
      <c r="F463" s="133" t="s">
        <v>64</v>
      </c>
      <c r="G463" s="133" t="s">
        <v>65</v>
      </c>
      <c r="H463" s="133" t="s">
        <v>66</v>
      </c>
      <c r="I463" s="192" t="s">
        <v>67</v>
      </c>
      <c r="J463" s="193"/>
      <c r="K463" s="122"/>
    </row>
    <row r="464" spans="2:11" x14ac:dyDescent="0.25">
      <c r="B464" s="107" t="s">
        <v>34</v>
      </c>
      <c r="C464" s="137">
        <v>1</v>
      </c>
      <c r="D464" s="109">
        <v>-7.5471899999999996</v>
      </c>
      <c r="E464" s="109">
        <v>2.00726</v>
      </c>
      <c r="F464" s="109">
        <v>-3.76</v>
      </c>
      <c r="G464" s="110">
        <v>2.0000000000000001E-4</v>
      </c>
      <c r="H464" s="109">
        <v>0</v>
      </c>
      <c r="I464" s="109">
        <v>-10.86382</v>
      </c>
      <c r="J464" s="111">
        <v>-4.2305599999999997</v>
      </c>
      <c r="K464" s="122"/>
    </row>
    <row r="465" spans="2:11" x14ac:dyDescent="0.25">
      <c r="B465" s="112" t="s">
        <v>68</v>
      </c>
      <c r="C465" s="113">
        <v>1</v>
      </c>
      <c r="D465" s="114">
        <v>1.6591100000000001</v>
      </c>
      <c r="E465" s="114">
        <v>0.44666</v>
      </c>
      <c r="F465" s="114">
        <v>3.71</v>
      </c>
      <c r="G465" s="115">
        <v>2.9999999999999997E-4</v>
      </c>
      <c r="H465" s="114">
        <v>1.0373000000000001</v>
      </c>
      <c r="I465" s="114">
        <v>0.92108999999999996</v>
      </c>
      <c r="J465" s="116">
        <v>2.3971300000000002</v>
      </c>
      <c r="K465" s="122"/>
    </row>
    <row r="466" spans="2:11" x14ac:dyDescent="0.25">
      <c r="B466" s="112" t="s">
        <v>48</v>
      </c>
      <c r="C466" s="113">
        <v>1</v>
      </c>
      <c r="D466" s="114">
        <v>6.1313999999999997E-4</v>
      </c>
      <c r="E466" s="114">
        <v>4.9322999999999999E-4</v>
      </c>
      <c r="F466" s="114">
        <v>1.24</v>
      </c>
      <c r="G466" s="115">
        <v>0.2152</v>
      </c>
      <c r="H466" s="114">
        <v>1.2777099999999999</v>
      </c>
      <c r="I466" s="114">
        <v>-2.0183000000000001E-4</v>
      </c>
      <c r="J466" s="116">
        <v>1.4300000000000001E-3</v>
      </c>
      <c r="K466" s="122"/>
    </row>
    <row r="467" spans="2:11" x14ac:dyDescent="0.25">
      <c r="B467" s="112" t="s">
        <v>49</v>
      </c>
      <c r="C467" s="113">
        <v>1</v>
      </c>
      <c r="D467" s="114">
        <v>5.5929399999999996</v>
      </c>
      <c r="E467" s="114">
        <v>2.61992</v>
      </c>
      <c r="F467" s="114">
        <v>2.13</v>
      </c>
      <c r="G467" s="115">
        <v>3.4000000000000002E-2</v>
      </c>
      <c r="H467" s="114">
        <v>1.0236499999999999</v>
      </c>
      <c r="I467" s="114">
        <v>1.2639899999999999</v>
      </c>
      <c r="J467" s="116">
        <v>9.9218899999999994</v>
      </c>
      <c r="K467" s="122"/>
    </row>
    <row r="468" spans="2:11" x14ac:dyDescent="0.25">
      <c r="B468" s="112" t="s">
        <v>37</v>
      </c>
      <c r="C468" s="113">
        <v>1</v>
      </c>
      <c r="D468" s="114">
        <v>4.5999999999999999E-3</v>
      </c>
      <c r="E468" s="114">
        <v>1.2099999999999999E-3</v>
      </c>
      <c r="F468" s="114">
        <v>3.78</v>
      </c>
      <c r="G468" s="115">
        <v>2.0000000000000001E-4</v>
      </c>
      <c r="H468" s="114">
        <v>1.6552199999999999</v>
      </c>
      <c r="I468" s="114">
        <v>2.5899999999999999E-3</v>
      </c>
      <c r="J468" s="116">
        <v>6.6E-3</v>
      </c>
      <c r="K468" s="122"/>
    </row>
    <row r="469" spans="2:11" x14ac:dyDescent="0.25">
      <c r="B469" s="112" t="s">
        <v>36</v>
      </c>
      <c r="C469" s="113">
        <v>1</v>
      </c>
      <c r="D469" s="114">
        <v>2.9159999999999998E-2</v>
      </c>
      <c r="E469" s="114">
        <v>6.0879999999999997E-2</v>
      </c>
      <c r="F469" s="114">
        <v>0.48</v>
      </c>
      <c r="G469" s="115">
        <v>0.63239999999999996</v>
      </c>
      <c r="H469" s="114">
        <v>1.6524799999999999</v>
      </c>
      <c r="I469" s="114">
        <v>-7.1429999999999993E-2</v>
      </c>
      <c r="J469" s="116">
        <v>0.12975999999999999</v>
      </c>
      <c r="K469" s="122"/>
    </row>
    <row r="470" spans="2:11" x14ac:dyDescent="0.25">
      <c r="B470" s="117" t="s">
        <v>118</v>
      </c>
      <c r="C470" s="118">
        <v>1</v>
      </c>
      <c r="D470" s="119">
        <v>8.3426899999999993</v>
      </c>
      <c r="E470" s="119">
        <v>1.57012</v>
      </c>
      <c r="F470" s="119">
        <v>5.31</v>
      </c>
      <c r="G470" s="120">
        <v>1E-4</v>
      </c>
      <c r="H470" s="119">
        <v>1.1042099999999999</v>
      </c>
      <c r="I470" s="119">
        <v>5.7483599999999999</v>
      </c>
      <c r="J470" s="121">
        <v>10.93703</v>
      </c>
      <c r="K470" s="122"/>
    </row>
  </sheetData>
  <mergeCells count="23">
    <mergeCell ref="I379:J379"/>
    <mergeCell ref="I399:J399"/>
    <mergeCell ref="I420:J420"/>
    <mergeCell ref="I443:J443"/>
    <mergeCell ref="I463:J463"/>
    <mergeCell ref="I359:J359"/>
    <mergeCell ref="I131:J131"/>
    <mergeCell ref="I151:J151"/>
    <mergeCell ref="I172:J172"/>
    <mergeCell ref="I195:J195"/>
    <mergeCell ref="I215:J215"/>
    <mergeCell ref="I235:J235"/>
    <mergeCell ref="I255:J255"/>
    <mergeCell ref="I276:J276"/>
    <mergeCell ref="I297:J297"/>
    <mergeCell ref="I319:J319"/>
    <mergeCell ref="I339:J339"/>
    <mergeCell ref="I111:J111"/>
    <mergeCell ref="I4:J4"/>
    <mergeCell ref="I15:J15"/>
    <mergeCell ref="I49:J49"/>
    <mergeCell ref="I71:J71"/>
    <mergeCell ref="I91:J91"/>
  </mergeCells>
  <conditionalFormatting sqref="G4:G11 G37:G244 G25:G35">
    <cfRule type="cellIs" dxfId="12" priority="13" operator="greaterThan">
      <formula>0.05</formula>
    </cfRule>
  </conditionalFormatting>
  <conditionalFormatting sqref="G15:G23">
    <cfRule type="cellIs" dxfId="11" priority="12" operator="greaterThan">
      <formula>0.05</formula>
    </cfRule>
  </conditionalFormatting>
  <conditionalFormatting sqref="G263:G265 G285:G286 G306:G308 G347:G348">
    <cfRule type="cellIs" dxfId="10" priority="11" operator="greaterThan">
      <formula>0.05</formula>
    </cfRule>
  </conditionalFormatting>
  <conditionalFormatting sqref="G245:G262">
    <cfRule type="cellIs" dxfId="9" priority="10" operator="greaterThan">
      <formula>0.05</formula>
    </cfRule>
  </conditionalFormatting>
  <conditionalFormatting sqref="G284">
    <cfRule type="cellIs" dxfId="8" priority="9" operator="greaterThan">
      <formula>0.05</formula>
    </cfRule>
  </conditionalFormatting>
  <conditionalFormatting sqref="G266:G283">
    <cfRule type="cellIs" dxfId="7" priority="8" operator="greaterThan">
      <formula>0.05</formula>
    </cfRule>
  </conditionalFormatting>
  <conditionalFormatting sqref="G305">
    <cfRule type="cellIs" dxfId="6" priority="7" operator="greaterThan">
      <formula>0.05</formula>
    </cfRule>
  </conditionalFormatting>
  <conditionalFormatting sqref="G287:G304">
    <cfRule type="cellIs" dxfId="5" priority="6" operator="greaterThan">
      <formula>0.05</formula>
    </cfRule>
  </conditionalFormatting>
  <conditionalFormatting sqref="G328">
    <cfRule type="cellIs" dxfId="4" priority="5" operator="greaterThan">
      <formula>0.05</formula>
    </cfRule>
  </conditionalFormatting>
  <conditionalFormatting sqref="G327">
    <cfRule type="cellIs" dxfId="3" priority="4" operator="greaterThan">
      <formula>0.05</formula>
    </cfRule>
  </conditionalFormatting>
  <conditionalFormatting sqref="G309:G326">
    <cfRule type="cellIs" dxfId="2" priority="3" operator="greaterThan">
      <formula>0.05</formula>
    </cfRule>
  </conditionalFormatting>
  <conditionalFormatting sqref="G329:G346">
    <cfRule type="cellIs" dxfId="1" priority="2" operator="greaterThan">
      <formula>0.05</formula>
    </cfRule>
  </conditionalFormatting>
  <conditionalFormatting sqref="G349:G470">
    <cfRule type="cellIs" dxfId="0" priority="1" operator="greaterThan">
      <formula>0.05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183B121D-5BD1-4E1A-BF4B-5871EA3A1C90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Verquvo Vchr curve</vt:lpstr>
      <vt:lpstr> Model Estimate</vt:lpstr>
      <vt:lpstr> Model Estimate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2023-08-07T09:33:07Z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42b9a47d-d7a8-490c-9329-a0998ba31b48</vt:lpwstr>
  </property>
  <property fmtid="{D5CDD505-2E9C-101B-9397-08002B2CF9AE}" pid="3" name="bjSaver">
    <vt:lpwstr>3O1Gvm5XUeGHackGhxGee6GW/bgAf7qU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5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6" name="bjDocumentSecurityLabel">
    <vt:lpwstr>Proprietary</vt:lpwstr>
  </property>
  <property fmtid="{D5CDD505-2E9C-101B-9397-08002B2CF9AE}" pid="7" name="MerckMetadataExchange">
    <vt:lpwstr>!$MRK@Proprietary-Footer-Left</vt:lpwstr>
  </property>
  <property fmtid="{D5CDD505-2E9C-101B-9397-08002B2CF9AE}" pid="8" name="bjLeftFooterLabel-first">
    <vt:lpwstr>&amp;"Times New Roman,Regular"&amp;12&amp;K00C0C0Proprietary</vt:lpwstr>
  </property>
  <property fmtid="{D5CDD505-2E9C-101B-9397-08002B2CF9AE}" pid="9" name="bjLeftFooterLabel-even">
    <vt:lpwstr>&amp;"Times New Roman,Regular"&amp;12&amp;K00C0C0Proprietary</vt:lpwstr>
  </property>
  <property fmtid="{D5CDD505-2E9C-101B-9397-08002B2CF9AE}" pid="10" name="bjLeftFooterLabel">
    <vt:lpwstr>&amp;"Times New Roman,Regular"&amp;12&amp;K00C0C0Proprietary</vt:lpwstr>
  </property>
</Properties>
</file>