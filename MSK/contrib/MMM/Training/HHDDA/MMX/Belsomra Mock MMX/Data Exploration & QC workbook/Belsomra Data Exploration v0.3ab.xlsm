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mydrive.merck.com/personal/banduri_merck_com/Documents/desktop/MMix/MMix 2024/Belsomra/Data Exploration &amp; QC Workbook/"/>
    </mc:Choice>
  </mc:AlternateContent>
  <xr:revisionPtr revIDLastSave="173" documentId="8_{652DB0BF-370E-4448-A1F1-086DB3DEE415}" xr6:coauthVersionLast="47" xr6:coauthVersionMax="47" xr10:uidLastSave="{F11A4D8D-BD28-4587-BDF5-23009361AA5E}"/>
  <bookViews>
    <workbookView minimized="1" xWindow="3200" yWindow="4080" windowWidth="1980" windowHeight="560" firstSheet="2" activeTab="9" xr2:uid="{2D7EF8E6-FEA3-4CE4-8A47-2932D0AF405A}"/>
  </bookViews>
  <sheets>
    <sheet name="Index" sheetId="1" r:id="rId1"/>
    <sheet name="Trend Charts New" sheetId="26" r:id="rId2"/>
    <sheet name="Sales" sheetId="32" r:id="rId3"/>
    <sheet name="Field Emails" sheetId="46" r:id="rId4"/>
    <sheet name="SFMC" sheetId="52" r:id="rId5"/>
    <sheet name="Medscape" sheetId="47" r:id="rId6"/>
    <sheet name="Doximity" sheetId="31" r:id="rId7"/>
    <sheet name="Epocrates" sheetId="45" r:id="rId8"/>
    <sheet name="DeepIntent" sheetId="53" r:id="rId9"/>
    <sheet name="EveryDayHealth" sheetId="42" r:id="rId10"/>
    <sheet name="Nexgen" sheetId="51" r:id="rId11"/>
    <sheet name="Correlation DMA" sheetId="25" state="hidden" r:id="rId12"/>
    <sheet name="Overlap_24 APR20- MAR22" sheetId="21" state="hidden" r:id="rId13"/>
    <sheet name="Overlap Summary 24 Month" sheetId="56" r:id="rId14"/>
    <sheet name="HCP POC Spend" sheetId="54" r:id="rId15"/>
    <sheet name="NPP Spends" sheetId="40" r:id="rId16"/>
    <sheet name="Raw Data" sheetId="15" r:id="rId17"/>
    <sheet name="POC Data" sheetId="55" r:id="rId18"/>
    <sheet name="Control" sheetId="29" r:id="rId19"/>
  </sheets>
  <definedNames>
    <definedName name="_xlnm._FilterDatabase" localSheetId="15" hidden="1">'NPP Spends'!$B$2:$L$80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8" i="46" l="1"/>
  <c r="L29" i="56" l="1"/>
  <c r="K29" i="56"/>
  <c r="J29" i="56"/>
  <c r="I29" i="56"/>
  <c r="H29" i="56"/>
  <c r="G29" i="56"/>
  <c r="F29" i="56"/>
  <c r="E29" i="56"/>
  <c r="L28" i="56"/>
  <c r="K28" i="56"/>
  <c r="J28" i="56"/>
  <c r="I28" i="56"/>
  <c r="H28" i="56"/>
  <c r="G28" i="56"/>
  <c r="F28" i="56"/>
  <c r="E28" i="56"/>
  <c r="L27" i="56"/>
  <c r="K27" i="56"/>
  <c r="J27" i="56"/>
  <c r="I27" i="56"/>
  <c r="H27" i="56"/>
  <c r="G27" i="56"/>
  <c r="F27" i="56"/>
  <c r="E27" i="56"/>
  <c r="L26" i="56"/>
  <c r="K26" i="56"/>
  <c r="J26" i="56"/>
  <c r="I26" i="56"/>
  <c r="H26" i="56"/>
  <c r="G26" i="56"/>
  <c r="F26" i="56"/>
  <c r="E26" i="56"/>
  <c r="L25" i="56"/>
  <c r="K25" i="56"/>
  <c r="J25" i="56"/>
  <c r="I25" i="56"/>
  <c r="H25" i="56"/>
  <c r="G25" i="56"/>
  <c r="F25" i="56"/>
  <c r="E25" i="56"/>
  <c r="L24" i="56"/>
  <c r="K24" i="56"/>
  <c r="J24" i="56"/>
  <c r="I24" i="56"/>
  <c r="H24" i="56"/>
  <c r="G24" i="56"/>
  <c r="F24" i="56"/>
  <c r="E24" i="56"/>
  <c r="L23" i="56"/>
  <c r="K23" i="56"/>
  <c r="J23" i="56"/>
  <c r="I23" i="56"/>
  <c r="H23" i="56"/>
  <c r="G23" i="56"/>
  <c r="F23" i="56"/>
  <c r="E23" i="56"/>
  <c r="L22" i="56"/>
  <c r="K22" i="56"/>
  <c r="J22" i="56"/>
  <c r="I22" i="56"/>
  <c r="H22" i="56"/>
  <c r="G22" i="56"/>
  <c r="F22" i="56"/>
  <c r="E22" i="56"/>
  <c r="M21" i="56"/>
  <c r="L21" i="56"/>
  <c r="K21" i="56"/>
  <c r="J21" i="56"/>
  <c r="I21" i="56"/>
  <c r="H21" i="56"/>
  <c r="G21" i="56"/>
  <c r="F21" i="56"/>
  <c r="E21" i="56"/>
  <c r="D21" i="56"/>
  <c r="C21" i="56"/>
  <c r="B21" i="56"/>
  <c r="L13" i="56"/>
  <c r="K13" i="56"/>
  <c r="J13" i="56"/>
  <c r="I13" i="56"/>
  <c r="H13" i="56"/>
  <c r="G13" i="56"/>
  <c r="F13" i="56"/>
  <c r="E13" i="56"/>
  <c r="M12" i="56"/>
  <c r="M29" i="56" s="1"/>
  <c r="M11" i="56"/>
  <c r="M28" i="56" s="1"/>
  <c r="M10" i="56"/>
  <c r="M27" i="56" s="1"/>
  <c r="M9" i="56"/>
  <c r="M26" i="56" s="1"/>
  <c r="M8" i="56"/>
  <c r="M25" i="56" s="1"/>
  <c r="M7" i="56"/>
  <c r="M6" i="56"/>
  <c r="M22" i="56" s="1"/>
  <c r="M5" i="56"/>
  <c r="M23" i="56" l="1"/>
  <c r="M24" i="56"/>
  <c r="M13" i="56"/>
  <c r="S7" i="54" l="1"/>
  <c r="S6" i="54"/>
  <c r="S5" i="54"/>
  <c r="S4" i="54"/>
  <c r="S3" i="54"/>
  <c r="S8" i="54" s="1"/>
  <c r="E44" i="47" l="1" a="1"/>
  <c r="E44" i="47" s="1"/>
  <c r="F44" i="42" a="1"/>
  <c r="F44" i="42" s="1"/>
  <c r="E44" i="42" a="1"/>
  <c r="E44" i="42" s="1"/>
  <c r="E44" i="45" a="1"/>
  <c r="E44" i="45" s="1"/>
  <c r="E44" i="31" a="1"/>
  <c r="E44" i="31" s="1"/>
  <c r="F44" i="47" a="1"/>
  <c r="F44" i="47" s="1"/>
  <c r="F44" i="45" a="1"/>
  <c r="F44" i="45" s="1"/>
  <c r="F44" i="31" a="1"/>
  <c r="F44" i="31" s="1"/>
  <c r="I44" i="45" l="1"/>
  <c r="I44" i="47"/>
  <c r="I45" i="47" s="1"/>
  <c r="I44" i="31"/>
  <c r="I45" i="31" s="1"/>
  <c r="I45" i="45"/>
  <c r="F44" i="53" l="1" a="1"/>
  <c r="I44" i="53" s="1"/>
  <c r="E44" i="53" a="1"/>
  <c r="E44" i="53" s="1"/>
  <c r="B44" i="53"/>
  <c r="C44" i="53" s="1" a="1"/>
  <c r="C44" i="53" s="1"/>
  <c r="B7" i="53" a="1"/>
  <c r="B44" i="52"/>
  <c r="B7" i="52" a="1"/>
  <c r="B44" i="51"/>
  <c r="B7" i="51" a="1"/>
  <c r="B44" i="47"/>
  <c r="D44" i="47" s="1" a="1"/>
  <c r="D44" i="47" s="1"/>
  <c r="B7" i="47" a="1"/>
  <c r="B7" i="47" s="1"/>
  <c r="B44" i="46"/>
  <c r="B7" i="46" a="1"/>
  <c r="B44" i="45"/>
  <c r="B7" i="45" a="1"/>
  <c r="B44" i="42"/>
  <c r="C44" i="42" s="1" a="1"/>
  <c r="C44" i="42" s="1"/>
  <c r="B7" i="42" a="1"/>
  <c r="D44" i="31" a="1"/>
  <c r="D44" i="31" s="1"/>
  <c r="C44" i="31" a="1"/>
  <c r="C44" i="31" s="1"/>
  <c r="B44" i="31"/>
  <c r="C2" i="26"/>
  <c r="C44" i="52" l="1" a="1"/>
  <c r="C44" i="52" s="1"/>
  <c r="E44" i="52" a="1"/>
  <c r="E44" i="52" s="1"/>
  <c r="D44" i="52" a="1"/>
  <c r="D44" i="52" s="1"/>
  <c r="F44" i="52" a="1"/>
  <c r="F44" i="52" s="1"/>
  <c r="C44" i="46" a="1"/>
  <c r="C44" i="46" s="1"/>
  <c r="F44" i="46" a="1"/>
  <c r="F44" i="46" s="1"/>
  <c r="E44" i="46" a="1"/>
  <c r="E44" i="46" s="1"/>
  <c r="C44" i="51" a="1"/>
  <c r="C44" i="51" s="1"/>
  <c r="F44" i="51" a="1"/>
  <c r="F44" i="51" s="1"/>
  <c r="E44" i="51" a="1"/>
  <c r="E44" i="51" s="1"/>
  <c r="D44" i="46" a="1"/>
  <c r="D44" i="46" s="1"/>
  <c r="F44" i="53"/>
  <c r="I45" i="53"/>
  <c r="B7" i="53"/>
  <c r="D44" i="53" a="1"/>
  <c r="D44" i="53" s="1"/>
  <c r="B7" i="52"/>
  <c r="D44" i="51" a="1"/>
  <c r="D44" i="51" s="1"/>
  <c r="B7" i="51"/>
  <c r="C44" i="47" a="1"/>
  <c r="C44" i="47" s="1"/>
  <c r="B7" i="46"/>
  <c r="C44" i="45" a="1"/>
  <c r="C44" i="45" s="1"/>
  <c r="D44" i="45" a="1"/>
  <c r="D44" i="45" s="1"/>
  <c r="B7" i="45"/>
  <c r="D44" i="42" a="1"/>
  <c r="D44" i="42" s="1"/>
  <c r="B7" i="42"/>
  <c r="D7" i="1"/>
  <c r="E7" i="1"/>
  <c r="D8" i="1"/>
  <c r="E8" i="1"/>
  <c r="D9" i="1"/>
  <c r="E9" i="1"/>
  <c r="D10" i="1"/>
  <c r="E10" i="1"/>
  <c r="D11" i="1"/>
  <c r="E11" i="1"/>
  <c r="D12" i="1"/>
  <c r="E12" i="1"/>
  <c r="D13" i="1"/>
  <c r="E13" i="1"/>
  <c r="E6" i="1"/>
  <c r="D6" i="1"/>
  <c r="D37" i="32"/>
  <c r="E37" i="32"/>
  <c r="C37" i="32"/>
  <c r="B6" i="32" l="1" a="1"/>
  <c r="B6" i="32" s="1"/>
  <c r="B7" i="31" a="1"/>
  <c r="F15" i="29"/>
  <c r="F14" i="29"/>
  <c r="F13" i="29"/>
  <c r="F12" i="29"/>
  <c r="F11" i="29"/>
  <c r="B4" i="15"/>
  <c r="B5" i="15"/>
  <c r="B6" i="15"/>
  <c r="B7" i="15"/>
  <c r="B8" i="15"/>
  <c r="B9" i="15"/>
  <c r="B10" i="15"/>
  <c r="B11" i="15"/>
  <c r="B12" i="15"/>
  <c r="B13" i="15"/>
  <c r="B14" i="15"/>
  <c r="B15" i="15"/>
  <c r="B16" i="15"/>
  <c r="B17" i="15"/>
  <c r="B18" i="15"/>
  <c r="B19" i="15"/>
  <c r="B20" i="15"/>
  <c r="B21" i="15"/>
  <c r="B22" i="15"/>
  <c r="B23" i="15"/>
  <c r="B24" i="15"/>
  <c r="B25" i="15"/>
  <c r="B26" i="15"/>
  <c r="B27" i="15"/>
  <c r="B28" i="15"/>
  <c r="B29" i="15"/>
  <c r="B30" i="15"/>
  <c r="B31" i="15"/>
  <c r="B32" i="15"/>
  <c r="B33" i="15"/>
  <c r="B34" i="15"/>
  <c r="B35" i="15"/>
  <c r="B36" i="15"/>
  <c r="B37" i="15"/>
  <c r="B38" i="15"/>
  <c r="B39" i="15"/>
  <c r="B40" i="15"/>
  <c r="B41" i="15"/>
  <c r="B42" i="15"/>
  <c r="B3" i="15"/>
  <c r="E5" i="1"/>
  <c r="D5" i="1"/>
  <c r="B7" i="31" l="1"/>
  <c r="H4" i="29" a="1"/>
  <c r="H4" i="29" l="1"/>
  <c r="E4" i="29" s="1" a="1"/>
  <c r="E4" i="29" s="1"/>
  <c r="F4" i="29" s="1"/>
  <c r="B4" i="29" a="1"/>
  <c r="F7" i="29" l="1"/>
  <c r="F8" i="29"/>
  <c r="F9" i="29"/>
  <c r="E4" i="32" s="1"/>
  <c r="F6" i="29"/>
  <c r="F10" i="29"/>
  <c r="F5" i="29"/>
  <c r="C4" i="32"/>
  <c r="D4" i="32"/>
  <c r="C12" i="29"/>
  <c r="C24" i="29"/>
  <c r="C36" i="29"/>
  <c r="C48" i="29"/>
  <c r="C60" i="29"/>
  <c r="C72" i="29"/>
  <c r="C84" i="29"/>
  <c r="C96" i="29"/>
  <c r="C108" i="29"/>
  <c r="C132" i="29"/>
  <c r="C144" i="29"/>
  <c r="C156" i="29"/>
  <c r="C168" i="29"/>
  <c r="C180" i="29"/>
  <c r="C192" i="29"/>
  <c r="C204" i="29"/>
  <c r="C216" i="29"/>
  <c r="C228" i="29"/>
  <c r="C240" i="29"/>
  <c r="C252" i="29"/>
  <c r="C264" i="29"/>
  <c r="C276" i="29"/>
  <c r="C288" i="29"/>
  <c r="C300" i="29"/>
  <c r="C13" i="29"/>
  <c r="C25" i="29"/>
  <c r="C37" i="29"/>
  <c r="C49" i="29"/>
  <c r="C61" i="29"/>
  <c r="C73" i="29"/>
  <c r="C85" i="29"/>
  <c r="C97" i="29"/>
  <c r="C109" i="29"/>
  <c r="C133" i="29"/>
  <c r="C145" i="29"/>
  <c r="C157" i="29"/>
  <c r="C169" i="29"/>
  <c r="C181" i="29"/>
  <c r="C193" i="29"/>
  <c r="C205" i="29"/>
  <c r="C217" i="29"/>
  <c r="C229" i="29"/>
  <c r="C241" i="29"/>
  <c r="C253" i="29"/>
  <c r="C265" i="29"/>
  <c r="C277" i="29"/>
  <c r="C289" i="29"/>
  <c r="C301" i="29"/>
  <c r="C14" i="29"/>
  <c r="C26" i="29"/>
  <c r="C38" i="29"/>
  <c r="C50" i="29"/>
  <c r="C62" i="29"/>
  <c r="C74" i="29"/>
  <c r="C86" i="29"/>
  <c r="C98" i="29"/>
  <c r="C110" i="29"/>
  <c r="C134" i="29"/>
  <c r="C146" i="29"/>
  <c r="C158" i="29"/>
  <c r="C170" i="29"/>
  <c r="C182" i="29"/>
  <c r="C194" i="29"/>
  <c r="C206" i="29"/>
  <c r="C218" i="29"/>
  <c r="C230" i="29"/>
  <c r="C242" i="29"/>
  <c r="C254" i="29"/>
  <c r="C266" i="29"/>
  <c r="C278" i="29"/>
  <c r="C290" i="29"/>
  <c r="C302" i="29"/>
  <c r="C83" i="29"/>
  <c r="C227" i="29"/>
  <c r="C15" i="29"/>
  <c r="C27" i="29"/>
  <c r="C39" i="29"/>
  <c r="C51" i="29"/>
  <c r="C63" i="29"/>
  <c r="C75" i="29"/>
  <c r="C87" i="29"/>
  <c r="C99" i="29"/>
  <c r="C111" i="29"/>
  <c r="C135" i="29"/>
  <c r="C147" i="29"/>
  <c r="C159" i="29"/>
  <c r="C171" i="29"/>
  <c r="C183" i="29"/>
  <c r="C195" i="29"/>
  <c r="C207" i="29"/>
  <c r="C219" i="29"/>
  <c r="C231" i="29"/>
  <c r="C243" i="29"/>
  <c r="C255" i="29"/>
  <c r="C267" i="29"/>
  <c r="C279" i="29"/>
  <c r="C291" i="29"/>
  <c r="C303" i="29"/>
  <c r="C16" i="29"/>
  <c r="C28" i="29"/>
  <c r="C40" i="29"/>
  <c r="C52" i="29"/>
  <c r="C64" i="29"/>
  <c r="C76" i="29"/>
  <c r="C88" i="29"/>
  <c r="C100" i="29"/>
  <c r="C112" i="29"/>
  <c r="C136" i="29"/>
  <c r="C148" i="29"/>
  <c r="C160" i="29"/>
  <c r="C172" i="29"/>
  <c r="C184" i="29"/>
  <c r="C196" i="29"/>
  <c r="C208" i="29"/>
  <c r="C220" i="29"/>
  <c r="C232" i="29"/>
  <c r="C244" i="29"/>
  <c r="C256" i="29"/>
  <c r="C268" i="29"/>
  <c r="C280" i="29"/>
  <c r="C292" i="29"/>
  <c r="C304" i="29"/>
  <c r="C71" i="29"/>
  <c r="C119" i="29"/>
  <c r="C203" i="29"/>
  <c r="C287" i="29"/>
  <c r="C5" i="29"/>
  <c r="C17" i="29"/>
  <c r="C29" i="29"/>
  <c r="C41" i="29"/>
  <c r="C53" i="29"/>
  <c r="C65" i="29"/>
  <c r="C77" i="29"/>
  <c r="C89" i="29"/>
  <c r="C101" i="29"/>
  <c r="C113" i="29"/>
  <c r="C125" i="29"/>
  <c r="C137" i="29"/>
  <c r="C149" i="29"/>
  <c r="C161" i="29"/>
  <c r="C173" i="29"/>
  <c r="C185" i="29"/>
  <c r="C197" i="29"/>
  <c r="C209" i="29"/>
  <c r="C221" i="29"/>
  <c r="C233" i="29"/>
  <c r="C245" i="29"/>
  <c r="C257" i="29"/>
  <c r="C269" i="29"/>
  <c r="C281" i="29"/>
  <c r="C293" i="29"/>
  <c r="C305" i="29"/>
  <c r="C47" i="29"/>
  <c r="C155" i="29"/>
  <c r="C239" i="29"/>
  <c r="C6" i="29"/>
  <c r="C18" i="29"/>
  <c r="C30" i="29"/>
  <c r="C42" i="29"/>
  <c r="C54" i="29"/>
  <c r="C66" i="29"/>
  <c r="C78" i="29"/>
  <c r="C90" i="29"/>
  <c r="C102" i="29"/>
  <c r="C114" i="29"/>
  <c r="C126" i="29"/>
  <c r="C138" i="29"/>
  <c r="C150" i="29"/>
  <c r="C162" i="29"/>
  <c r="C174" i="29"/>
  <c r="C186" i="29"/>
  <c r="C198" i="29"/>
  <c r="C210" i="29"/>
  <c r="C222" i="29"/>
  <c r="C234" i="29"/>
  <c r="C246" i="29"/>
  <c r="C258" i="29"/>
  <c r="C270" i="29"/>
  <c r="C282" i="29"/>
  <c r="C294" i="29"/>
  <c r="C23" i="29"/>
  <c r="C167" i="29"/>
  <c r="C251" i="29"/>
  <c r="C7" i="29"/>
  <c r="C19" i="29"/>
  <c r="C31" i="29"/>
  <c r="C43" i="29"/>
  <c r="C55" i="29"/>
  <c r="C67" i="29"/>
  <c r="C79" i="29"/>
  <c r="C91" i="29"/>
  <c r="C103" i="29"/>
  <c r="C115" i="29"/>
  <c r="C127" i="29"/>
  <c r="C139" i="29"/>
  <c r="C151" i="29"/>
  <c r="C163" i="29"/>
  <c r="C175" i="29"/>
  <c r="C187" i="29"/>
  <c r="C199" i="29"/>
  <c r="C211" i="29"/>
  <c r="C223" i="29"/>
  <c r="C235" i="29"/>
  <c r="C247" i="29"/>
  <c r="C259" i="29"/>
  <c r="C271" i="29"/>
  <c r="C283" i="29"/>
  <c r="C295" i="29"/>
  <c r="C11" i="29"/>
  <c r="C215" i="29"/>
  <c r="C8" i="29"/>
  <c r="C20" i="29"/>
  <c r="C32" i="29"/>
  <c r="C44" i="29"/>
  <c r="C56" i="29"/>
  <c r="C68" i="29"/>
  <c r="C80" i="29"/>
  <c r="C92" i="29"/>
  <c r="C104" i="29"/>
  <c r="C116" i="29"/>
  <c r="C128" i="29"/>
  <c r="C140" i="29"/>
  <c r="C152" i="29"/>
  <c r="C164" i="29"/>
  <c r="C176" i="29"/>
  <c r="C188" i="29"/>
  <c r="C200" i="29"/>
  <c r="C212" i="29"/>
  <c r="C224" i="29"/>
  <c r="C236" i="29"/>
  <c r="C248" i="29"/>
  <c r="C260" i="29"/>
  <c r="C272" i="29"/>
  <c r="C284" i="29"/>
  <c r="C296" i="29"/>
  <c r="C9" i="29"/>
  <c r="C21" i="29"/>
  <c r="C33" i="29"/>
  <c r="C45" i="29"/>
  <c r="C57" i="29"/>
  <c r="C69" i="29"/>
  <c r="C81" i="29"/>
  <c r="C93" i="29"/>
  <c r="C105" i="29"/>
  <c r="C117" i="29"/>
  <c r="C129" i="29"/>
  <c r="C141" i="29"/>
  <c r="C153" i="29"/>
  <c r="C165" i="29"/>
  <c r="C177" i="29"/>
  <c r="C189" i="29"/>
  <c r="C201" i="29"/>
  <c r="C213" i="29"/>
  <c r="C225" i="29"/>
  <c r="C237" i="29"/>
  <c r="C249" i="29"/>
  <c r="C261" i="29"/>
  <c r="C273" i="29"/>
  <c r="C285" i="29"/>
  <c r="C297" i="29"/>
  <c r="C59" i="29"/>
  <c r="C95" i="29"/>
  <c r="C131" i="29"/>
  <c r="C179" i="29"/>
  <c r="C275" i="29"/>
  <c r="C10" i="29"/>
  <c r="C22" i="29"/>
  <c r="C34" i="29"/>
  <c r="C46" i="29"/>
  <c r="C58" i="29"/>
  <c r="C70" i="29"/>
  <c r="C82" i="29"/>
  <c r="C94" i="29"/>
  <c r="C106" i="29"/>
  <c r="C118" i="29"/>
  <c r="C130" i="29"/>
  <c r="C142" i="29"/>
  <c r="C154" i="29"/>
  <c r="C166" i="29"/>
  <c r="C178" i="29"/>
  <c r="C190" i="29"/>
  <c r="C202" i="29"/>
  <c r="C214" i="29"/>
  <c r="C226" i="29"/>
  <c r="C238" i="29"/>
  <c r="C250" i="29"/>
  <c r="C262" i="29"/>
  <c r="C274" i="29"/>
  <c r="C286" i="29"/>
  <c r="C298" i="29"/>
  <c r="C35" i="29"/>
  <c r="C107" i="29"/>
  <c r="C143" i="29"/>
  <c r="C191" i="29"/>
  <c r="C263" i="29"/>
  <c r="C299" i="29"/>
  <c r="B5" i="26"/>
  <c r="D13" i="26" s="1"/>
  <c r="B4" i="29"/>
  <c r="D2" i="25" a="1"/>
  <c r="D2" i="25" s="1"/>
  <c r="C4" i="29" l="1"/>
  <c r="I127" i="29"/>
  <c r="I271" i="29"/>
  <c r="I200" i="29"/>
  <c r="I129" i="29"/>
  <c r="I273" i="29"/>
  <c r="I190" i="29"/>
  <c r="I281" i="29"/>
  <c r="I239" i="29"/>
  <c r="I156" i="29"/>
  <c r="I300" i="29"/>
  <c r="I205" i="29"/>
  <c r="I134" i="29"/>
  <c r="I278" i="29"/>
  <c r="I207" i="29"/>
  <c r="I148" i="29"/>
  <c r="I292" i="29"/>
  <c r="I302" i="29"/>
  <c r="I172" i="29"/>
  <c r="I257" i="29"/>
  <c r="I142" i="29"/>
  <c r="I159" i="29"/>
  <c r="I221" i="29"/>
  <c r="I246" i="29"/>
  <c r="I227" i="29"/>
  <c r="I266" i="29"/>
  <c r="I139" i="29"/>
  <c r="I283" i="29"/>
  <c r="I212" i="29"/>
  <c r="I141" i="29"/>
  <c r="I285" i="29"/>
  <c r="I202" i="29"/>
  <c r="I198" i="29"/>
  <c r="I251" i="29"/>
  <c r="I168" i="29"/>
  <c r="I312" i="29"/>
  <c r="I217" i="29"/>
  <c r="I146" i="29"/>
  <c r="I290" i="29"/>
  <c r="I219" i="29"/>
  <c r="I160" i="29"/>
  <c r="I304" i="29"/>
  <c r="I151" i="29"/>
  <c r="I295" i="29"/>
  <c r="I224" i="29"/>
  <c r="I153" i="29"/>
  <c r="I297" i="29"/>
  <c r="I214" i="29"/>
  <c r="I282" i="29"/>
  <c r="I263" i="29"/>
  <c r="I180" i="29"/>
  <c r="I185" i="29"/>
  <c r="I229" i="29"/>
  <c r="I158" i="29"/>
  <c r="I231" i="29"/>
  <c r="I137" i="29"/>
  <c r="I296" i="29"/>
  <c r="I252" i="29"/>
  <c r="I244" i="29"/>
  <c r="I310" i="29"/>
  <c r="I150" i="29"/>
  <c r="I259" i="29"/>
  <c r="I288" i="29"/>
  <c r="I163" i="29"/>
  <c r="I307" i="29"/>
  <c r="I236" i="29"/>
  <c r="I165" i="29"/>
  <c r="I309" i="29"/>
  <c r="I226" i="29"/>
  <c r="I131" i="29"/>
  <c r="I275" i="29"/>
  <c r="I192" i="29"/>
  <c r="I269" i="29"/>
  <c r="I241" i="29"/>
  <c r="I170" i="29"/>
  <c r="I173" i="29"/>
  <c r="I243" i="29"/>
  <c r="I184" i="29"/>
  <c r="I225" i="29"/>
  <c r="I157" i="29"/>
  <c r="I132" i="29"/>
  <c r="I183" i="29"/>
  <c r="I188" i="29"/>
  <c r="I195" i="29"/>
  <c r="I175" i="29"/>
  <c r="I245" i="29"/>
  <c r="I248" i="29"/>
  <c r="I177" i="29"/>
  <c r="I233" i="29"/>
  <c r="I238" i="29"/>
  <c r="I143" i="29"/>
  <c r="I287" i="29"/>
  <c r="I204" i="29"/>
  <c r="I222" i="29"/>
  <c r="I253" i="29"/>
  <c r="I182" i="29"/>
  <c r="I174" i="29"/>
  <c r="I255" i="29"/>
  <c r="I196" i="29"/>
  <c r="I162" i="29"/>
  <c r="I152" i="29"/>
  <c r="I301" i="29"/>
  <c r="I247" i="29"/>
  <c r="I276" i="29"/>
  <c r="I138" i="29"/>
  <c r="I193" i="29"/>
  <c r="I187" i="29"/>
  <c r="I210" i="29"/>
  <c r="I260" i="29"/>
  <c r="I189" i="29"/>
  <c r="I305" i="29"/>
  <c r="I250" i="29"/>
  <c r="I155" i="29"/>
  <c r="I299" i="29"/>
  <c r="I216" i="29"/>
  <c r="I294" i="29"/>
  <c r="I265" i="29"/>
  <c r="I194" i="29"/>
  <c r="I306" i="29"/>
  <c r="I267" i="29"/>
  <c r="I208" i="29"/>
  <c r="I258" i="29"/>
  <c r="I286" i="29"/>
  <c r="I249" i="29"/>
  <c r="I268" i="29"/>
  <c r="I144" i="29"/>
  <c r="I136" i="29"/>
  <c r="I199" i="29"/>
  <c r="I128" i="29"/>
  <c r="I272" i="29"/>
  <c r="I201" i="29"/>
  <c r="I186" i="29"/>
  <c r="I262" i="29"/>
  <c r="I167" i="29"/>
  <c r="I311" i="29"/>
  <c r="I228" i="29"/>
  <c r="I133" i="29"/>
  <c r="I277" i="29"/>
  <c r="I206" i="29"/>
  <c r="I135" i="29"/>
  <c r="I279" i="29"/>
  <c r="I220" i="29"/>
  <c r="I191" i="29"/>
  <c r="I230" i="29"/>
  <c r="I176" i="29"/>
  <c r="I181" i="29"/>
  <c r="I261" i="29"/>
  <c r="I280" i="29"/>
  <c r="I211" i="29"/>
  <c r="I140" i="29"/>
  <c r="I284" i="29"/>
  <c r="I213" i="29"/>
  <c r="I130" i="29"/>
  <c r="I274" i="29"/>
  <c r="I179" i="29"/>
  <c r="I197" i="29"/>
  <c r="I240" i="29"/>
  <c r="I145" i="29"/>
  <c r="I289" i="29"/>
  <c r="I218" i="29"/>
  <c r="I147" i="29"/>
  <c r="I291" i="29"/>
  <c r="I232" i="29"/>
  <c r="I223" i="29"/>
  <c r="I293" i="29"/>
  <c r="I303" i="29"/>
  <c r="I166" i="29"/>
  <c r="I254" i="29"/>
  <c r="I178" i="29"/>
  <c r="I270" i="29"/>
  <c r="I235" i="29"/>
  <c r="I164" i="29"/>
  <c r="I308" i="29"/>
  <c r="I237" i="29"/>
  <c r="I154" i="29"/>
  <c r="I298" i="29"/>
  <c r="I203" i="29"/>
  <c r="I234" i="29"/>
  <c r="I264" i="29"/>
  <c r="I169" i="29"/>
  <c r="I161" i="29"/>
  <c r="I242" i="29"/>
  <c r="I171" i="29"/>
  <c r="I149" i="29"/>
  <c r="I256" i="29"/>
  <c r="I215" i="29"/>
  <c r="I209" i="29"/>
  <c r="E5" i="46"/>
  <c r="E5" i="51"/>
  <c r="D5" i="51"/>
  <c r="C5" i="52"/>
  <c r="E5" i="53"/>
  <c r="C5" i="51"/>
  <c r="E5" i="45"/>
  <c r="D5" i="53"/>
  <c r="C5" i="45"/>
  <c r="C5" i="53"/>
  <c r="E5" i="42"/>
  <c r="E5" i="52"/>
  <c r="E5" i="47"/>
  <c r="D5" i="52"/>
  <c r="D5" i="47"/>
  <c r="C5" i="46"/>
  <c r="D5" i="46"/>
  <c r="D5" i="42"/>
  <c r="D5" i="45"/>
  <c r="C5" i="47"/>
  <c r="C5" i="42"/>
  <c r="E12" i="32"/>
  <c r="E20" i="32"/>
  <c r="E25" i="32"/>
  <c r="E13" i="32"/>
  <c r="E28" i="32"/>
  <c r="E10" i="32"/>
  <c r="E8" i="32"/>
  <c r="E16" i="32"/>
  <c r="E18" i="32"/>
  <c r="E21" i="32"/>
  <c r="E9" i="32"/>
  <c r="E19" i="32"/>
  <c r="E17" i="32"/>
  <c r="E6" i="32"/>
  <c r="E24" i="32"/>
  <c r="E7" i="32"/>
  <c r="E14" i="32"/>
  <c r="E15" i="32"/>
  <c r="E23" i="32"/>
  <c r="E29" i="32"/>
  <c r="E27" i="32"/>
  <c r="E26" i="32"/>
  <c r="E22" i="32"/>
  <c r="E11" i="32"/>
  <c r="D6" i="32"/>
  <c r="D12" i="32"/>
  <c r="D25" i="32"/>
  <c r="D23" i="32"/>
  <c r="D22" i="32"/>
  <c r="D19" i="32"/>
  <c r="D17" i="32"/>
  <c r="D20" i="32"/>
  <c r="D16" i="32"/>
  <c r="D7" i="32"/>
  <c r="D15" i="32"/>
  <c r="D8" i="32"/>
  <c r="D28" i="32"/>
  <c r="D29" i="32"/>
  <c r="D18" i="32"/>
  <c r="D27" i="32"/>
  <c r="D26" i="32"/>
  <c r="D21" i="32"/>
  <c r="D14" i="32"/>
  <c r="D13" i="32"/>
  <c r="D10" i="32"/>
  <c r="D11" i="32"/>
  <c r="D24" i="32"/>
  <c r="D9" i="32"/>
  <c r="C13" i="32"/>
  <c r="C23" i="32"/>
  <c r="C14" i="32"/>
  <c r="C29" i="32"/>
  <c r="C26" i="32"/>
  <c r="C7" i="32"/>
  <c r="C19" i="32"/>
  <c r="C6" i="32"/>
  <c r="C20" i="32"/>
  <c r="C8" i="32"/>
  <c r="C15" i="32"/>
  <c r="C9" i="32"/>
  <c r="C17" i="32"/>
  <c r="C28" i="32"/>
  <c r="C11" i="32"/>
  <c r="C18" i="32"/>
  <c r="C10" i="32"/>
  <c r="C25" i="32"/>
  <c r="C16" i="32"/>
  <c r="C24" i="32"/>
  <c r="C12" i="32"/>
  <c r="C21" i="32"/>
  <c r="C27" i="32"/>
  <c r="C22" i="32"/>
  <c r="D5" i="31"/>
  <c r="E5" i="31"/>
  <c r="C5" i="31"/>
  <c r="I82" i="29"/>
  <c r="I73" i="29"/>
  <c r="I123" i="29"/>
  <c r="I18" i="29"/>
  <c r="I16" i="29"/>
  <c r="I46" i="29"/>
  <c r="I93" i="29"/>
  <c r="I6" i="29"/>
  <c r="I25" i="29"/>
  <c r="I92" i="29"/>
  <c r="I125" i="29"/>
  <c r="I28" i="29"/>
  <c r="I120" i="29"/>
  <c r="I55" i="29"/>
  <c r="I105" i="29"/>
  <c r="I17" i="29"/>
  <c r="I20" i="29"/>
  <c r="I32" i="29"/>
  <c r="I110" i="29"/>
  <c r="I103" i="29"/>
  <c r="I121" i="29"/>
  <c r="I102" i="29"/>
  <c r="I108" i="29"/>
  <c r="I26" i="29"/>
  <c r="I5" i="29"/>
  <c r="I27" i="29"/>
  <c r="I23" i="29"/>
  <c r="I57" i="29"/>
  <c r="I38" i="29"/>
  <c r="I100" i="29"/>
  <c r="I10" i="29"/>
  <c r="I124" i="29"/>
  <c r="I89" i="29"/>
  <c r="I70" i="29"/>
  <c r="I40" i="29"/>
  <c r="I54" i="29"/>
  <c r="I44" i="29"/>
  <c r="I9" i="29"/>
  <c r="I61" i="29"/>
  <c r="I64" i="29"/>
  <c r="I31" i="29"/>
  <c r="I111" i="29"/>
  <c r="I60" i="29"/>
  <c r="I39" i="29"/>
  <c r="I69" i="29"/>
  <c r="I95" i="29"/>
  <c r="I13" i="29"/>
  <c r="I19" i="29"/>
  <c r="I91" i="29"/>
  <c r="I65" i="29"/>
  <c r="I115" i="29"/>
  <c r="I96" i="29"/>
  <c r="I52" i="29"/>
  <c r="I47" i="29"/>
  <c r="I36" i="29"/>
  <c r="I43" i="29"/>
  <c r="I99" i="29"/>
  <c r="I67" i="29"/>
  <c r="I80" i="29"/>
  <c r="I50" i="29"/>
  <c r="I58" i="29"/>
  <c r="I63" i="29"/>
  <c r="I66" i="29"/>
  <c r="B6" i="26"/>
  <c r="I83" i="29"/>
  <c r="I49" i="29"/>
  <c r="I15" i="29"/>
  <c r="I104" i="29"/>
  <c r="I34" i="29"/>
  <c r="I51" i="29"/>
  <c r="I14" i="29"/>
  <c r="I11" i="29"/>
  <c r="I126" i="29"/>
  <c r="I33" i="29"/>
  <c r="I77" i="29"/>
  <c r="I56" i="29"/>
  <c r="I41" i="29"/>
  <c r="I71" i="29"/>
  <c r="I88" i="29"/>
  <c r="I85" i="29"/>
  <c r="I94" i="29"/>
  <c r="I84" i="29"/>
  <c r="I45" i="29"/>
  <c r="I90" i="29"/>
  <c r="I72" i="29"/>
  <c r="I76" i="29"/>
  <c r="I114" i="29"/>
  <c r="I48" i="29"/>
  <c r="I118" i="29"/>
  <c r="I119" i="29"/>
  <c r="I62" i="29"/>
  <c r="I98" i="29"/>
  <c r="I113" i="29"/>
  <c r="I86" i="29"/>
  <c r="I8" i="29"/>
  <c r="I12" i="29"/>
  <c r="I81" i="29"/>
  <c r="I87" i="29"/>
  <c r="I42" i="29"/>
  <c r="I37" i="29"/>
  <c r="I53" i="29"/>
  <c r="I75" i="29"/>
  <c r="I78" i="29"/>
  <c r="I68" i="29"/>
  <c r="I30" i="29"/>
  <c r="I35" i="29"/>
  <c r="I116" i="29"/>
  <c r="I7" i="29"/>
  <c r="I107" i="29"/>
  <c r="I109" i="29"/>
  <c r="I101" i="29"/>
  <c r="I74" i="29"/>
  <c r="I122" i="29"/>
  <c r="I59" i="29"/>
  <c r="I112" i="29"/>
  <c r="I29" i="29"/>
  <c r="I24" i="29"/>
  <c r="I21" i="29"/>
  <c r="I97" i="29"/>
  <c r="I22" i="29"/>
  <c r="I79" i="29"/>
  <c r="I117" i="29"/>
  <c r="I106" i="29"/>
  <c r="D22" i="21"/>
  <c r="D21" i="21"/>
  <c r="D20" i="21"/>
  <c r="D19" i="21"/>
  <c r="D18" i="21"/>
  <c r="D17" i="21"/>
  <c r="D16" i="21"/>
  <c r="D15" i="21"/>
  <c r="C39" i="32" l="1"/>
  <c r="E16" i="52"/>
  <c r="E13" i="52"/>
  <c r="E23" i="52"/>
  <c r="E27" i="52"/>
  <c r="E8" i="52"/>
  <c r="E24" i="52"/>
  <c r="E10" i="52"/>
  <c r="E30" i="52"/>
  <c r="E25" i="52"/>
  <c r="E26" i="52"/>
  <c r="E11" i="52"/>
  <c r="E14" i="52"/>
  <c r="E29" i="52"/>
  <c r="E9" i="52"/>
  <c r="E12" i="52"/>
  <c r="E17" i="52"/>
  <c r="E15" i="52"/>
  <c r="E20" i="52"/>
  <c r="E18" i="52"/>
  <c r="E28" i="52"/>
  <c r="E19" i="52"/>
  <c r="E22" i="52"/>
  <c r="E21" i="52"/>
  <c r="E7" i="52"/>
  <c r="E28" i="42"/>
  <c r="E8" i="42"/>
  <c r="E25" i="42"/>
  <c r="E9" i="42"/>
  <c r="E11" i="42"/>
  <c r="E19" i="42"/>
  <c r="E15" i="42"/>
  <c r="E12" i="42"/>
  <c r="E14" i="42"/>
  <c r="E22" i="42"/>
  <c r="E21" i="42"/>
  <c r="E18" i="42"/>
  <c r="E17" i="42"/>
  <c r="E24" i="42"/>
  <c r="E30" i="42"/>
  <c r="E20" i="42"/>
  <c r="E16" i="42"/>
  <c r="E27" i="42"/>
  <c r="E23" i="42"/>
  <c r="E26" i="42"/>
  <c r="E10" i="42"/>
  <c r="E29" i="42"/>
  <c r="E13" i="42"/>
  <c r="E7" i="42"/>
  <c r="E39" i="32"/>
  <c r="D38" i="32"/>
  <c r="C26" i="42"/>
  <c r="C16" i="42"/>
  <c r="C27" i="42"/>
  <c r="C13" i="42"/>
  <c r="C8" i="42"/>
  <c r="C19" i="42"/>
  <c r="C11" i="42"/>
  <c r="C22" i="42"/>
  <c r="C25" i="42"/>
  <c r="C20" i="42"/>
  <c r="C28" i="42"/>
  <c r="C9" i="42"/>
  <c r="C15" i="42"/>
  <c r="C21" i="42"/>
  <c r="C14" i="42"/>
  <c r="C17" i="42"/>
  <c r="C24" i="42"/>
  <c r="C30" i="42"/>
  <c r="C23" i="42"/>
  <c r="C12" i="42"/>
  <c r="C29" i="42"/>
  <c r="C10" i="42"/>
  <c r="C18" i="42"/>
  <c r="C7" i="42"/>
  <c r="C30" i="45"/>
  <c r="C11" i="45"/>
  <c r="C24" i="45"/>
  <c r="C25" i="45"/>
  <c r="C26" i="45"/>
  <c r="C27" i="45"/>
  <c r="C20" i="45"/>
  <c r="C14" i="45"/>
  <c r="C29" i="45"/>
  <c r="C8" i="45"/>
  <c r="C23" i="45"/>
  <c r="C22" i="45"/>
  <c r="C17" i="45"/>
  <c r="C9" i="45"/>
  <c r="C10" i="45"/>
  <c r="C12" i="45"/>
  <c r="C13" i="45"/>
  <c r="C15" i="45"/>
  <c r="C16" i="45"/>
  <c r="C21" i="45"/>
  <c r="C28" i="45"/>
  <c r="C18" i="45"/>
  <c r="C19" i="45"/>
  <c r="C7" i="45"/>
  <c r="C20" i="53"/>
  <c r="C9" i="53"/>
  <c r="C19" i="53"/>
  <c r="C26" i="53"/>
  <c r="C12" i="53"/>
  <c r="C22" i="53"/>
  <c r="C11" i="53"/>
  <c r="C15" i="53"/>
  <c r="C25" i="53"/>
  <c r="C29" i="53"/>
  <c r="C18" i="53"/>
  <c r="C8" i="53"/>
  <c r="C21" i="53"/>
  <c r="C17" i="53"/>
  <c r="C24" i="53"/>
  <c r="C16" i="53"/>
  <c r="C14" i="53"/>
  <c r="C27" i="53"/>
  <c r="C23" i="53"/>
  <c r="C30" i="53"/>
  <c r="C7" i="53"/>
  <c r="C10" i="53"/>
  <c r="C28" i="53"/>
  <c r="C13" i="53"/>
  <c r="C9" i="47"/>
  <c r="C12" i="47"/>
  <c r="C15" i="47"/>
  <c r="C25" i="47"/>
  <c r="C29" i="47"/>
  <c r="C18" i="47"/>
  <c r="C8" i="47"/>
  <c r="C21" i="47"/>
  <c r="C7" i="47"/>
  <c r="C11" i="47"/>
  <c r="C24" i="47"/>
  <c r="C10" i="47"/>
  <c r="C14" i="47"/>
  <c r="C28" i="47"/>
  <c r="C27" i="47"/>
  <c r="C13" i="47"/>
  <c r="C17" i="47"/>
  <c r="C30" i="47"/>
  <c r="C16" i="47"/>
  <c r="C20" i="47"/>
  <c r="C19" i="47"/>
  <c r="C23" i="47"/>
  <c r="C22" i="47"/>
  <c r="C26" i="47"/>
  <c r="D23" i="53"/>
  <c r="D21" i="53"/>
  <c r="F21" i="53" s="1"/>
  <c r="D14" i="53"/>
  <c r="D9" i="53"/>
  <c r="D24" i="53"/>
  <c r="F24" i="53" s="1"/>
  <c r="D18" i="53"/>
  <c r="D27" i="53"/>
  <c r="F27" i="53" s="1"/>
  <c r="D20" i="53"/>
  <c r="F20" i="53" s="1"/>
  <c r="D30" i="53"/>
  <c r="D10" i="53"/>
  <c r="F10" i="53" s="1"/>
  <c r="D13" i="53"/>
  <c r="F13" i="53" s="1"/>
  <c r="D16" i="53"/>
  <c r="F16" i="53" s="1"/>
  <c r="D26" i="53"/>
  <c r="F26" i="53" s="1"/>
  <c r="D19" i="53"/>
  <c r="F19" i="53" s="1"/>
  <c r="D11" i="53"/>
  <c r="D28" i="53"/>
  <c r="F28" i="53" s="1"/>
  <c r="D22" i="53"/>
  <c r="F22" i="53" s="1"/>
  <c r="D8" i="53"/>
  <c r="D17" i="53"/>
  <c r="F17" i="53" s="1"/>
  <c r="D25" i="53"/>
  <c r="D29" i="53"/>
  <c r="D12" i="53"/>
  <c r="F12" i="53" s="1"/>
  <c r="D7" i="53"/>
  <c r="D15" i="53"/>
  <c r="C38" i="32"/>
  <c r="C40" i="32" s="1"/>
  <c r="D22" i="45"/>
  <c r="F22" i="45" s="1"/>
  <c r="D17" i="45"/>
  <c r="F17" i="45" s="1"/>
  <c r="D12" i="45"/>
  <c r="F12" i="45" s="1"/>
  <c r="D10" i="45"/>
  <c r="F10" i="45" s="1"/>
  <c r="D15" i="45"/>
  <c r="F15" i="45" s="1"/>
  <c r="D28" i="45"/>
  <c r="D18" i="45"/>
  <c r="D16" i="45"/>
  <c r="D25" i="45"/>
  <c r="F25" i="45" s="1"/>
  <c r="D21" i="45"/>
  <c r="D19" i="45"/>
  <c r="F19" i="45" s="1"/>
  <c r="D24" i="45"/>
  <c r="F24" i="45" s="1"/>
  <c r="D11" i="45"/>
  <c r="F11" i="45" s="1"/>
  <c r="D27" i="45"/>
  <c r="F27" i="45" s="1"/>
  <c r="D20" i="45"/>
  <c r="D30" i="45"/>
  <c r="F30" i="45" s="1"/>
  <c r="D29" i="45"/>
  <c r="D8" i="45"/>
  <c r="F8" i="45" s="1"/>
  <c r="D23" i="45"/>
  <c r="F23" i="45" s="1"/>
  <c r="D26" i="45"/>
  <c r="D13" i="45"/>
  <c r="F13" i="45" s="1"/>
  <c r="D14" i="45"/>
  <c r="D9" i="45"/>
  <c r="D7" i="45"/>
  <c r="F7" i="45" s="1"/>
  <c r="E25" i="45"/>
  <c r="E13" i="45"/>
  <c r="E8" i="45"/>
  <c r="E26" i="45"/>
  <c r="E9" i="45"/>
  <c r="E23" i="45"/>
  <c r="E12" i="45"/>
  <c r="E10" i="45"/>
  <c r="E15" i="45"/>
  <c r="E28" i="45"/>
  <c r="E18" i="45"/>
  <c r="E16" i="45"/>
  <c r="E11" i="45"/>
  <c r="E21" i="45"/>
  <c r="E20" i="45"/>
  <c r="E29" i="45"/>
  <c r="E24" i="45"/>
  <c r="E14" i="45"/>
  <c r="E17" i="45"/>
  <c r="E27" i="45"/>
  <c r="E19" i="45"/>
  <c r="E30" i="45"/>
  <c r="E22" i="45"/>
  <c r="E7" i="45"/>
  <c r="D17" i="42"/>
  <c r="F17" i="42" s="1"/>
  <c r="D27" i="42"/>
  <c r="F27" i="42" s="1"/>
  <c r="D28" i="42"/>
  <c r="F28" i="42" s="1"/>
  <c r="D30" i="42"/>
  <c r="F30" i="42" s="1"/>
  <c r="D24" i="42"/>
  <c r="F24" i="42" s="1"/>
  <c r="D23" i="42"/>
  <c r="F23" i="42" s="1"/>
  <c r="D11" i="42"/>
  <c r="D29" i="42"/>
  <c r="F29" i="42" s="1"/>
  <c r="D14" i="42"/>
  <c r="F14" i="42" s="1"/>
  <c r="D10" i="42"/>
  <c r="F10" i="42" s="1"/>
  <c r="D13" i="42"/>
  <c r="F13" i="42" s="1"/>
  <c r="D9" i="42"/>
  <c r="D12" i="42"/>
  <c r="D16" i="42"/>
  <c r="F16" i="42" s="1"/>
  <c r="D18" i="42"/>
  <c r="F18" i="42" s="1"/>
  <c r="D15" i="42"/>
  <c r="F15" i="42" s="1"/>
  <c r="D19" i="42"/>
  <c r="F19" i="42" s="1"/>
  <c r="D25" i="42"/>
  <c r="D21" i="42"/>
  <c r="F21" i="42" s="1"/>
  <c r="D22" i="42"/>
  <c r="D26" i="42"/>
  <c r="F26" i="42" s="1"/>
  <c r="D8" i="42"/>
  <c r="F8" i="42" s="1"/>
  <c r="D20" i="42"/>
  <c r="D7" i="42"/>
  <c r="F7" i="42" s="1"/>
  <c r="C11" i="51"/>
  <c r="C13" i="51"/>
  <c r="C17" i="51"/>
  <c r="C16" i="51"/>
  <c r="C10" i="51"/>
  <c r="C20" i="51"/>
  <c r="C19" i="51"/>
  <c r="C24" i="51"/>
  <c r="C23" i="51"/>
  <c r="C22" i="51"/>
  <c r="C25" i="51"/>
  <c r="C28" i="51"/>
  <c r="C30" i="51"/>
  <c r="C8" i="51"/>
  <c r="C12" i="51"/>
  <c r="C14" i="51"/>
  <c r="C9" i="51"/>
  <c r="C15" i="51"/>
  <c r="C26" i="51"/>
  <c r="C27" i="51"/>
  <c r="C18" i="51"/>
  <c r="C29" i="51"/>
  <c r="C21" i="51"/>
  <c r="C7" i="51"/>
  <c r="D27" i="46"/>
  <c r="D28" i="46"/>
  <c r="D22" i="46"/>
  <c r="D20" i="46"/>
  <c r="D25" i="46"/>
  <c r="D8" i="46"/>
  <c r="D11" i="46"/>
  <c r="D9" i="46"/>
  <c r="D15" i="46"/>
  <c r="D12" i="46"/>
  <c r="D21" i="46"/>
  <c r="D10" i="46"/>
  <c r="D19" i="46"/>
  <c r="D13" i="46"/>
  <c r="D16" i="46"/>
  <c r="D17" i="46"/>
  <c r="D14" i="46"/>
  <c r="D7" i="46"/>
  <c r="D30" i="46"/>
  <c r="D29" i="46"/>
  <c r="D24" i="46"/>
  <c r="D26" i="46"/>
  <c r="D18" i="46"/>
  <c r="D23" i="46"/>
  <c r="E7" i="53"/>
  <c r="E20" i="53"/>
  <c r="E23" i="53"/>
  <c r="E22" i="53"/>
  <c r="E11" i="53"/>
  <c r="E17" i="53"/>
  <c r="E30" i="53"/>
  <c r="E26" i="53"/>
  <c r="E8" i="53"/>
  <c r="E14" i="53"/>
  <c r="E9" i="53"/>
  <c r="E16" i="53"/>
  <c r="E12" i="53"/>
  <c r="E13" i="53"/>
  <c r="E15" i="53"/>
  <c r="E10" i="53"/>
  <c r="E28" i="53"/>
  <c r="E18" i="53"/>
  <c r="E21" i="53"/>
  <c r="E19" i="53"/>
  <c r="E29" i="53"/>
  <c r="E24" i="53"/>
  <c r="E25" i="53"/>
  <c r="E27" i="53"/>
  <c r="D39" i="32"/>
  <c r="D40" i="32" s="1"/>
  <c r="E38" i="32"/>
  <c r="C27" i="46"/>
  <c r="C12" i="46"/>
  <c r="C15" i="46"/>
  <c r="C13" i="46"/>
  <c r="C18" i="46"/>
  <c r="C17" i="46"/>
  <c r="C16" i="46"/>
  <c r="C29" i="46"/>
  <c r="C19" i="46"/>
  <c r="C22" i="46"/>
  <c r="C25" i="46"/>
  <c r="C10" i="46"/>
  <c r="C30" i="46"/>
  <c r="C24" i="46"/>
  <c r="C7" i="46"/>
  <c r="C9" i="46"/>
  <c r="C26" i="46"/>
  <c r="C23" i="46"/>
  <c r="C11" i="46"/>
  <c r="C21" i="46"/>
  <c r="C20" i="46"/>
  <c r="C28" i="46"/>
  <c r="C14" i="46"/>
  <c r="C19" i="52"/>
  <c r="C13" i="52"/>
  <c r="C14" i="52"/>
  <c r="C10" i="52"/>
  <c r="C25" i="52"/>
  <c r="C29" i="52"/>
  <c r="C23" i="52"/>
  <c r="C16" i="52"/>
  <c r="C8" i="52"/>
  <c r="C9" i="52"/>
  <c r="C22" i="52"/>
  <c r="C26" i="52"/>
  <c r="C17" i="52"/>
  <c r="C12" i="52"/>
  <c r="C28" i="52"/>
  <c r="C15" i="52"/>
  <c r="C20" i="52"/>
  <c r="C18" i="52"/>
  <c r="C21" i="52"/>
  <c r="C24" i="52"/>
  <c r="C27" i="52"/>
  <c r="C30" i="52"/>
  <c r="C11" i="52"/>
  <c r="C7" i="52"/>
  <c r="D23" i="47"/>
  <c r="D30" i="47"/>
  <c r="F30" i="47" s="1"/>
  <c r="D14" i="47"/>
  <c r="F14" i="47" s="1"/>
  <c r="D26" i="47"/>
  <c r="F26" i="47" s="1"/>
  <c r="D28" i="47"/>
  <c r="F28" i="47" s="1"/>
  <c r="D29" i="47"/>
  <c r="F29" i="47" s="1"/>
  <c r="D7" i="47"/>
  <c r="D17" i="47"/>
  <c r="F17" i="47" s="1"/>
  <c r="D10" i="47"/>
  <c r="F10" i="47" s="1"/>
  <c r="D13" i="47"/>
  <c r="F13" i="47" s="1"/>
  <c r="D9" i="47"/>
  <c r="D16" i="47"/>
  <c r="D12" i="47"/>
  <c r="F12" i="47" s="1"/>
  <c r="D19" i="47"/>
  <c r="D15" i="47"/>
  <c r="F15" i="47" s="1"/>
  <c r="D22" i="47"/>
  <c r="F22" i="47" s="1"/>
  <c r="D8" i="47"/>
  <c r="D18" i="47"/>
  <c r="D25" i="47"/>
  <c r="F25" i="47" s="1"/>
  <c r="D11" i="47"/>
  <c r="F11" i="47" s="1"/>
  <c r="D21" i="47"/>
  <c r="D20" i="47"/>
  <c r="D24" i="47"/>
  <c r="F24" i="47" s="1"/>
  <c r="D27" i="47"/>
  <c r="F27" i="47" s="1"/>
  <c r="D28" i="51"/>
  <c r="F28" i="51" s="1"/>
  <c r="D17" i="51"/>
  <c r="D9" i="51"/>
  <c r="D11" i="51"/>
  <c r="F11" i="51" s="1"/>
  <c r="D23" i="51"/>
  <c r="D8" i="51"/>
  <c r="F8" i="51" s="1"/>
  <c r="D12" i="51"/>
  <c r="F12" i="51" s="1"/>
  <c r="D25" i="51"/>
  <c r="F25" i="51" s="1"/>
  <c r="D26" i="51"/>
  <c r="D15" i="51"/>
  <c r="D10" i="51"/>
  <c r="F10" i="51" s="1"/>
  <c r="D29" i="51"/>
  <c r="F29" i="51" s="1"/>
  <c r="D18" i="51"/>
  <c r="D13" i="51"/>
  <c r="F13" i="51" s="1"/>
  <c r="D30" i="51"/>
  <c r="F30" i="51" s="1"/>
  <c r="D21" i="51"/>
  <c r="F21" i="51" s="1"/>
  <c r="D16" i="51"/>
  <c r="F16" i="51" s="1"/>
  <c r="D20" i="51"/>
  <c r="D24" i="51"/>
  <c r="D19" i="51"/>
  <c r="D14" i="51"/>
  <c r="D27" i="51"/>
  <c r="D22" i="51"/>
  <c r="F22" i="51" s="1"/>
  <c r="D7" i="51"/>
  <c r="F7" i="51" s="1"/>
  <c r="D11" i="52"/>
  <c r="F11" i="52" s="1"/>
  <c r="D30" i="52"/>
  <c r="F30" i="52" s="1"/>
  <c r="D10" i="52"/>
  <c r="D13" i="52"/>
  <c r="F13" i="52" s="1"/>
  <c r="D16" i="52"/>
  <c r="F16" i="52" s="1"/>
  <c r="D12" i="52"/>
  <c r="D23" i="52"/>
  <c r="F23" i="52" s="1"/>
  <c r="D9" i="52"/>
  <c r="D19" i="52"/>
  <c r="D14" i="52"/>
  <c r="F14" i="52" s="1"/>
  <c r="D15" i="52"/>
  <c r="D22" i="52"/>
  <c r="F22" i="52" s="1"/>
  <c r="D26" i="52"/>
  <c r="F26" i="52" s="1"/>
  <c r="D18" i="52"/>
  <c r="D25" i="52"/>
  <c r="D17" i="52"/>
  <c r="F17" i="52" s="1"/>
  <c r="D21" i="52"/>
  <c r="F21" i="52" s="1"/>
  <c r="D29" i="52"/>
  <c r="F29" i="52" s="1"/>
  <c r="D28" i="52"/>
  <c r="D24" i="52"/>
  <c r="F24" i="52" s="1"/>
  <c r="D20" i="52"/>
  <c r="D8" i="52"/>
  <c r="D27" i="52"/>
  <c r="F27" i="52" s="1"/>
  <c r="D7" i="52"/>
  <c r="F7" i="52" s="1"/>
  <c r="E20" i="51"/>
  <c r="E9" i="51"/>
  <c r="E23" i="51"/>
  <c r="E12" i="51"/>
  <c r="E10" i="51"/>
  <c r="E26" i="51"/>
  <c r="E15" i="51"/>
  <c r="E13" i="51"/>
  <c r="E28" i="51"/>
  <c r="E18" i="51"/>
  <c r="E16" i="51"/>
  <c r="E8" i="51"/>
  <c r="E21" i="51"/>
  <c r="E19" i="51"/>
  <c r="E24" i="51"/>
  <c r="E22" i="51"/>
  <c r="E27" i="51"/>
  <c r="E25" i="51"/>
  <c r="E30" i="51"/>
  <c r="E14" i="51"/>
  <c r="E29" i="51"/>
  <c r="E17" i="51"/>
  <c r="E11" i="51"/>
  <c r="E7" i="51"/>
  <c r="E18" i="47"/>
  <c r="E19" i="47"/>
  <c r="E11" i="47"/>
  <c r="E21" i="47"/>
  <c r="E20" i="47"/>
  <c r="E22" i="47"/>
  <c r="E14" i="47"/>
  <c r="E24" i="47"/>
  <c r="E25" i="47"/>
  <c r="E17" i="47"/>
  <c r="E23" i="47"/>
  <c r="E27" i="47"/>
  <c r="E28" i="47"/>
  <c r="E26" i="47"/>
  <c r="E30" i="47"/>
  <c r="E29" i="47"/>
  <c r="E15" i="47"/>
  <c r="E8" i="47"/>
  <c r="E7" i="47"/>
  <c r="E9" i="47"/>
  <c r="E10" i="47"/>
  <c r="E16" i="47"/>
  <c r="E12" i="47"/>
  <c r="E13" i="47"/>
  <c r="E24" i="46"/>
  <c r="E20" i="46"/>
  <c r="E13" i="46"/>
  <c r="E27" i="46"/>
  <c r="E23" i="46"/>
  <c r="E21" i="46"/>
  <c r="E30" i="46"/>
  <c r="E26" i="46"/>
  <c r="E22" i="46"/>
  <c r="E28" i="46"/>
  <c r="E17" i="46"/>
  <c r="E10" i="46"/>
  <c r="E9" i="46"/>
  <c r="E16" i="46"/>
  <c r="E12" i="46"/>
  <c r="E8" i="46"/>
  <c r="E29" i="46"/>
  <c r="E19" i="46"/>
  <c r="E15" i="46"/>
  <c r="E11" i="46"/>
  <c r="E25" i="46"/>
  <c r="E18" i="46"/>
  <c r="E14" i="46"/>
  <c r="E7" i="46"/>
  <c r="C29" i="31"/>
  <c r="C25" i="31"/>
  <c r="C30" i="31"/>
  <c r="C21" i="31"/>
  <c r="C20" i="31"/>
  <c r="C26" i="31"/>
  <c r="C12" i="31"/>
  <c r="C17" i="31"/>
  <c r="C22" i="31"/>
  <c r="C13" i="31"/>
  <c r="C11" i="31"/>
  <c r="C18" i="31"/>
  <c r="C9" i="31"/>
  <c r="C14" i="31"/>
  <c r="C24" i="31"/>
  <c r="C27" i="31"/>
  <c r="C8" i="31"/>
  <c r="C10" i="31"/>
  <c r="C23" i="31"/>
  <c r="C19" i="31"/>
  <c r="C15" i="31"/>
  <c r="C16" i="31"/>
  <c r="C28" i="31"/>
  <c r="C7" i="31"/>
  <c r="E17" i="31"/>
  <c r="E12" i="31"/>
  <c r="E30" i="31"/>
  <c r="E13" i="31"/>
  <c r="E8" i="31"/>
  <c r="E26" i="31"/>
  <c r="E9" i="31"/>
  <c r="E22" i="31"/>
  <c r="E15" i="31"/>
  <c r="E18" i="31"/>
  <c r="E14" i="31"/>
  <c r="E11" i="31"/>
  <c r="E10" i="31"/>
  <c r="E19" i="31"/>
  <c r="E16" i="31"/>
  <c r="E27" i="31"/>
  <c r="E28" i="31"/>
  <c r="E21" i="31"/>
  <c r="E29" i="31"/>
  <c r="E24" i="31"/>
  <c r="E23" i="31"/>
  <c r="E25" i="31"/>
  <c r="E20" i="31"/>
  <c r="E7" i="31"/>
  <c r="D14" i="31"/>
  <c r="D23" i="31"/>
  <c r="D10" i="31"/>
  <c r="D19" i="31"/>
  <c r="D15" i="31"/>
  <c r="D27" i="31"/>
  <c r="D11" i="31"/>
  <c r="D29" i="31"/>
  <c r="D28" i="31"/>
  <c r="D25" i="31"/>
  <c r="D24" i="31"/>
  <c r="D21" i="31"/>
  <c r="D20" i="31"/>
  <c r="D17" i="31"/>
  <c r="D16" i="31"/>
  <c r="D30" i="31"/>
  <c r="D13" i="31"/>
  <c r="D12" i="31"/>
  <c r="D26" i="31"/>
  <c r="D9" i="31"/>
  <c r="D8" i="31"/>
  <c r="D22" i="31"/>
  <c r="D18" i="31"/>
  <c r="D7" i="31"/>
  <c r="E12" i="26"/>
  <c r="E25" i="26"/>
  <c r="E18" i="26"/>
  <c r="E32" i="26"/>
  <c r="E29" i="26"/>
  <c r="E11" i="26"/>
  <c r="I4" i="29"/>
  <c r="D4" i="26"/>
  <c r="E10" i="26"/>
  <c r="D10" i="26"/>
  <c r="D11" i="26"/>
  <c r="D12" i="26"/>
  <c r="D14" i="26"/>
  <c r="D15" i="26"/>
  <c r="D16" i="26"/>
  <c r="D17" i="26"/>
  <c r="D18" i="26"/>
  <c r="D19" i="26"/>
  <c r="D20" i="26"/>
  <c r="D21" i="26"/>
  <c r="D22" i="26"/>
  <c r="D23" i="26"/>
  <c r="D24" i="26"/>
  <c r="D25" i="26"/>
  <c r="D26" i="26"/>
  <c r="D27" i="26"/>
  <c r="D28" i="26"/>
  <c r="D29" i="26"/>
  <c r="D30" i="26"/>
  <c r="D31" i="26"/>
  <c r="D32" i="26"/>
  <c r="D33" i="26"/>
  <c r="D34" i="26"/>
  <c r="F8" i="47" l="1"/>
  <c r="F11" i="42"/>
  <c r="F7" i="46"/>
  <c r="F15" i="46"/>
  <c r="E37" i="42"/>
  <c r="F12" i="52"/>
  <c r="F20" i="51"/>
  <c r="C37" i="52"/>
  <c r="F29" i="46"/>
  <c r="F22" i="42"/>
  <c r="F26" i="45"/>
  <c r="F16" i="45"/>
  <c r="F29" i="53"/>
  <c r="F30" i="53"/>
  <c r="F10" i="52"/>
  <c r="F16" i="46"/>
  <c r="F20" i="45"/>
  <c r="F16" i="47"/>
  <c r="F15" i="52"/>
  <c r="F15" i="51"/>
  <c r="F14" i="51"/>
  <c r="F9" i="46"/>
  <c r="D36" i="46"/>
  <c r="D39" i="45"/>
  <c r="F18" i="45"/>
  <c r="D37" i="45"/>
  <c r="F25" i="53"/>
  <c r="C36" i="46"/>
  <c r="E37" i="53"/>
  <c r="F8" i="46"/>
  <c r="F25" i="42"/>
  <c r="F28" i="45"/>
  <c r="F23" i="53"/>
  <c r="F11" i="53"/>
  <c r="F25" i="52"/>
  <c r="D36" i="51"/>
  <c r="F9" i="51"/>
  <c r="F28" i="52"/>
  <c r="F14" i="46"/>
  <c r="F25" i="46"/>
  <c r="C36" i="51"/>
  <c r="E36" i="45"/>
  <c r="F29" i="45"/>
  <c r="D37" i="53"/>
  <c r="F18" i="53"/>
  <c r="C37" i="47"/>
  <c r="E36" i="51"/>
  <c r="D39" i="52"/>
  <c r="D37" i="52"/>
  <c r="F18" i="52"/>
  <c r="F19" i="47"/>
  <c r="F17" i="46"/>
  <c r="F20" i="46"/>
  <c r="F14" i="53"/>
  <c r="F18" i="51"/>
  <c r="D37" i="51"/>
  <c r="F30" i="46"/>
  <c r="F22" i="46"/>
  <c r="F17" i="51"/>
  <c r="F9" i="53"/>
  <c r="D36" i="53"/>
  <c r="E37" i="52"/>
  <c r="C37" i="31"/>
  <c r="F13" i="46"/>
  <c r="F28" i="46"/>
  <c r="D37" i="47"/>
  <c r="F18" i="47"/>
  <c r="C37" i="46"/>
  <c r="E36" i="46"/>
  <c r="D39" i="31"/>
  <c r="D37" i="31"/>
  <c r="D36" i="47"/>
  <c r="F9" i="47"/>
  <c r="F19" i="46"/>
  <c r="F27" i="46"/>
  <c r="F12" i="42"/>
  <c r="C36" i="53"/>
  <c r="C36" i="45"/>
  <c r="E37" i="31"/>
  <c r="E37" i="46"/>
  <c r="E37" i="51"/>
  <c r="E38" i="51" s="1"/>
  <c r="F27" i="51"/>
  <c r="F20" i="47"/>
  <c r="C36" i="52"/>
  <c r="F23" i="46"/>
  <c r="F10" i="46"/>
  <c r="D36" i="42"/>
  <c r="F9" i="42"/>
  <c r="C36" i="47"/>
  <c r="E36" i="42"/>
  <c r="E38" i="42" s="1"/>
  <c r="E37" i="47"/>
  <c r="F20" i="52"/>
  <c r="F19" i="52"/>
  <c r="F26" i="51"/>
  <c r="F21" i="47"/>
  <c r="F8" i="52"/>
  <c r="E36" i="53"/>
  <c r="D39" i="46"/>
  <c r="D37" i="46"/>
  <c r="F18" i="46"/>
  <c r="F21" i="46"/>
  <c r="D37" i="42"/>
  <c r="F20" i="42"/>
  <c r="E37" i="45"/>
  <c r="D36" i="45"/>
  <c r="F9" i="45"/>
  <c r="F15" i="53"/>
  <c r="F8" i="53"/>
  <c r="C36" i="42"/>
  <c r="E36" i="47"/>
  <c r="F9" i="52"/>
  <c r="D36" i="52"/>
  <c r="F19" i="51"/>
  <c r="F26" i="46"/>
  <c r="F12" i="46"/>
  <c r="F14" i="45"/>
  <c r="F21" i="45"/>
  <c r="F7" i="53"/>
  <c r="C37" i="53"/>
  <c r="C37" i="42"/>
  <c r="E40" i="32"/>
  <c r="E36" i="52"/>
  <c r="F24" i="51"/>
  <c r="F7" i="47"/>
  <c r="F11" i="46"/>
  <c r="F24" i="46"/>
  <c r="C37" i="51"/>
  <c r="F23" i="51"/>
  <c r="F23" i="47"/>
  <c r="C37" i="45"/>
  <c r="C38" i="45" s="1"/>
  <c r="E36" i="31"/>
  <c r="D36" i="31"/>
  <c r="C36" i="31"/>
  <c r="F16" i="31"/>
  <c r="F27" i="31"/>
  <c r="F24" i="31"/>
  <c r="F15" i="31"/>
  <c r="F21" i="31"/>
  <c r="F14" i="31"/>
  <c r="F25" i="31"/>
  <c r="F7" i="31"/>
  <c r="F11" i="31"/>
  <c r="F20" i="31"/>
  <c r="F22" i="31"/>
  <c r="F18" i="31"/>
  <c r="F13" i="31"/>
  <c r="F23" i="31"/>
  <c r="F8" i="31"/>
  <c r="F26" i="31"/>
  <c r="F9" i="31"/>
  <c r="F17" i="31"/>
  <c r="F12" i="31"/>
  <c r="F28" i="31"/>
  <c r="F10" i="31"/>
  <c r="F30" i="31"/>
  <c r="F29" i="31"/>
  <c r="F19" i="31"/>
  <c r="E22" i="26"/>
  <c r="E23" i="26"/>
  <c r="E16" i="26"/>
  <c r="E24" i="26"/>
  <c r="E14" i="26"/>
  <c r="E19" i="26"/>
  <c r="E27" i="26"/>
  <c r="E15" i="26"/>
  <c r="E28" i="26"/>
  <c r="E26" i="26"/>
  <c r="E17" i="26"/>
  <c r="E13" i="26"/>
  <c r="E31" i="26"/>
  <c r="E33" i="26"/>
  <c r="E30" i="26"/>
  <c r="E21" i="26"/>
  <c r="E20" i="26"/>
  <c r="E34" i="26"/>
  <c r="D11" i="21"/>
  <c r="E35" i="26" l="1"/>
  <c r="E38" i="46"/>
  <c r="F37" i="42"/>
  <c r="C38" i="52"/>
  <c r="D38" i="46"/>
  <c r="D38" i="31"/>
  <c r="F37" i="52"/>
  <c r="C38" i="46"/>
  <c r="F36" i="45"/>
  <c r="C38" i="42"/>
  <c r="E38" i="45"/>
  <c r="F36" i="42"/>
  <c r="F38" i="42" s="1"/>
  <c r="F37" i="46"/>
  <c r="F36" i="52"/>
  <c r="F37" i="31"/>
  <c r="E38" i="53"/>
  <c r="F36" i="47"/>
  <c r="E38" i="52"/>
  <c r="F37" i="51"/>
  <c r="C38" i="53"/>
  <c r="F36" i="53"/>
  <c r="D38" i="52"/>
  <c r="F36" i="51"/>
  <c r="D38" i="45"/>
  <c r="F37" i="45"/>
  <c r="F38" i="45" s="1"/>
  <c r="C38" i="47"/>
  <c r="C38" i="51"/>
  <c r="E38" i="47"/>
  <c r="F37" i="47"/>
  <c r="F37" i="53"/>
  <c r="F36" i="46"/>
  <c r="D38" i="42"/>
  <c r="D38" i="47"/>
  <c r="D38" i="51"/>
  <c r="D38" i="53"/>
  <c r="E38" i="31"/>
  <c r="F36" i="31"/>
  <c r="C38" i="31"/>
  <c r="D10" i="21"/>
  <c r="F10" i="21"/>
  <c r="E10" i="21"/>
  <c r="F38" i="47" l="1"/>
  <c r="F38" i="52"/>
  <c r="F38" i="53"/>
  <c r="F38" i="46"/>
  <c r="F38" i="51"/>
  <c r="F38" i="31"/>
  <c r="J22" i="21"/>
  <c r="J21" i="21"/>
  <c r="J20" i="21"/>
  <c r="J19" i="21"/>
  <c r="J18" i="21"/>
  <c r="J17" i="21"/>
  <c r="J16" i="21"/>
  <c r="J15" i="21"/>
  <c r="I22" i="21"/>
  <c r="I21" i="21"/>
  <c r="I20" i="21"/>
  <c r="I19" i="21"/>
  <c r="I18" i="21"/>
  <c r="I17" i="21"/>
  <c r="I16" i="21"/>
  <c r="I15" i="21"/>
  <c r="H22" i="21"/>
  <c r="H21" i="21"/>
  <c r="H20" i="21"/>
  <c r="H19" i="21"/>
  <c r="H18" i="21"/>
  <c r="H17" i="21"/>
  <c r="H16" i="21"/>
  <c r="H15" i="21"/>
  <c r="G22" i="21"/>
  <c r="G21" i="21"/>
  <c r="G20" i="21"/>
  <c r="G19" i="21"/>
  <c r="G18" i="21"/>
  <c r="G17" i="21"/>
  <c r="G16" i="21"/>
  <c r="G15" i="21"/>
  <c r="F22" i="21"/>
  <c r="F21" i="21"/>
  <c r="F20" i="21"/>
  <c r="F19" i="21"/>
  <c r="F18" i="21"/>
  <c r="F17" i="21"/>
  <c r="F16" i="21"/>
  <c r="F15" i="21"/>
  <c r="E22" i="21"/>
  <c r="E21" i="21"/>
  <c r="E20" i="21"/>
  <c r="E19" i="21"/>
  <c r="E18" i="21"/>
  <c r="E17" i="21"/>
  <c r="E16" i="21"/>
  <c r="E15" i="2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A9725F5-02DA-4D6D-AE34-58E4D93B5106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<sst xmlns="http://schemas.openxmlformats.org/spreadsheetml/2006/main" count="1119" uniqueCount="381">
  <si>
    <t>Channels</t>
  </si>
  <si>
    <t>Sales</t>
  </si>
  <si>
    <t>yearmo</t>
  </si>
  <si>
    <t>Month</t>
  </si>
  <si>
    <t>hcc_disp_imp</t>
  </si>
  <si>
    <t>hcp_disp_imp</t>
  </si>
  <si>
    <t>From</t>
  </si>
  <si>
    <t>To</t>
  </si>
  <si>
    <t>HCP</t>
  </si>
  <si>
    <t>hcc_psrch_clk</t>
  </si>
  <si>
    <t>hcp_osrch_sessions</t>
  </si>
  <si>
    <t>hcc_olv_imp</t>
  </si>
  <si>
    <t>hcp_rdtl_totdet</t>
  </si>
  <si>
    <t>hcc_osrch_sessions</t>
  </si>
  <si>
    <t>hcp_npp_eng</t>
  </si>
  <si>
    <t>hcp_dpint_eng</t>
  </si>
  <si>
    <t>hcp_dox_eng</t>
  </si>
  <si>
    <t>hcp_edh_eng</t>
  </si>
  <si>
    <t>hcp_epoc_eng</t>
  </si>
  <si>
    <t>hcp_field_eng</t>
  </si>
  <si>
    <t>hcp_mscap_eng</t>
  </si>
  <si>
    <t>hcp_mng_eng</t>
  </si>
  <si>
    <t>hcp_sfmc_eng</t>
  </si>
  <si>
    <t>hcc_soc_imp</t>
  </si>
  <si>
    <t>hcp_mmf_attend</t>
  </si>
  <si>
    <t>hcp_grail_nrx</t>
  </si>
  <si>
    <t>hcp_grail_sdot</t>
  </si>
  <si>
    <t>hcp_grail_trx</t>
  </si>
  <si>
    <t>hcp_grail_vnrx</t>
  </si>
  <si>
    <t>hcp_grail_vtrx</t>
  </si>
  <si>
    <t>Home</t>
  </si>
  <si>
    <t>Level of Granularity</t>
  </si>
  <si>
    <t>SAMPLES</t>
  </si>
  <si>
    <t>NRX</t>
  </si>
  <si>
    <t>VOUCHERS</t>
  </si>
  <si>
    <t>ind_sales</t>
  </si>
  <si>
    <t>ind_pp</t>
  </si>
  <si>
    <t>ind_mcm</t>
  </si>
  <si>
    <t>DETAILS</t>
  </si>
  <si>
    <t>MCM_DEL</t>
  </si>
  <si>
    <t>MCM_ENG</t>
  </si>
  <si>
    <t>hcp_eml_eng</t>
  </si>
  <si>
    <t>hcp_fmail_eng</t>
  </si>
  <si>
    <t>hcp_eml_clkd</t>
  </si>
  <si>
    <t>hcp_alert_eng</t>
  </si>
  <si>
    <t>hcp_ban_eng</t>
  </si>
  <si>
    <t>hcp_grail_nrx_co</t>
  </si>
  <si>
    <t>hcp_edtl_eng</t>
  </si>
  <si>
    <t>APR20-MAR21</t>
  </si>
  <si>
    <t>Modified Names</t>
  </si>
  <si>
    <t>Sales Raw Names</t>
  </si>
  <si>
    <t>Insights:</t>
  </si>
  <si>
    <t>Input Trends</t>
  </si>
  <si>
    <t>hcp_rdtl_dtl</t>
  </si>
  <si>
    <t>hcp_rdtl_nbg</t>
  </si>
  <si>
    <t>hcp_rdtl_rfm</t>
  </si>
  <si>
    <t>hcp_grail_mnrx</t>
  </si>
  <si>
    <t>hcp_grail_mtrx</t>
  </si>
  <si>
    <t>hcp_dpint_clkd</t>
  </si>
  <si>
    <t>hcp_dox_clkd</t>
  </si>
  <si>
    <t>hcp_edh_clkd</t>
  </si>
  <si>
    <t>hcp_epoc_clkd</t>
  </si>
  <si>
    <t>hcp_field_clkd</t>
  </si>
  <si>
    <t>hcp_mscap_clkd</t>
  </si>
  <si>
    <t>hcp_mng_clkd</t>
  </si>
  <si>
    <t>hcp_sfmc_clkd</t>
  </si>
  <si>
    <t>hcp_dpint_del</t>
  </si>
  <si>
    <t>hcp_dox_del</t>
  </si>
  <si>
    <t>hcp_edh_del</t>
  </si>
  <si>
    <t>hcp_epoc_del</t>
  </si>
  <si>
    <t>hcp_field_del</t>
  </si>
  <si>
    <t>hcp_mscap_del</t>
  </si>
  <si>
    <t>hcp_mng_del</t>
  </si>
  <si>
    <t>hcp_sfmc_del</t>
  </si>
  <si>
    <t>hcp_alert_una_clkd</t>
  </si>
  <si>
    <t>hcp_ban_una_clkd</t>
  </si>
  <si>
    <t>hcp_edtl_una_clkd</t>
  </si>
  <si>
    <t>hcp_eml_una_clkd</t>
  </si>
  <si>
    <t>hcp_fmail_una_clkd</t>
  </si>
  <si>
    <t>hcp_alert_una_del</t>
  </si>
  <si>
    <t>hcp_ban_una_del</t>
  </si>
  <si>
    <t>hcp_edtl_una_del</t>
  </si>
  <si>
    <t>hcp_eml_una_del</t>
  </si>
  <si>
    <t>hcp_fmail_una_del</t>
  </si>
  <si>
    <t>hcp_alert_una_eng</t>
  </si>
  <si>
    <t>hcp_ban_una_eng</t>
  </si>
  <si>
    <t>hcp_edtl_una_eng</t>
  </si>
  <si>
    <t>hcp_eml_una_eng</t>
  </si>
  <si>
    <t>hcp_fmail_una_eng</t>
  </si>
  <si>
    <t>hcp_alert_clkd</t>
  </si>
  <si>
    <t>hcp_ban_clkd</t>
  </si>
  <si>
    <t>hcp_edtl_clkd</t>
  </si>
  <si>
    <t>hcp_fmail_clkd</t>
  </si>
  <si>
    <t>hcp_alert_del</t>
  </si>
  <si>
    <t>hcp_ban_del</t>
  </si>
  <si>
    <t>hcp_edtl_del</t>
  </si>
  <si>
    <t>hcp_eml_del</t>
  </si>
  <si>
    <t>hcp_fmail_del</t>
  </si>
  <si>
    <t>hcp_alert_dox_clkd</t>
  </si>
  <si>
    <t>hcp_alert_edh_clkd</t>
  </si>
  <si>
    <t>hcp_alert_epoc_clkd</t>
  </si>
  <si>
    <t>hcp_alert_mscap_clkd</t>
  </si>
  <si>
    <t>hcp_ban_dpint_clkd</t>
  </si>
  <si>
    <t>hcp_ban_dox_clkd</t>
  </si>
  <si>
    <t>hcp_edtl_edh_clkd</t>
  </si>
  <si>
    <t>hcp_eml_mng_clkd</t>
  </si>
  <si>
    <t>hcp_eml_sfmc_clkd</t>
  </si>
  <si>
    <t>hcp_fmail_field_clkd</t>
  </si>
  <si>
    <t>hcp_alert_dox_del</t>
  </si>
  <si>
    <t>hcp_alert_edh_del</t>
  </si>
  <si>
    <t>hcp_alert_epoc_del</t>
  </si>
  <si>
    <t>hcp_alert_mscap_del</t>
  </si>
  <si>
    <t>hcp_ban_dpint_del</t>
  </si>
  <si>
    <t>hcp_ban_dox_del</t>
  </si>
  <si>
    <t>hcp_edtl_edh_del</t>
  </si>
  <si>
    <t>hcp_eml_mng_del</t>
  </si>
  <si>
    <t>hcp_eml_sfmc_del</t>
  </si>
  <si>
    <t>hcp_fmail_field_del</t>
  </si>
  <si>
    <t>hcp_alert_dox_eng</t>
  </si>
  <si>
    <t>hcp_alert_edh_eng</t>
  </si>
  <si>
    <t>hcp_alert_epoc_eng</t>
  </si>
  <si>
    <t>hcp_alert_mscap_eng</t>
  </si>
  <si>
    <t>hcp_ban_dpint_eng</t>
  </si>
  <si>
    <t>hcp_ban_dox_eng</t>
  </si>
  <si>
    <t>hcp_edtl_edh_eng</t>
  </si>
  <si>
    <t>hcp_eml_mng_eng</t>
  </si>
  <si>
    <t>hcp_eml_sfmc_eng</t>
  </si>
  <si>
    <t>hcp_fmail_field_eng</t>
  </si>
  <si>
    <t>hcp_disp_una_imp</t>
  </si>
  <si>
    <t>hcc_disp_una_imp</t>
  </si>
  <si>
    <t>hcc_soc_fb_una_clk</t>
  </si>
  <si>
    <t>hcc_soc_tw_una_clk</t>
  </si>
  <si>
    <t>hcc_soc_fb_una_imp</t>
  </si>
  <si>
    <t>hcc_soc_tw_una_imp</t>
  </si>
  <si>
    <t>hcc_soc_una_clk</t>
  </si>
  <si>
    <t>hcc_soc_una_imp</t>
  </si>
  <si>
    <t>hcc_soc_clk</t>
  </si>
  <si>
    <t>hcc_soc_fb_clk</t>
  </si>
  <si>
    <t>hcc_soc_tw_clk</t>
  </si>
  <si>
    <t>hcc_soc_fb_imp</t>
  </si>
  <si>
    <t>hcc_soc_tw_imp</t>
  </si>
  <si>
    <t>hcc_olv_una_imp</t>
  </si>
  <si>
    <t>hcc_psrch_goog_una_clk</t>
  </si>
  <si>
    <t>hcc_psrch_msft_una_clk</t>
  </si>
  <si>
    <t>hcc_psrch_una_clk</t>
  </si>
  <si>
    <t>hcc_psrch_goog_clk</t>
  </si>
  <si>
    <t>hcc_psrch_msft_clk</t>
  </si>
  <si>
    <t>hcp_mmf_una_attend</t>
  </si>
  <si>
    <t>All Campaigns</t>
  </si>
  <si>
    <t>Campaigns Raw Names</t>
  </si>
  <si>
    <t>Select Campaign --&gt;</t>
  </si>
  <si>
    <t>Select Sales Variable --&gt;</t>
  </si>
  <si>
    <t>HCP Doximity Click</t>
  </si>
  <si>
    <t>HCP Doximity Delivery</t>
  </si>
  <si>
    <t>HCP Doximity Engagement</t>
  </si>
  <si>
    <t>Field Emails - Rep</t>
  </si>
  <si>
    <t>Nextgen</t>
  </si>
  <si>
    <t>SFMC emails</t>
  </si>
  <si>
    <t>Email</t>
  </si>
  <si>
    <t>E- Details (Microsite Videos)</t>
  </si>
  <si>
    <t>Rep Detailing</t>
  </si>
  <si>
    <t>Rep Facilitated Meeting</t>
  </si>
  <si>
    <t>Total Detailing</t>
  </si>
  <si>
    <t>Social</t>
  </si>
  <si>
    <t>NRx</t>
  </si>
  <si>
    <t>Engagement Rate</t>
  </si>
  <si>
    <t>?</t>
  </si>
  <si>
    <t>Delivery</t>
  </si>
  <si>
    <t>Engagement</t>
  </si>
  <si>
    <t>Clicks</t>
  </si>
  <si>
    <t>*Change the raw data (Columns in green colour)</t>
  </si>
  <si>
    <t>*Automatically Pulls the column from the Raw Data. Change the Modified Names according to the brand</t>
  </si>
  <si>
    <t>HCP DeepIntent Delivery</t>
  </si>
  <si>
    <t>HCP EveryDayHealth Delivery</t>
  </si>
  <si>
    <t>Market NRx</t>
  </si>
  <si>
    <t>Voucher NRx</t>
  </si>
  <si>
    <t>% Growth</t>
  </si>
  <si>
    <t>Monthly Average</t>
  </si>
  <si>
    <t>% Change</t>
  </si>
  <si>
    <t>Doximity</t>
  </si>
  <si>
    <t>HCP Epocrates Delivery</t>
  </si>
  <si>
    <t>HCP Epocrates Engagement</t>
  </si>
  <si>
    <t>HCP Epocrates Click</t>
  </si>
  <si>
    <t>HCP DeepIntent Engagement</t>
  </si>
  <si>
    <t>HCP DeepIntent Click</t>
  </si>
  <si>
    <t>DeepIntent</t>
  </si>
  <si>
    <t>HCP Medscape Click</t>
  </si>
  <si>
    <t>HCP Medscape Engagement</t>
  </si>
  <si>
    <t>HCP Medscape Delivery</t>
  </si>
  <si>
    <t>Medscape</t>
  </si>
  <si>
    <t>HCP EveryDayHealth Engagement</t>
  </si>
  <si>
    <t>HCP EveryDayHealth Click</t>
  </si>
  <si>
    <t>EveryDayHealth</t>
  </si>
  <si>
    <t>HCP Field Emails Delivery</t>
  </si>
  <si>
    <t>HCP Field Emails Engagement</t>
  </si>
  <si>
    <t>HCP Field Emails Click</t>
  </si>
  <si>
    <t>Epocrates</t>
  </si>
  <si>
    <t>Field Emails</t>
  </si>
  <si>
    <t>SFMC</t>
  </si>
  <si>
    <t>HCP SFMC Delivery</t>
  </si>
  <si>
    <t>HCP SFMC Engagement</t>
  </si>
  <si>
    <t>HCP SFMC Click</t>
  </si>
  <si>
    <t>No.</t>
  </si>
  <si>
    <t>Brand</t>
  </si>
  <si>
    <t>Vendor</t>
  </si>
  <si>
    <t>Sub-Channel</t>
  </si>
  <si>
    <t>Month (#)</t>
  </si>
  <si>
    <t>Month (Name)</t>
  </si>
  <si>
    <t># Engagements</t>
  </si>
  <si>
    <t>Cost</t>
  </si>
  <si>
    <t>Notes</t>
  </si>
  <si>
    <t>Campaigns during this timeframe</t>
  </si>
  <si>
    <t>Q</t>
  </si>
  <si>
    <t>MonYear</t>
  </si>
  <si>
    <t>BELSOMRA</t>
  </si>
  <si>
    <t>DEEPINTENT</t>
  </si>
  <si>
    <t>BANNER</t>
  </si>
  <si>
    <t>July</t>
  </si>
  <si>
    <t>Belsomra HCP DET 2021</t>
  </si>
  <si>
    <t>2021 Q3</t>
  </si>
  <si>
    <t>Jul2021</t>
  </si>
  <si>
    <t>August</t>
  </si>
  <si>
    <t>Aug2021</t>
  </si>
  <si>
    <t>September</t>
  </si>
  <si>
    <t>Sep2021</t>
  </si>
  <si>
    <t>DOXIMITY</t>
  </si>
  <si>
    <t>ALERT</t>
  </si>
  <si>
    <t>2021 Spend. For Non-NBE programs, engagements delivered and cost is based on the month the deployment ended</t>
  </si>
  <si>
    <t>Q2 BP - June Launch</t>
  </si>
  <si>
    <t>nothing completed in Aug</t>
  </si>
  <si>
    <t>August Launch</t>
  </si>
  <si>
    <t>EPOCRATES</t>
  </si>
  <si>
    <t>Nothing on channel this month</t>
  </si>
  <si>
    <t>MEDSCAPE</t>
  </si>
  <si>
    <t>NEXGEN</t>
  </si>
  <si>
    <t>EMAIL</t>
  </si>
  <si>
    <t>Discount provided was 6.2%</t>
  </si>
  <si>
    <t>WASO, Dosing, Coverage</t>
  </si>
  <si>
    <t>Nothing on channel this month, Discount provided was 6.2%</t>
  </si>
  <si>
    <t>October</t>
  </si>
  <si>
    <t>2021 Q4</t>
  </si>
  <si>
    <t>Oct2021</t>
  </si>
  <si>
    <t>November</t>
  </si>
  <si>
    <t>Nov2021</t>
  </si>
  <si>
    <t>December</t>
  </si>
  <si>
    <t>Dec2021</t>
  </si>
  <si>
    <t>Q3 BP</t>
  </si>
  <si>
    <t xml:space="preserve">Q4 BP </t>
  </si>
  <si>
    <t>January</t>
  </si>
  <si>
    <t>Belsomra HCP DET 2022</t>
  </si>
  <si>
    <t>2022 Q1</t>
  </si>
  <si>
    <t>Jan2022</t>
  </si>
  <si>
    <t>February</t>
  </si>
  <si>
    <t>Feb2022</t>
  </si>
  <si>
    <t>March</t>
  </si>
  <si>
    <t>Mar2022</t>
  </si>
  <si>
    <t>2022 waves only</t>
  </si>
  <si>
    <t>65+ Consider</t>
  </si>
  <si>
    <t>US-IMA-01717</t>
  </si>
  <si>
    <t>Merck will be able to provide data for email</t>
  </si>
  <si>
    <t>$85 per engagement</t>
  </si>
  <si>
    <t>NBE Alerts</t>
  </si>
  <si>
    <t>April</t>
  </si>
  <si>
    <t>2022 Q2</t>
  </si>
  <si>
    <t>Apr2022</t>
  </si>
  <si>
    <t>May</t>
  </si>
  <si>
    <t>May2022</t>
  </si>
  <si>
    <t>June</t>
  </si>
  <si>
    <t xml:space="preserve">122166	</t>
  </si>
  <si>
    <t>Jun2022</t>
  </si>
  <si>
    <t>65+ Consideration Q2 BP</t>
  </si>
  <si>
    <t>Asset didn’t deploy this month; believed to be residual engagements</t>
  </si>
  <si>
    <t>$85 Cost Per Engagement</t>
  </si>
  <si>
    <t>Belsomra 65+ Consideration Q2</t>
  </si>
  <si>
    <t>-</t>
  </si>
  <si>
    <t>No Belsomra tactics live in June</t>
  </si>
  <si>
    <t>N/A</t>
  </si>
  <si>
    <t>Merck will be able to provide data for HQ e-mail</t>
  </si>
  <si>
    <t>2022 Q3</t>
  </si>
  <si>
    <t>Jul2022</t>
  </si>
  <si>
    <t>Aug2022</t>
  </si>
  <si>
    <t>Sep2022</t>
  </si>
  <si>
    <t xml:space="preserve"> residual engagements from previous launch</t>
  </si>
  <si>
    <t>429  Engagements, $85 CPE</t>
  </si>
  <si>
    <t>0 Engagements, $85 CPE</t>
  </si>
  <si>
    <t>2022 Q4</t>
  </si>
  <si>
    <t>Oct2022</t>
  </si>
  <si>
    <t>Nov2022</t>
  </si>
  <si>
    <t>Dec2022</t>
  </si>
  <si>
    <t/>
  </si>
  <si>
    <t>$85 CPE</t>
  </si>
  <si>
    <t>Active Months</t>
  </si>
  <si>
    <t>Spends</t>
  </si>
  <si>
    <t>Apr'21-Mar'22</t>
  </si>
  <si>
    <t>Time - Period</t>
  </si>
  <si>
    <t>Nexgen</t>
  </si>
  <si>
    <t>HCP Nexgen Delivery</t>
  </si>
  <si>
    <t>HCP Nexgen Engagement</t>
  </si>
  <si>
    <t>HCP Nexgen Click</t>
  </si>
  <si>
    <t>Insights &amp; Questions:</t>
  </si>
  <si>
    <t>2. Spends? Do we calculate ROI for this channel?</t>
  </si>
  <si>
    <t>Notes:</t>
  </si>
  <si>
    <t>1. Field Eng has increased whereas the delivery has dec. (Is it becoz of the IOS update?)</t>
  </si>
  <si>
    <t>Spends (Apr'21-Mar'22)</t>
  </si>
  <si>
    <t>*Mar'22</t>
  </si>
  <si>
    <t>1. Modelling Time Frame Feb'21-Jan'23 &amp; Reporting Time Frame is FY'22</t>
  </si>
  <si>
    <t>1. EveryDayHealth &amp; Nexgen is not active in the Reporting time frame</t>
  </si>
  <si>
    <t>2. IOS15 upgrade occurred Sep'21. Effect may not be noticed until Oct/Nov 2021 for some brand – increases open/engmnt count with false opens.</t>
  </si>
  <si>
    <t>3. SFMC data error started after production SFMC release completed the weekend of 10/14/2022 causing duplicate and/or missing deliveries, opens and clicks</t>
  </si>
  <si>
    <t xml:space="preserve"> &lt;- Spike in Eng (IOS 15 Update)</t>
  </si>
  <si>
    <t>3. Jan'23 has 100% eng rate. [SFMC data had some issue form Oct'22]</t>
  </si>
  <si>
    <t>1. Only 2 months activity in the Modelling Timeframe.</t>
  </si>
  <si>
    <t xml:space="preserve">2. Sporadic Activity throughout modelling timeframe. </t>
  </si>
  <si>
    <t>2. Sporadic Activity throughout modelling timeframe.</t>
  </si>
  <si>
    <t>Spends (Jan'22-Dec'22)</t>
  </si>
  <si>
    <t>1. Not Active in Reporting TimFrame. Active from May'21-Jul'21.</t>
  </si>
  <si>
    <t>Jan'22-Dec'22</t>
  </si>
  <si>
    <t>1. Delivery and Eng has dec  by ~77% and spends has been reduced by 87%</t>
  </si>
  <si>
    <t>1. Delivery and Eng has decreased by ~60% &amp; spends has also decreased by 60%</t>
  </si>
  <si>
    <t>2. Emails Campaigns active for SFMC, Field Emails and Nexgen. But Nexgen is not active in the reporting time frame.</t>
  </si>
  <si>
    <t>1. Delivery has dec by 32% and Eng has Increased by 53%. (Is it becoz of the IOS update?) [Yes]</t>
  </si>
  <si>
    <t>1. Delivery and Eng has decreased by ~70% &amp; spends has dec by ~55%</t>
  </si>
  <si>
    <t>1. Delivery and Eng has decreased by ~60% &amp; spends has decreased by 50%</t>
  </si>
  <si>
    <r>
      <t xml:space="preserve">2. Spends? Do we need to calculate ROI for this or just a control var? - </t>
    </r>
    <r>
      <rPr>
        <i/>
        <sz val="11"/>
        <color rgb="FFFF0000"/>
        <rFont val="Calibri"/>
        <family val="2"/>
        <scheme val="minor"/>
      </rPr>
      <t>We don't get spends for Field Emails</t>
    </r>
    <r>
      <rPr>
        <sz val="11"/>
        <color theme="1"/>
        <rFont val="Calibri"/>
        <family val="2"/>
        <scheme val="minor"/>
      </rPr>
      <t xml:space="preserve"> </t>
    </r>
    <r>
      <rPr>
        <sz val="11"/>
        <color rgb="FFFF0000"/>
        <rFont val="Calibri"/>
        <family val="2"/>
        <scheme val="minor"/>
      </rPr>
      <t>(very low spends)</t>
    </r>
  </si>
  <si>
    <r>
      <t>1. Does NRx has Voucher NRx included?</t>
    </r>
    <r>
      <rPr>
        <i/>
        <sz val="11"/>
        <color rgb="FFFF0000"/>
        <rFont val="Calibri"/>
        <family val="2"/>
        <scheme val="minor"/>
      </rPr>
      <t xml:space="preserve"> (Sarath: VNRx has been removed from NRx)</t>
    </r>
  </si>
  <si>
    <r>
      <t xml:space="preserve">2. What is Voucher NRx? </t>
    </r>
    <r>
      <rPr>
        <i/>
        <sz val="11"/>
        <color rgb="FFFF0000"/>
        <rFont val="Calibri"/>
        <family val="2"/>
        <scheme val="minor"/>
      </rPr>
      <t>(Coupons provided for Discount)</t>
    </r>
  </si>
  <si>
    <r>
      <t xml:space="preserve">3. Do we need remove voucher NRx from NRx? </t>
    </r>
    <r>
      <rPr>
        <i/>
        <sz val="11"/>
        <color rgb="FFFF0000"/>
        <rFont val="Calibri"/>
        <family val="2"/>
        <scheme val="minor"/>
      </rPr>
      <t>(No)</t>
    </r>
  </si>
  <si>
    <t>2. Try a Delivery model</t>
  </si>
  <si>
    <t>Indication</t>
  </si>
  <si>
    <t>POC Partner</t>
  </si>
  <si>
    <t>Tactic</t>
  </si>
  <si>
    <t>Target/Audience</t>
  </si>
  <si>
    <t>Contract Start</t>
  </si>
  <si>
    <t>Contract End</t>
  </si>
  <si>
    <t># of Months</t>
  </si>
  <si>
    <t>HCPs</t>
  </si>
  <si>
    <t>Offices</t>
  </si>
  <si>
    <t>Devices/ Eng.</t>
  </si>
  <si>
    <t>Total Net Cost</t>
  </si>
  <si>
    <t>First Right of Refusal</t>
  </si>
  <si>
    <t>Target List</t>
  </si>
  <si>
    <t>---</t>
  </si>
  <si>
    <t>PatientPoint</t>
  </si>
  <si>
    <t>Custom Guide</t>
  </si>
  <si>
    <t>BEL 2021 Universe ML Nov 2021</t>
  </si>
  <si>
    <t>Custom Guide Expansion</t>
  </si>
  <si>
    <t>BEL 2021 Universe ML Nov 2022</t>
  </si>
  <si>
    <t>Digital Wallboard</t>
  </si>
  <si>
    <t>BEL 2021 Universe ML Nov 2023</t>
  </si>
  <si>
    <t>Digital Wallboard Extension</t>
  </si>
  <si>
    <t>BEL 2021 Universe ML Nov 2024</t>
  </si>
  <si>
    <t>Coverwrap Communications</t>
  </si>
  <si>
    <t xml:space="preserve">Cover Wrap </t>
  </si>
  <si>
    <t>BEL 2021 Universe ML Nov 2025</t>
  </si>
  <si>
    <t>Remedy Health</t>
  </si>
  <si>
    <t>Custom Magazine</t>
  </si>
  <si>
    <t>BEL 2021 Universe ML Nov 2026</t>
  </si>
  <si>
    <t>Custom Magazine Expansion</t>
  </si>
  <si>
    <t>BEL 2021 Universe ML Nov 2027</t>
  </si>
  <si>
    <t>Phreesia</t>
  </si>
  <si>
    <t>Check-In Tablet/Mobile Check-In Platform</t>
  </si>
  <si>
    <t>BEL 2021 Universe ML Nov 2028</t>
  </si>
  <si>
    <t>Check-In Tablet/Mobile Check-In Platform Extension</t>
  </si>
  <si>
    <t>BEL 2021 Universe ML Nov 2029</t>
  </si>
  <si>
    <t>pp_hcc</t>
  </si>
  <si>
    <t>pp_hcp</t>
  </si>
  <si>
    <t>webmd</t>
  </si>
  <si>
    <t>cw_comm</t>
  </si>
  <si>
    <t>Patient Point HCC</t>
  </si>
  <si>
    <t>WebMD</t>
  </si>
  <si>
    <t>CoverWrap Communication</t>
  </si>
  <si>
    <t>Final Spend to be used</t>
  </si>
  <si>
    <t>Overlap Summaries for 24 Months</t>
  </si>
  <si>
    <t>POC</t>
  </si>
  <si>
    <t>PP</t>
  </si>
  <si>
    <t>4. POC - WebMD is not atcive in FY'22 and Coverwrap comm is active only in FY'22 ( POC Data has just flags but there is one Metric in PP HCC which captures Freq)</t>
  </si>
  <si>
    <t>pp_hcc_freq</t>
  </si>
  <si>
    <t>Patient Point HCC Freq</t>
  </si>
  <si>
    <t>Patient Point HCP</t>
  </si>
  <si>
    <t>5. HCC Display Impressions was not present in FY'22</t>
  </si>
  <si>
    <t>* Pro-Rated Spend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</si>
</sst>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\-yy;@"/>
    <numFmt numFmtId="165" formatCode="0.0%"/>
    <numFmt numFmtId="166" formatCode="#,##0.0"/>
    <numFmt numFmtId="167" formatCode="&quot;$&quot;#,##0"/>
    <numFmt numFmtId="168" formatCode="_(* #,##0_);_(* \(#,##0\);_(* &quot;-&quot;??_);_(@_)"/>
  </numFmts>
  <fonts count="3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rgb="FF2B3138"/>
      <name val="Arial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u/>
      <sz val="12"/>
      <color theme="4"/>
      <name val="Calibri"/>
      <family val="2"/>
      <scheme val="minor"/>
    </font>
    <font>
      <b/>
      <i/>
      <u/>
      <sz val="12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i/>
      <sz val="18"/>
      <color theme="0"/>
      <name val="Arial"/>
      <family val="2"/>
    </font>
    <font>
      <b/>
      <i/>
      <u/>
      <sz val="14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u/>
      <sz val="11"/>
      <color theme="4"/>
      <name val="Calibri"/>
      <family val="2"/>
      <scheme val="minor"/>
    </font>
    <font>
      <b/>
      <u/>
      <sz val="10"/>
      <color theme="4"/>
      <name val="Calibri"/>
      <family val="2"/>
      <scheme val="minor"/>
    </font>
    <font>
      <b/>
      <i/>
      <sz val="10"/>
      <color theme="0"/>
      <name val="Arial"/>
      <family val="2"/>
    </font>
    <font>
      <b/>
      <u/>
      <sz val="11"/>
      <color theme="5" tint="-0.249977111117893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i/>
      <sz val="11"/>
      <color rgb="FF000000"/>
      <name val="Calibri"/>
      <family val="2"/>
      <scheme val="minor"/>
    </font>
    <font>
      <b/>
      <i/>
      <sz val="16"/>
      <color theme="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u/>
      <sz val="11"/>
      <color rgb="FFFF0000"/>
      <name val="Calibri"/>
      <family val="2"/>
      <scheme val="minor"/>
    </font>
    <font>
      <u/>
      <sz val="11"/>
      <color theme="4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3BB0FF"/>
        <bgColor rgb="FF000000"/>
      </patternFill>
    </fill>
    <fill>
      <patternFill patternType="solid">
        <fgColor rgb="FFF4B084"/>
        <bgColor rgb="FF000000"/>
      </patternFill>
    </fill>
    <fill>
      <patternFill patternType="solid">
        <fgColor rgb="FFC6E0B4"/>
        <bgColor rgb="FF000000"/>
      </patternFill>
    </fill>
    <fill>
      <patternFill patternType="solid">
        <fgColor theme="0"/>
        <bgColor rgb="FF000000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</cellStyleXfs>
  <cellXfs count="216">
    <xf numFmtId="0" fontId="0" fillId="0" borderId="0" xfId="0"/>
    <xf numFmtId="2" fontId="0" fillId="0" borderId="0" xfId="0" applyNumberFormat="1"/>
    <xf numFmtId="3" fontId="2" fillId="4" borderId="0" xfId="0" applyNumberFormat="1" applyFont="1" applyFill="1" applyAlignment="1">
      <alignment horizontal="center"/>
    </xf>
    <xf numFmtId="3" fontId="2" fillId="3" borderId="0" xfId="0" applyNumberFormat="1" applyFont="1" applyFill="1" applyAlignment="1">
      <alignment horizontal="center"/>
    </xf>
    <xf numFmtId="3" fontId="2" fillId="5" borderId="0" xfId="0" applyNumberFormat="1" applyFont="1" applyFill="1" applyAlignment="1">
      <alignment horizontal="center"/>
    </xf>
    <xf numFmtId="3" fontId="0" fillId="4" borderId="0" xfId="0" applyNumberFormat="1" applyFill="1" applyAlignment="1">
      <alignment horizontal="center"/>
    </xf>
    <xf numFmtId="3" fontId="0" fillId="3" borderId="0" xfId="0" applyNumberFormat="1" applyFill="1" applyAlignment="1">
      <alignment horizontal="center"/>
    </xf>
    <xf numFmtId="3" fontId="0" fillId="5" borderId="0" xfId="0" applyNumberFormat="1" applyFill="1" applyAlignment="1">
      <alignment horizontal="center"/>
    </xf>
    <xf numFmtId="1" fontId="0" fillId="0" borderId="0" xfId="0" applyNumberFormat="1" applyAlignment="1">
      <alignment horizontal="center" vertical="center"/>
    </xf>
    <xf numFmtId="9" fontId="0" fillId="0" borderId="0" xfId="2" applyFont="1" applyFill="1" applyAlignment="1">
      <alignment horizontal="center" vertical="center"/>
    </xf>
    <xf numFmtId="0" fontId="0" fillId="6" borderId="0" xfId="0" applyFill="1"/>
    <xf numFmtId="3" fontId="0" fillId="3" borderId="0" xfId="0" applyNumberFormat="1" applyFont="1" applyFill="1" applyAlignment="1">
      <alignment horizontal="center"/>
    </xf>
    <xf numFmtId="3" fontId="0" fillId="5" borderId="0" xfId="0" applyNumberFormat="1" applyFont="1" applyFill="1" applyAlignment="1">
      <alignment horizontal="center"/>
    </xf>
    <xf numFmtId="0" fontId="0" fillId="0" borderId="0" xfId="0" applyFont="1" applyAlignment="1">
      <alignment horizontal="center"/>
    </xf>
    <xf numFmtId="43" fontId="0" fillId="0" borderId="0" xfId="3" applyFont="1"/>
    <xf numFmtId="37" fontId="0" fillId="0" borderId="0" xfId="3" applyNumberFormat="1" applyFont="1" applyAlignment="1">
      <alignment horizontal="center"/>
    </xf>
    <xf numFmtId="165" fontId="0" fillId="0" borderId="0" xfId="2" applyNumberFormat="1" applyFont="1" applyFill="1" applyAlignment="1">
      <alignment horizontal="center" vertical="center"/>
    </xf>
    <xf numFmtId="0" fontId="6" fillId="0" borderId="0" xfId="0" applyFont="1" applyFill="1" applyBorder="1" applyAlignment="1">
      <alignment horizontal="center"/>
    </xf>
    <xf numFmtId="165" fontId="6" fillId="0" borderId="0" xfId="2" applyNumberFormat="1" applyFont="1" applyFill="1" applyBorder="1" applyAlignment="1">
      <alignment horizontal="center"/>
    </xf>
    <xf numFmtId="0" fontId="7" fillId="6" borderId="2" xfId="0" applyFont="1" applyFill="1" applyBorder="1" applyAlignment="1">
      <alignment horizontal="center" vertical="center"/>
    </xf>
    <xf numFmtId="0" fontId="9" fillId="7" borderId="2" xfId="0" applyFont="1" applyFill="1" applyBorder="1" applyAlignment="1">
      <alignment horizontal="center" vertical="center"/>
    </xf>
    <xf numFmtId="0" fontId="0" fillId="0" borderId="0" xfId="0" applyFont="1"/>
    <xf numFmtId="0" fontId="4" fillId="2" borderId="2" xfId="0" applyFont="1" applyFill="1" applyBorder="1" applyAlignment="1">
      <alignment horizontal="center" vertical="center"/>
    </xf>
    <xf numFmtId="164" fontId="0" fillId="6" borderId="8" xfId="0" applyNumberForma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3" fontId="0" fillId="0" borderId="8" xfId="0" applyNumberFormat="1" applyBorder="1" applyAlignment="1">
      <alignment horizontal="center" vertical="center"/>
    </xf>
    <xf numFmtId="3" fontId="0" fillId="0" borderId="4" xfId="0" applyNumberFormat="1" applyBorder="1" applyAlignment="1">
      <alignment horizontal="center" vertical="center"/>
    </xf>
    <xf numFmtId="3" fontId="0" fillId="0" borderId="12" xfId="0" applyNumberFormat="1" applyBorder="1" applyAlignment="1">
      <alignment horizontal="center" vertical="center"/>
    </xf>
    <xf numFmtId="3" fontId="0" fillId="0" borderId="7" xfId="0" applyNumberFormat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2" fillId="9" borderId="2" xfId="0" applyFont="1" applyFill="1" applyBorder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3" fontId="3" fillId="0" borderId="2" xfId="0" applyNumberFormat="1" applyFont="1" applyBorder="1" applyAlignment="1">
      <alignment horizontal="center" vertical="center"/>
    </xf>
    <xf numFmtId="0" fontId="12" fillId="6" borderId="0" xfId="1" applyFont="1" applyFill="1" applyAlignment="1">
      <alignment horizontal="center" vertical="center"/>
    </xf>
    <xf numFmtId="0" fontId="0" fillId="6" borderId="0" xfId="0" applyFill="1" applyAlignment="1">
      <alignment horizontal="left"/>
    </xf>
    <xf numFmtId="0" fontId="14" fillId="7" borderId="0" xfId="0" applyFont="1" applyFill="1"/>
    <xf numFmtId="0" fontId="13" fillId="7" borderId="0" xfId="0" applyFont="1" applyFill="1"/>
    <xf numFmtId="0" fontId="9" fillId="8" borderId="13" xfId="0" applyFont="1" applyFill="1" applyBorder="1" applyAlignment="1">
      <alignment horizontal="center" vertical="center"/>
    </xf>
    <xf numFmtId="164" fontId="0" fillId="6" borderId="13" xfId="0" applyNumberFormat="1" applyFill="1" applyBorder="1" applyAlignment="1">
      <alignment horizontal="center" vertical="center"/>
    </xf>
    <xf numFmtId="3" fontId="7" fillId="6" borderId="2" xfId="0" applyNumberFormat="1" applyFont="1" applyFill="1" applyBorder="1" applyAlignment="1">
      <alignment horizontal="center" vertical="center"/>
    </xf>
    <xf numFmtId="3" fontId="0" fillId="6" borderId="2" xfId="0" applyNumberForma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9" fillId="0" borderId="0" xfId="0" applyFont="1" applyAlignment="1">
      <alignment horizontal="right" vertical="center"/>
    </xf>
    <xf numFmtId="0" fontId="8" fillId="11" borderId="2" xfId="0" applyFont="1" applyFill="1" applyBorder="1" applyAlignment="1">
      <alignment horizontal="center" vertical="center"/>
    </xf>
    <xf numFmtId="0" fontId="8" fillId="12" borderId="2" xfId="0" applyFont="1" applyFill="1" applyBorder="1" applyAlignment="1">
      <alignment horizontal="center" vertical="center"/>
    </xf>
    <xf numFmtId="0" fontId="2" fillId="9" borderId="14" xfId="0" applyFont="1" applyFill="1" applyBorder="1" applyAlignment="1">
      <alignment horizontal="center" vertical="center"/>
    </xf>
    <xf numFmtId="0" fontId="0" fillId="6" borderId="14" xfId="0" applyFill="1" applyBorder="1" applyAlignment="1">
      <alignment horizontal="center" vertical="center"/>
    </xf>
    <xf numFmtId="0" fontId="0" fillId="6" borderId="2" xfId="0" applyFill="1" applyBorder="1"/>
    <xf numFmtId="0" fontId="10" fillId="6" borderId="0" xfId="0" applyFont="1" applyFill="1"/>
    <xf numFmtId="2" fontId="3" fillId="0" borderId="2" xfId="2" applyNumberFormat="1" applyFont="1" applyBorder="1" applyAlignment="1">
      <alignment horizontal="center" vertical="center"/>
    </xf>
    <xf numFmtId="0" fontId="10" fillId="0" borderId="0" xfId="0" applyFont="1"/>
    <xf numFmtId="0" fontId="18" fillId="6" borderId="0" xfId="1" applyFont="1" applyFill="1" applyAlignment="1">
      <alignment horizontal="center" vertical="center"/>
    </xf>
    <xf numFmtId="0" fontId="19" fillId="6" borderId="0" xfId="1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6" borderId="13" xfId="0" applyFill="1" applyBorder="1" applyAlignment="1">
      <alignment horizontal="center" vertical="center"/>
    </xf>
    <xf numFmtId="9" fontId="0" fillId="6" borderId="0" xfId="2" applyFont="1" applyFill="1"/>
    <xf numFmtId="10" fontId="0" fillId="6" borderId="2" xfId="2" applyNumberFormat="1" applyFont="1" applyFill="1" applyBorder="1" applyAlignment="1">
      <alignment horizontal="center" vertical="center"/>
    </xf>
    <xf numFmtId="9" fontId="0" fillId="6" borderId="2" xfId="2" applyFont="1" applyFill="1" applyBorder="1" applyAlignment="1">
      <alignment horizontal="center" vertical="center"/>
    </xf>
    <xf numFmtId="3" fontId="0" fillId="6" borderId="8" xfId="0" applyNumberFormat="1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164" fontId="0" fillId="6" borderId="3" xfId="0" applyNumberFormat="1" applyFill="1" applyBorder="1" applyAlignment="1">
      <alignment horizontal="center" vertical="center"/>
    </xf>
    <xf numFmtId="164" fontId="0" fillId="6" borderId="5" xfId="0" applyNumberFormat="1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0" fillId="6" borderId="15" xfId="0" applyFill="1" applyBorder="1" applyAlignment="1">
      <alignment horizontal="center" vertical="center"/>
    </xf>
    <xf numFmtId="0" fontId="0" fillId="6" borderId="16" xfId="0" applyFill="1" applyBorder="1" applyAlignment="1">
      <alignment horizontal="center" vertical="center"/>
    </xf>
    <xf numFmtId="0" fontId="17" fillId="8" borderId="2" xfId="0" applyFont="1" applyFill="1" applyBorder="1" applyAlignment="1">
      <alignment horizontal="center" vertical="center"/>
    </xf>
    <xf numFmtId="166" fontId="0" fillId="6" borderId="8" xfId="0" applyNumberFormat="1" applyFill="1" applyBorder="1" applyAlignment="1">
      <alignment horizontal="center" vertical="center"/>
    </xf>
    <xf numFmtId="166" fontId="0" fillId="6" borderId="2" xfId="0" applyNumberFormat="1" applyFill="1" applyBorder="1" applyAlignment="1">
      <alignment horizontal="center" vertical="center"/>
    </xf>
    <xf numFmtId="167" fontId="0" fillId="6" borderId="2" xfId="4" applyNumberFormat="1" applyFont="1" applyFill="1" applyBorder="1" applyAlignment="1">
      <alignment horizontal="center" vertical="center"/>
    </xf>
    <xf numFmtId="0" fontId="17" fillId="14" borderId="9" xfId="0" applyFont="1" applyFill="1" applyBorder="1" applyAlignment="1">
      <alignment horizontal="center" vertical="center"/>
    </xf>
    <xf numFmtId="0" fontId="17" fillId="14" borderId="10" xfId="0" applyFont="1" applyFill="1" applyBorder="1" applyAlignment="1">
      <alignment horizontal="center" vertical="center"/>
    </xf>
    <xf numFmtId="0" fontId="17" fillId="14" borderId="11" xfId="0" applyFont="1" applyFill="1" applyBorder="1" applyAlignment="1">
      <alignment horizontal="center" vertical="center"/>
    </xf>
    <xf numFmtId="0" fontId="17" fillId="14" borderId="2" xfId="0" applyFont="1" applyFill="1" applyBorder="1" applyAlignment="1">
      <alignment horizontal="center" vertical="center"/>
    </xf>
    <xf numFmtId="0" fontId="10" fillId="6" borderId="0" xfId="0" applyFont="1" applyFill="1" applyAlignment="1">
      <alignment horizontal="left"/>
    </xf>
    <xf numFmtId="2" fontId="3" fillId="10" borderId="2" xfId="2" applyNumberFormat="1" applyFont="1" applyFill="1" applyBorder="1" applyAlignment="1">
      <alignment horizontal="center" vertical="center"/>
    </xf>
    <xf numFmtId="0" fontId="11" fillId="0" borderId="0" xfId="0" applyFont="1" applyAlignment="1">
      <alignment horizontal="left"/>
    </xf>
    <xf numFmtId="0" fontId="10" fillId="0" borderId="0" xfId="0" applyFont="1" applyAlignment="1">
      <alignment horizontal="left"/>
    </xf>
    <xf numFmtId="6" fontId="0" fillId="6" borderId="0" xfId="0" applyNumberFormat="1" applyFill="1"/>
    <xf numFmtId="9" fontId="0" fillId="6" borderId="0" xfId="2" applyFont="1" applyFill="1" applyAlignment="1">
      <alignment horizontal="center" vertical="center"/>
    </xf>
    <xf numFmtId="9" fontId="0" fillId="10" borderId="2" xfId="2" applyFont="1" applyFill="1" applyBorder="1" applyAlignment="1">
      <alignment horizontal="center" vertical="center"/>
    </xf>
    <xf numFmtId="0" fontId="22" fillId="6" borderId="0" xfId="0" applyFont="1" applyFill="1"/>
    <xf numFmtId="0" fontId="22" fillId="6" borderId="0" xfId="0" applyFont="1" applyFill="1" applyAlignment="1">
      <alignment wrapText="1"/>
    </xf>
    <xf numFmtId="0" fontId="22" fillId="6" borderId="0" xfId="0" applyFont="1" applyFill="1" applyAlignment="1">
      <alignment horizontal="left"/>
    </xf>
    <xf numFmtId="167" fontId="0" fillId="6" borderId="8" xfId="0" applyNumberFormat="1" applyFill="1" applyBorder="1" applyAlignment="1">
      <alignment horizontal="center" vertical="center"/>
    </xf>
    <xf numFmtId="167" fontId="0" fillId="6" borderId="2" xfId="0" applyNumberFormat="1" applyFill="1" applyBorder="1" applyAlignment="1">
      <alignment horizontal="center" vertical="center"/>
    </xf>
    <xf numFmtId="167" fontId="0" fillId="6" borderId="6" xfId="0" applyNumberFormat="1" applyFill="1" applyBorder="1" applyAlignment="1">
      <alignment horizontal="center" vertical="center"/>
    </xf>
    <xf numFmtId="0" fontId="17" fillId="6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3" fontId="0" fillId="6" borderId="0" xfId="0" applyNumberFormat="1" applyFill="1"/>
    <xf numFmtId="3" fontId="0" fillId="6" borderId="0" xfId="0" applyNumberFormat="1" applyFill="1" applyAlignment="1">
      <alignment horizontal="center" vertical="center"/>
    </xf>
    <xf numFmtId="0" fontId="0" fillId="6" borderId="2" xfId="0" applyFill="1" applyBorder="1" applyAlignment="1">
      <alignment horizontal="center"/>
    </xf>
    <xf numFmtId="0" fontId="2" fillId="6" borderId="2" xfId="0" applyFont="1" applyFill="1" applyBorder="1" applyAlignment="1">
      <alignment horizontal="center" vertical="center"/>
    </xf>
    <xf numFmtId="0" fontId="2" fillId="6" borderId="24" xfId="0" applyFont="1" applyFill="1" applyBorder="1" applyAlignment="1">
      <alignment horizontal="center" vertical="center"/>
    </xf>
    <xf numFmtId="0" fontId="2" fillId="6" borderId="25" xfId="0" applyFont="1" applyFill="1" applyBorder="1" applyAlignment="1">
      <alignment horizontal="center" vertical="center"/>
    </xf>
    <xf numFmtId="0" fontId="2" fillId="6" borderId="26" xfId="0" applyFont="1" applyFill="1" applyBorder="1" applyAlignment="1">
      <alignment horizontal="center" vertical="center"/>
    </xf>
    <xf numFmtId="0" fontId="27" fillId="6" borderId="2" xfId="0" applyFont="1" applyFill="1" applyBorder="1" applyAlignment="1">
      <alignment horizontal="center" vertical="center"/>
    </xf>
    <xf numFmtId="0" fontId="27" fillId="6" borderId="2" xfId="0" applyFont="1" applyFill="1" applyBorder="1" applyAlignment="1">
      <alignment horizontal="center" vertical="center" wrapText="1"/>
    </xf>
    <xf numFmtId="14" fontId="27" fillId="6" borderId="2" xfId="0" applyNumberFormat="1" applyFont="1" applyFill="1" applyBorder="1" applyAlignment="1">
      <alignment horizontal="center" vertical="center" wrapText="1"/>
    </xf>
    <xf numFmtId="3" fontId="27" fillId="6" borderId="2" xfId="0" applyNumberFormat="1" applyFont="1" applyFill="1" applyBorder="1" applyAlignment="1">
      <alignment horizontal="center" vertical="center"/>
    </xf>
    <xf numFmtId="6" fontId="27" fillId="6" borderId="2" xfId="0" applyNumberFormat="1" applyFont="1" applyFill="1" applyBorder="1" applyAlignment="1">
      <alignment horizontal="center" vertical="center" wrapText="1"/>
    </xf>
    <xf numFmtId="14" fontId="27" fillId="6" borderId="2" xfId="0" applyNumberFormat="1" applyFont="1" applyFill="1" applyBorder="1" applyAlignment="1">
      <alignment horizontal="center" vertical="center"/>
    </xf>
    <xf numFmtId="3" fontId="27" fillId="6" borderId="2" xfId="0" applyNumberFormat="1" applyFont="1" applyFill="1" applyBorder="1" applyAlignment="1">
      <alignment horizontal="center" vertical="center" wrapText="1"/>
    </xf>
    <xf numFmtId="0" fontId="27" fillId="18" borderId="8" xfId="0" applyFont="1" applyFill="1" applyBorder="1" applyAlignment="1">
      <alignment horizontal="center" vertical="center"/>
    </xf>
    <xf numFmtId="0" fontId="27" fillId="18" borderId="8" xfId="0" applyFont="1" applyFill="1" applyBorder="1" applyAlignment="1">
      <alignment horizontal="center" vertical="center" wrapText="1"/>
    </xf>
    <xf numFmtId="14" fontId="27" fillId="18" borderId="8" xfId="0" applyNumberFormat="1" applyFont="1" applyFill="1" applyBorder="1" applyAlignment="1">
      <alignment horizontal="center" vertical="center" wrapText="1"/>
    </xf>
    <xf numFmtId="3" fontId="27" fillId="18" borderId="8" xfId="0" applyNumberFormat="1" applyFont="1" applyFill="1" applyBorder="1" applyAlignment="1">
      <alignment horizontal="center" vertical="center" wrapText="1"/>
    </xf>
    <xf numFmtId="6" fontId="27" fillId="18" borderId="8" xfId="0" applyNumberFormat="1" applyFont="1" applyFill="1" applyBorder="1" applyAlignment="1">
      <alignment horizontal="center" vertical="center" wrapText="1"/>
    </xf>
    <xf numFmtId="14" fontId="27" fillId="18" borderId="8" xfId="0" applyNumberFormat="1" applyFont="1" applyFill="1" applyBorder="1" applyAlignment="1">
      <alignment horizontal="center" vertical="center"/>
    </xf>
    <xf numFmtId="0" fontId="24" fillId="15" borderId="9" xfId="0" applyFont="1" applyFill="1" applyBorder="1" applyAlignment="1">
      <alignment horizontal="center" vertical="center" wrapText="1"/>
    </xf>
    <xf numFmtId="0" fontId="24" fillId="15" borderId="10" xfId="0" applyFont="1" applyFill="1" applyBorder="1" applyAlignment="1">
      <alignment horizontal="center" vertical="center" wrapText="1"/>
    </xf>
    <xf numFmtId="0" fontId="25" fillId="16" borderId="10" xfId="0" applyFont="1" applyFill="1" applyBorder="1" applyAlignment="1">
      <alignment horizontal="center" vertical="center" wrapText="1"/>
    </xf>
    <xf numFmtId="0" fontId="26" fillId="17" borderId="10" xfId="0" applyFont="1" applyFill="1" applyBorder="1" applyAlignment="1">
      <alignment horizontal="center" vertical="center" wrapText="1"/>
    </xf>
    <xf numFmtId="0" fontId="27" fillId="18" borderId="15" xfId="0" applyFont="1" applyFill="1" applyBorder="1" applyAlignment="1">
      <alignment horizontal="center" vertical="center"/>
    </xf>
    <xf numFmtId="0" fontId="27" fillId="6" borderId="3" xfId="0" applyFont="1" applyFill="1" applyBorder="1" applyAlignment="1">
      <alignment horizontal="center" vertical="center"/>
    </xf>
    <xf numFmtId="0" fontId="27" fillId="6" borderId="5" xfId="0" applyFont="1" applyFill="1" applyBorder="1" applyAlignment="1">
      <alignment horizontal="center" vertical="center"/>
    </xf>
    <xf numFmtId="0" fontId="27" fillId="6" borderId="6" xfId="0" applyFont="1" applyFill="1" applyBorder="1" applyAlignment="1">
      <alignment horizontal="center" vertical="center"/>
    </xf>
    <xf numFmtId="0" fontId="27" fillId="6" borderId="6" xfId="0" applyFont="1" applyFill="1" applyBorder="1" applyAlignment="1">
      <alignment horizontal="center" vertical="center" wrapText="1"/>
    </xf>
    <xf numFmtId="14" fontId="27" fillId="6" borderId="6" xfId="0" applyNumberFormat="1" applyFont="1" applyFill="1" applyBorder="1" applyAlignment="1">
      <alignment horizontal="center" vertical="center" wrapText="1"/>
    </xf>
    <xf numFmtId="3" fontId="27" fillId="6" borderId="6" xfId="0" applyNumberFormat="1" applyFont="1" applyFill="1" applyBorder="1" applyAlignment="1">
      <alignment horizontal="center" vertical="center" wrapText="1"/>
    </xf>
    <xf numFmtId="6" fontId="27" fillId="6" borderId="6" xfId="0" applyNumberFormat="1" applyFont="1" applyFill="1" applyBorder="1" applyAlignment="1">
      <alignment horizontal="center" vertical="center" wrapText="1"/>
    </xf>
    <xf numFmtId="14" fontId="27" fillId="6" borderId="6" xfId="0" applyNumberFormat="1" applyFont="1" applyFill="1" applyBorder="1" applyAlignment="1">
      <alignment horizontal="center" vertical="center"/>
    </xf>
    <xf numFmtId="0" fontId="26" fillId="17" borderId="27" xfId="0" applyFont="1" applyFill="1" applyBorder="1" applyAlignment="1">
      <alignment horizontal="center" vertical="center" wrapText="1"/>
    </xf>
    <xf numFmtId="0" fontId="28" fillId="18" borderId="28" xfId="0" applyFont="1" applyFill="1" applyBorder="1" applyAlignment="1">
      <alignment horizontal="center" vertical="center"/>
    </xf>
    <xf numFmtId="0" fontId="28" fillId="6" borderId="13" xfId="0" applyFont="1" applyFill="1" applyBorder="1" applyAlignment="1">
      <alignment horizontal="center" vertical="center"/>
    </xf>
    <xf numFmtId="0" fontId="28" fillId="6" borderId="29" xfId="0" applyFont="1" applyFill="1" applyBorder="1" applyAlignment="1">
      <alignment horizontal="center" vertical="center"/>
    </xf>
    <xf numFmtId="6" fontId="0" fillId="6" borderId="30" xfId="0" applyNumberFormat="1" applyFill="1" applyBorder="1" applyAlignment="1">
      <alignment horizontal="center" vertical="center"/>
    </xf>
    <xf numFmtId="8" fontId="0" fillId="6" borderId="30" xfId="0" applyNumberFormat="1" applyFill="1" applyBorder="1" applyAlignment="1">
      <alignment horizontal="center" vertical="center"/>
    </xf>
    <xf numFmtId="0" fontId="0" fillId="6" borderId="30" xfId="0" applyFill="1" applyBorder="1" applyAlignment="1">
      <alignment horizontal="center" vertical="center"/>
    </xf>
    <xf numFmtId="0" fontId="0" fillId="6" borderId="31" xfId="0" applyFill="1" applyBorder="1" applyAlignment="1">
      <alignment horizontal="center" vertical="center"/>
    </xf>
    <xf numFmtId="0" fontId="26" fillId="17" borderId="23" xfId="0" applyFont="1" applyFill="1" applyBorder="1" applyAlignment="1">
      <alignment horizontal="center" vertical="center" wrapText="1"/>
    </xf>
    <xf numFmtId="3" fontId="17" fillId="4" borderId="9" xfId="0" applyNumberFormat="1" applyFont="1" applyFill="1" applyBorder="1" applyAlignment="1">
      <alignment horizontal="center"/>
    </xf>
    <xf numFmtId="3" fontId="17" fillId="3" borderId="10" xfId="0" applyNumberFormat="1" applyFont="1" applyFill="1" applyBorder="1" applyAlignment="1">
      <alignment horizontal="center"/>
    </xf>
    <xf numFmtId="3" fontId="17" fillId="5" borderId="11" xfId="0" applyNumberFormat="1" applyFont="1" applyFill="1" applyBorder="1" applyAlignment="1">
      <alignment horizontal="center"/>
    </xf>
    <xf numFmtId="0" fontId="17" fillId="9" borderId="32" xfId="0" applyFont="1" applyFill="1" applyBorder="1" applyAlignment="1">
      <alignment horizontal="center" vertical="center"/>
    </xf>
    <xf numFmtId="0" fontId="17" fillId="9" borderId="10" xfId="0" applyFont="1" applyFill="1" applyBorder="1" applyAlignment="1">
      <alignment horizontal="center" vertical="center"/>
    </xf>
    <xf numFmtId="0" fontId="17" fillId="9" borderId="11" xfId="0" applyFont="1" applyFill="1" applyBorder="1" applyAlignment="1">
      <alignment horizontal="center" vertical="center"/>
    </xf>
    <xf numFmtId="3" fontId="0" fillId="4" borderId="15" xfId="0" applyNumberFormat="1" applyFill="1" applyBorder="1" applyAlignment="1">
      <alignment horizontal="center"/>
    </xf>
    <xf numFmtId="3" fontId="0" fillId="3" borderId="8" xfId="0" applyNumberFormat="1" applyFill="1" applyBorder="1" applyAlignment="1">
      <alignment horizontal="center"/>
    </xf>
    <xf numFmtId="3" fontId="0" fillId="5" borderId="16" xfId="0" applyNumberFormat="1" applyFill="1" applyBorder="1" applyAlignment="1">
      <alignment horizontal="center"/>
    </xf>
    <xf numFmtId="37" fontId="0" fillId="0" borderId="33" xfId="3" applyNumberFormat="1" applyFont="1" applyBorder="1" applyAlignment="1">
      <alignment horizontal="center" vertical="center"/>
    </xf>
    <xf numFmtId="37" fontId="0" fillId="0" borderId="8" xfId="3" applyNumberFormat="1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37" fontId="0" fillId="0" borderId="16" xfId="3" applyNumberFormat="1" applyFont="1" applyBorder="1" applyAlignment="1">
      <alignment horizontal="center" vertical="center"/>
    </xf>
    <xf numFmtId="3" fontId="0" fillId="4" borderId="3" xfId="0" applyNumberFormat="1" applyFill="1" applyBorder="1" applyAlignment="1">
      <alignment horizontal="center"/>
    </xf>
    <xf numFmtId="3" fontId="0" fillId="3" borderId="2" xfId="0" applyNumberFormat="1" applyFill="1" applyBorder="1" applyAlignment="1">
      <alignment horizontal="center"/>
    </xf>
    <xf numFmtId="3" fontId="0" fillId="5" borderId="4" xfId="0" applyNumberFormat="1" applyFill="1" applyBorder="1" applyAlignment="1">
      <alignment horizontal="center"/>
    </xf>
    <xf numFmtId="37" fontId="0" fillId="0" borderId="14" xfId="3" applyNumberFormat="1" applyFont="1" applyBorder="1" applyAlignment="1">
      <alignment horizontal="center" vertical="center"/>
    </xf>
    <xf numFmtId="37" fontId="0" fillId="0" borderId="2" xfId="3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37" fontId="0" fillId="0" borderId="4" xfId="3" applyNumberFormat="1" applyFont="1" applyBorder="1" applyAlignment="1">
      <alignment horizontal="center" vertical="center"/>
    </xf>
    <xf numFmtId="3" fontId="0" fillId="4" borderId="5" xfId="0" applyNumberFormat="1" applyFill="1" applyBorder="1" applyAlignment="1">
      <alignment horizontal="center"/>
    </xf>
    <xf numFmtId="3" fontId="0" fillId="3" borderId="6" xfId="0" applyNumberFormat="1" applyFill="1" applyBorder="1" applyAlignment="1">
      <alignment horizontal="center"/>
    </xf>
    <xf numFmtId="3" fontId="0" fillId="5" borderId="7" xfId="0" applyNumberFormat="1" applyFill="1" applyBorder="1" applyAlignment="1">
      <alignment horizontal="center"/>
    </xf>
    <xf numFmtId="37" fontId="0" fillId="0" borderId="34" xfId="3" applyNumberFormat="1" applyFont="1" applyBorder="1" applyAlignment="1">
      <alignment horizontal="center" vertical="center"/>
    </xf>
    <xf numFmtId="37" fontId="0" fillId="0" borderId="6" xfId="3" applyNumberFormat="1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37" fontId="0" fillId="0" borderId="7" xfId="3" applyNumberFormat="1" applyFont="1" applyBorder="1" applyAlignment="1">
      <alignment horizontal="center" vertical="center"/>
    </xf>
    <xf numFmtId="37" fontId="10" fillId="0" borderId="0" xfId="3" applyNumberFormat="1" applyFont="1" applyAlignment="1">
      <alignment horizontal="center" vertical="center"/>
    </xf>
    <xf numFmtId="43" fontId="0" fillId="0" borderId="0" xfId="3" applyFont="1" applyAlignment="1">
      <alignment horizontal="center" vertical="center"/>
    </xf>
    <xf numFmtId="0" fontId="0" fillId="0" borderId="0" xfId="0" applyAlignment="1">
      <alignment horizontal="center" vertical="center"/>
    </xf>
    <xf numFmtId="37" fontId="0" fillId="0" borderId="0" xfId="0" applyNumberFormat="1" applyAlignment="1">
      <alignment horizontal="center" vertical="center"/>
    </xf>
    <xf numFmtId="1" fontId="17" fillId="9" borderId="32" xfId="0" applyNumberFormat="1" applyFont="1" applyFill="1" applyBorder="1" applyAlignment="1">
      <alignment horizontal="center" vertical="center"/>
    </xf>
    <xf numFmtId="1" fontId="17" fillId="9" borderId="10" xfId="0" applyNumberFormat="1" applyFont="1" applyFill="1" applyBorder="1" applyAlignment="1">
      <alignment horizontal="center" vertical="center"/>
    </xf>
    <xf numFmtId="1" fontId="17" fillId="9" borderId="11" xfId="0" applyNumberFormat="1" applyFont="1" applyFill="1" applyBorder="1" applyAlignment="1">
      <alignment horizontal="center" vertical="center"/>
    </xf>
    <xf numFmtId="165" fontId="0" fillId="0" borderId="33" xfId="2" applyNumberFormat="1" applyFont="1" applyFill="1" applyBorder="1" applyAlignment="1">
      <alignment horizontal="center" vertical="center"/>
    </xf>
    <xf numFmtId="9" fontId="0" fillId="0" borderId="8" xfId="2" applyFont="1" applyFill="1" applyBorder="1" applyAlignment="1">
      <alignment horizontal="center" vertical="center"/>
    </xf>
    <xf numFmtId="9" fontId="0" fillId="0" borderId="8" xfId="2" applyFont="1" applyBorder="1" applyAlignment="1">
      <alignment horizontal="center" vertical="center"/>
    </xf>
    <xf numFmtId="9" fontId="0" fillId="0" borderId="16" xfId="2" applyFont="1" applyFill="1" applyBorder="1" applyAlignment="1">
      <alignment horizontal="center" vertical="center"/>
    </xf>
    <xf numFmtId="165" fontId="0" fillId="0" borderId="14" xfId="2" applyNumberFormat="1" applyFont="1" applyFill="1" applyBorder="1" applyAlignment="1">
      <alignment horizontal="center" vertical="center"/>
    </xf>
    <xf numFmtId="9" fontId="0" fillId="0" borderId="2" xfId="2" applyFont="1" applyFill="1" applyBorder="1" applyAlignment="1">
      <alignment horizontal="center" vertical="center"/>
    </xf>
    <xf numFmtId="9" fontId="0" fillId="0" borderId="2" xfId="2" applyFont="1" applyBorder="1" applyAlignment="1">
      <alignment horizontal="center" vertical="center"/>
    </xf>
    <xf numFmtId="9" fontId="0" fillId="0" borderId="4" xfId="2" applyFont="1" applyFill="1" applyBorder="1" applyAlignment="1">
      <alignment horizontal="center" vertical="center"/>
    </xf>
    <xf numFmtId="165" fontId="0" fillId="0" borderId="34" xfId="2" applyNumberFormat="1" applyFont="1" applyFill="1" applyBorder="1" applyAlignment="1">
      <alignment horizontal="center" vertical="center"/>
    </xf>
    <xf numFmtId="9" fontId="0" fillId="0" borderId="6" xfId="2" applyFont="1" applyFill="1" applyBorder="1" applyAlignment="1">
      <alignment horizontal="center" vertical="center"/>
    </xf>
    <xf numFmtId="9" fontId="0" fillId="0" borderId="6" xfId="2" applyFont="1" applyBorder="1" applyAlignment="1">
      <alignment horizontal="center" vertical="center"/>
    </xf>
    <xf numFmtId="9" fontId="0" fillId="0" borderId="7" xfId="2" applyFont="1" applyFill="1" applyBorder="1" applyAlignment="1">
      <alignment horizontal="center" vertical="center"/>
    </xf>
    <xf numFmtId="0" fontId="30" fillId="6" borderId="0" xfId="0" applyFont="1" applyFill="1"/>
    <xf numFmtId="0" fontId="20" fillId="13" borderId="22" xfId="0" applyFont="1" applyFill="1" applyBorder="1" applyAlignment="1">
      <alignment horizontal="center" vertical="center"/>
    </xf>
    <xf numFmtId="164" fontId="3" fillId="4" borderId="2" xfId="0" applyNumberFormat="1" applyFont="1" applyFill="1" applyBorder="1" applyAlignment="1">
      <alignment horizontal="center" vertical="center"/>
    </xf>
    <xf numFmtId="0" fontId="32" fillId="4" borderId="2" xfId="1" applyFont="1" applyFill="1" applyBorder="1" applyAlignment="1">
      <alignment horizontal="center" vertical="center"/>
    </xf>
    <xf numFmtId="0" fontId="1" fillId="4" borderId="2" xfId="1" applyFont="1" applyFill="1" applyBorder="1" applyAlignment="1">
      <alignment horizontal="center" vertical="center"/>
    </xf>
    <xf numFmtId="0" fontId="31" fillId="4" borderId="2" xfId="1" applyFont="1" applyFill="1" applyBorder="1" applyAlignment="1">
      <alignment horizontal="center" vertical="center"/>
    </xf>
    <xf numFmtId="0" fontId="3" fillId="4" borderId="24" xfId="0" applyFont="1" applyFill="1" applyBorder="1" applyAlignment="1">
      <alignment horizontal="center" vertical="center"/>
    </xf>
    <xf numFmtId="0" fontId="21" fillId="4" borderId="25" xfId="1" applyFont="1" applyFill="1" applyBorder="1" applyAlignment="1">
      <alignment horizontal="center" vertical="center"/>
    </xf>
    <xf numFmtId="164" fontId="3" fillId="4" borderId="25" xfId="0" applyNumberFormat="1" applyFont="1" applyFill="1" applyBorder="1" applyAlignment="1">
      <alignment horizontal="center" vertical="center"/>
    </xf>
    <xf numFmtId="164" fontId="3" fillId="4" borderId="26" xfId="0" applyNumberFormat="1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1" fillId="4" borderId="6" xfId="1" applyFont="1" applyFill="1" applyBorder="1" applyAlignment="1">
      <alignment horizontal="center" vertical="center"/>
    </xf>
    <xf numFmtId="164" fontId="3" fillId="4" borderId="6" xfId="0" applyNumberFormat="1" applyFont="1" applyFill="1" applyBorder="1" applyAlignment="1">
      <alignment horizontal="center" vertical="center"/>
    </xf>
    <xf numFmtId="0" fontId="3" fillId="4" borderId="7" xfId="0" applyFont="1" applyFill="1" applyBorder="1" applyAlignment="1">
      <alignment horizontal="center" vertical="center"/>
    </xf>
    <xf numFmtId="0" fontId="16" fillId="0" borderId="0" xfId="0" applyFont="1"/>
    <xf numFmtId="168" fontId="0" fillId="0" borderId="0" xfId="3" applyNumberFormat="1" applyFont="1"/>
    <xf numFmtId="3" fontId="0" fillId="0" borderId="0" xfId="0" applyNumberFormat="1" applyAlignment="1">
      <alignment horizontal="center" vertical="center"/>
    </xf>
    <xf numFmtId="0" fontId="20" fillId="13" borderId="19" xfId="0" applyFont="1" applyFill="1" applyBorder="1" applyAlignment="1">
      <alignment horizontal="center" vertical="center" wrapText="1"/>
    </xf>
    <xf numFmtId="0" fontId="20" fillId="13" borderId="20" xfId="0" applyFont="1" applyFill="1" applyBorder="1" applyAlignment="1">
      <alignment horizontal="center" vertical="center" wrapText="1"/>
    </xf>
    <xf numFmtId="0" fontId="20" fillId="13" borderId="36" xfId="0" applyFont="1" applyFill="1" applyBorder="1" applyAlignment="1">
      <alignment horizontal="center" vertical="center" wrapText="1"/>
    </xf>
    <xf numFmtId="0" fontId="20" fillId="13" borderId="18" xfId="0" applyFont="1" applyFill="1" applyBorder="1" applyAlignment="1">
      <alignment horizontal="center" vertical="center"/>
    </xf>
    <xf numFmtId="0" fontId="20" fillId="13" borderId="35" xfId="0" applyFont="1" applyFill="1" applyBorder="1" applyAlignment="1">
      <alignment horizontal="center" vertical="center"/>
    </xf>
    <xf numFmtId="0" fontId="20" fillId="13" borderId="19" xfId="0" applyFont="1" applyFill="1" applyBorder="1" applyAlignment="1">
      <alignment horizontal="center" vertical="center"/>
    </xf>
    <xf numFmtId="0" fontId="20" fillId="13" borderId="22" xfId="0" applyFont="1" applyFill="1" applyBorder="1" applyAlignment="1">
      <alignment horizontal="center" vertical="center"/>
    </xf>
    <xf numFmtId="0" fontId="15" fillId="13" borderId="21" xfId="0" applyFont="1" applyFill="1" applyBorder="1" applyAlignment="1">
      <alignment horizontal="center" vertical="center"/>
    </xf>
    <xf numFmtId="0" fontId="15" fillId="13" borderId="0" xfId="0" applyFont="1" applyFill="1" applyBorder="1" applyAlignment="1">
      <alignment horizontal="center" vertical="center"/>
    </xf>
    <xf numFmtId="0" fontId="16" fillId="10" borderId="0" xfId="0" applyFont="1" applyFill="1" applyAlignment="1">
      <alignment horizontal="center"/>
    </xf>
    <xf numFmtId="0" fontId="16" fillId="10" borderId="0" xfId="0" applyFont="1" applyFill="1" applyAlignment="1">
      <alignment horizontal="center" vertical="center"/>
    </xf>
    <xf numFmtId="0" fontId="17" fillId="8" borderId="13" xfId="0" applyFont="1" applyFill="1" applyBorder="1" applyAlignment="1">
      <alignment horizontal="center" vertical="center"/>
    </xf>
    <xf numFmtId="0" fontId="17" fillId="8" borderId="17" xfId="0" applyFont="1" applyFill="1" applyBorder="1" applyAlignment="1">
      <alignment horizontal="center" vertical="center"/>
    </xf>
    <xf numFmtId="0" fontId="17" fillId="8" borderId="14" xfId="0" applyFont="1" applyFill="1" applyBorder="1" applyAlignment="1">
      <alignment horizontal="center" vertical="center"/>
    </xf>
    <xf numFmtId="0" fontId="29" fillId="13" borderId="0" xfId="0" applyFont="1" applyFill="1" applyAlignment="1">
      <alignment horizontal="center" vertical="center"/>
    </xf>
  </cellXfs>
  <cellStyles count="5">
    <cellStyle name="Comma" xfId="3" builtinId="3"/>
    <cellStyle name="Currency" xfId="4" builtinId="4"/>
    <cellStyle name="Hyperlink" xfId="1" builtinId="8"/>
    <cellStyle name="Normal" xfId="0" builtinId="0"/>
    <cellStyle name="Percent" xfId="2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19E65"/>
      <color rgb="FFF8F8F8"/>
      <color rgb="FFFBD1EC"/>
      <color rgb="FF00FF00"/>
      <color rgb="FFE8958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'Trend Charts New'!$D$4</c:f>
          <c:strCache>
            <c:ptCount val="1"/>
            <c:pt idx="0">
              <c:v>NRx vs HCP SFMC Delivery</c:v>
            </c:pt>
          </c:strCache>
        </c:strRef>
      </c:tx>
      <c:layout>
        <c:manualLayout>
          <c:xMode val="edge"/>
          <c:yMode val="edge"/>
          <c:x val="0.38780500783947708"/>
          <c:y val="1.71946199117421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1" u="none" strike="noStrike" kern="1200" baseline="0">
              <a:solidFill>
                <a:schemeClr val="bg2">
                  <a:lumMod val="1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7115728882436146E-2"/>
          <c:y val="1.5996322700314931E-2"/>
          <c:w val="0.88538250589432432"/>
          <c:h val="0.77387887685775614"/>
        </c:manualLayout>
      </c:layout>
      <c:lineChart>
        <c:grouping val="standard"/>
        <c:varyColors val="0"/>
        <c:ser>
          <c:idx val="0"/>
          <c:order val="0"/>
          <c:tx>
            <c:strRef>
              <c:f>'Trend Charts New'!$D$10</c:f>
              <c:strCache>
                <c:ptCount val="1"/>
                <c:pt idx="0">
                  <c:v>NRx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'Trend Charts New'!$C$11:$C$34</c:f>
              <c:numCache>
                <c:formatCode>[$-409]mmm\-yy;@</c:formatCode>
                <c:ptCount val="24"/>
                <c:pt idx="0">
                  <c:v>44228</c:v>
                </c:pt>
                <c:pt idx="1">
                  <c:v>44256</c:v>
                </c:pt>
                <c:pt idx="2">
                  <c:v>44287</c:v>
                </c:pt>
                <c:pt idx="3">
                  <c:v>44317</c:v>
                </c:pt>
                <c:pt idx="4">
                  <c:v>44348</c:v>
                </c:pt>
                <c:pt idx="5">
                  <c:v>44378</c:v>
                </c:pt>
                <c:pt idx="6">
                  <c:v>44409</c:v>
                </c:pt>
                <c:pt idx="7">
                  <c:v>44440</c:v>
                </c:pt>
                <c:pt idx="8">
                  <c:v>44470</c:v>
                </c:pt>
                <c:pt idx="9">
                  <c:v>44501</c:v>
                </c:pt>
                <c:pt idx="10">
                  <c:v>44531</c:v>
                </c:pt>
                <c:pt idx="11">
                  <c:v>44562</c:v>
                </c:pt>
                <c:pt idx="12">
                  <c:v>44593</c:v>
                </c:pt>
                <c:pt idx="13">
                  <c:v>44621</c:v>
                </c:pt>
                <c:pt idx="14">
                  <c:v>44652</c:v>
                </c:pt>
                <c:pt idx="15">
                  <c:v>44682</c:v>
                </c:pt>
                <c:pt idx="16">
                  <c:v>44713</c:v>
                </c:pt>
                <c:pt idx="17">
                  <c:v>44743</c:v>
                </c:pt>
                <c:pt idx="18">
                  <c:v>44774</c:v>
                </c:pt>
                <c:pt idx="19">
                  <c:v>44805</c:v>
                </c:pt>
                <c:pt idx="20">
                  <c:v>44835</c:v>
                </c:pt>
                <c:pt idx="21">
                  <c:v>44866</c:v>
                </c:pt>
                <c:pt idx="22">
                  <c:v>44896</c:v>
                </c:pt>
                <c:pt idx="23">
                  <c:v>44927</c:v>
                </c:pt>
              </c:numCache>
            </c:numRef>
          </c:cat>
          <c:val>
            <c:numRef>
              <c:f>'Trend Charts New'!$D$11:$D$34</c:f>
              <c:numCache>
                <c:formatCode>#,##0</c:formatCode>
                <c:ptCount val="24"/>
                <c:pt idx="0">
                  <c:v>18575.448999999899</c:v>
                </c:pt>
                <c:pt idx="1">
                  <c:v>21399.245999999901</c:v>
                </c:pt>
                <c:pt idx="2">
                  <c:v>20252.035999999898</c:v>
                </c:pt>
                <c:pt idx="3">
                  <c:v>19044.010999999999</c:v>
                </c:pt>
                <c:pt idx="4">
                  <c:v>19988.836999999901</c:v>
                </c:pt>
                <c:pt idx="5">
                  <c:v>19833.813999999998</c:v>
                </c:pt>
                <c:pt idx="6">
                  <c:v>19791.6139999999</c:v>
                </c:pt>
                <c:pt idx="7">
                  <c:v>19803.841</c:v>
                </c:pt>
                <c:pt idx="8">
                  <c:v>20060.856</c:v>
                </c:pt>
                <c:pt idx="9">
                  <c:v>19404.6349999999</c:v>
                </c:pt>
                <c:pt idx="10">
                  <c:v>20133.551999999901</c:v>
                </c:pt>
                <c:pt idx="11">
                  <c:v>18563.743999999999</c:v>
                </c:pt>
                <c:pt idx="12">
                  <c:v>18467.2569999999</c:v>
                </c:pt>
                <c:pt idx="13">
                  <c:v>21605.558999999899</c:v>
                </c:pt>
                <c:pt idx="14">
                  <c:v>20522.0959999999</c:v>
                </c:pt>
                <c:pt idx="15">
                  <c:v>20576.6889999999</c:v>
                </c:pt>
                <c:pt idx="16">
                  <c:v>21125.331999999999</c:v>
                </c:pt>
                <c:pt idx="17">
                  <c:v>20472.434999999899</c:v>
                </c:pt>
                <c:pt idx="18">
                  <c:v>22549.978999999999</c:v>
                </c:pt>
                <c:pt idx="19">
                  <c:v>22301.364000000001</c:v>
                </c:pt>
                <c:pt idx="20">
                  <c:v>22346.25</c:v>
                </c:pt>
                <c:pt idx="21">
                  <c:v>22266.956999999999</c:v>
                </c:pt>
                <c:pt idx="22">
                  <c:v>22805.391999999902</c:v>
                </c:pt>
                <c:pt idx="23">
                  <c:v>22072.416000000001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DF-4439-9E32-4D5ECF8C75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88513456"/>
        <c:axId val="1788516368"/>
      </c:lineChart>
      <c:lineChart>
        <c:grouping val="standard"/>
        <c:varyColors val="0"/>
        <c:ser>
          <c:idx val="1"/>
          <c:order val="1"/>
          <c:tx>
            <c:strRef>
              <c:f>'Trend Charts New'!$E$10</c:f>
              <c:strCache>
                <c:ptCount val="1"/>
                <c:pt idx="0">
                  <c:v>HCP SFMC Delivery</c:v>
                </c:pt>
              </c:strCache>
            </c:strRef>
          </c:tx>
          <c:spPr>
            <a:ln w="38100" cap="sq" cmpd="sng">
              <a:solidFill>
                <a:schemeClr val="accent2"/>
              </a:solidFill>
              <a:prstDash val="solid"/>
              <a:round/>
              <a:tailEnd type="none" w="lg" len="med"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chemeClr val="accent2">
                  <a:lumMod val="75000"/>
                </a:schemeClr>
              </a:soli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'Trend Charts New'!$C$11:$C$34</c:f>
              <c:numCache>
                <c:formatCode>[$-409]mmm\-yy;@</c:formatCode>
                <c:ptCount val="24"/>
                <c:pt idx="0">
                  <c:v>44228</c:v>
                </c:pt>
                <c:pt idx="1">
                  <c:v>44256</c:v>
                </c:pt>
                <c:pt idx="2">
                  <c:v>44287</c:v>
                </c:pt>
                <c:pt idx="3">
                  <c:v>44317</c:v>
                </c:pt>
                <c:pt idx="4">
                  <c:v>44348</c:v>
                </c:pt>
                <c:pt idx="5">
                  <c:v>44378</c:v>
                </c:pt>
                <c:pt idx="6">
                  <c:v>44409</c:v>
                </c:pt>
                <c:pt idx="7">
                  <c:v>44440</c:v>
                </c:pt>
                <c:pt idx="8">
                  <c:v>44470</c:v>
                </c:pt>
                <c:pt idx="9">
                  <c:v>44501</c:v>
                </c:pt>
                <c:pt idx="10">
                  <c:v>44531</c:v>
                </c:pt>
                <c:pt idx="11">
                  <c:v>44562</c:v>
                </c:pt>
                <c:pt idx="12">
                  <c:v>44593</c:v>
                </c:pt>
                <c:pt idx="13">
                  <c:v>44621</c:v>
                </c:pt>
                <c:pt idx="14">
                  <c:v>44652</c:v>
                </c:pt>
                <c:pt idx="15">
                  <c:v>44682</c:v>
                </c:pt>
                <c:pt idx="16">
                  <c:v>44713</c:v>
                </c:pt>
                <c:pt idx="17">
                  <c:v>44743</c:v>
                </c:pt>
                <c:pt idx="18">
                  <c:v>44774</c:v>
                </c:pt>
                <c:pt idx="19">
                  <c:v>44805</c:v>
                </c:pt>
                <c:pt idx="20">
                  <c:v>44835</c:v>
                </c:pt>
                <c:pt idx="21">
                  <c:v>44866</c:v>
                </c:pt>
                <c:pt idx="22">
                  <c:v>44896</c:v>
                </c:pt>
                <c:pt idx="23">
                  <c:v>44927</c:v>
                </c:pt>
              </c:numCache>
            </c:numRef>
          </c:cat>
          <c:val>
            <c:numRef>
              <c:f>'Trend Charts New'!$E$11:$E$34</c:f>
              <c:numCache>
                <c:formatCode>#,##0</c:formatCode>
                <c:ptCount val="24"/>
                <c:pt idx="0">
                  <c:v>35896</c:v>
                </c:pt>
                <c:pt idx="1">
                  <c:v>178671</c:v>
                </c:pt>
                <c:pt idx="2">
                  <c:v>393872</c:v>
                </c:pt>
                <c:pt idx="3">
                  <c:v>131932</c:v>
                </c:pt>
                <c:pt idx="4">
                  <c:v>72565</c:v>
                </c:pt>
                <c:pt idx="5">
                  <c:v>113537</c:v>
                </c:pt>
                <c:pt idx="6">
                  <c:v>368140</c:v>
                </c:pt>
                <c:pt idx="7">
                  <c:v>211562</c:v>
                </c:pt>
                <c:pt idx="8">
                  <c:v>82236</c:v>
                </c:pt>
                <c:pt idx="9">
                  <c:v>54278</c:v>
                </c:pt>
                <c:pt idx="10">
                  <c:v>50089</c:v>
                </c:pt>
                <c:pt idx="11">
                  <c:v>102708</c:v>
                </c:pt>
                <c:pt idx="12">
                  <c:v>119753</c:v>
                </c:pt>
                <c:pt idx="13">
                  <c:v>57409</c:v>
                </c:pt>
                <c:pt idx="14">
                  <c:v>210758</c:v>
                </c:pt>
                <c:pt idx="15">
                  <c:v>159626</c:v>
                </c:pt>
                <c:pt idx="16">
                  <c:v>58867</c:v>
                </c:pt>
                <c:pt idx="17">
                  <c:v>84739</c:v>
                </c:pt>
                <c:pt idx="18">
                  <c:v>144198</c:v>
                </c:pt>
                <c:pt idx="19">
                  <c:v>86313</c:v>
                </c:pt>
                <c:pt idx="20">
                  <c:v>123173</c:v>
                </c:pt>
                <c:pt idx="21">
                  <c:v>5540</c:v>
                </c:pt>
                <c:pt idx="22">
                  <c:v>44712</c:v>
                </c:pt>
                <c:pt idx="23">
                  <c:v>17717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CDF-4439-9E32-4D5ECF8C75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9723616"/>
        <c:axId val="819734432"/>
      </c:lineChart>
      <c:dateAx>
        <c:axId val="1788513456"/>
        <c:scaling>
          <c:orientation val="minMax"/>
        </c:scaling>
        <c:delete val="0"/>
        <c:axPos val="b"/>
        <c:numFmt formatCode="[$-409]mmm\-yy;@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8516368"/>
        <c:crosses val="autoZero"/>
        <c:auto val="1"/>
        <c:lblOffset val="100"/>
        <c:baseTimeUnit val="months"/>
      </c:dateAx>
      <c:valAx>
        <c:axId val="1788516368"/>
        <c:scaling>
          <c:orientation val="minMax"/>
          <c:min val="15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1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1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t># Sales</a:t>
                </a:r>
                <a:r>
                  <a:rPr lang="en-US" sz="1400" b="1" i="1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t> </a:t>
                </a:r>
              </a:p>
            </c:rich>
          </c:tx>
          <c:layout>
            <c:manualLayout>
              <c:xMode val="edge"/>
              <c:yMode val="edge"/>
              <c:x val="5.1578402360125657E-3"/>
              <c:y val="0.4006970250943249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8513456"/>
        <c:crosses val="autoZero"/>
        <c:crossBetween val="between"/>
      </c:valAx>
      <c:valAx>
        <c:axId val="81973443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1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t>#</a:t>
                </a:r>
                <a:r>
                  <a:rPr lang="en-US" sz="1400" b="1" i="1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t> Activity</a:t>
                </a:r>
                <a:endParaRPr lang="en-US" sz="1400" b="1" i="1">
                  <a:solidFill>
                    <a:schemeClr val="tx1">
                      <a:lumMod val="75000"/>
                      <a:lumOff val="25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0.98212175977189198"/>
              <c:y val="0.37256984256599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9723616"/>
        <c:crosses val="max"/>
        <c:crossBetween val="between"/>
      </c:valAx>
      <c:dateAx>
        <c:axId val="819723616"/>
        <c:scaling>
          <c:orientation val="minMax"/>
        </c:scaling>
        <c:delete val="1"/>
        <c:axPos val="b"/>
        <c:numFmt formatCode="[$-409]mmm\-yy;@" sourceLinked="1"/>
        <c:majorTickMark val="out"/>
        <c:minorTickMark val="none"/>
        <c:tickLblPos val="nextTo"/>
        <c:crossAx val="819734432"/>
        <c:crosses val="autoZero"/>
        <c:auto val="1"/>
        <c:lblOffset val="100"/>
        <c:baseTimeUnit val="months"/>
      </c:dateAx>
      <c:spPr>
        <a:noFill/>
        <a:ln>
          <a:solidFill>
            <a:schemeClr val="bg1">
              <a:lumMod val="65000"/>
            </a:schemeClr>
          </a:solidFill>
          <a:prstDash val="sysDot"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85000"/>
          <a:lumOff val="1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Sales!$B$2</c:f>
          <c:strCache>
            <c:ptCount val="1"/>
            <c:pt idx="0">
              <c:v>Sales</c:v>
            </c:pt>
          </c:strCache>
        </c:strRef>
      </c:tx>
      <c:layout>
        <c:manualLayout>
          <c:xMode val="edge"/>
          <c:yMode val="edge"/>
          <c:x val="0.4736058849452523"/>
          <c:y val="1.762484612954215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1" u="sng" strike="noStrike" kern="1200" cap="all" spc="120" normalizeH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93666613396095"/>
          <c:y val="0.20502715197752158"/>
          <c:w val="0.85252923827926375"/>
          <c:h val="0.67136910537094985"/>
        </c:manualLayout>
      </c:layout>
      <c:lineChart>
        <c:grouping val="standard"/>
        <c:varyColors val="0"/>
        <c:ser>
          <c:idx val="0"/>
          <c:order val="0"/>
          <c:tx>
            <c:strRef>
              <c:f>Sales!$C$5</c:f>
              <c:strCache>
                <c:ptCount val="1"/>
                <c:pt idx="0">
                  <c:v>Market NRx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ash"/>
              </a:ln>
              <a:effectLst/>
            </c:spPr>
            <c:trendlineType val="linear"/>
            <c:dispRSqr val="0"/>
            <c:dispEq val="0"/>
          </c:trendline>
          <c:cat>
            <c:numRef>
              <c:f>Sales!$B$6:$B$29</c:f>
              <c:numCache>
                <c:formatCode>[$-409]mmm\-yy;@</c:formatCode>
                <c:ptCount val="24"/>
                <c:pt idx="0">
                  <c:v>44228</c:v>
                </c:pt>
                <c:pt idx="1">
                  <c:v>44256</c:v>
                </c:pt>
                <c:pt idx="2">
                  <c:v>44287</c:v>
                </c:pt>
                <c:pt idx="3">
                  <c:v>44317</c:v>
                </c:pt>
                <c:pt idx="4">
                  <c:v>44348</c:v>
                </c:pt>
                <c:pt idx="5">
                  <c:v>44378</c:v>
                </c:pt>
                <c:pt idx="6">
                  <c:v>44409</c:v>
                </c:pt>
                <c:pt idx="7">
                  <c:v>44440</c:v>
                </c:pt>
                <c:pt idx="8">
                  <c:v>44470</c:v>
                </c:pt>
                <c:pt idx="9">
                  <c:v>44501</c:v>
                </c:pt>
                <c:pt idx="10">
                  <c:v>44531</c:v>
                </c:pt>
                <c:pt idx="11">
                  <c:v>44562</c:v>
                </c:pt>
                <c:pt idx="12">
                  <c:v>44593</c:v>
                </c:pt>
                <c:pt idx="13">
                  <c:v>44621</c:v>
                </c:pt>
                <c:pt idx="14">
                  <c:v>44652</c:v>
                </c:pt>
                <c:pt idx="15">
                  <c:v>44682</c:v>
                </c:pt>
                <c:pt idx="16">
                  <c:v>44713</c:v>
                </c:pt>
                <c:pt idx="17">
                  <c:v>44743</c:v>
                </c:pt>
                <c:pt idx="18">
                  <c:v>44774</c:v>
                </c:pt>
                <c:pt idx="19">
                  <c:v>44805</c:v>
                </c:pt>
                <c:pt idx="20">
                  <c:v>44835</c:v>
                </c:pt>
                <c:pt idx="21">
                  <c:v>44866</c:v>
                </c:pt>
                <c:pt idx="22">
                  <c:v>44896</c:v>
                </c:pt>
                <c:pt idx="23">
                  <c:v>44927</c:v>
                </c:pt>
              </c:numCache>
            </c:numRef>
          </c:cat>
          <c:val>
            <c:numRef>
              <c:f>Sales!$C$6:$C$29</c:f>
              <c:numCache>
                <c:formatCode>#,##0</c:formatCode>
                <c:ptCount val="24"/>
                <c:pt idx="0">
                  <c:v>2704242.2279999899</c:v>
                </c:pt>
                <c:pt idx="1">
                  <c:v>3156685.8620000002</c:v>
                </c:pt>
                <c:pt idx="2">
                  <c:v>2994039.122</c:v>
                </c:pt>
                <c:pt idx="3">
                  <c:v>2798839.59799999</c:v>
                </c:pt>
                <c:pt idx="4">
                  <c:v>2930485.1769999899</c:v>
                </c:pt>
                <c:pt idx="5">
                  <c:v>2914400.2019999898</c:v>
                </c:pt>
                <c:pt idx="6">
                  <c:v>2931634.28299999</c:v>
                </c:pt>
                <c:pt idx="7">
                  <c:v>2936146.4819999901</c:v>
                </c:pt>
                <c:pt idx="8">
                  <c:v>2999777.8839999898</c:v>
                </c:pt>
                <c:pt idx="9">
                  <c:v>2903285.4879999901</c:v>
                </c:pt>
                <c:pt idx="10">
                  <c:v>3052141.0860000001</c:v>
                </c:pt>
                <c:pt idx="11">
                  <c:v>2977424.1260000002</c:v>
                </c:pt>
                <c:pt idx="12">
                  <c:v>2829064.89899999</c:v>
                </c:pt>
                <c:pt idx="13">
                  <c:v>3193545.6449999898</c:v>
                </c:pt>
                <c:pt idx="14">
                  <c:v>2955662.6609999998</c:v>
                </c:pt>
                <c:pt idx="15">
                  <c:v>2956911.878</c:v>
                </c:pt>
                <c:pt idx="16">
                  <c:v>3004720.3839999898</c:v>
                </c:pt>
                <c:pt idx="17">
                  <c:v>2895145.3469999898</c:v>
                </c:pt>
                <c:pt idx="18">
                  <c:v>3099369.6609999901</c:v>
                </c:pt>
                <c:pt idx="19">
                  <c:v>2964044.6099999901</c:v>
                </c:pt>
                <c:pt idx="20">
                  <c:v>2986430.48</c:v>
                </c:pt>
                <c:pt idx="21">
                  <c:v>2969200.8789999899</c:v>
                </c:pt>
                <c:pt idx="22">
                  <c:v>3069812.1129999901</c:v>
                </c:pt>
                <c:pt idx="23">
                  <c:v>3130123.36799999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68-439F-BAB5-6BF97778A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9773792"/>
        <c:axId val="1779776704"/>
      </c:lineChart>
      <c:lineChart>
        <c:grouping val="standard"/>
        <c:varyColors val="0"/>
        <c:ser>
          <c:idx val="1"/>
          <c:order val="1"/>
          <c:tx>
            <c:strRef>
              <c:f>Sales!$D$5</c:f>
              <c:strCache>
                <c:ptCount val="1"/>
                <c:pt idx="0">
                  <c:v>NRx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ash"/>
              </a:ln>
              <a:effectLst/>
            </c:spPr>
            <c:trendlineType val="linear"/>
            <c:dispRSqr val="0"/>
            <c:dispEq val="0"/>
          </c:trendline>
          <c:cat>
            <c:numRef>
              <c:f>Sales!$B$6:$B$29</c:f>
              <c:numCache>
                <c:formatCode>[$-409]mmm\-yy;@</c:formatCode>
                <c:ptCount val="24"/>
                <c:pt idx="0">
                  <c:v>44228</c:v>
                </c:pt>
                <c:pt idx="1">
                  <c:v>44256</c:v>
                </c:pt>
                <c:pt idx="2">
                  <c:v>44287</c:v>
                </c:pt>
                <c:pt idx="3">
                  <c:v>44317</c:v>
                </c:pt>
                <c:pt idx="4">
                  <c:v>44348</c:v>
                </c:pt>
                <c:pt idx="5">
                  <c:v>44378</c:v>
                </c:pt>
                <c:pt idx="6">
                  <c:v>44409</c:v>
                </c:pt>
                <c:pt idx="7">
                  <c:v>44440</c:v>
                </c:pt>
                <c:pt idx="8">
                  <c:v>44470</c:v>
                </c:pt>
                <c:pt idx="9">
                  <c:v>44501</c:v>
                </c:pt>
                <c:pt idx="10">
                  <c:v>44531</c:v>
                </c:pt>
                <c:pt idx="11">
                  <c:v>44562</c:v>
                </c:pt>
                <c:pt idx="12">
                  <c:v>44593</c:v>
                </c:pt>
                <c:pt idx="13">
                  <c:v>44621</c:v>
                </c:pt>
                <c:pt idx="14">
                  <c:v>44652</c:v>
                </c:pt>
                <c:pt idx="15">
                  <c:v>44682</c:v>
                </c:pt>
                <c:pt idx="16">
                  <c:v>44713</c:v>
                </c:pt>
                <c:pt idx="17">
                  <c:v>44743</c:v>
                </c:pt>
                <c:pt idx="18">
                  <c:v>44774</c:v>
                </c:pt>
                <c:pt idx="19">
                  <c:v>44805</c:v>
                </c:pt>
                <c:pt idx="20">
                  <c:v>44835</c:v>
                </c:pt>
                <c:pt idx="21">
                  <c:v>44866</c:v>
                </c:pt>
                <c:pt idx="22">
                  <c:v>44896</c:v>
                </c:pt>
                <c:pt idx="23">
                  <c:v>44927</c:v>
                </c:pt>
              </c:numCache>
            </c:numRef>
          </c:cat>
          <c:val>
            <c:numRef>
              <c:f>Sales!$D$6:$D$29</c:f>
              <c:numCache>
                <c:formatCode>#,##0</c:formatCode>
                <c:ptCount val="24"/>
                <c:pt idx="0">
                  <c:v>18575.448999999899</c:v>
                </c:pt>
                <c:pt idx="1">
                  <c:v>21399.245999999901</c:v>
                </c:pt>
                <c:pt idx="2">
                  <c:v>20252.035999999898</c:v>
                </c:pt>
                <c:pt idx="3">
                  <c:v>19044.010999999999</c:v>
                </c:pt>
                <c:pt idx="4">
                  <c:v>19988.836999999901</c:v>
                </c:pt>
                <c:pt idx="5">
                  <c:v>19833.813999999998</c:v>
                </c:pt>
                <c:pt idx="6">
                  <c:v>19791.6139999999</c:v>
                </c:pt>
                <c:pt idx="7">
                  <c:v>19803.841</c:v>
                </c:pt>
                <c:pt idx="8">
                  <c:v>20060.856</c:v>
                </c:pt>
                <c:pt idx="9">
                  <c:v>19404.6349999999</c:v>
                </c:pt>
                <c:pt idx="10">
                  <c:v>20133.551999999901</c:v>
                </c:pt>
                <c:pt idx="11">
                  <c:v>18563.743999999999</c:v>
                </c:pt>
                <c:pt idx="12">
                  <c:v>18467.2569999999</c:v>
                </c:pt>
                <c:pt idx="13">
                  <c:v>21605.558999999899</c:v>
                </c:pt>
                <c:pt idx="14">
                  <c:v>20522.0959999999</c:v>
                </c:pt>
                <c:pt idx="15">
                  <c:v>20576.6889999999</c:v>
                </c:pt>
                <c:pt idx="16">
                  <c:v>21125.331999999999</c:v>
                </c:pt>
                <c:pt idx="17">
                  <c:v>20472.434999999899</c:v>
                </c:pt>
                <c:pt idx="18">
                  <c:v>22549.978999999999</c:v>
                </c:pt>
                <c:pt idx="19">
                  <c:v>22301.364000000001</c:v>
                </c:pt>
                <c:pt idx="20">
                  <c:v>22346.25</c:v>
                </c:pt>
                <c:pt idx="21">
                  <c:v>22266.956999999999</c:v>
                </c:pt>
                <c:pt idx="22">
                  <c:v>22805.391999999902</c:v>
                </c:pt>
                <c:pt idx="23">
                  <c:v>22072.416000000001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468-439F-BAB5-6BF97778A81A}"/>
            </c:ext>
          </c:extLst>
        </c:ser>
        <c:ser>
          <c:idx val="2"/>
          <c:order val="2"/>
          <c:tx>
            <c:strRef>
              <c:f>Sales!$E$5</c:f>
              <c:strCache>
                <c:ptCount val="1"/>
                <c:pt idx="0">
                  <c:v>Voucher NRx</c:v>
                </c:pt>
              </c:strCache>
            </c:strRef>
          </c:tx>
          <c:spPr>
            <a:ln w="25400" cap="rnd">
              <a:solidFill>
                <a:schemeClr val="accent3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cat>
            <c:numRef>
              <c:f>Sales!$B$6:$B$29</c:f>
              <c:numCache>
                <c:formatCode>[$-409]mmm\-yy;@</c:formatCode>
                <c:ptCount val="24"/>
                <c:pt idx="0">
                  <c:v>44228</c:v>
                </c:pt>
                <c:pt idx="1">
                  <c:v>44256</c:v>
                </c:pt>
                <c:pt idx="2">
                  <c:v>44287</c:v>
                </c:pt>
                <c:pt idx="3">
                  <c:v>44317</c:v>
                </c:pt>
                <c:pt idx="4">
                  <c:v>44348</c:v>
                </c:pt>
                <c:pt idx="5">
                  <c:v>44378</c:v>
                </c:pt>
                <c:pt idx="6">
                  <c:v>44409</c:v>
                </c:pt>
                <c:pt idx="7">
                  <c:v>44440</c:v>
                </c:pt>
                <c:pt idx="8">
                  <c:v>44470</c:v>
                </c:pt>
                <c:pt idx="9">
                  <c:v>44501</c:v>
                </c:pt>
                <c:pt idx="10">
                  <c:v>44531</c:v>
                </c:pt>
                <c:pt idx="11">
                  <c:v>44562</c:v>
                </c:pt>
                <c:pt idx="12">
                  <c:v>44593</c:v>
                </c:pt>
                <c:pt idx="13">
                  <c:v>44621</c:v>
                </c:pt>
                <c:pt idx="14">
                  <c:v>44652</c:v>
                </c:pt>
                <c:pt idx="15">
                  <c:v>44682</c:v>
                </c:pt>
                <c:pt idx="16">
                  <c:v>44713</c:v>
                </c:pt>
                <c:pt idx="17">
                  <c:v>44743</c:v>
                </c:pt>
                <c:pt idx="18">
                  <c:v>44774</c:v>
                </c:pt>
                <c:pt idx="19">
                  <c:v>44805</c:v>
                </c:pt>
                <c:pt idx="20">
                  <c:v>44835</c:v>
                </c:pt>
                <c:pt idx="21">
                  <c:v>44866</c:v>
                </c:pt>
                <c:pt idx="22">
                  <c:v>44896</c:v>
                </c:pt>
                <c:pt idx="23">
                  <c:v>44927</c:v>
                </c:pt>
              </c:numCache>
            </c:numRef>
          </c:cat>
          <c:val>
            <c:numRef>
              <c:f>Sales!$E$6:$E$29</c:f>
              <c:numCache>
                <c:formatCode>#,##0</c:formatCode>
                <c:ptCount val="24"/>
                <c:pt idx="0">
                  <c:v>484.26799999999997</c:v>
                </c:pt>
                <c:pt idx="1">
                  <c:v>615.58199999999999</c:v>
                </c:pt>
                <c:pt idx="2">
                  <c:v>472.59300000000002</c:v>
                </c:pt>
                <c:pt idx="3">
                  <c:v>436.17500000000001</c:v>
                </c:pt>
                <c:pt idx="4">
                  <c:v>486.834</c:v>
                </c:pt>
                <c:pt idx="5">
                  <c:v>483.86500000000001</c:v>
                </c:pt>
                <c:pt idx="6">
                  <c:v>500.41800000000001</c:v>
                </c:pt>
                <c:pt idx="7">
                  <c:v>468.947</c:v>
                </c:pt>
                <c:pt idx="8">
                  <c:v>521.59199999999998</c:v>
                </c:pt>
                <c:pt idx="9">
                  <c:v>492.38</c:v>
                </c:pt>
                <c:pt idx="10">
                  <c:v>305.00799999999998</c:v>
                </c:pt>
                <c:pt idx="11">
                  <c:v>334.96199999999999</c:v>
                </c:pt>
                <c:pt idx="12">
                  <c:v>398.61799999999999</c:v>
                </c:pt>
                <c:pt idx="13">
                  <c:v>539.75699999999995</c:v>
                </c:pt>
                <c:pt idx="14">
                  <c:v>521.16300000000001</c:v>
                </c:pt>
                <c:pt idx="15">
                  <c:v>508.13799999999998</c:v>
                </c:pt>
                <c:pt idx="16">
                  <c:v>451.43299999999999</c:v>
                </c:pt>
                <c:pt idx="17">
                  <c:v>423.75200000000001</c:v>
                </c:pt>
                <c:pt idx="18">
                  <c:v>509.221</c:v>
                </c:pt>
                <c:pt idx="19">
                  <c:v>536.41399999999999</c:v>
                </c:pt>
                <c:pt idx="20">
                  <c:v>461.64400000000001</c:v>
                </c:pt>
                <c:pt idx="21">
                  <c:v>450.38299999999998</c:v>
                </c:pt>
                <c:pt idx="22">
                  <c:v>370.54399999999998</c:v>
                </c:pt>
                <c:pt idx="23">
                  <c:v>418.63499999999999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468-439F-BAB5-6BF97778A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554128"/>
        <c:axId val="468554544"/>
      </c:lineChart>
      <c:dateAx>
        <c:axId val="1779773792"/>
        <c:scaling>
          <c:orientation val="minMax"/>
        </c:scaling>
        <c:delete val="0"/>
        <c:axPos val="b"/>
        <c:numFmt formatCode="[$-409]mmm\-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cap="all" spc="120" normalizeH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9776704"/>
        <c:crosses val="autoZero"/>
        <c:auto val="1"/>
        <c:lblOffset val="100"/>
        <c:baseTimeUnit val="months"/>
      </c:dateAx>
      <c:valAx>
        <c:axId val="177977670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i="1">
                    <a:solidFill>
                      <a:schemeClr val="tx1"/>
                    </a:solidFill>
                  </a:rPr>
                  <a:t>#</a:t>
                </a:r>
                <a:r>
                  <a:rPr lang="en-US" b="1" i="1" baseline="0">
                    <a:solidFill>
                      <a:schemeClr val="tx1"/>
                    </a:solidFill>
                  </a:rPr>
                  <a:t> Activity</a:t>
                </a:r>
                <a:endParaRPr lang="en-US" b="1" i="1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2.5497522918452441E-2"/>
              <c:y val="0.4344630967641059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1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9773792"/>
        <c:crosses val="autoZero"/>
        <c:crossBetween val="between"/>
      </c:valAx>
      <c:valAx>
        <c:axId val="468554544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554128"/>
        <c:crosses val="max"/>
        <c:crossBetween val="between"/>
      </c:valAx>
      <c:dateAx>
        <c:axId val="468554128"/>
        <c:scaling>
          <c:orientation val="minMax"/>
        </c:scaling>
        <c:delete val="1"/>
        <c:axPos val="b"/>
        <c:numFmt formatCode="[$-409]mmm\-yy;@" sourceLinked="1"/>
        <c:majorTickMark val="out"/>
        <c:minorTickMark val="none"/>
        <c:tickLblPos val="nextTo"/>
        <c:crossAx val="468554544"/>
        <c:crosses val="autoZero"/>
        <c:auto val="1"/>
        <c:lblOffset val="100"/>
        <c:baseTimeUnit val="months"/>
      </c:dateAx>
      <c:spPr>
        <a:noFill/>
        <a:ln>
          <a:solidFill>
            <a:schemeClr val="bg1">
              <a:lumMod val="50000"/>
            </a:schemeClr>
          </a:solidFill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'Field Emails'!$B$2</c:f>
          <c:strCache>
            <c:ptCount val="1"/>
            <c:pt idx="0">
              <c:v>Field Emails</c:v>
            </c:pt>
          </c:strCache>
        </c:strRef>
      </c:tx>
      <c:layout>
        <c:manualLayout>
          <c:xMode val="edge"/>
          <c:yMode val="edge"/>
          <c:x val="0.4708196859767339"/>
          <c:y val="2.349979483938954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1" u="sng" strike="noStrike" kern="1200" cap="all" spc="120" normalizeH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8715751983433053E-2"/>
          <c:y val="0.19915228981419675"/>
          <c:w val="0.88697107281806864"/>
          <c:h val="0.67136910537094985"/>
        </c:manualLayout>
      </c:layout>
      <c:lineChart>
        <c:grouping val="standard"/>
        <c:varyColors val="0"/>
        <c:ser>
          <c:idx val="0"/>
          <c:order val="0"/>
          <c:tx>
            <c:strRef>
              <c:f>'Field Emails'!$C$6</c:f>
              <c:strCache>
                <c:ptCount val="1"/>
                <c:pt idx="0">
                  <c:v>HCP Field Emails Delivery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cat>
            <c:numRef>
              <c:f>'Field Emails'!$B$7:$B$30</c:f>
              <c:numCache>
                <c:formatCode>[$-409]mmm\-yy;@</c:formatCode>
                <c:ptCount val="24"/>
                <c:pt idx="0">
                  <c:v>44228</c:v>
                </c:pt>
                <c:pt idx="1">
                  <c:v>44256</c:v>
                </c:pt>
                <c:pt idx="2">
                  <c:v>44287</c:v>
                </c:pt>
                <c:pt idx="3">
                  <c:v>44317</c:v>
                </c:pt>
                <c:pt idx="4">
                  <c:v>44348</c:v>
                </c:pt>
                <c:pt idx="5">
                  <c:v>44378</c:v>
                </c:pt>
                <c:pt idx="6">
                  <c:v>44409</c:v>
                </c:pt>
                <c:pt idx="7">
                  <c:v>44440</c:v>
                </c:pt>
                <c:pt idx="8">
                  <c:v>44470</c:v>
                </c:pt>
                <c:pt idx="9">
                  <c:v>44501</c:v>
                </c:pt>
                <c:pt idx="10">
                  <c:v>44531</c:v>
                </c:pt>
                <c:pt idx="11">
                  <c:v>44562</c:v>
                </c:pt>
                <c:pt idx="12">
                  <c:v>44593</c:v>
                </c:pt>
                <c:pt idx="13">
                  <c:v>44621</c:v>
                </c:pt>
                <c:pt idx="14">
                  <c:v>44652</c:v>
                </c:pt>
                <c:pt idx="15">
                  <c:v>44682</c:v>
                </c:pt>
                <c:pt idx="16">
                  <c:v>44713</c:v>
                </c:pt>
                <c:pt idx="17">
                  <c:v>44743</c:v>
                </c:pt>
                <c:pt idx="18">
                  <c:v>44774</c:v>
                </c:pt>
                <c:pt idx="19">
                  <c:v>44805</c:v>
                </c:pt>
                <c:pt idx="20">
                  <c:v>44835</c:v>
                </c:pt>
                <c:pt idx="21">
                  <c:v>44866</c:v>
                </c:pt>
                <c:pt idx="22">
                  <c:v>44896</c:v>
                </c:pt>
                <c:pt idx="23">
                  <c:v>44927</c:v>
                </c:pt>
              </c:numCache>
            </c:numRef>
          </c:cat>
          <c:val>
            <c:numRef>
              <c:f>'Field Emails'!$C$7:$C$30</c:f>
              <c:numCache>
                <c:formatCode>#,##0</c:formatCode>
                <c:ptCount val="24"/>
                <c:pt idx="0">
                  <c:v>6984</c:v>
                </c:pt>
                <c:pt idx="1">
                  <c:v>12576</c:v>
                </c:pt>
                <c:pt idx="2">
                  <c:v>9985</c:v>
                </c:pt>
                <c:pt idx="3">
                  <c:v>10829</c:v>
                </c:pt>
                <c:pt idx="4">
                  <c:v>6752</c:v>
                </c:pt>
                <c:pt idx="5">
                  <c:v>8252</c:v>
                </c:pt>
                <c:pt idx="6">
                  <c:v>8264</c:v>
                </c:pt>
                <c:pt idx="7">
                  <c:v>6097</c:v>
                </c:pt>
                <c:pt idx="8">
                  <c:v>6351</c:v>
                </c:pt>
                <c:pt idx="9">
                  <c:v>5522</c:v>
                </c:pt>
                <c:pt idx="10">
                  <c:v>2939</c:v>
                </c:pt>
                <c:pt idx="11">
                  <c:v>6083</c:v>
                </c:pt>
                <c:pt idx="12">
                  <c:v>7101</c:v>
                </c:pt>
                <c:pt idx="13">
                  <c:v>11247</c:v>
                </c:pt>
                <c:pt idx="14">
                  <c:v>12919</c:v>
                </c:pt>
                <c:pt idx="15">
                  <c:v>8293</c:v>
                </c:pt>
                <c:pt idx="16">
                  <c:v>6681</c:v>
                </c:pt>
                <c:pt idx="17">
                  <c:v>7149</c:v>
                </c:pt>
                <c:pt idx="18">
                  <c:v>7506</c:v>
                </c:pt>
                <c:pt idx="19">
                  <c:v>5936</c:v>
                </c:pt>
                <c:pt idx="20">
                  <c:v>3729</c:v>
                </c:pt>
                <c:pt idx="21">
                  <c:v>5204</c:v>
                </c:pt>
                <c:pt idx="22">
                  <c:v>3529</c:v>
                </c:pt>
                <c:pt idx="23">
                  <c:v>4132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9B-4928-B0A0-E729EF0D87C0}"/>
            </c:ext>
          </c:extLst>
        </c:ser>
        <c:ser>
          <c:idx val="1"/>
          <c:order val="1"/>
          <c:tx>
            <c:strRef>
              <c:f>'Field Emails'!$D$6</c:f>
              <c:strCache>
                <c:ptCount val="1"/>
                <c:pt idx="0">
                  <c:v>HCP Field Emails Engagement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cat>
            <c:numRef>
              <c:f>'Field Emails'!$B$7:$B$30</c:f>
              <c:numCache>
                <c:formatCode>[$-409]mmm\-yy;@</c:formatCode>
                <c:ptCount val="24"/>
                <c:pt idx="0">
                  <c:v>44228</c:v>
                </c:pt>
                <c:pt idx="1">
                  <c:v>44256</c:v>
                </c:pt>
                <c:pt idx="2">
                  <c:v>44287</c:v>
                </c:pt>
                <c:pt idx="3">
                  <c:v>44317</c:v>
                </c:pt>
                <c:pt idx="4">
                  <c:v>44348</c:v>
                </c:pt>
                <c:pt idx="5">
                  <c:v>44378</c:v>
                </c:pt>
                <c:pt idx="6">
                  <c:v>44409</c:v>
                </c:pt>
                <c:pt idx="7">
                  <c:v>44440</c:v>
                </c:pt>
                <c:pt idx="8">
                  <c:v>44470</c:v>
                </c:pt>
                <c:pt idx="9">
                  <c:v>44501</c:v>
                </c:pt>
                <c:pt idx="10">
                  <c:v>44531</c:v>
                </c:pt>
                <c:pt idx="11">
                  <c:v>44562</c:v>
                </c:pt>
                <c:pt idx="12">
                  <c:v>44593</c:v>
                </c:pt>
                <c:pt idx="13">
                  <c:v>44621</c:v>
                </c:pt>
                <c:pt idx="14">
                  <c:v>44652</c:v>
                </c:pt>
                <c:pt idx="15">
                  <c:v>44682</c:v>
                </c:pt>
                <c:pt idx="16">
                  <c:v>44713</c:v>
                </c:pt>
                <c:pt idx="17">
                  <c:v>44743</c:v>
                </c:pt>
                <c:pt idx="18">
                  <c:v>44774</c:v>
                </c:pt>
                <c:pt idx="19">
                  <c:v>44805</c:v>
                </c:pt>
                <c:pt idx="20">
                  <c:v>44835</c:v>
                </c:pt>
                <c:pt idx="21">
                  <c:v>44866</c:v>
                </c:pt>
                <c:pt idx="22">
                  <c:v>44896</c:v>
                </c:pt>
                <c:pt idx="23">
                  <c:v>44927</c:v>
                </c:pt>
              </c:numCache>
            </c:numRef>
          </c:cat>
          <c:val>
            <c:numRef>
              <c:f>'Field Emails'!$D$7:$D$30</c:f>
              <c:numCache>
                <c:formatCode>#,##0</c:formatCode>
                <c:ptCount val="24"/>
                <c:pt idx="0">
                  <c:v>2125</c:v>
                </c:pt>
                <c:pt idx="1">
                  <c:v>2929</c:v>
                </c:pt>
                <c:pt idx="2">
                  <c:v>2017</c:v>
                </c:pt>
                <c:pt idx="3">
                  <c:v>2647</c:v>
                </c:pt>
                <c:pt idx="4">
                  <c:v>1747</c:v>
                </c:pt>
                <c:pt idx="5">
                  <c:v>2108</c:v>
                </c:pt>
                <c:pt idx="6">
                  <c:v>1990</c:v>
                </c:pt>
                <c:pt idx="7">
                  <c:v>1452</c:v>
                </c:pt>
                <c:pt idx="8">
                  <c:v>1503</c:v>
                </c:pt>
                <c:pt idx="9">
                  <c:v>1335</c:v>
                </c:pt>
                <c:pt idx="10">
                  <c:v>901</c:v>
                </c:pt>
                <c:pt idx="11">
                  <c:v>1820</c:v>
                </c:pt>
                <c:pt idx="12">
                  <c:v>2232</c:v>
                </c:pt>
                <c:pt idx="13">
                  <c:v>3605</c:v>
                </c:pt>
                <c:pt idx="14">
                  <c:v>4552</c:v>
                </c:pt>
                <c:pt idx="15">
                  <c:v>2969</c:v>
                </c:pt>
                <c:pt idx="16">
                  <c:v>2180</c:v>
                </c:pt>
                <c:pt idx="17">
                  <c:v>2398</c:v>
                </c:pt>
                <c:pt idx="18">
                  <c:v>2604</c:v>
                </c:pt>
                <c:pt idx="19">
                  <c:v>2095</c:v>
                </c:pt>
                <c:pt idx="20">
                  <c:v>1297</c:v>
                </c:pt>
                <c:pt idx="21">
                  <c:v>1888</c:v>
                </c:pt>
                <c:pt idx="22">
                  <c:v>1406</c:v>
                </c:pt>
                <c:pt idx="23">
                  <c:v>1554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9B-4928-B0A0-E729EF0D87C0}"/>
            </c:ext>
          </c:extLst>
        </c:ser>
        <c:ser>
          <c:idx val="2"/>
          <c:order val="2"/>
          <c:tx>
            <c:strRef>
              <c:f>'Field Emails'!$E$6</c:f>
              <c:strCache>
                <c:ptCount val="1"/>
                <c:pt idx="0">
                  <c:v>HCP Field Emails Click</c:v>
                </c:pt>
              </c:strCache>
            </c:strRef>
          </c:tx>
          <c:spPr>
            <a:ln w="25400" cap="rnd">
              <a:solidFill>
                <a:schemeClr val="accent3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cat>
            <c:numRef>
              <c:f>'Field Emails'!$B$7:$B$30</c:f>
              <c:numCache>
                <c:formatCode>[$-409]mmm\-yy;@</c:formatCode>
                <c:ptCount val="24"/>
                <c:pt idx="0">
                  <c:v>44228</c:v>
                </c:pt>
                <c:pt idx="1">
                  <c:v>44256</c:v>
                </c:pt>
                <c:pt idx="2">
                  <c:v>44287</c:v>
                </c:pt>
                <c:pt idx="3">
                  <c:v>44317</c:v>
                </c:pt>
                <c:pt idx="4">
                  <c:v>44348</c:v>
                </c:pt>
                <c:pt idx="5">
                  <c:v>44378</c:v>
                </c:pt>
                <c:pt idx="6">
                  <c:v>44409</c:v>
                </c:pt>
                <c:pt idx="7">
                  <c:v>44440</c:v>
                </c:pt>
                <c:pt idx="8">
                  <c:v>44470</c:v>
                </c:pt>
                <c:pt idx="9">
                  <c:v>44501</c:v>
                </c:pt>
                <c:pt idx="10">
                  <c:v>44531</c:v>
                </c:pt>
                <c:pt idx="11">
                  <c:v>44562</c:v>
                </c:pt>
                <c:pt idx="12">
                  <c:v>44593</c:v>
                </c:pt>
                <c:pt idx="13">
                  <c:v>44621</c:v>
                </c:pt>
                <c:pt idx="14">
                  <c:v>44652</c:v>
                </c:pt>
                <c:pt idx="15">
                  <c:v>44682</c:v>
                </c:pt>
                <c:pt idx="16">
                  <c:v>44713</c:v>
                </c:pt>
                <c:pt idx="17">
                  <c:v>44743</c:v>
                </c:pt>
                <c:pt idx="18">
                  <c:v>44774</c:v>
                </c:pt>
                <c:pt idx="19">
                  <c:v>44805</c:v>
                </c:pt>
                <c:pt idx="20">
                  <c:v>44835</c:v>
                </c:pt>
                <c:pt idx="21">
                  <c:v>44866</c:v>
                </c:pt>
                <c:pt idx="22">
                  <c:v>44896</c:v>
                </c:pt>
                <c:pt idx="23">
                  <c:v>44927</c:v>
                </c:pt>
              </c:numCache>
            </c:numRef>
          </c:cat>
          <c:val>
            <c:numRef>
              <c:f>'Field Emails'!$E$7:$E$30</c:f>
              <c:numCache>
                <c:formatCode>#,##0</c:formatCode>
                <c:ptCount val="24"/>
                <c:pt idx="0">
                  <c:v>42</c:v>
                </c:pt>
                <c:pt idx="1">
                  <c:v>171</c:v>
                </c:pt>
                <c:pt idx="2">
                  <c:v>65</c:v>
                </c:pt>
                <c:pt idx="3">
                  <c:v>57</c:v>
                </c:pt>
                <c:pt idx="4">
                  <c:v>35</c:v>
                </c:pt>
                <c:pt idx="5">
                  <c:v>60</c:v>
                </c:pt>
                <c:pt idx="6">
                  <c:v>63</c:v>
                </c:pt>
                <c:pt idx="7">
                  <c:v>40</c:v>
                </c:pt>
                <c:pt idx="8">
                  <c:v>33</c:v>
                </c:pt>
                <c:pt idx="9">
                  <c:v>24</c:v>
                </c:pt>
                <c:pt idx="10">
                  <c:v>21</c:v>
                </c:pt>
                <c:pt idx="11">
                  <c:v>32</c:v>
                </c:pt>
                <c:pt idx="12">
                  <c:v>39</c:v>
                </c:pt>
                <c:pt idx="13">
                  <c:v>73</c:v>
                </c:pt>
                <c:pt idx="14">
                  <c:v>128</c:v>
                </c:pt>
                <c:pt idx="15">
                  <c:v>97</c:v>
                </c:pt>
                <c:pt idx="16">
                  <c:v>38</c:v>
                </c:pt>
                <c:pt idx="17">
                  <c:v>42</c:v>
                </c:pt>
                <c:pt idx="18">
                  <c:v>56</c:v>
                </c:pt>
                <c:pt idx="19">
                  <c:v>28</c:v>
                </c:pt>
                <c:pt idx="20">
                  <c:v>21</c:v>
                </c:pt>
                <c:pt idx="21">
                  <c:v>40</c:v>
                </c:pt>
                <c:pt idx="22">
                  <c:v>11</c:v>
                </c:pt>
                <c:pt idx="23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99B-4928-B0A0-E729EF0D87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9773792"/>
        <c:axId val="1779776704"/>
      </c:lineChart>
      <c:dateAx>
        <c:axId val="1779773792"/>
        <c:scaling>
          <c:orientation val="minMax"/>
        </c:scaling>
        <c:delete val="0"/>
        <c:axPos val="b"/>
        <c:numFmt formatCode="[$-409]mmm\-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cap="all" spc="120" normalizeH="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9776704"/>
        <c:crosses val="autoZero"/>
        <c:auto val="1"/>
        <c:lblOffset val="100"/>
        <c:baseTimeUnit val="months"/>
      </c:dateAx>
      <c:valAx>
        <c:axId val="177977670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i="1">
                    <a:solidFill>
                      <a:schemeClr val="tx1"/>
                    </a:solidFill>
                  </a:rPr>
                  <a:t># Activity</a:t>
                </a:r>
              </a:p>
            </c:rich>
          </c:tx>
          <c:layout>
            <c:manualLayout>
              <c:xMode val="edge"/>
              <c:yMode val="edge"/>
              <c:x val="2.3037393329303494E-2"/>
              <c:y val="0.4497226238710488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1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9773792"/>
        <c:crosses val="autoZero"/>
        <c:crossBetween val="between"/>
      </c:valAx>
      <c:spPr>
        <a:noFill/>
        <a:ln>
          <a:solidFill>
            <a:schemeClr val="bg1">
              <a:lumMod val="50000"/>
            </a:schemeClr>
          </a:solidFill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SFMC!$B$2</c:f>
          <c:strCache>
            <c:ptCount val="1"/>
            <c:pt idx="0">
              <c:v>SFMC</c:v>
            </c:pt>
          </c:strCache>
        </c:strRef>
      </c:tx>
      <c:layout>
        <c:manualLayout>
          <c:xMode val="edge"/>
          <c:yMode val="edge"/>
          <c:x val="0.4708196859767339"/>
          <c:y val="2.349979483938954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1" u="sng" strike="noStrike" kern="1200" cap="all" spc="120" normalizeH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8715751983433053E-2"/>
          <c:y val="0.19915228981419675"/>
          <c:w val="0.88697107281806864"/>
          <c:h val="0.67136910537094985"/>
        </c:manualLayout>
      </c:layout>
      <c:lineChart>
        <c:grouping val="standard"/>
        <c:varyColors val="0"/>
        <c:ser>
          <c:idx val="0"/>
          <c:order val="0"/>
          <c:tx>
            <c:strRef>
              <c:f>SFMC!$C$6</c:f>
              <c:strCache>
                <c:ptCount val="1"/>
                <c:pt idx="0">
                  <c:v>HCP SFMC Delivery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cat>
            <c:numRef>
              <c:f>SFMC!$B$7:$B$30</c:f>
              <c:numCache>
                <c:formatCode>[$-409]mmm\-yy;@</c:formatCode>
                <c:ptCount val="24"/>
                <c:pt idx="0">
                  <c:v>44228</c:v>
                </c:pt>
                <c:pt idx="1">
                  <c:v>44256</c:v>
                </c:pt>
                <c:pt idx="2">
                  <c:v>44287</c:v>
                </c:pt>
                <c:pt idx="3">
                  <c:v>44317</c:v>
                </c:pt>
                <c:pt idx="4">
                  <c:v>44348</c:v>
                </c:pt>
                <c:pt idx="5">
                  <c:v>44378</c:v>
                </c:pt>
                <c:pt idx="6">
                  <c:v>44409</c:v>
                </c:pt>
                <c:pt idx="7">
                  <c:v>44440</c:v>
                </c:pt>
                <c:pt idx="8">
                  <c:v>44470</c:v>
                </c:pt>
                <c:pt idx="9">
                  <c:v>44501</c:v>
                </c:pt>
                <c:pt idx="10">
                  <c:v>44531</c:v>
                </c:pt>
                <c:pt idx="11">
                  <c:v>44562</c:v>
                </c:pt>
                <c:pt idx="12">
                  <c:v>44593</c:v>
                </c:pt>
                <c:pt idx="13">
                  <c:v>44621</c:v>
                </c:pt>
                <c:pt idx="14">
                  <c:v>44652</c:v>
                </c:pt>
                <c:pt idx="15">
                  <c:v>44682</c:v>
                </c:pt>
                <c:pt idx="16">
                  <c:v>44713</c:v>
                </c:pt>
                <c:pt idx="17">
                  <c:v>44743</c:v>
                </c:pt>
                <c:pt idx="18">
                  <c:v>44774</c:v>
                </c:pt>
                <c:pt idx="19">
                  <c:v>44805</c:v>
                </c:pt>
                <c:pt idx="20">
                  <c:v>44835</c:v>
                </c:pt>
                <c:pt idx="21">
                  <c:v>44866</c:v>
                </c:pt>
                <c:pt idx="22">
                  <c:v>44896</c:v>
                </c:pt>
                <c:pt idx="23">
                  <c:v>44927</c:v>
                </c:pt>
              </c:numCache>
            </c:numRef>
          </c:cat>
          <c:val>
            <c:numRef>
              <c:f>SFMC!$C$7:$C$30</c:f>
              <c:numCache>
                <c:formatCode>#,##0</c:formatCode>
                <c:ptCount val="24"/>
                <c:pt idx="0">
                  <c:v>35896</c:v>
                </c:pt>
                <c:pt idx="1">
                  <c:v>178671</c:v>
                </c:pt>
                <c:pt idx="2">
                  <c:v>393872</c:v>
                </c:pt>
                <c:pt idx="3">
                  <c:v>131932</c:v>
                </c:pt>
                <c:pt idx="4">
                  <c:v>72565</c:v>
                </c:pt>
                <c:pt idx="5">
                  <c:v>113537</c:v>
                </c:pt>
                <c:pt idx="6">
                  <c:v>368140</c:v>
                </c:pt>
                <c:pt idx="7">
                  <c:v>211562</c:v>
                </c:pt>
                <c:pt idx="8">
                  <c:v>82236</c:v>
                </c:pt>
                <c:pt idx="9">
                  <c:v>54278</c:v>
                </c:pt>
                <c:pt idx="10">
                  <c:v>50089</c:v>
                </c:pt>
                <c:pt idx="11">
                  <c:v>102708</c:v>
                </c:pt>
                <c:pt idx="12">
                  <c:v>119753</c:v>
                </c:pt>
                <c:pt idx="13">
                  <c:v>57409</c:v>
                </c:pt>
                <c:pt idx="14">
                  <c:v>210758</c:v>
                </c:pt>
                <c:pt idx="15">
                  <c:v>159626</c:v>
                </c:pt>
                <c:pt idx="16">
                  <c:v>58867</c:v>
                </c:pt>
                <c:pt idx="17">
                  <c:v>84739</c:v>
                </c:pt>
                <c:pt idx="18">
                  <c:v>144198</c:v>
                </c:pt>
                <c:pt idx="19">
                  <c:v>86313</c:v>
                </c:pt>
                <c:pt idx="20">
                  <c:v>123173</c:v>
                </c:pt>
                <c:pt idx="21">
                  <c:v>5540</c:v>
                </c:pt>
                <c:pt idx="22">
                  <c:v>44712</c:v>
                </c:pt>
                <c:pt idx="23">
                  <c:v>17717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A9-4968-BCEF-F9CD6D6F1A6B}"/>
            </c:ext>
          </c:extLst>
        </c:ser>
        <c:ser>
          <c:idx val="1"/>
          <c:order val="1"/>
          <c:tx>
            <c:strRef>
              <c:f>SFMC!$D$6</c:f>
              <c:strCache>
                <c:ptCount val="1"/>
                <c:pt idx="0">
                  <c:v>HCP SFMC Engagement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cat>
            <c:numRef>
              <c:f>SFMC!$B$7:$B$30</c:f>
              <c:numCache>
                <c:formatCode>[$-409]mmm\-yy;@</c:formatCode>
                <c:ptCount val="24"/>
                <c:pt idx="0">
                  <c:v>44228</c:v>
                </c:pt>
                <c:pt idx="1">
                  <c:v>44256</c:v>
                </c:pt>
                <c:pt idx="2">
                  <c:v>44287</c:v>
                </c:pt>
                <c:pt idx="3">
                  <c:v>44317</c:v>
                </c:pt>
                <c:pt idx="4">
                  <c:v>44348</c:v>
                </c:pt>
                <c:pt idx="5">
                  <c:v>44378</c:v>
                </c:pt>
                <c:pt idx="6">
                  <c:v>44409</c:v>
                </c:pt>
                <c:pt idx="7">
                  <c:v>44440</c:v>
                </c:pt>
                <c:pt idx="8">
                  <c:v>44470</c:v>
                </c:pt>
                <c:pt idx="9">
                  <c:v>44501</c:v>
                </c:pt>
                <c:pt idx="10">
                  <c:v>44531</c:v>
                </c:pt>
                <c:pt idx="11">
                  <c:v>44562</c:v>
                </c:pt>
                <c:pt idx="12">
                  <c:v>44593</c:v>
                </c:pt>
                <c:pt idx="13">
                  <c:v>44621</c:v>
                </c:pt>
                <c:pt idx="14">
                  <c:v>44652</c:v>
                </c:pt>
                <c:pt idx="15">
                  <c:v>44682</c:v>
                </c:pt>
                <c:pt idx="16">
                  <c:v>44713</c:v>
                </c:pt>
                <c:pt idx="17">
                  <c:v>44743</c:v>
                </c:pt>
                <c:pt idx="18">
                  <c:v>44774</c:v>
                </c:pt>
                <c:pt idx="19">
                  <c:v>44805</c:v>
                </c:pt>
                <c:pt idx="20">
                  <c:v>44835</c:v>
                </c:pt>
                <c:pt idx="21">
                  <c:v>44866</c:v>
                </c:pt>
                <c:pt idx="22">
                  <c:v>44896</c:v>
                </c:pt>
                <c:pt idx="23">
                  <c:v>44927</c:v>
                </c:pt>
              </c:numCache>
            </c:numRef>
          </c:cat>
          <c:val>
            <c:numRef>
              <c:f>SFMC!$D$7:$D$30</c:f>
              <c:numCache>
                <c:formatCode>#,##0</c:formatCode>
                <c:ptCount val="24"/>
                <c:pt idx="0">
                  <c:v>2418</c:v>
                </c:pt>
                <c:pt idx="1">
                  <c:v>8680</c:v>
                </c:pt>
                <c:pt idx="2">
                  <c:v>20880</c:v>
                </c:pt>
                <c:pt idx="3">
                  <c:v>12289</c:v>
                </c:pt>
                <c:pt idx="4">
                  <c:v>9064</c:v>
                </c:pt>
                <c:pt idx="5">
                  <c:v>4693</c:v>
                </c:pt>
                <c:pt idx="6">
                  <c:v>16827</c:v>
                </c:pt>
                <c:pt idx="7">
                  <c:v>13741</c:v>
                </c:pt>
                <c:pt idx="8">
                  <c:v>8737</c:v>
                </c:pt>
                <c:pt idx="9">
                  <c:v>8684</c:v>
                </c:pt>
                <c:pt idx="10">
                  <c:v>9360</c:v>
                </c:pt>
                <c:pt idx="11">
                  <c:v>11559</c:v>
                </c:pt>
                <c:pt idx="12">
                  <c:v>15454</c:v>
                </c:pt>
                <c:pt idx="13">
                  <c:v>8649</c:v>
                </c:pt>
                <c:pt idx="14">
                  <c:v>40315</c:v>
                </c:pt>
                <c:pt idx="15">
                  <c:v>29387</c:v>
                </c:pt>
                <c:pt idx="16">
                  <c:v>14021</c:v>
                </c:pt>
                <c:pt idx="17">
                  <c:v>16698</c:v>
                </c:pt>
                <c:pt idx="18">
                  <c:v>27791</c:v>
                </c:pt>
                <c:pt idx="19">
                  <c:v>17202</c:v>
                </c:pt>
                <c:pt idx="20">
                  <c:v>23285</c:v>
                </c:pt>
                <c:pt idx="21">
                  <c:v>4171</c:v>
                </c:pt>
                <c:pt idx="22">
                  <c:v>5596</c:v>
                </c:pt>
                <c:pt idx="23">
                  <c:v>17717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8A9-4968-BCEF-F9CD6D6F1A6B}"/>
            </c:ext>
          </c:extLst>
        </c:ser>
        <c:ser>
          <c:idx val="2"/>
          <c:order val="2"/>
          <c:tx>
            <c:strRef>
              <c:f>SFMC!$E$6</c:f>
              <c:strCache>
                <c:ptCount val="1"/>
                <c:pt idx="0">
                  <c:v>HCP SFMC Click</c:v>
                </c:pt>
              </c:strCache>
            </c:strRef>
          </c:tx>
          <c:spPr>
            <a:ln w="25400" cap="rnd">
              <a:solidFill>
                <a:schemeClr val="accent3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cat>
            <c:numRef>
              <c:f>SFMC!$B$7:$B$30</c:f>
              <c:numCache>
                <c:formatCode>[$-409]mmm\-yy;@</c:formatCode>
                <c:ptCount val="24"/>
                <c:pt idx="0">
                  <c:v>44228</c:v>
                </c:pt>
                <c:pt idx="1">
                  <c:v>44256</c:v>
                </c:pt>
                <c:pt idx="2">
                  <c:v>44287</c:v>
                </c:pt>
                <c:pt idx="3">
                  <c:v>44317</c:v>
                </c:pt>
                <c:pt idx="4">
                  <c:v>44348</c:v>
                </c:pt>
                <c:pt idx="5">
                  <c:v>44378</c:v>
                </c:pt>
                <c:pt idx="6">
                  <c:v>44409</c:v>
                </c:pt>
                <c:pt idx="7">
                  <c:v>44440</c:v>
                </c:pt>
                <c:pt idx="8">
                  <c:v>44470</c:v>
                </c:pt>
                <c:pt idx="9">
                  <c:v>44501</c:v>
                </c:pt>
                <c:pt idx="10">
                  <c:v>44531</c:v>
                </c:pt>
                <c:pt idx="11">
                  <c:v>44562</c:v>
                </c:pt>
                <c:pt idx="12">
                  <c:v>44593</c:v>
                </c:pt>
                <c:pt idx="13">
                  <c:v>44621</c:v>
                </c:pt>
                <c:pt idx="14">
                  <c:v>44652</c:v>
                </c:pt>
                <c:pt idx="15">
                  <c:v>44682</c:v>
                </c:pt>
                <c:pt idx="16">
                  <c:v>44713</c:v>
                </c:pt>
                <c:pt idx="17">
                  <c:v>44743</c:v>
                </c:pt>
                <c:pt idx="18">
                  <c:v>44774</c:v>
                </c:pt>
                <c:pt idx="19">
                  <c:v>44805</c:v>
                </c:pt>
                <c:pt idx="20">
                  <c:v>44835</c:v>
                </c:pt>
                <c:pt idx="21">
                  <c:v>44866</c:v>
                </c:pt>
                <c:pt idx="22">
                  <c:v>44896</c:v>
                </c:pt>
                <c:pt idx="23">
                  <c:v>44927</c:v>
                </c:pt>
              </c:numCache>
            </c:numRef>
          </c:cat>
          <c:val>
            <c:numRef>
              <c:f>SFMC!$E$7:$E$30</c:f>
              <c:numCache>
                <c:formatCode>#,##0</c:formatCode>
                <c:ptCount val="24"/>
                <c:pt idx="0">
                  <c:v>545</c:v>
                </c:pt>
                <c:pt idx="1">
                  <c:v>2086</c:v>
                </c:pt>
                <c:pt idx="2">
                  <c:v>5133</c:v>
                </c:pt>
                <c:pt idx="3">
                  <c:v>2456</c:v>
                </c:pt>
                <c:pt idx="4">
                  <c:v>2457</c:v>
                </c:pt>
                <c:pt idx="5">
                  <c:v>1310</c:v>
                </c:pt>
                <c:pt idx="6">
                  <c:v>3548</c:v>
                </c:pt>
                <c:pt idx="7">
                  <c:v>2728</c:v>
                </c:pt>
                <c:pt idx="8">
                  <c:v>1744</c:v>
                </c:pt>
                <c:pt idx="9">
                  <c:v>1377</c:v>
                </c:pt>
                <c:pt idx="10">
                  <c:v>1200</c:v>
                </c:pt>
                <c:pt idx="11">
                  <c:v>1252</c:v>
                </c:pt>
                <c:pt idx="12">
                  <c:v>1338</c:v>
                </c:pt>
                <c:pt idx="13">
                  <c:v>654</c:v>
                </c:pt>
                <c:pt idx="14">
                  <c:v>3277</c:v>
                </c:pt>
                <c:pt idx="15">
                  <c:v>2754</c:v>
                </c:pt>
                <c:pt idx="16">
                  <c:v>1152</c:v>
                </c:pt>
                <c:pt idx="17">
                  <c:v>1597</c:v>
                </c:pt>
                <c:pt idx="18">
                  <c:v>2510</c:v>
                </c:pt>
                <c:pt idx="19">
                  <c:v>1591</c:v>
                </c:pt>
                <c:pt idx="20">
                  <c:v>2262</c:v>
                </c:pt>
                <c:pt idx="21">
                  <c:v>277</c:v>
                </c:pt>
                <c:pt idx="22">
                  <c:v>1055</c:v>
                </c:pt>
                <c:pt idx="23">
                  <c:v>1130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8A9-4968-BCEF-F9CD6D6F1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9773792"/>
        <c:axId val="1779776704"/>
      </c:lineChart>
      <c:dateAx>
        <c:axId val="1779773792"/>
        <c:scaling>
          <c:orientation val="minMax"/>
        </c:scaling>
        <c:delete val="0"/>
        <c:axPos val="b"/>
        <c:numFmt formatCode="[$-409]mmm\-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cap="all" spc="120" normalizeH="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9776704"/>
        <c:crosses val="autoZero"/>
        <c:auto val="1"/>
        <c:lblOffset val="100"/>
        <c:baseTimeUnit val="months"/>
      </c:dateAx>
      <c:valAx>
        <c:axId val="177977670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i="1">
                    <a:solidFill>
                      <a:schemeClr val="tx1"/>
                    </a:solidFill>
                  </a:rPr>
                  <a:t># Activity</a:t>
                </a:r>
              </a:p>
            </c:rich>
          </c:tx>
          <c:layout>
            <c:manualLayout>
              <c:xMode val="edge"/>
              <c:yMode val="edge"/>
              <c:x val="2.3037393329303494E-2"/>
              <c:y val="0.4497226238710488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1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9773792"/>
        <c:crosses val="autoZero"/>
        <c:crossBetween val="between"/>
      </c:valAx>
      <c:spPr>
        <a:noFill/>
        <a:ln>
          <a:solidFill>
            <a:schemeClr val="bg1">
              <a:lumMod val="50000"/>
            </a:schemeClr>
          </a:solidFill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Medscape!$B$2</c:f>
          <c:strCache>
            <c:ptCount val="1"/>
            <c:pt idx="0">
              <c:v>Medscape</c:v>
            </c:pt>
          </c:strCache>
        </c:strRef>
      </c:tx>
      <c:layout>
        <c:manualLayout>
          <c:xMode val="edge"/>
          <c:yMode val="edge"/>
          <c:x val="0.4708196859767339"/>
          <c:y val="2.349979483938954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1" u="sng" strike="noStrike" kern="1200" cap="all" spc="120" normalizeH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8715751983433053E-2"/>
          <c:y val="0.19915228981419675"/>
          <c:w val="0.88697107281806864"/>
          <c:h val="0.67136910537094985"/>
        </c:manualLayout>
      </c:layout>
      <c:lineChart>
        <c:grouping val="standard"/>
        <c:varyColors val="0"/>
        <c:ser>
          <c:idx val="0"/>
          <c:order val="0"/>
          <c:tx>
            <c:strRef>
              <c:f>Medscape!$C$6</c:f>
              <c:strCache>
                <c:ptCount val="1"/>
                <c:pt idx="0">
                  <c:v>HCP Medscape Delivery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cat>
            <c:numRef>
              <c:f>Medscape!$B$7:$B$30</c:f>
              <c:numCache>
                <c:formatCode>[$-409]mmm\-yy;@</c:formatCode>
                <c:ptCount val="24"/>
                <c:pt idx="0">
                  <c:v>44228</c:v>
                </c:pt>
                <c:pt idx="1">
                  <c:v>44256</c:v>
                </c:pt>
                <c:pt idx="2">
                  <c:v>44287</c:v>
                </c:pt>
                <c:pt idx="3">
                  <c:v>44317</c:v>
                </c:pt>
                <c:pt idx="4">
                  <c:v>44348</c:v>
                </c:pt>
                <c:pt idx="5">
                  <c:v>44378</c:v>
                </c:pt>
                <c:pt idx="6">
                  <c:v>44409</c:v>
                </c:pt>
                <c:pt idx="7">
                  <c:v>44440</c:v>
                </c:pt>
                <c:pt idx="8">
                  <c:v>44470</c:v>
                </c:pt>
                <c:pt idx="9">
                  <c:v>44501</c:v>
                </c:pt>
                <c:pt idx="10">
                  <c:v>44531</c:v>
                </c:pt>
                <c:pt idx="11">
                  <c:v>44562</c:v>
                </c:pt>
                <c:pt idx="12">
                  <c:v>44593</c:v>
                </c:pt>
                <c:pt idx="13">
                  <c:v>44621</c:v>
                </c:pt>
                <c:pt idx="14">
                  <c:v>44652</c:v>
                </c:pt>
                <c:pt idx="15">
                  <c:v>44682</c:v>
                </c:pt>
                <c:pt idx="16">
                  <c:v>44713</c:v>
                </c:pt>
                <c:pt idx="17">
                  <c:v>44743</c:v>
                </c:pt>
                <c:pt idx="18">
                  <c:v>44774</c:v>
                </c:pt>
                <c:pt idx="19">
                  <c:v>44805</c:v>
                </c:pt>
                <c:pt idx="20">
                  <c:v>44835</c:v>
                </c:pt>
                <c:pt idx="21">
                  <c:v>44866</c:v>
                </c:pt>
                <c:pt idx="22">
                  <c:v>44896</c:v>
                </c:pt>
                <c:pt idx="23">
                  <c:v>44927</c:v>
                </c:pt>
              </c:numCache>
            </c:numRef>
          </c:cat>
          <c:val>
            <c:numRef>
              <c:f>Medscape!$C$7:$C$30</c:f>
              <c:numCache>
                <c:formatCode>#,##0</c:formatCode>
                <c:ptCount val="24"/>
                <c:pt idx="0">
                  <c:v>0</c:v>
                </c:pt>
                <c:pt idx="1">
                  <c:v>2342</c:v>
                </c:pt>
                <c:pt idx="2">
                  <c:v>3910</c:v>
                </c:pt>
                <c:pt idx="3">
                  <c:v>7126</c:v>
                </c:pt>
                <c:pt idx="4">
                  <c:v>3765</c:v>
                </c:pt>
                <c:pt idx="5">
                  <c:v>4197</c:v>
                </c:pt>
                <c:pt idx="6">
                  <c:v>6441</c:v>
                </c:pt>
                <c:pt idx="7">
                  <c:v>4906</c:v>
                </c:pt>
                <c:pt idx="8">
                  <c:v>1527</c:v>
                </c:pt>
                <c:pt idx="9">
                  <c:v>2123</c:v>
                </c:pt>
                <c:pt idx="10">
                  <c:v>2915</c:v>
                </c:pt>
                <c:pt idx="11">
                  <c:v>3126</c:v>
                </c:pt>
                <c:pt idx="12">
                  <c:v>34</c:v>
                </c:pt>
                <c:pt idx="13">
                  <c:v>0</c:v>
                </c:pt>
                <c:pt idx="14">
                  <c:v>2959</c:v>
                </c:pt>
                <c:pt idx="15">
                  <c:v>527</c:v>
                </c:pt>
                <c:pt idx="16">
                  <c:v>143</c:v>
                </c:pt>
                <c:pt idx="17">
                  <c:v>2294</c:v>
                </c:pt>
                <c:pt idx="18">
                  <c:v>603</c:v>
                </c:pt>
                <c:pt idx="19">
                  <c:v>1580</c:v>
                </c:pt>
                <c:pt idx="20">
                  <c:v>1911</c:v>
                </c:pt>
                <c:pt idx="21">
                  <c:v>1802</c:v>
                </c:pt>
                <c:pt idx="22">
                  <c:v>789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B6-4C90-AD3D-59A995421404}"/>
            </c:ext>
          </c:extLst>
        </c:ser>
        <c:ser>
          <c:idx val="1"/>
          <c:order val="1"/>
          <c:tx>
            <c:strRef>
              <c:f>Medscape!$D$6</c:f>
              <c:strCache>
                <c:ptCount val="1"/>
                <c:pt idx="0">
                  <c:v>HCP Medscape Engagement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cat>
            <c:numRef>
              <c:f>Medscape!$B$7:$B$30</c:f>
              <c:numCache>
                <c:formatCode>[$-409]mmm\-yy;@</c:formatCode>
                <c:ptCount val="24"/>
                <c:pt idx="0">
                  <c:v>44228</c:v>
                </c:pt>
                <c:pt idx="1">
                  <c:v>44256</c:v>
                </c:pt>
                <c:pt idx="2">
                  <c:v>44287</c:v>
                </c:pt>
                <c:pt idx="3">
                  <c:v>44317</c:v>
                </c:pt>
                <c:pt idx="4">
                  <c:v>44348</c:v>
                </c:pt>
                <c:pt idx="5">
                  <c:v>44378</c:v>
                </c:pt>
                <c:pt idx="6">
                  <c:v>44409</c:v>
                </c:pt>
                <c:pt idx="7">
                  <c:v>44440</c:v>
                </c:pt>
                <c:pt idx="8">
                  <c:v>44470</c:v>
                </c:pt>
                <c:pt idx="9">
                  <c:v>44501</c:v>
                </c:pt>
                <c:pt idx="10">
                  <c:v>44531</c:v>
                </c:pt>
                <c:pt idx="11">
                  <c:v>44562</c:v>
                </c:pt>
                <c:pt idx="12">
                  <c:v>44593</c:v>
                </c:pt>
                <c:pt idx="13">
                  <c:v>44621</c:v>
                </c:pt>
                <c:pt idx="14">
                  <c:v>44652</c:v>
                </c:pt>
                <c:pt idx="15">
                  <c:v>44682</c:v>
                </c:pt>
                <c:pt idx="16">
                  <c:v>44713</c:v>
                </c:pt>
                <c:pt idx="17">
                  <c:v>44743</c:v>
                </c:pt>
                <c:pt idx="18">
                  <c:v>44774</c:v>
                </c:pt>
                <c:pt idx="19">
                  <c:v>44805</c:v>
                </c:pt>
                <c:pt idx="20">
                  <c:v>44835</c:v>
                </c:pt>
                <c:pt idx="21">
                  <c:v>44866</c:v>
                </c:pt>
                <c:pt idx="22">
                  <c:v>44896</c:v>
                </c:pt>
                <c:pt idx="23">
                  <c:v>44927</c:v>
                </c:pt>
              </c:numCache>
            </c:numRef>
          </c:cat>
          <c:val>
            <c:numRef>
              <c:f>Medscape!$D$7:$D$30</c:f>
              <c:numCache>
                <c:formatCode>#,##0</c:formatCode>
                <c:ptCount val="24"/>
                <c:pt idx="0">
                  <c:v>0</c:v>
                </c:pt>
                <c:pt idx="1">
                  <c:v>1559</c:v>
                </c:pt>
                <c:pt idx="2">
                  <c:v>3204</c:v>
                </c:pt>
                <c:pt idx="3">
                  <c:v>3913</c:v>
                </c:pt>
                <c:pt idx="4">
                  <c:v>1856</c:v>
                </c:pt>
                <c:pt idx="5">
                  <c:v>3225</c:v>
                </c:pt>
                <c:pt idx="6">
                  <c:v>5665</c:v>
                </c:pt>
                <c:pt idx="7">
                  <c:v>3543</c:v>
                </c:pt>
                <c:pt idx="8">
                  <c:v>1094</c:v>
                </c:pt>
                <c:pt idx="9">
                  <c:v>1705</c:v>
                </c:pt>
                <c:pt idx="10">
                  <c:v>2373</c:v>
                </c:pt>
                <c:pt idx="11">
                  <c:v>2978</c:v>
                </c:pt>
                <c:pt idx="12">
                  <c:v>10</c:v>
                </c:pt>
                <c:pt idx="13">
                  <c:v>0</c:v>
                </c:pt>
                <c:pt idx="14">
                  <c:v>2884</c:v>
                </c:pt>
                <c:pt idx="15">
                  <c:v>504</c:v>
                </c:pt>
                <c:pt idx="16">
                  <c:v>139</c:v>
                </c:pt>
                <c:pt idx="17">
                  <c:v>1163</c:v>
                </c:pt>
                <c:pt idx="18">
                  <c:v>299</c:v>
                </c:pt>
                <c:pt idx="19">
                  <c:v>1470</c:v>
                </c:pt>
                <c:pt idx="20">
                  <c:v>1823</c:v>
                </c:pt>
                <c:pt idx="21">
                  <c:v>1351</c:v>
                </c:pt>
                <c:pt idx="22">
                  <c:v>325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B6-4C90-AD3D-59A995421404}"/>
            </c:ext>
          </c:extLst>
        </c:ser>
        <c:ser>
          <c:idx val="2"/>
          <c:order val="2"/>
          <c:tx>
            <c:strRef>
              <c:f>Medscape!$E$6</c:f>
              <c:strCache>
                <c:ptCount val="1"/>
                <c:pt idx="0">
                  <c:v>HCP Medscape Click</c:v>
                </c:pt>
              </c:strCache>
            </c:strRef>
          </c:tx>
          <c:spPr>
            <a:ln w="25400" cap="rnd">
              <a:solidFill>
                <a:schemeClr val="accent3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cat>
            <c:numRef>
              <c:f>Medscape!$B$7:$B$30</c:f>
              <c:numCache>
                <c:formatCode>[$-409]mmm\-yy;@</c:formatCode>
                <c:ptCount val="24"/>
                <c:pt idx="0">
                  <c:v>44228</c:v>
                </c:pt>
                <c:pt idx="1">
                  <c:v>44256</c:v>
                </c:pt>
                <c:pt idx="2">
                  <c:v>44287</c:v>
                </c:pt>
                <c:pt idx="3">
                  <c:v>44317</c:v>
                </c:pt>
                <c:pt idx="4">
                  <c:v>44348</c:v>
                </c:pt>
                <c:pt idx="5">
                  <c:v>44378</c:v>
                </c:pt>
                <c:pt idx="6">
                  <c:v>44409</c:v>
                </c:pt>
                <c:pt idx="7">
                  <c:v>44440</c:v>
                </c:pt>
                <c:pt idx="8">
                  <c:v>44470</c:v>
                </c:pt>
                <c:pt idx="9">
                  <c:v>44501</c:v>
                </c:pt>
                <c:pt idx="10">
                  <c:v>44531</c:v>
                </c:pt>
                <c:pt idx="11">
                  <c:v>44562</c:v>
                </c:pt>
                <c:pt idx="12">
                  <c:v>44593</c:v>
                </c:pt>
                <c:pt idx="13">
                  <c:v>44621</c:v>
                </c:pt>
                <c:pt idx="14">
                  <c:v>44652</c:v>
                </c:pt>
                <c:pt idx="15">
                  <c:v>44682</c:v>
                </c:pt>
                <c:pt idx="16">
                  <c:v>44713</c:v>
                </c:pt>
                <c:pt idx="17">
                  <c:v>44743</c:v>
                </c:pt>
                <c:pt idx="18">
                  <c:v>44774</c:v>
                </c:pt>
                <c:pt idx="19">
                  <c:v>44805</c:v>
                </c:pt>
                <c:pt idx="20">
                  <c:v>44835</c:v>
                </c:pt>
                <c:pt idx="21">
                  <c:v>44866</c:v>
                </c:pt>
                <c:pt idx="22">
                  <c:v>44896</c:v>
                </c:pt>
                <c:pt idx="23">
                  <c:v>44927</c:v>
                </c:pt>
              </c:numCache>
            </c:numRef>
          </c:cat>
          <c:val>
            <c:numRef>
              <c:f>Medscape!$E$7:$E$30</c:f>
              <c:numCache>
                <c:formatCode>#,##0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3</c:v>
                </c:pt>
                <c:pt idx="11">
                  <c:v>5</c:v>
                </c:pt>
                <c:pt idx="12">
                  <c:v>0</c:v>
                </c:pt>
                <c:pt idx="13">
                  <c:v>0</c:v>
                </c:pt>
                <c:pt idx="14">
                  <c:v>5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3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2B6-4C90-AD3D-59A9954214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9773792"/>
        <c:axId val="1779776704"/>
      </c:lineChart>
      <c:dateAx>
        <c:axId val="1779773792"/>
        <c:scaling>
          <c:orientation val="minMax"/>
        </c:scaling>
        <c:delete val="0"/>
        <c:axPos val="b"/>
        <c:numFmt formatCode="[$-409]mmm\-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cap="all" spc="120" normalizeH="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9776704"/>
        <c:crosses val="autoZero"/>
        <c:auto val="1"/>
        <c:lblOffset val="100"/>
        <c:baseTimeUnit val="months"/>
      </c:dateAx>
      <c:valAx>
        <c:axId val="177977670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i="1">
                    <a:solidFill>
                      <a:schemeClr val="tx1"/>
                    </a:solidFill>
                  </a:rPr>
                  <a:t># Activity</a:t>
                </a:r>
              </a:p>
            </c:rich>
          </c:tx>
          <c:layout>
            <c:manualLayout>
              <c:xMode val="edge"/>
              <c:yMode val="edge"/>
              <c:x val="2.3037393329303494E-2"/>
              <c:y val="0.4497226238710488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1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9773792"/>
        <c:crosses val="autoZero"/>
        <c:crossBetween val="between"/>
      </c:valAx>
      <c:spPr>
        <a:noFill/>
        <a:ln>
          <a:solidFill>
            <a:schemeClr val="bg1">
              <a:lumMod val="50000"/>
            </a:schemeClr>
          </a:solidFill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Doximity!$B$2</c:f>
          <c:strCache>
            <c:ptCount val="1"/>
            <c:pt idx="0">
              <c:v>Doximity</c:v>
            </c:pt>
          </c:strCache>
        </c:strRef>
      </c:tx>
      <c:layout>
        <c:manualLayout>
          <c:xMode val="edge"/>
          <c:yMode val="edge"/>
          <c:x val="0.4708196859767339"/>
          <c:y val="2.349979483938954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1" u="sng" strike="noStrike" kern="1200" cap="all" spc="120" normalizeH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8715751983433053E-2"/>
          <c:y val="0.19915228981419675"/>
          <c:w val="0.88697107281806864"/>
          <c:h val="0.67136910537094985"/>
        </c:manualLayout>
      </c:layout>
      <c:lineChart>
        <c:grouping val="standard"/>
        <c:varyColors val="0"/>
        <c:ser>
          <c:idx val="0"/>
          <c:order val="0"/>
          <c:tx>
            <c:strRef>
              <c:f>Doximity!$C$6</c:f>
              <c:strCache>
                <c:ptCount val="1"/>
                <c:pt idx="0">
                  <c:v>HCP Doximity Delivery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cat>
            <c:numRef>
              <c:f>Doximity!$B$7:$B$30</c:f>
              <c:numCache>
                <c:formatCode>[$-409]mmm\-yy;@</c:formatCode>
                <c:ptCount val="24"/>
                <c:pt idx="0">
                  <c:v>44228</c:v>
                </c:pt>
                <c:pt idx="1">
                  <c:v>44256</c:v>
                </c:pt>
                <c:pt idx="2">
                  <c:v>44287</c:v>
                </c:pt>
                <c:pt idx="3">
                  <c:v>44317</c:v>
                </c:pt>
                <c:pt idx="4">
                  <c:v>44348</c:v>
                </c:pt>
                <c:pt idx="5">
                  <c:v>44378</c:v>
                </c:pt>
                <c:pt idx="6">
                  <c:v>44409</c:v>
                </c:pt>
                <c:pt idx="7">
                  <c:v>44440</c:v>
                </c:pt>
                <c:pt idx="8">
                  <c:v>44470</c:v>
                </c:pt>
                <c:pt idx="9">
                  <c:v>44501</c:v>
                </c:pt>
                <c:pt idx="10">
                  <c:v>44531</c:v>
                </c:pt>
                <c:pt idx="11">
                  <c:v>44562</c:v>
                </c:pt>
                <c:pt idx="12">
                  <c:v>44593</c:v>
                </c:pt>
                <c:pt idx="13">
                  <c:v>44621</c:v>
                </c:pt>
                <c:pt idx="14">
                  <c:v>44652</c:v>
                </c:pt>
                <c:pt idx="15">
                  <c:v>44682</c:v>
                </c:pt>
                <c:pt idx="16">
                  <c:v>44713</c:v>
                </c:pt>
                <c:pt idx="17">
                  <c:v>44743</c:v>
                </c:pt>
                <c:pt idx="18">
                  <c:v>44774</c:v>
                </c:pt>
                <c:pt idx="19">
                  <c:v>44805</c:v>
                </c:pt>
                <c:pt idx="20">
                  <c:v>44835</c:v>
                </c:pt>
                <c:pt idx="21">
                  <c:v>44866</c:v>
                </c:pt>
                <c:pt idx="22">
                  <c:v>44896</c:v>
                </c:pt>
                <c:pt idx="23">
                  <c:v>44927</c:v>
                </c:pt>
              </c:numCache>
            </c:numRef>
          </c:cat>
          <c:val>
            <c:numRef>
              <c:f>Doximity!$C$7:$C$30</c:f>
              <c:numCache>
                <c:formatCode>#,##0</c:formatCode>
                <c:ptCount val="24"/>
                <c:pt idx="0">
                  <c:v>0</c:v>
                </c:pt>
                <c:pt idx="1">
                  <c:v>1262</c:v>
                </c:pt>
                <c:pt idx="2">
                  <c:v>2512</c:v>
                </c:pt>
                <c:pt idx="3">
                  <c:v>2185</c:v>
                </c:pt>
                <c:pt idx="4">
                  <c:v>642</c:v>
                </c:pt>
                <c:pt idx="5">
                  <c:v>1372</c:v>
                </c:pt>
                <c:pt idx="6">
                  <c:v>2490</c:v>
                </c:pt>
                <c:pt idx="7">
                  <c:v>1781</c:v>
                </c:pt>
                <c:pt idx="8">
                  <c:v>552</c:v>
                </c:pt>
                <c:pt idx="9">
                  <c:v>1296</c:v>
                </c:pt>
                <c:pt idx="10">
                  <c:v>1624</c:v>
                </c:pt>
                <c:pt idx="11">
                  <c:v>1543</c:v>
                </c:pt>
                <c:pt idx="12">
                  <c:v>11</c:v>
                </c:pt>
                <c:pt idx="13">
                  <c:v>0</c:v>
                </c:pt>
                <c:pt idx="14">
                  <c:v>603</c:v>
                </c:pt>
                <c:pt idx="15">
                  <c:v>60</c:v>
                </c:pt>
                <c:pt idx="16">
                  <c:v>0</c:v>
                </c:pt>
                <c:pt idx="17">
                  <c:v>664</c:v>
                </c:pt>
                <c:pt idx="18">
                  <c:v>427</c:v>
                </c:pt>
                <c:pt idx="19">
                  <c:v>302</c:v>
                </c:pt>
                <c:pt idx="20">
                  <c:v>716</c:v>
                </c:pt>
                <c:pt idx="21">
                  <c:v>617</c:v>
                </c:pt>
                <c:pt idx="22">
                  <c:v>169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98-4380-8D0E-B8A4E9D3757F}"/>
            </c:ext>
          </c:extLst>
        </c:ser>
        <c:ser>
          <c:idx val="1"/>
          <c:order val="1"/>
          <c:tx>
            <c:strRef>
              <c:f>Doximity!$D$6</c:f>
              <c:strCache>
                <c:ptCount val="1"/>
                <c:pt idx="0">
                  <c:v>HCP Doximity Engagement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cat>
            <c:numRef>
              <c:f>Doximity!$B$7:$B$30</c:f>
              <c:numCache>
                <c:formatCode>[$-409]mmm\-yy;@</c:formatCode>
                <c:ptCount val="24"/>
                <c:pt idx="0">
                  <c:v>44228</c:v>
                </c:pt>
                <c:pt idx="1">
                  <c:v>44256</c:v>
                </c:pt>
                <c:pt idx="2">
                  <c:v>44287</c:v>
                </c:pt>
                <c:pt idx="3">
                  <c:v>44317</c:v>
                </c:pt>
                <c:pt idx="4">
                  <c:v>44348</c:v>
                </c:pt>
                <c:pt idx="5">
                  <c:v>44378</c:v>
                </c:pt>
                <c:pt idx="6">
                  <c:v>44409</c:v>
                </c:pt>
                <c:pt idx="7">
                  <c:v>44440</c:v>
                </c:pt>
                <c:pt idx="8">
                  <c:v>44470</c:v>
                </c:pt>
                <c:pt idx="9">
                  <c:v>44501</c:v>
                </c:pt>
                <c:pt idx="10">
                  <c:v>44531</c:v>
                </c:pt>
                <c:pt idx="11">
                  <c:v>44562</c:v>
                </c:pt>
                <c:pt idx="12">
                  <c:v>44593</c:v>
                </c:pt>
                <c:pt idx="13">
                  <c:v>44621</c:v>
                </c:pt>
                <c:pt idx="14">
                  <c:v>44652</c:v>
                </c:pt>
                <c:pt idx="15">
                  <c:v>44682</c:v>
                </c:pt>
                <c:pt idx="16">
                  <c:v>44713</c:v>
                </c:pt>
                <c:pt idx="17">
                  <c:v>44743</c:v>
                </c:pt>
                <c:pt idx="18">
                  <c:v>44774</c:v>
                </c:pt>
                <c:pt idx="19">
                  <c:v>44805</c:v>
                </c:pt>
                <c:pt idx="20">
                  <c:v>44835</c:v>
                </c:pt>
                <c:pt idx="21">
                  <c:v>44866</c:v>
                </c:pt>
                <c:pt idx="22">
                  <c:v>44896</c:v>
                </c:pt>
                <c:pt idx="23">
                  <c:v>44927</c:v>
                </c:pt>
              </c:numCache>
            </c:numRef>
          </c:cat>
          <c:val>
            <c:numRef>
              <c:f>Doximity!$D$7:$D$30</c:f>
              <c:numCache>
                <c:formatCode>#,##0</c:formatCode>
                <c:ptCount val="24"/>
                <c:pt idx="0">
                  <c:v>0</c:v>
                </c:pt>
                <c:pt idx="1">
                  <c:v>595</c:v>
                </c:pt>
                <c:pt idx="2">
                  <c:v>1445</c:v>
                </c:pt>
                <c:pt idx="3">
                  <c:v>1413</c:v>
                </c:pt>
                <c:pt idx="4">
                  <c:v>321</c:v>
                </c:pt>
                <c:pt idx="5">
                  <c:v>869</c:v>
                </c:pt>
                <c:pt idx="6">
                  <c:v>1501</c:v>
                </c:pt>
                <c:pt idx="7">
                  <c:v>1015</c:v>
                </c:pt>
                <c:pt idx="8">
                  <c:v>303</c:v>
                </c:pt>
                <c:pt idx="9">
                  <c:v>810</c:v>
                </c:pt>
                <c:pt idx="10">
                  <c:v>1111</c:v>
                </c:pt>
                <c:pt idx="11">
                  <c:v>1002</c:v>
                </c:pt>
                <c:pt idx="12">
                  <c:v>5</c:v>
                </c:pt>
                <c:pt idx="13">
                  <c:v>0</c:v>
                </c:pt>
                <c:pt idx="14">
                  <c:v>379</c:v>
                </c:pt>
                <c:pt idx="15">
                  <c:v>37</c:v>
                </c:pt>
                <c:pt idx="16">
                  <c:v>0</c:v>
                </c:pt>
                <c:pt idx="17">
                  <c:v>452</c:v>
                </c:pt>
                <c:pt idx="18">
                  <c:v>268</c:v>
                </c:pt>
                <c:pt idx="19">
                  <c:v>165</c:v>
                </c:pt>
                <c:pt idx="20">
                  <c:v>530</c:v>
                </c:pt>
                <c:pt idx="21">
                  <c:v>447</c:v>
                </c:pt>
                <c:pt idx="22">
                  <c:v>99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98-4380-8D0E-B8A4E9D3757F}"/>
            </c:ext>
          </c:extLst>
        </c:ser>
        <c:ser>
          <c:idx val="2"/>
          <c:order val="2"/>
          <c:tx>
            <c:strRef>
              <c:f>Doximity!$E$6</c:f>
              <c:strCache>
                <c:ptCount val="1"/>
                <c:pt idx="0">
                  <c:v>HCP Doximity Click</c:v>
                </c:pt>
              </c:strCache>
            </c:strRef>
          </c:tx>
          <c:spPr>
            <a:ln w="25400" cap="rnd">
              <a:solidFill>
                <a:schemeClr val="accent3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cat>
            <c:numRef>
              <c:f>Doximity!$B$7:$B$30</c:f>
              <c:numCache>
                <c:formatCode>[$-409]mmm\-yy;@</c:formatCode>
                <c:ptCount val="24"/>
                <c:pt idx="0">
                  <c:v>44228</c:v>
                </c:pt>
                <c:pt idx="1">
                  <c:v>44256</c:v>
                </c:pt>
                <c:pt idx="2">
                  <c:v>44287</c:v>
                </c:pt>
                <c:pt idx="3">
                  <c:v>44317</c:v>
                </c:pt>
                <c:pt idx="4">
                  <c:v>44348</c:v>
                </c:pt>
                <c:pt idx="5">
                  <c:v>44378</c:v>
                </c:pt>
                <c:pt idx="6">
                  <c:v>44409</c:v>
                </c:pt>
                <c:pt idx="7">
                  <c:v>44440</c:v>
                </c:pt>
                <c:pt idx="8">
                  <c:v>44470</c:v>
                </c:pt>
                <c:pt idx="9">
                  <c:v>44501</c:v>
                </c:pt>
                <c:pt idx="10">
                  <c:v>44531</c:v>
                </c:pt>
                <c:pt idx="11">
                  <c:v>44562</c:v>
                </c:pt>
                <c:pt idx="12">
                  <c:v>44593</c:v>
                </c:pt>
                <c:pt idx="13">
                  <c:v>44621</c:v>
                </c:pt>
                <c:pt idx="14">
                  <c:v>44652</c:v>
                </c:pt>
                <c:pt idx="15">
                  <c:v>44682</c:v>
                </c:pt>
                <c:pt idx="16">
                  <c:v>44713</c:v>
                </c:pt>
                <c:pt idx="17">
                  <c:v>44743</c:v>
                </c:pt>
                <c:pt idx="18">
                  <c:v>44774</c:v>
                </c:pt>
                <c:pt idx="19">
                  <c:v>44805</c:v>
                </c:pt>
                <c:pt idx="20">
                  <c:v>44835</c:v>
                </c:pt>
                <c:pt idx="21">
                  <c:v>44866</c:v>
                </c:pt>
                <c:pt idx="22">
                  <c:v>44896</c:v>
                </c:pt>
                <c:pt idx="23">
                  <c:v>44927</c:v>
                </c:pt>
              </c:numCache>
            </c:numRef>
          </c:cat>
          <c:val>
            <c:numRef>
              <c:f>Doximity!$E$7:$E$30</c:f>
              <c:numCache>
                <c:formatCode>#,##0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3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098-4380-8D0E-B8A4E9D37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9773792"/>
        <c:axId val="1779776704"/>
      </c:lineChart>
      <c:dateAx>
        <c:axId val="1779773792"/>
        <c:scaling>
          <c:orientation val="minMax"/>
        </c:scaling>
        <c:delete val="0"/>
        <c:axPos val="b"/>
        <c:numFmt formatCode="[$-409]mmm\-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cap="all" spc="120" normalizeH="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9776704"/>
        <c:crosses val="autoZero"/>
        <c:auto val="1"/>
        <c:lblOffset val="100"/>
        <c:baseTimeUnit val="months"/>
      </c:dateAx>
      <c:valAx>
        <c:axId val="177977670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i="1">
                    <a:solidFill>
                      <a:schemeClr val="tx1"/>
                    </a:solidFill>
                  </a:rPr>
                  <a:t># Activity</a:t>
                </a:r>
              </a:p>
            </c:rich>
          </c:tx>
          <c:layout>
            <c:manualLayout>
              <c:xMode val="edge"/>
              <c:yMode val="edge"/>
              <c:x val="2.3037393329303494E-2"/>
              <c:y val="0.4497226238710488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1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9773792"/>
        <c:crosses val="autoZero"/>
        <c:crossBetween val="between"/>
      </c:valAx>
      <c:spPr>
        <a:noFill/>
        <a:ln>
          <a:solidFill>
            <a:schemeClr val="bg1">
              <a:lumMod val="50000"/>
            </a:schemeClr>
          </a:solidFill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Epocrates!$B$2</c:f>
          <c:strCache>
            <c:ptCount val="1"/>
            <c:pt idx="0">
              <c:v>Epocrates</c:v>
            </c:pt>
          </c:strCache>
        </c:strRef>
      </c:tx>
      <c:layout>
        <c:manualLayout>
          <c:xMode val="edge"/>
          <c:yMode val="edge"/>
          <c:x val="0.4708196859767339"/>
          <c:y val="2.349979483938954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1" u="sng" strike="noStrike" kern="1200" cap="all" spc="120" normalizeH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8715751983433053E-2"/>
          <c:y val="0.19915228981419675"/>
          <c:w val="0.88697107281806864"/>
          <c:h val="0.67136910537094985"/>
        </c:manualLayout>
      </c:layout>
      <c:lineChart>
        <c:grouping val="standard"/>
        <c:varyColors val="0"/>
        <c:ser>
          <c:idx val="0"/>
          <c:order val="0"/>
          <c:tx>
            <c:strRef>
              <c:f>Epocrates!$C$6</c:f>
              <c:strCache>
                <c:ptCount val="1"/>
                <c:pt idx="0">
                  <c:v>HCP Epocrates Delivery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cat>
            <c:numRef>
              <c:f>Epocrates!$B$7:$B$30</c:f>
              <c:numCache>
                <c:formatCode>[$-409]mmm\-yy;@</c:formatCode>
                <c:ptCount val="24"/>
                <c:pt idx="0">
                  <c:v>44228</c:v>
                </c:pt>
                <c:pt idx="1">
                  <c:v>44256</c:v>
                </c:pt>
                <c:pt idx="2">
                  <c:v>44287</c:v>
                </c:pt>
                <c:pt idx="3">
                  <c:v>44317</c:v>
                </c:pt>
                <c:pt idx="4">
                  <c:v>44348</c:v>
                </c:pt>
                <c:pt idx="5">
                  <c:v>44378</c:v>
                </c:pt>
                <c:pt idx="6">
                  <c:v>44409</c:v>
                </c:pt>
                <c:pt idx="7">
                  <c:v>44440</c:v>
                </c:pt>
                <c:pt idx="8">
                  <c:v>44470</c:v>
                </c:pt>
                <c:pt idx="9">
                  <c:v>44501</c:v>
                </c:pt>
                <c:pt idx="10">
                  <c:v>44531</c:v>
                </c:pt>
                <c:pt idx="11">
                  <c:v>44562</c:v>
                </c:pt>
                <c:pt idx="12">
                  <c:v>44593</c:v>
                </c:pt>
                <c:pt idx="13">
                  <c:v>44621</c:v>
                </c:pt>
                <c:pt idx="14">
                  <c:v>44652</c:v>
                </c:pt>
                <c:pt idx="15">
                  <c:v>44682</c:v>
                </c:pt>
                <c:pt idx="16">
                  <c:v>44713</c:v>
                </c:pt>
                <c:pt idx="17">
                  <c:v>44743</c:v>
                </c:pt>
                <c:pt idx="18">
                  <c:v>44774</c:v>
                </c:pt>
                <c:pt idx="19">
                  <c:v>44805</c:v>
                </c:pt>
                <c:pt idx="20">
                  <c:v>44835</c:v>
                </c:pt>
                <c:pt idx="21">
                  <c:v>44866</c:v>
                </c:pt>
                <c:pt idx="22">
                  <c:v>44896</c:v>
                </c:pt>
                <c:pt idx="23">
                  <c:v>44927</c:v>
                </c:pt>
              </c:numCache>
            </c:numRef>
          </c:cat>
          <c:val>
            <c:numRef>
              <c:f>Epocrates!$C$7:$C$30</c:f>
              <c:numCache>
                <c:formatCode>#,##0</c:formatCode>
                <c:ptCount val="24"/>
                <c:pt idx="0">
                  <c:v>1142</c:v>
                </c:pt>
                <c:pt idx="1">
                  <c:v>20930</c:v>
                </c:pt>
                <c:pt idx="2">
                  <c:v>26949</c:v>
                </c:pt>
                <c:pt idx="3">
                  <c:v>8856</c:v>
                </c:pt>
                <c:pt idx="4">
                  <c:v>5950</c:v>
                </c:pt>
                <c:pt idx="5">
                  <c:v>12174</c:v>
                </c:pt>
                <c:pt idx="6">
                  <c:v>7237</c:v>
                </c:pt>
                <c:pt idx="7">
                  <c:v>12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4479</c:v>
                </c:pt>
                <c:pt idx="13">
                  <c:v>3660</c:v>
                </c:pt>
                <c:pt idx="14">
                  <c:v>0</c:v>
                </c:pt>
                <c:pt idx="15">
                  <c:v>967</c:v>
                </c:pt>
                <c:pt idx="16">
                  <c:v>1</c:v>
                </c:pt>
                <c:pt idx="17">
                  <c:v>4527</c:v>
                </c:pt>
                <c:pt idx="18">
                  <c:v>2285</c:v>
                </c:pt>
                <c:pt idx="19">
                  <c:v>448</c:v>
                </c:pt>
                <c:pt idx="20">
                  <c:v>982</c:v>
                </c:pt>
                <c:pt idx="21">
                  <c:v>873</c:v>
                </c:pt>
                <c:pt idx="22">
                  <c:v>3120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93-4ED4-AFA1-0FC24149D740}"/>
            </c:ext>
          </c:extLst>
        </c:ser>
        <c:ser>
          <c:idx val="1"/>
          <c:order val="1"/>
          <c:tx>
            <c:strRef>
              <c:f>Epocrates!$D$6</c:f>
              <c:strCache>
                <c:ptCount val="1"/>
                <c:pt idx="0">
                  <c:v>HCP Epocrates Engagement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cat>
            <c:numRef>
              <c:f>Epocrates!$B$7:$B$30</c:f>
              <c:numCache>
                <c:formatCode>[$-409]mmm\-yy;@</c:formatCode>
                <c:ptCount val="24"/>
                <c:pt idx="0">
                  <c:v>44228</c:v>
                </c:pt>
                <c:pt idx="1">
                  <c:v>44256</c:v>
                </c:pt>
                <c:pt idx="2">
                  <c:v>44287</c:v>
                </c:pt>
                <c:pt idx="3">
                  <c:v>44317</c:v>
                </c:pt>
                <c:pt idx="4">
                  <c:v>44348</c:v>
                </c:pt>
                <c:pt idx="5">
                  <c:v>44378</c:v>
                </c:pt>
                <c:pt idx="6">
                  <c:v>44409</c:v>
                </c:pt>
                <c:pt idx="7">
                  <c:v>44440</c:v>
                </c:pt>
                <c:pt idx="8">
                  <c:v>44470</c:v>
                </c:pt>
                <c:pt idx="9">
                  <c:v>44501</c:v>
                </c:pt>
                <c:pt idx="10">
                  <c:v>44531</c:v>
                </c:pt>
                <c:pt idx="11">
                  <c:v>44562</c:v>
                </c:pt>
                <c:pt idx="12">
                  <c:v>44593</c:v>
                </c:pt>
                <c:pt idx="13">
                  <c:v>44621</c:v>
                </c:pt>
                <c:pt idx="14">
                  <c:v>44652</c:v>
                </c:pt>
                <c:pt idx="15">
                  <c:v>44682</c:v>
                </c:pt>
                <c:pt idx="16">
                  <c:v>44713</c:v>
                </c:pt>
                <c:pt idx="17">
                  <c:v>44743</c:v>
                </c:pt>
                <c:pt idx="18">
                  <c:v>44774</c:v>
                </c:pt>
                <c:pt idx="19">
                  <c:v>44805</c:v>
                </c:pt>
                <c:pt idx="20">
                  <c:v>44835</c:v>
                </c:pt>
                <c:pt idx="21">
                  <c:v>44866</c:v>
                </c:pt>
                <c:pt idx="22">
                  <c:v>44896</c:v>
                </c:pt>
                <c:pt idx="23">
                  <c:v>44927</c:v>
                </c:pt>
              </c:numCache>
            </c:numRef>
          </c:cat>
          <c:val>
            <c:numRef>
              <c:f>Epocrates!$D$7:$D$30</c:f>
              <c:numCache>
                <c:formatCode>#,##0</c:formatCode>
                <c:ptCount val="24"/>
                <c:pt idx="0">
                  <c:v>113</c:v>
                </c:pt>
                <c:pt idx="1">
                  <c:v>1343</c:v>
                </c:pt>
                <c:pt idx="2">
                  <c:v>1373</c:v>
                </c:pt>
                <c:pt idx="3">
                  <c:v>2753</c:v>
                </c:pt>
                <c:pt idx="4">
                  <c:v>1387</c:v>
                </c:pt>
                <c:pt idx="5">
                  <c:v>1418</c:v>
                </c:pt>
                <c:pt idx="6">
                  <c:v>1216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240</c:v>
                </c:pt>
                <c:pt idx="13">
                  <c:v>187</c:v>
                </c:pt>
                <c:pt idx="14">
                  <c:v>0</c:v>
                </c:pt>
                <c:pt idx="15">
                  <c:v>319</c:v>
                </c:pt>
                <c:pt idx="16">
                  <c:v>0</c:v>
                </c:pt>
                <c:pt idx="17">
                  <c:v>764</c:v>
                </c:pt>
                <c:pt idx="18">
                  <c:v>472</c:v>
                </c:pt>
                <c:pt idx="19">
                  <c:v>99</c:v>
                </c:pt>
                <c:pt idx="20">
                  <c:v>326</c:v>
                </c:pt>
                <c:pt idx="21">
                  <c:v>262</c:v>
                </c:pt>
                <c:pt idx="22">
                  <c:v>352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93-4ED4-AFA1-0FC24149D740}"/>
            </c:ext>
          </c:extLst>
        </c:ser>
        <c:ser>
          <c:idx val="2"/>
          <c:order val="2"/>
          <c:tx>
            <c:strRef>
              <c:f>Epocrates!$E$6</c:f>
              <c:strCache>
                <c:ptCount val="1"/>
                <c:pt idx="0">
                  <c:v>HCP Epocrates Click</c:v>
                </c:pt>
              </c:strCache>
            </c:strRef>
          </c:tx>
          <c:spPr>
            <a:ln w="25400" cap="rnd">
              <a:solidFill>
                <a:schemeClr val="accent3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cat>
            <c:numRef>
              <c:f>Epocrates!$B$7:$B$30</c:f>
              <c:numCache>
                <c:formatCode>[$-409]mmm\-yy;@</c:formatCode>
                <c:ptCount val="24"/>
                <c:pt idx="0">
                  <c:v>44228</c:v>
                </c:pt>
                <c:pt idx="1">
                  <c:v>44256</c:v>
                </c:pt>
                <c:pt idx="2">
                  <c:v>44287</c:v>
                </c:pt>
                <c:pt idx="3">
                  <c:v>44317</c:v>
                </c:pt>
                <c:pt idx="4">
                  <c:v>44348</c:v>
                </c:pt>
                <c:pt idx="5">
                  <c:v>44378</c:v>
                </c:pt>
                <c:pt idx="6">
                  <c:v>44409</c:v>
                </c:pt>
                <c:pt idx="7">
                  <c:v>44440</c:v>
                </c:pt>
                <c:pt idx="8">
                  <c:v>44470</c:v>
                </c:pt>
                <c:pt idx="9">
                  <c:v>44501</c:v>
                </c:pt>
                <c:pt idx="10">
                  <c:v>44531</c:v>
                </c:pt>
                <c:pt idx="11">
                  <c:v>44562</c:v>
                </c:pt>
                <c:pt idx="12">
                  <c:v>44593</c:v>
                </c:pt>
                <c:pt idx="13">
                  <c:v>44621</c:v>
                </c:pt>
                <c:pt idx="14">
                  <c:v>44652</c:v>
                </c:pt>
                <c:pt idx="15">
                  <c:v>44682</c:v>
                </c:pt>
                <c:pt idx="16">
                  <c:v>44713</c:v>
                </c:pt>
                <c:pt idx="17">
                  <c:v>44743</c:v>
                </c:pt>
                <c:pt idx="18">
                  <c:v>44774</c:v>
                </c:pt>
                <c:pt idx="19">
                  <c:v>44805</c:v>
                </c:pt>
                <c:pt idx="20">
                  <c:v>44835</c:v>
                </c:pt>
                <c:pt idx="21">
                  <c:v>44866</c:v>
                </c:pt>
                <c:pt idx="22">
                  <c:v>44896</c:v>
                </c:pt>
                <c:pt idx="23">
                  <c:v>44927</c:v>
                </c:pt>
              </c:numCache>
            </c:numRef>
          </c:cat>
          <c:val>
            <c:numRef>
              <c:f>Epocrates!$E$7:$E$30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44</c:v>
                </c:pt>
                <c:pt idx="5">
                  <c:v>155</c:v>
                </c:pt>
                <c:pt idx="6">
                  <c:v>68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63</c:v>
                </c:pt>
                <c:pt idx="18">
                  <c:v>26</c:v>
                </c:pt>
                <c:pt idx="19">
                  <c:v>19</c:v>
                </c:pt>
                <c:pt idx="20">
                  <c:v>9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93-4ED4-AFA1-0FC24149D7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9773792"/>
        <c:axId val="1779776704"/>
      </c:lineChart>
      <c:dateAx>
        <c:axId val="1779773792"/>
        <c:scaling>
          <c:orientation val="minMax"/>
        </c:scaling>
        <c:delete val="0"/>
        <c:axPos val="b"/>
        <c:numFmt formatCode="[$-409]mmm\-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cap="all" spc="120" normalizeH="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9776704"/>
        <c:crosses val="autoZero"/>
        <c:auto val="1"/>
        <c:lblOffset val="100"/>
        <c:baseTimeUnit val="months"/>
      </c:dateAx>
      <c:valAx>
        <c:axId val="177977670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i="1">
                    <a:solidFill>
                      <a:schemeClr val="tx1"/>
                    </a:solidFill>
                  </a:rPr>
                  <a:t># Activity</a:t>
                </a:r>
              </a:p>
            </c:rich>
          </c:tx>
          <c:layout>
            <c:manualLayout>
              <c:xMode val="edge"/>
              <c:yMode val="edge"/>
              <c:x val="2.3037393329303494E-2"/>
              <c:y val="0.4497226238710488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1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9773792"/>
        <c:crosses val="autoZero"/>
        <c:crossBetween val="between"/>
      </c:valAx>
      <c:spPr>
        <a:noFill/>
        <a:ln>
          <a:solidFill>
            <a:schemeClr val="bg1">
              <a:lumMod val="50000"/>
            </a:schemeClr>
          </a:solidFill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DeepIntent!$B$2</c:f>
          <c:strCache>
            <c:ptCount val="1"/>
            <c:pt idx="0">
              <c:v>DeepIntent</c:v>
            </c:pt>
          </c:strCache>
        </c:strRef>
      </c:tx>
      <c:layout>
        <c:manualLayout>
          <c:xMode val="edge"/>
          <c:yMode val="edge"/>
          <c:x val="0.4708196859767339"/>
          <c:y val="2.349979483938954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1" u="sng" strike="noStrike" kern="1200" cap="all" spc="120" normalizeH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8715751983433053E-2"/>
          <c:y val="0.19915228981419675"/>
          <c:w val="0.88697107281806864"/>
          <c:h val="0.67136910537094985"/>
        </c:manualLayout>
      </c:layout>
      <c:lineChart>
        <c:grouping val="standard"/>
        <c:varyColors val="0"/>
        <c:ser>
          <c:idx val="0"/>
          <c:order val="0"/>
          <c:tx>
            <c:strRef>
              <c:f>DeepIntent!$C$6</c:f>
              <c:strCache>
                <c:ptCount val="1"/>
                <c:pt idx="0">
                  <c:v>HCP DeepIntent Delivery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cat>
            <c:numRef>
              <c:f>DeepIntent!$B$7:$B$30</c:f>
              <c:numCache>
                <c:formatCode>[$-409]mmm\-yy;@</c:formatCode>
                <c:ptCount val="24"/>
                <c:pt idx="0">
                  <c:v>44228</c:v>
                </c:pt>
                <c:pt idx="1">
                  <c:v>44256</c:v>
                </c:pt>
                <c:pt idx="2">
                  <c:v>44287</c:v>
                </c:pt>
                <c:pt idx="3">
                  <c:v>44317</c:v>
                </c:pt>
                <c:pt idx="4">
                  <c:v>44348</c:v>
                </c:pt>
                <c:pt idx="5">
                  <c:v>44378</c:v>
                </c:pt>
                <c:pt idx="6">
                  <c:v>44409</c:v>
                </c:pt>
                <c:pt idx="7">
                  <c:v>44440</c:v>
                </c:pt>
                <c:pt idx="8">
                  <c:v>44470</c:v>
                </c:pt>
                <c:pt idx="9">
                  <c:v>44501</c:v>
                </c:pt>
                <c:pt idx="10">
                  <c:v>44531</c:v>
                </c:pt>
                <c:pt idx="11">
                  <c:v>44562</c:v>
                </c:pt>
                <c:pt idx="12">
                  <c:v>44593</c:v>
                </c:pt>
                <c:pt idx="13">
                  <c:v>44621</c:v>
                </c:pt>
                <c:pt idx="14">
                  <c:v>44652</c:v>
                </c:pt>
                <c:pt idx="15">
                  <c:v>44682</c:v>
                </c:pt>
                <c:pt idx="16">
                  <c:v>44713</c:v>
                </c:pt>
                <c:pt idx="17">
                  <c:v>44743</c:v>
                </c:pt>
                <c:pt idx="18">
                  <c:v>44774</c:v>
                </c:pt>
                <c:pt idx="19">
                  <c:v>44805</c:v>
                </c:pt>
                <c:pt idx="20">
                  <c:v>44835</c:v>
                </c:pt>
                <c:pt idx="21">
                  <c:v>44866</c:v>
                </c:pt>
                <c:pt idx="22">
                  <c:v>44896</c:v>
                </c:pt>
                <c:pt idx="23">
                  <c:v>44927</c:v>
                </c:pt>
              </c:numCache>
            </c:numRef>
          </c:cat>
          <c:val>
            <c:numRef>
              <c:f>DeepIntent!$C$7:$C$30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38724</c:v>
                </c:pt>
                <c:pt idx="3">
                  <c:v>29747</c:v>
                </c:pt>
                <c:pt idx="4">
                  <c:v>112415</c:v>
                </c:pt>
                <c:pt idx="5">
                  <c:v>184114</c:v>
                </c:pt>
                <c:pt idx="6">
                  <c:v>247891</c:v>
                </c:pt>
                <c:pt idx="7">
                  <c:v>244989</c:v>
                </c:pt>
                <c:pt idx="8">
                  <c:v>162246</c:v>
                </c:pt>
                <c:pt idx="9">
                  <c:v>191375</c:v>
                </c:pt>
                <c:pt idx="10">
                  <c:v>310781</c:v>
                </c:pt>
                <c:pt idx="11">
                  <c:v>31581</c:v>
                </c:pt>
                <c:pt idx="12">
                  <c:v>35975</c:v>
                </c:pt>
                <c:pt idx="13">
                  <c:v>36590</c:v>
                </c:pt>
                <c:pt idx="14">
                  <c:v>35454</c:v>
                </c:pt>
                <c:pt idx="15">
                  <c:v>25311</c:v>
                </c:pt>
                <c:pt idx="16">
                  <c:v>23670</c:v>
                </c:pt>
                <c:pt idx="17">
                  <c:v>34886</c:v>
                </c:pt>
                <c:pt idx="18">
                  <c:v>34313</c:v>
                </c:pt>
                <c:pt idx="19">
                  <c:v>26136</c:v>
                </c:pt>
                <c:pt idx="20">
                  <c:v>36720</c:v>
                </c:pt>
                <c:pt idx="21">
                  <c:v>23235</c:v>
                </c:pt>
                <c:pt idx="22">
                  <c:v>23310</c:v>
                </c:pt>
                <c:pt idx="23">
                  <c:v>51399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FE-450B-AD65-DFC9E452649E}"/>
            </c:ext>
          </c:extLst>
        </c:ser>
        <c:ser>
          <c:idx val="1"/>
          <c:order val="1"/>
          <c:tx>
            <c:strRef>
              <c:f>DeepIntent!$D$6</c:f>
              <c:strCache>
                <c:ptCount val="1"/>
                <c:pt idx="0">
                  <c:v>HCP DeepIntent Engagement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cat>
            <c:numRef>
              <c:f>DeepIntent!$B$7:$B$30</c:f>
              <c:numCache>
                <c:formatCode>[$-409]mmm\-yy;@</c:formatCode>
                <c:ptCount val="24"/>
                <c:pt idx="0">
                  <c:v>44228</c:v>
                </c:pt>
                <c:pt idx="1">
                  <c:v>44256</c:v>
                </c:pt>
                <c:pt idx="2">
                  <c:v>44287</c:v>
                </c:pt>
                <c:pt idx="3">
                  <c:v>44317</c:v>
                </c:pt>
                <c:pt idx="4">
                  <c:v>44348</c:v>
                </c:pt>
                <c:pt idx="5">
                  <c:v>44378</c:v>
                </c:pt>
                <c:pt idx="6">
                  <c:v>44409</c:v>
                </c:pt>
                <c:pt idx="7">
                  <c:v>44440</c:v>
                </c:pt>
                <c:pt idx="8">
                  <c:v>44470</c:v>
                </c:pt>
                <c:pt idx="9">
                  <c:v>44501</c:v>
                </c:pt>
                <c:pt idx="10">
                  <c:v>44531</c:v>
                </c:pt>
                <c:pt idx="11">
                  <c:v>44562</c:v>
                </c:pt>
                <c:pt idx="12">
                  <c:v>44593</c:v>
                </c:pt>
                <c:pt idx="13">
                  <c:v>44621</c:v>
                </c:pt>
                <c:pt idx="14">
                  <c:v>44652</c:v>
                </c:pt>
                <c:pt idx="15">
                  <c:v>44682</c:v>
                </c:pt>
                <c:pt idx="16">
                  <c:v>44713</c:v>
                </c:pt>
                <c:pt idx="17">
                  <c:v>44743</c:v>
                </c:pt>
                <c:pt idx="18">
                  <c:v>44774</c:v>
                </c:pt>
                <c:pt idx="19">
                  <c:v>44805</c:v>
                </c:pt>
                <c:pt idx="20">
                  <c:v>44835</c:v>
                </c:pt>
                <c:pt idx="21">
                  <c:v>44866</c:v>
                </c:pt>
                <c:pt idx="22">
                  <c:v>44896</c:v>
                </c:pt>
                <c:pt idx="23">
                  <c:v>44927</c:v>
                </c:pt>
              </c:numCache>
            </c:numRef>
          </c:cat>
          <c:val>
            <c:numRef>
              <c:f>DeepIntent!$D$7:$D$30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339</c:v>
                </c:pt>
                <c:pt idx="3">
                  <c:v>146</c:v>
                </c:pt>
                <c:pt idx="4">
                  <c:v>152</c:v>
                </c:pt>
                <c:pt idx="5">
                  <c:v>264</c:v>
                </c:pt>
                <c:pt idx="6">
                  <c:v>382</c:v>
                </c:pt>
                <c:pt idx="7">
                  <c:v>371</c:v>
                </c:pt>
                <c:pt idx="8">
                  <c:v>130</c:v>
                </c:pt>
                <c:pt idx="9">
                  <c:v>234</c:v>
                </c:pt>
                <c:pt idx="10">
                  <c:v>783</c:v>
                </c:pt>
                <c:pt idx="11">
                  <c:v>113</c:v>
                </c:pt>
                <c:pt idx="12">
                  <c:v>88</c:v>
                </c:pt>
                <c:pt idx="13">
                  <c:v>78</c:v>
                </c:pt>
                <c:pt idx="14">
                  <c:v>81</c:v>
                </c:pt>
                <c:pt idx="15">
                  <c:v>24</c:v>
                </c:pt>
                <c:pt idx="16">
                  <c:v>44</c:v>
                </c:pt>
                <c:pt idx="17">
                  <c:v>47</c:v>
                </c:pt>
                <c:pt idx="18">
                  <c:v>29</c:v>
                </c:pt>
                <c:pt idx="19">
                  <c:v>46</c:v>
                </c:pt>
                <c:pt idx="20">
                  <c:v>67</c:v>
                </c:pt>
                <c:pt idx="21">
                  <c:v>46</c:v>
                </c:pt>
                <c:pt idx="22">
                  <c:v>54</c:v>
                </c:pt>
                <c:pt idx="23">
                  <c:v>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FE-450B-AD65-DFC9E452649E}"/>
            </c:ext>
          </c:extLst>
        </c:ser>
        <c:ser>
          <c:idx val="2"/>
          <c:order val="2"/>
          <c:tx>
            <c:strRef>
              <c:f>DeepIntent!$E$6</c:f>
              <c:strCache>
                <c:ptCount val="1"/>
                <c:pt idx="0">
                  <c:v>HCP DeepIntent Click</c:v>
                </c:pt>
              </c:strCache>
            </c:strRef>
          </c:tx>
          <c:spPr>
            <a:ln w="25400" cap="rnd">
              <a:solidFill>
                <a:schemeClr val="accent3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cat>
            <c:numRef>
              <c:f>DeepIntent!$B$7:$B$30</c:f>
              <c:numCache>
                <c:formatCode>[$-409]mmm\-yy;@</c:formatCode>
                <c:ptCount val="24"/>
                <c:pt idx="0">
                  <c:v>44228</c:v>
                </c:pt>
                <c:pt idx="1">
                  <c:v>44256</c:v>
                </c:pt>
                <c:pt idx="2">
                  <c:v>44287</c:v>
                </c:pt>
                <c:pt idx="3">
                  <c:v>44317</c:v>
                </c:pt>
                <c:pt idx="4">
                  <c:v>44348</c:v>
                </c:pt>
                <c:pt idx="5">
                  <c:v>44378</c:v>
                </c:pt>
                <c:pt idx="6">
                  <c:v>44409</c:v>
                </c:pt>
                <c:pt idx="7">
                  <c:v>44440</c:v>
                </c:pt>
                <c:pt idx="8">
                  <c:v>44470</c:v>
                </c:pt>
                <c:pt idx="9">
                  <c:v>44501</c:v>
                </c:pt>
                <c:pt idx="10">
                  <c:v>44531</c:v>
                </c:pt>
                <c:pt idx="11">
                  <c:v>44562</c:v>
                </c:pt>
                <c:pt idx="12">
                  <c:v>44593</c:v>
                </c:pt>
                <c:pt idx="13">
                  <c:v>44621</c:v>
                </c:pt>
                <c:pt idx="14">
                  <c:v>44652</c:v>
                </c:pt>
                <c:pt idx="15">
                  <c:v>44682</c:v>
                </c:pt>
                <c:pt idx="16">
                  <c:v>44713</c:v>
                </c:pt>
                <c:pt idx="17">
                  <c:v>44743</c:v>
                </c:pt>
                <c:pt idx="18">
                  <c:v>44774</c:v>
                </c:pt>
                <c:pt idx="19">
                  <c:v>44805</c:v>
                </c:pt>
                <c:pt idx="20">
                  <c:v>44835</c:v>
                </c:pt>
                <c:pt idx="21">
                  <c:v>44866</c:v>
                </c:pt>
                <c:pt idx="22">
                  <c:v>44896</c:v>
                </c:pt>
                <c:pt idx="23">
                  <c:v>44927</c:v>
                </c:pt>
              </c:numCache>
            </c:numRef>
          </c:cat>
          <c:val>
            <c:numRef>
              <c:f>DeepIntent!$E$7:$E$30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339</c:v>
                </c:pt>
                <c:pt idx="3">
                  <c:v>146</c:v>
                </c:pt>
                <c:pt idx="4">
                  <c:v>152</c:v>
                </c:pt>
                <c:pt idx="5">
                  <c:v>264</c:v>
                </c:pt>
                <c:pt idx="6">
                  <c:v>382</c:v>
                </c:pt>
                <c:pt idx="7">
                  <c:v>371</c:v>
                </c:pt>
                <c:pt idx="8">
                  <c:v>130</c:v>
                </c:pt>
                <c:pt idx="9">
                  <c:v>234</c:v>
                </c:pt>
                <c:pt idx="10">
                  <c:v>783</c:v>
                </c:pt>
                <c:pt idx="11">
                  <c:v>113</c:v>
                </c:pt>
                <c:pt idx="12">
                  <c:v>88</c:v>
                </c:pt>
                <c:pt idx="13">
                  <c:v>78</c:v>
                </c:pt>
                <c:pt idx="14">
                  <c:v>81</c:v>
                </c:pt>
                <c:pt idx="15">
                  <c:v>24</c:v>
                </c:pt>
                <c:pt idx="16">
                  <c:v>44</c:v>
                </c:pt>
                <c:pt idx="17">
                  <c:v>47</c:v>
                </c:pt>
                <c:pt idx="18">
                  <c:v>29</c:v>
                </c:pt>
                <c:pt idx="19">
                  <c:v>46</c:v>
                </c:pt>
                <c:pt idx="20">
                  <c:v>67</c:v>
                </c:pt>
                <c:pt idx="21">
                  <c:v>46</c:v>
                </c:pt>
                <c:pt idx="22">
                  <c:v>54</c:v>
                </c:pt>
                <c:pt idx="23">
                  <c:v>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5FE-450B-AD65-DFC9E45264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9773792"/>
        <c:axId val="1779776704"/>
      </c:lineChart>
      <c:dateAx>
        <c:axId val="1779773792"/>
        <c:scaling>
          <c:orientation val="minMax"/>
        </c:scaling>
        <c:delete val="0"/>
        <c:axPos val="b"/>
        <c:numFmt formatCode="[$-409]mmm\-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cap="all" spc="120" normalizeH="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9776704"/>
        <c:crosses val="autoZero"/>
        <c:auto val="1"/>
        <c:lblOffset val="100"/>
        <c:baseTimeUnit val="months"/>
      </c:dateAx>
      <c:valAx>
        <c:axId val="177977670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i="1">
                    <a:solidFill>
                      <a:schemeClr val="tx1"/>
                    </a:solidFill>
                  </a:rPr>
                  <a:t># Activity</a:t>
                </a:r>
              </a:p>
            </c:rich>
          </c:tx>
          <c:layout>
            <c:manualLayout>
              <c:xMode val="edge"/>
              <c:yMode val="edge"/>
              <c:x val="2.3037393329303494E-2"/>
              <c:y val="0.4497226238710488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1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9773792"/>
        <c:crosses val="autoZero"/>
        <c:crossBetween val="between"/>
      </c:valAx>
      <c:spPr>
        <a:noFill/>
        <a:ln>
          <a:solidFill>
            <a:schemeClr val="bg1">
              <a:lumMod val="50000"/>
            </a:schemeClr>
          </a:solidFill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EveryDayHealth!$B$2</c:f>
          <c:strCache>
            <c:ptCount val="1"/>
            <c:pt idx="0">
              <c:v>EveryDayHealth</c:v>
            </c:pt>
          </c:strCache>
        </c:strRef>
      </c:tx>
      <c:layout>
        <c:manualLayout>
          <c:xMode val="edge"/>
          <c:yMode val="edge"/>
          <c:x val="0.4708196859767339"/>
          <c:y val="2.349979483938954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1" u="sng" strike="noStrike" kern="1200" cap="all" spc="120" normalizeH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8715751983433053E-2"/>
          <c:y val="0.19915228981419675"/>
          <c:w val="0.88697107281806864"/>
          <c:h val="0.67136910537094985"/>
        </c:manualLayout>
      </c:layout>
      <c:lineChart>
        <c:grouping val="standard"/>
        <c:varyColors val="0"/>
        <c:ser>
          <c:idx val="0"/>
          <c:order val="0"/>
          <c:tx>
            <c:strRef>
              <c:f>EveryDayHealth!$C$6</c:f>
              <c:strCache>
                <c:ptCount val="1"/>
                <c:pt idx="0">
                  <c:v>HCP EveryDayHealth Delivery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cat>
            <c:numRef>
              <c:f>EveryDayHealth!$B$7:$B$30</c:f>
              <c:numCache>
                <c:formatCode>[$-409]mmm\-yy;@</c:formatCode>
                <c:ptCount val="24"/>
                <c:pt idx="0">
                  <c:v>44228</c:v>
                </c:pt>
                <c:pt idx="1">
                  <c:v>44256</c:v>
                </c:pt>
                <c:pt idx="2">
                  <c:v>44287</c:v>
                </c:pt>
                <c:pt idx="3">
                  <c:v>44317</c:v>
                </c:pt>
                <c:pt idx="4">
                  <c:v>44348</c:v>
                </c:pt>
                <c:pt idx="5">
                  <c:v>44378</c:v>
                </c:pt>
                <c:pt idx="6">
                  <c:v>44409</c:v>
                </c:pt>
                <c:pt idx="7">
                  <c:v>44440</c:v>
                </c:pt>
                <c:pt idx="8">
                  <c:v>44470</c:v>
                </c:pt>
                <c:pt idx="9">
                  <c:v>44501</c:v>
                </c:pt>
                <c:pt idx="10">
                  <c:v>44531</c:v>
                </c:pt>
                <c:pt idx="11">
                  <c:v>44562</c:v>
                </c:pt>
                <c:pt idx="12">
                  <c:v>44593</c:v>
                </c:pt>
                <c:pt idx="13">
                  <c:v>44621</c:v>
                </c:pt>
                <c:pt idx="14">
                  <c:v>44652</c:v>
                </c:pt>
                <c:pt idx="15">
                  <c:v>44682</c:v>
                </c:pt>
                <c:pt idx="16">
                  <c:v>44713</c:v>
                </c:pt>
                <c:pt idx="17">
                  <c:v>44743</c:v>
                </c:pt>
                <c:pt idx="18">
                  <c:v>44774</c:v>
                </c:pt>
                <c:pt idx="19">
                  <c:v>44805</c:v>
                </c:pt>
                <c:pt idx="20">
                  <c:v>44835</c:v>
                </c:pt>
                <c:pt idx="21">
                  <c:v>44866</c:v>
                </c:pt>
                <c:pt idx="22">
                  <c:v>44896</c:v>
                </c:pt>
                <c:pt idx="23">
                  <c:v>44927</c:v>
                </c:pt>
              </c:numCache>
            </c:numRef>
          </c:cat>
          <c:val>
            <c:numRef>
              <c:f>EveryDayHealth!$C$7:$C$30</c:f>
              <c:numCache>
                <c:formatCode>#,##0</c:formatCode>
                <c:ptCount val="24"/>
                <c:pt idx="0">
                  <c:v>1746</c:v>
                </c:pt>
                <c:pt idx="1">
                  <c:v>1547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0-40EF-A292-4EB711035786}"/>
            </c:ext>
          </c:extLst>
        </c:ser>
        <c:ser>
          <c:idx val="1"/>
          <c:order val="1"/>
          <c:tx>
            <c:strRef>
              <c:f>EveryDayHealth!$D$6</c:f>
              <c:strCache>
                <c:ptCount val="1"/>
                <c:pt idx="0">
                  <c:v>HCP EveryDayHealth Engagement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cat>
            <c:numRef>
              <c:f>EveryDayHealth!$B$7:$B$30</c:f>
              <c:numCache>
                <c:formatCode>[$-409]mmm\-yy;@</c:formatCode>
                <c:ptCount val="24"/>
                <c:pt idx="0">
                  <c:v>44228</c:v>
                </c:pt>
                <c:pt idx="1">
                  <c:v>44256</c:v>
                </c:pt>
                <c:pt idx="2">
                  <c:v>44287</c:v>
                </c:pt>
                <c:pt idx="3">
                  <c:v>44317</c:v>
                </c:pt>
                <c:pt idx="4">
                  <c:v>44348</c:v>
                </c:pt>
                <c:pt idx="5">
                  <c:v>44378</c:v>
                </c:pt>
                <c:pt idx="6">
                  <c:v>44409</c:v>
                </c:pt>
                <c:pt idx="7">
                  <c:v>44440</c:v>
                </c:pt>
                <c:pt idx="8">
                  <c:v>44470</c:v>
                </c:pt>
                <c:pt idx="9">
                  <c:v>44501</c:v>
                </c:pt>
                <c:pt idx="10">
                  <c:v>44531</c:v>
                </c:pt>
                <c:pt idx="11">
                  <c:v>44562</c:v>
                </c:pt>
                <c:pt idx="12">
                  <c:v>44593</c:v>
                </c:pt>
                <c:pt idx="13">
                  <c:v>44621</c:v>
                </c:pt>
                <c:pt idx="14">
                  <c:v>44652</c:v>
                </c:pt>
                <c:pt idx="15">
                  <c:v>44682</c:v>
                </c:pt>
                <c:pt idx="16">
                  <c:v>44713</c:v>
                </c:pt>
                <c:pt idx="17">
                  <c:v>44743</c:v>
                </c:pt>
                <c:pt idx="18">
                  <c:v>44774</c:v>
                </c:pt>
                <c:pt idx="19">
                  <c:v>44805</c:v>
                </c:pt>
                <c:pt idx="20">
                  <c:v>44835</c:v>
                </c:pt>
                <c:pt idx="21">
                  <c:v>44866</c:v>
                </c:pt>
                <c:pt idx="22">
                  <c:v>44896</c:v>
                </c:pt>
                <c:pt idx="23">
                  <c:v>44927</c:v>
                </c:pt>
              </c:numCache>
            </c:numRef>
          </c:cat>
          <c:val>
            <c:numRef>
              <c:f>EveryDayHealth!$D$7:$D$30</c:f>
              <c:numCache>
                <c:formatCode>#,##0</c:formatCode>
                <c:ptCount val="24"/>
                <c:pt idx="0">
                  <c:v>694</c:v>
                </c:pt>
                <c:pt idx="1">
                  <c:v>672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1A0-40EF-A292-4EB711035786}"/>
            </c:ext>
          </c:extLst>
        </c:ser>
        <c:ser>
          <c:idx val="2"/>
          <c:order val="2"/>
          <c:tx>
            <c:strRef>
              <c:f>EveryDayHealth!$E$6</c:f>
              <c:strCache>
                <c:ptCount val="1"/>
                <c:pt idx="0">
                  <c:v>HCP EveryDayHealth Click</c:v>
                </c:pt>
              </c:strCache>
            </c:strRef>
          </c:tx>
          <c:spPr>
            <a:ln w="25400" cap="rnd">
              <a:solidFill>
                <a:schemeClr val="accent3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cat>
            <c:numRef>
              <c:f>EveryDayHealth!$B$7:$B$30</c:f>
              <c:numCache>
                <c:formatCode>[$-409]mmm\-yy;@</c:formatCode>
                <c:ptCount val="24"/>
                <c:pt idx="0">
                  <c:v>44228</c:v>
                </c:pt>
                <c:pt idx="1">
                  <c:v>44256</c:v>
                </c:pt>
                <c:pt idx="2">
                  <c:v>44287</c:v>
                </c:pt>
                <c:pt idx="3">
                  <c:v>44317</c:v>
                </c:pt>
                <c:pt idx="4">
                  <c:v>44348</c:v>
                </c:pt>
                <c:pt idx="5">
                  <c:v>44378</c:v>
                </c:pt>
                <c:pt idx="6">
                  <c:v>44409</c:v>
                </c:pt>
                <c:pt idx="7">
                  <c:v>44440</c:v>
                </c:pt>
                <c:pt idx="8">
                  <c:v>44470</c:v>
                </c:pt>
                <c:pt idx="9">
                  <c:v>44501</c:v>
                </c:pt>
                <c:pt idx="10">
                  <c:v>44531</c:v>
                </c:pt>
                <c:pt idx="11">
                  <c:v>44562</c:v>
                </c:pt>
                <c:pt idx="12">
                  <c:v>44593</c:v>
                </c:pt>
                <c:pt idx="13">
                  <c:v>44621</c:v>
                </c:pt>
                <c:pt idx="14">
                  <c:v>44652</c:v>
                </c:pt>
                <c:pt idx="15">
                  <c:v>44682</c:v>
                </c:pt>
                <c:pt idx="16">
                  <c:v>44713</c:v>
                </c:pt>
                <c:pt idx="17">
                  <c:v>44743</c:v>
                </c:pt>
                <c:pt idx="18">
                  <c:v>44774</c:v>
                </c:pt>
                <c:pt idx="19">
                  <c:v>44805</c:v>
                </c:pt>
                <c:pt idx="20">
                  <c:v>44835</c:v>
                </c:pt>
                <c:pt idx="21">
                  <c:v>44866</c:v>
                </c:pt>
                <c:pt idx="22">
                  <c:v>44896</c:v>
                </c:pt>
                <c:pt idx="23">
                  <c:v>44927</c:v>
                </c:pt>
              </c:numCache>
            </c:numRef>
          </c:cat>
          <c:val>
            <c:numRef>
              <c:f>EveryDayHealth!$E$7:$E$30</c:f>
              <c:numCache>
                <c:formatCode>#,##0</c:formatCode>
                <c:ptCount val="24"/>
                <c:pt idx="0">
                  <c:v>8</c:v>
                </c:pt>
                <c:pt idx="1">
                  <c:v>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1A0-40EF-A292-4EB7110357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9773792"/>
        <c:axId val="1779776704"/>
      </c:lineChart>
      <c:dateAx>
        <c:axId val="1779773792"/>
        <c:scaling>
          <c:orientation val="minMax"/>
        </c:scaling>
        <c:delete val="0"/>
        <c:axPos val="b"/>
        <c:numFmt formatCode="[$-409]mmm\-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cap="all" spc="120" normalizeH="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9776704"/>
        <c:crosses val="autoZero"/>
        <c:auto val="1"/>
        <c:lblOffset val="100"/>
        <c:baseTimeUnit val="months"/>
      </c:dateAx>
      <c:valAx>
        <c:axId val="177977670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i="1">
                    <a:solidFill>
                      <a:schemeClr val="tx1"/>
                    </a:solidFill>
                  </a:rPr>
                  <a:t># Activity</a:t>
                </a:r>
              </a:p>
            </c:rich>
          </c:tx>
          <c:layout>
            <c:manualLayout>
              <c:xMode val="edge"/>
              <c:yMode val="edge"/>
              <c:x val="2.3037393329303494E-2"/>
              <c:y val="0.4497226238710488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1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9773792"/>
        <c:crosses val="autoZero"/>
        <c:crossBetween val="between"/>
      </c:valAx>
      <c:spPr>
        <a:noFill/>
        <a:ln>
          <a:solidFill>
            <a:schemeClr val="bg1">
              <a:lumMod val="50000"/>
            </a:schemeClr>
          </a:solidFill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Nexgen!$B$2</c:f>
          <c:strCache>
            <c:ptCount val="1"/>
            <c:pt idx="0">
              <c:v>Nexgen</c:v>
            </c:pt>
          </c:strCache>
        </c:strRef>
      </c:tx>
      <c:layout>
        <c:manualLayout>
          <c:xMode val="edge"/>
          <c:yMode val="edge"/>
          <c:x val="0.4708196859767339"/>
          <c:y val="2.349979483938954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1" u="sng" strike="noStrike" kern="1200" cap="all" spc="120" normalizeH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8715751983433053E-2"/>
          <c:y val="0.19915228981419675"/>
          <c:w val="0.88697107281806864"/>
          <c:h val="0.67136910537094985"/>
        </c:manualLayout>
      </c:layout>
      <c:lineChart>
        <c:grouping val="standard"/>
        <c:varyColors val="0"/>
        <c:ser>
          <c:idx val="0"/>
          <c:order val="0"/>
          <c:tx>
            <c:strRef>
              <c:f>Nexgen!$C$6</c:f>
              <c:strCache>
                <c:ptCount val="1"/>
                <c:pt idx="0">
                  <c:v>HCP Nexgen Delivery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cat>
            <c:numRef>
              <c:f>Nexgen!$B$7:$B$30</c:f>
              <c:numCache>
                <c:formatCode>[$-409]mmm\-yy;@</c:formatCode>
                <c:ptCount val="24"/>
                <c:pt idx="0">
                  <c:v>44228</c:v>
                </c:pt>
                <c:pt idx="1">
                  <c:v>44256</c:v>
                </c:pt>
                <c:pt idx="2">
                  <c:v>44287</c:v>
                </c:pt>
                <c:pt idx="3">
                  <c:v>44317</c:v>
                </c:pt>
                <c:pt idx="4">
                  <c:v>44348</c:v>
                </c:pt>
                <c:pt idx="5">
                  <c:v>44378</c:v>
                </c:pt>
                <c:pt idx="6">
                  <c:v>44409</c:v>
                </c:pt>
                <c:pt idx="7">
                  <c:v>44440</c:v>
                </c:pt>
                <c:pt idx="8">
                  <c:v>44470</c:v>
                </c:pt>
                <c:pt idx="9">
                  <c:v>44501</c:v>
                </c:pt>
                <c:pt idx="10">
                  <c:v>44531</c:v>
                </c:pt>
                <c:pt idx="11">
                  <c:v>44562</c:v>
                </c:pt>
                <c:pt idx="12">
                  <c:v>44593</c:v>
                </c:pt>
                <c:pt idx="13">
                  <c:v>44621</c:v>
                </c:pt>
                <c:pt idx="14">
                  <c:v>44652</c:v>
                </c:pt>
                <c:pt idx="15">
                  <c:v>44682</c:v>
                </c:pt>
                <c:pt idx="16">
                  <c:v>44713</c:v>
                </c:pt>
                <c:pt idx="17">
                  <c:v>44743</c:v>
                </c:pt>
                <c:pt idx="18">
                  <c:v>44774</c:v>
                </c:pt>
                <c:pt idx="19">
                  <c:v>44805</c:v>
                </c:pt>
                <c:pt idx="20">
                  <c:v>44835</c:v>
                </c:pt>
                <c:pt idx="21">
                  <c:v>44866</c:v>
                </c:pt>
                <c:pt idx="22">
                  <c:v>44896</c:v>
                </c:pt>
                <c:pt idx="23">
                  <c:v>44927</c:v>
                </c:pt>
              </c:numCache>
            </c:numRef>
          </c:cat>
          <c:val>
            <c:numRef>
              <c:f>Nexgen!$C$7:$C$30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16789</c:v>
                </c:pt>
                <c:pt idx="4">
                  <c:v>97445</c:v>
                </c:pt>
                <c:pt idx="5">
                  <c:v>67018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B9-4444-A5E3-0173921F8F27}"/>
            </c:ext>
          </c:extLst>
        </c:ser>
        <c:ser>
          <c:idx val="1"/>
          <c:order val="1"/>
          <c:tx>
            <c:strRef>
              <c:f>Nexgen!$D$6</c:f>
              <c:strCache>
                <c:ptCount val="1"/>
                <c:pt idx="0">
                  <c:v>HCP Nexgen Engagement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cat>
            <c:numRef>
              <c:f>Nexgen!$B$7:$B$30</c:f>
              <c:numCache>
                <c:formatCode>[$-409]mmm\-yy;@</c:formatCode>
                <c:ptCount val="24"/>
                <c:pt idx="0">
                  <c:v>44228</c:v>
                </c:pt>
                <c:pt idx="1">
                  <c:v>44256</c:v>
                </c:pt>
                <c:pt idx="2">
                  <c:v>44287</c:v>
                </c:pt>
                <c:pt idx="3">
                  <c:v>44317</c:v>
                </c:pt>
                <c:pt idx="4">
                  <c:v>44348</c:v>
                </c:pt>
                <c:pt idx="5">
                  <c:v>44378</c:v>
                </c:pt>
                <c:pt idx="6">
                  <c:v>44409</c:v>
                </c:pt>
                <c:pt idx="7">
                  <c:v>44440</c:v>
                </c:pt>
                <c:pt idx="8">
                  <c:v>44470</c:v>
                </c:pt>
                <c:pt idx="9">
                  <c:v>44501</c:v>
                </c:pt>
                <c:pt idx="10">
                  <c:v>44531</c:v>
                </c:pt>
                <c:pt idx="11">
                  <c:v>44562</c:v>
                </c:pt>
                <c:pt idx="12">
                  <c:v>44593</c:v>
                </c:pt>
                <c:pt idx="13">
                  <c:v>44621</c:v>
                </c:pt>
                <c:pt idx="14">
                  <c:v>44652</c:v>
                </c:pt>
                <c:pt idx="15">
                  <c:v>44682</c:v>
                </c:pt>
                <c:pt idx="16">
                  <c:v>44713</c:v>
                </c:pt>
                <c:pt idx="17">
                  <c:v>44743</c:v>
                </c:pt>
                <c:pt idx="18">
                  <c:v>44774</c:v>
                </c:pt>
                <c:pt idx="19">
                  <c:v>44805</c:v>
                </c:pt>
                <c:pt idx="20">
                  <c:v>44835</c:v>
                </c:pt>
                <c:pt idx="21">
                  <c:v>44866</c:v>
                </c:pt>
                <c:pt idx="22">
                  <c:v>44896</c:v>
                </c:pt>
                <c:pt idx="23">
                  <c:v>44927</c:v>
                </c:pt>
              </c:numCache>
            </c:numRef>
          </c:cat>
          <c:val>
            <c:numRef>
              <c:f>Nexgen!$D$7:$D$30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628</c:v>
                </c:pt>
                <c:pt idx="4">
                  <c:v>2653</c:v>
                </c:pt>
                <c:pt idx="5">
                  <c:v>1047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B9-4444-A5E3-0173921F8F27}"/>
            </c:ext>
          </c:extLst>
        </c:ser>
        <c:ser>
          <c:idx val="2"/>
          <c:order val="2"/>
          <c:tx>
            <c:strRef>
              <c:f>Nexgen!$E$6</c:f>
              <c:strCache>
                <c:ptCount val="1"/>
                <c:pt idx="0">
                  <c:v>HCP Nexgen Click</c:v>
                </c:pt>
              </c:strCache>
            </c:strRef>
          </c:tx>
          <c:spPr>
            <a:ln w="25400" cap="rnd">
              <a:solidFill>
                <a:schemeClr val="accent3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cat>
            <c:numRef>
              <c:f>Nexgen!$B$7:$B$30</c:f>
              <c:numCache>
                <c:formatCode>[$-409]mmm\-yy;@</c:formatCode>
                <c:ptCount val="24"/>
                <c:pt idx="0">
                  <c:v>44228</c:v>
                </c:pt>
                <c:pt idx="1">
                  <c:v>44256</c:v>
                </c:pt>
                <c:pt idx="2">
                  <c:v>44287</c:v>
                </c:pt>
                <c:pt idx="3">
                  <c:v>44317</c:v>
                </c:pt>
                <c:pt idx="4">
                  <c:v>44348</c:v>
                </c:pt>
                <c:pt idx="5">
                  <c:v>44378</c:v>
                </c:pt>
                <c:pt idx="6">
                  <c:v>44409</c:v>
                </c:pt>
                <c:pt idx="7">
                  <c:v>44440</c:v>
                </c:pt>
                <c:pt idx="8">
                  <c:v>44470</c:v>
                </c:pt>
                <c:pt idx="9">
                  <c:v>44501</c:v>
                </c:pt>
                <c:pt idx="10">
                  <c:v>44531</c:v>
                </c:pt>
                <c:pt idx="11">
                  <c:v>44562</c:v>
                </c:pt>
                <c:pt idx="12">
                  <c:v>44593</c:v>
                </c:pt>
                <c:pt idx="13">
                  <c:v>44621</c:v>
                </c:pt>
                <c:pt idx="14">
                  <c:v>44652</c:v>
                </c:pt>
                <c:pt idx="15">
                  <c:v>44682</c:v>
                </c:pt>
                <c:pt idx="16">
                  <c:v>44713</c:v>
                </c:pt>
                <c:pt idx="17">
                  <c:v>44743</c:v>
                </c:pt>
                <c:pt idx="18">
                  <c:v>44774</c:v>
                </c:pt>
                <c:pt idx="19">
                  <c:v>44805</c:v>
                </c:pt>
                <c:pt idx="20">
                  <c:v>44835</c:v>
                </c:pt>
                <c:pt idx="21">
                  <c:v>44866</c:v>
                </c:pt>
                <c:pt idx="22">
                  <c:v>44896</c:v>
                </c:pt>
                <c:pt idx="23">
                  <c:v>44927</c:v>
                </c:pt>
              </c:numCache>
            </c:numRef>
          </c:cat>
          <c:val>
            <c:numRef>
              <c:f>Nexgen!$E$7:$E$30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271</c:v>
                </c:pt>
                <c:pt idx="4">
                  <c:v>1112</c:v>
                </c:pt>
                <c:pt idx="5">
                  <c:v>140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FB9-4444-A5E3-0173921F8F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9773792"/>
        <c:axId val="1779776704"/>
      </c:lineChart>
      <c:dateAx>
        <c:axId val="1779773792"/>
        <c:scaling>
          <c:orientation val="minMax"/>
        </c:scaling>
        <c:delete val="0"/>
        <c:axPos val="b"/>
        <c:numFmt formatCode="[$-409]mmm\-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cap="all" spc="120" normalizeH="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9776704"/>
        <c:crosses val="autoZero"/>
        <c:auto val="1"/>
        <c:lblOffset val="100"/>
        <c:baseTimeUnit val="months"/>
      </c:dateAx>
      <c:valAx>
        <c:axId val="177977670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i="1">
                    <a:solidFill>
                      <a:schemeClr val="tx1"/>
                    </a:solidFill>
                  </a:rPr>
                  <a:t># Activity</a:t>
                </a:r>
              </a:p>
            </c:rich>
          </c:tx>
          <c:layout>
            <c:manualLayout>
              <c:xMode val="edge"/>
              <c:yMode val="edge"/>
              <c:x val="2.3037393329303494E-2"/>
              <c:y val="0.4497226238710488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1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9773792"/>
        <c:crosses val="autoZero"/>
        <c:crossBetween val="between"/>
      </c:valAx>
      <c:spPr>
        <a:noFill/>
        <a:ln>
          <a:solidFill>
            <a:schemeClr val="bg1">
              <a:lumMod val="50000"/>
            </a:schemeClr>
          </a:solidFill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283632</xdr:colOff>
      <xdr:row>2</xdr:row>
      <xdr:rowOff>180816</xdr:rowOff>
    </xdr:from>
    <xdr:to>
      <xdr:col>18</xdr:col>
      <xdr:colOff>592667</xdr:colOff>
      <xdr:row>34</xdr:row>
      <xdr:rowOff>21165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2248952-8DA9-4A67-8A5B-757BBACC8D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506637</xdr:colOff>
      <xdr:row>4</xdr:row>
      <xdr:rowOff>12700</xdr:rowOff>
    </xdr:from>
    <xdr:to>
      <xdr:col>22</xdr:col>
      <xdr:colOff>598715</xdr:colOff>
      <xdr:row>27</xdr:row>
      <xdr:rowOff>163285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9C356B5-30E0-4DD3-9FE5-EE8F9C40DF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536408</xdr:colOff>
      <xdr:row>14</xdr:row>
      <xdr:rowOff>100264</xdr:rowOff>
    </xdr:from>
    <xdr:to>
      <xdr:col>12</xdr:col>
      <xdr:colOff>536408</xdr:colOff>
      <xdr:row>14</xdr:row>
      <xdr:rowOff>105277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F6EBB134-2622-D922-1A6D-B166619C2F97}"/>
            </a:ext>
          </a:extLst>
        </xdr:cNvPr>
        <xdr:cNvCxnSpPr/>
      </xdr:nvCxnSpPr>
      <xdr:spPr>
        <a:xfrm>
          <a:off x="10753224" y="2526632"/>
          <a:ext cx="0" cy="5013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</xdr:colOff>
      <xdr:row>3</xdr:row>
      <xdr:rowOff>9072</xdr:rowOff>
    </xdr:from>
    <xdr:to>
      <xdr:col>23</xdr:col>
      <xdr:colOff>598715</xdr:colOff>
      <xdr:row>28</xdr:row>
      <xdr:rowOff>163285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A3DD850-7F86-4ED0-8B20-0F6779860B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1047750</xdr:colOff>
      <xdr:row>3</xdr:row>
      <xdr:rowOff>12247</xdr:rowOff>
    </xdr:from>
    <xdr:to>
      <xdr:col>23</xdr:col>
      <xdr:colOff>601890</xdr:colOff>
      <xdr:row>28</xdr:row>
      <xdr:rowOff>160110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474A58-F6A7-42B7-9EF7-57FB62058E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506637</xdr:colOff>
      <xdr:row>3</xdr:row>
      <xdr:rowOff>9072</xdr:rowOff>
    </xdr:from>
    <xdr:to>
      <xdr:col>23</xdr:col>
      <xdr:colOff>598715</xdr:colOff>
      <xdr:row>28</xdr:row>
      <xdr:rowOff>163285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9AE0BAB-0E3C-4997-B26F-A6E23EF577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506637</xdr:colOff>
      <xdr:row>3</xdr:row>
      <xdr:rowOff>9072</xdr:rowOff>
    </xdr:from>
    <xdr:to>
      <xdr:col>23</xdr:col>
      <xdr:colOff>598715</xdr:colOff>
      <xdr:row>28</xdr:row>
      <xdr:rowOff>163285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41B9AFF-2525-486D-AF68-5E07D49F9C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506637</xdr:colOff>
      <xdr:row>3</xdr:row>
      <xdr:rowOff>9072</xdr:rowOff>
    </xdr:from>
    <xdr:to>
      <xdr:col>23</xdr:col>
      <xdr:colOff>598715</xdr:colOff>
      <xdr:row>28</xdr:row>
      <xdr:rowOff>163285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0AF5970-E240-47FE-BE63-5BB544B826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506637</xdr:colOff>
      <xdr:row>3</xdr:row>
      <xdr:rowOff>9072</xdr:rowOff>
    </xdr:from>
    <xdr:to>
      <xdr:col>23</xdr:col>
      <xdr:colOff>598715</xdr:colOff>
      <xdr:row>28</xdr:row>
      <xdr:rowOff>163285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CFB72B-33DA-476A-8746-32D2A65491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506637</xdr:colOff>
      <xdr:row>3</xdr:row>
      <xdr:rowOff>9072</xdr:rowOff>
    </xdr:from>
    <xdr:to>
      <xdr:col>23</xdr:col>
      <xdr:colOff>598715</xdr:colOff>
      <xdr:row>28</xdr:row>
      <xdr:rowOff>163285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F038162-128A-48A9-AA57-932EACF3C7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506637</xdr:colOff>
      <xdr:row>3</xdr:row>
      <xdr:rowOff>9072</xdr:rowOff>
    </xdr:from>
    <xdr:to>
      <xdr:col>23</xdr:col>
      <xdr:colOff>598715</xdr:colOff>
      <xdr:row>28</xdr:row>
      <xdr:rowOff>163285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BE3A856-138F-4393-8188-5445EF0565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561975</xdr:colOff>
      <xdr:row>0</xdr:row>
      <xdr:rowOff>0</xdr:rowOff>
    </xdr:from>
    <xdr:to>
      <xdr:col>14</xdr:col>
      <xdr:colOff>371475</xdr:colOff>
      <xdr:row>11</xdr:row>
      <xdr:rowOff>142875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AD5A2B8-878A-4015-8586-75C3517137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37725" y="0"/>
          <a:ext cx="2247900" cy="2168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12700</xdr:colOff>
      <xdr:row>12</xdr:row>
      <xdr:rowOff>158750</xdr:rowOff>
    </xdr:from>
    <xdr:to>
      <xdr:col>14</xdr:col>
      <xdr:colOff>431800</xdr:colOff>
      <xdr:row>24</xdr:row>
      <xdr:rowOff>117475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EAE20A0-B591-49F9-AD59-435C1852C0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98050" y="2368550"/>
          <a:ext cx="2247900" cy="2168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381001</xdr:colOff>
      <xdr:row>3</xdr:row>
      <xdr:rowOff>9071</xdr:rowOff>
    </xdr:from>
    <xdr:to>
      <xdr:col>16</xdr:col>
      <xdr:colOff>344715</xdr:colOff>
      <xdr:row>11</xdr:row>
      <xdr:rowOff>126999</xdr:rowOff>
    </xdr:to>
    <xdr:sp macro="" textlink="">
      <xdr:nvSpPr>
        <xdr:cNvPr id="2" name="Flowchart: Connector 1">
          <a:extLst>
            <a:ext uri="{FF2B5EF4-FFF2-40B4-BE49-F238E27FC236}">
              <a16:creationId xmlns:a16="http://schemas.microsoft.com/office/drawing/2014/main" id="{96B7D760-948A-4C3B-BFF6-A2D7DB3CAF4A}"/>
            </a:ext>
          </a:extLst>
        </xdr:cNvPr>
        <xdr:cNvSpPr/>
      </xdr:nvSpPr>
      <xdr:spPr>
        <a:xfrm>
          <a:off x="11677651" y="764721"/>
          <a:ext cx="1792514" cy="1568903"/>
        </a:xfrm>
        <a:prstGeom prst="flowChartConnector">
          <a:avLst/>
        </a:prstGeom>
        <a:solidFill>
          <a:schemeClr val="accent4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263071</xdr:colOff>
      <xdr:row>3</xdr:row>
      <xdr:rowOff>9071</xdr:rowOff>
    </xdr:from>
    <xdr:to>
      <xdr:col>18</xdr:col>
      <xdr:colOff>344714</xdr:colOff>
      <xdr:row>11</xdr:row>
      <xdr:rowOff>154214</xdr:rowOff>
    </xdr:to>
    <xdr:sp macro="" textlink="">
      <xdr:nvSpPr>
        <xdr:cNvPr id="3" name="Flowchart: Connector 2">
          <a:extLst>
            <a:ext uri="{FF2B5EF4-FFF2-40B4-BE49-F238E27FC236}">
              <a16:creationId xmlns:a16="http://schemas.microsoft.com/office/drawing/2014/main" id="{046151FC-113E-4DBB-914E-39B9EAC97233}"/>
            </a:ext>
          </a:extLst>
        </xdr:cNvPr>
        <xdr:cNvSpPr/>
      </xdr:nvSpPr>
      <xdr:spPr>
        <a:xfrm>
          <a:off x="12775746" y="764721"/>
          <a:ext cx="1913618" cy="1599293"/>
        </a:xfrm>
        <a:prstGeom prst="flowChartConnector">
          <a:avLst/>
        </a:prstGeom>
        <a:solidFill>
          <a:schemeClr val="accent6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371930</xdr:colOff>
      <xdr:row>6</xdr:row>
      <xdr:rowOff>136071</xdr:rowOff>
    </xdr:from>
    <xdr:to>
      <xdr:col>17</xdr:col>
      <xdr:colOff>399144</xdr:colOff>
      <xdr:row>14</xdr:row>
      <xdr:rowOff>154212</xdr:rowOff>
    </xdr:to>
    <xdr:sp macro="" textlink="">
      <xdr:nvSpPr>
        <xdr:cNvPr id="4" name="Flowchart: Connector 3">
          <a:extLst>
            <a:ext uri="{FF2B5EF4-FFF2-40B4-BE49-F238E27FC236}">
              <a16:creationId xmlns:a16="http://schemas.microsoft.com/office/drawing/2014/main" id="{302A237B-6AE5-41CD-AA7A-372C6ED85DB5}"/>
            </a:ext>
          </a:extLst>
        </xdr:cNvPr>
        <xdr:cNvSpPr/>
      </xdr:nvSpPr>
      <xdr:spPr>
        <a:xfrm>
          <a:off x="12275005" y="1440996"/>
          <a:ext cx="1859189" cy="1475466"/>
        </a:xfrm>
        <a:prstGeom prst="flowChartConnector">
          <a:avLst/>
        </a:prstGeom>
        <a:solidFill>
          <a:schemeClr val="accent5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281215</xdr:colOff>
      <xdr:row>2</xdr:row>
      <xdr:rowOff>54429</xdr:rowOff>
    </xdr:from>
    <xdr:to>
      <xdr:col>14</xdr:col>
      <xdr:colOff>335645</xdr:colOff>
      <xdr:row>3</xdr:row>
      <xdr:rowOff>136071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1F03AA0C-70CB-4B36-B773-28CB0A53F65F}"/>
            </a:ext>
          </a:extLst>
        </xdr:cNvPr>
        <xdr:cNvSpPr/>
      </xdr:nvSpPr>
      <xdr:spPr>
        <a:xfrm>
          <a:off x="11574690" y="616404"/>
          <a:ext cx="664030" cy="272142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NPP</a:t>
          </a:r>
        </a:p>
      </xdr:txBody>
    </xdr:sp>
    <xdr:clientData/>
  </xdr:twoCellAnchor>
  <xdr:twoCellAnchor>
    <xdr:from>
      <xdr:col>17</xdr:col>
      <xdr:colOff>489859</xdr:colOff>
      <xdr:row>2</xdr:row>
      <xdr:rowOff>45356</xdr:rowOff>
    </xdr:from>
    <xdr:to>
      <xdr:col>18</xdr:col>
      <xdr:colOff>544287</xdr:colOff>
      <xdr:row>3</xdr:row>
      <xdr:rowOff>126998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F0D1A15E-309A-446B-BC8A-711B1DC61840}"/>
            </a:ext>
          </a:extLst>
        </xdr:cNvPr>
        <xdr:cNvSpPr/>
      </xdr:nvSpPr>
      <xdr:spPr>
        <a:xfrm>
          <a:off x="14221734" y="610506"/>
          <a:ext cx="664028" cy="265792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6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PP</a:t>
          </a:r>
        </a:p>
      </xdr:txBody>
    </xdr:sp>
    <xdr:clientData/>
  </xdr:twoCellAnchor>
  <xdr:twoCellAnchor>
    <xdr:from>
      <xdr:col>15</xdr:col>
      <xdr:colOff>399143</xdr:colOff>
      <xdr:row>15</xdr:row>
      <xdr:rowOff>27214</xdr:rowOff>
    </xdr:from>
    <xdr:to>
      <xdr:col>16</xdr:col>
      <xdr:colOff>453572</xdr:colOff>
      <xdr:row>16</xdr:row>
      <xdr:rowOff>117928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EDAC3EE3-4FC4-4048-97F4-62BDD81682EA}"/>
            </a:ext>
          </a:extLst>
        </xdr:cNvPr>
        <xdr:cNvSpPr/>
      </xdr:nvSpPr>
      <xdr:spPr>
        <a:xfrm>
          <a:off x="12914993" y="2973614"/>
          <a:ext cx="660854" cy="271689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5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Sales</a:t>
          </a:r>
        </a:p>
      </xdr:txBody>
    </xdr:sp>
    <xdr:clientData/>
  </xdr:twoCellAnchor>
  <xdr:twoCellAnchor>
    <xdr:from>
      <xdr:col>15</xdr:col>
      <xdr:colOff>362857</xdr:colOff>
      <xdr:row>12</xdr:row>
      <xdr:rowOff>-1</xdr:rowOff>
    </xdr:from>
    <xdr:to>
      <xdr:col>16</xdr:col>
      <xdr:colOff>417286</xdr:colOff>
      <xdr:row>13</xdr:row>
      <xdr:rowOff>99785</xdr:rowOff>
    </xdr:to>
    <xdr:sp macro="" textlink="$E$9">
      <xdr:nvSpPr>
        <xdr:cNvPr id="8" name="Rectangle 7">
          <a:extLst>
            <a:ext uri="{FF2B5EF4-FFF2-40B4-BE49-F238E27FC236}">
              <a16:creationId xmlns:a16="http://schemas.microsoft.com/office/drawing/2014/main" id="{1C61AFA5-BF04-4CD8-89E2-325969DD4E27}"/>
            </a:ext>
          </a:extLst>
        </xdr:cNvPr>
        <xdr:cNvSpPr/>
      </xdr:nvSpPr>
      <xdr:spPr>
        <a:xfrm>
          <a:off x="12878707" y="2400299"/>
          <a:ext cx="664029" cy="283936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fld id="{0C39898C-F0C9-45F5-8442-601D6D27767C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16,934 </a:t>
          </a:fld>
          <a:endParaRPr lang="en-US" sz="1100" b="1" i="1"/>
        </a:p>
      </xdr:txBody>
    </xdr:sp>
    <xdr:clientData/>
  </xdr:twoCellAnchor>
  <xdr:twoCellAnchor>
    <xdr:from>
      <xdr:col>14</xdr:col>
      <xdr:colOff>99787</xdr:colOff>
      <xdr:row>5</xdr:row>
      <xdr:rowOff>45356</xdr:rowOff>
    </xdr:from>
    <xdr:to>
      <xdr:col>15</xdr:col>
      <xdr:colOff>154217</xdr:colOff>
      <xdr:row>6</xdr:row>
      <xdr:rowOff>145141</xdr:rowOff>
    </xdr:to>
    <xdr:sp macro="" textlink="$E$6">
      <xdr:nvSpPr>
        <xdr:cNvPr id="9" name="Rectangle 8">
          <a:extLst>
            <a:ext uri="{FF2B5EF4-FFF2-40B4-BE49-F238E27FC236}">
              <a16:creationId xmlns:a16="http://schemas.microsoft.com/office/drawing/2014/main" id="{DC9455A8-CDB8-474F-9832-6D5F8D2E882F}"/>
            </a:ext>
          </a:extLst>
        </xdr:cNvPr>
        <xdr:cNvSpPr/>
      </xdr:nvSpPr>
      <xdr:spPr>
        <a:xfrm>
          <a:off x="12009212" y="1172481"/>
          <a:ext cx="660855" cy="27441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fld id="{8AF55734-D90C-46F3-9538-1707C4FD9769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45,341 </a:t>
          </a:fld>
          <a:endParaRPr lang="en-US" sz="1100" b="1" i="1"/>
        </a:p>
      </xdr:txBody>
    </xdr:sp>
    <xdr:clientData/>
  </xdr:twoCellAnchor>
  <xdr:twoCellAnchor>
    <xdr:from>
      <xdr:col>17</xdr:col>
      <xdr:colOff>36286</xdr:colOff>
      <xdr:row>5</xdr:row>
      <xdr:rowOff>27214</xdr:rowOff>
    </xdr:from>
    <xdr:to>
      <xdr:col>18</xdr:col>
      <xdr:colOff>90716</xdr:colOff>
      <xdr:row>6</xdr:row>
      <xdr:rowOff>126999</xdr:rowOff>
    </xdr:to>
    <xdr:sp macro="" textlink="$E$7">
      <xdr:nvSpPr>
        <xdr:cNvPr id="10" name="Rectangle 9">
          <a:extLst>
            <a:ext uri="{FF2B5EF4-FFF2-40B4-BE49-F238E27FC236}">
              <a16:creationId xmlns:a16="http://schemas.microsoft.com/office/drawing/2014/main" id="{EB67E823-B999-4138-9FD1-FD9111DFF679}"/>
            </a:ext>
          </a:extLst>
        </xdr:cNvPr>
        <xdr:cNvSpPr/>
      </xdr:nvSpPr>
      <xdr:spPr>
        <a:xfrm>
          <a:off x="13771336" y="1154339"/>
          <a:ext cx="660855" cy="27441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fld id="{0D51665B-A9A5-4A21-8E3A-25C2CE18AA62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38,726 </a:t>
          </a:fld>
          <a:endParaRPr lang="en-US" sz="1100" b="1" i="1"/>
        </a:p>
      </xdr:txBody>
    </xdr:sp>
    <xdr:clientData/>
  </xdr:twoCellAnchor>
  <xdr:twoCellAnchor>
    <xdr:from>
      <xdr:col>16</xdr:col>
      <xdr:colOff>263071</xdr:colOff>
      <xdr:row>8</xdr:row>
      <xdr:rowOff>172358</xdr:rowOff>
    </xdr:from>
    <xdr:to>
      <xdr:col>17</xdr:col>
      <xdr:colOff>317502</xdr:colOff>
      <xdr:row>10</xdr:row>
      <xdr:rowOff>99786</xdr:rowOff>
    </xdr:to>
    <xdr:sp macro="" textlink="$E$11">
      <xdr:nvSpPr>
        <xdr:cNvPr id="11" name="Rectangle 10">
          <a:extLst>
            <a:ext uri="{FF2B5EF4-FFF2-40B4-BE49-F238E27FC236}">
              <a16:creationId xmlns:a16="http://schemas.microsoft.com/office/drawing/2014/main" id="{060153E8-8CB9-46FE-8690-45C81AC454E5}"/>
            </a:ext>
          </a:extLst>
        </xdr:cNvPr>
        <xdr:cNvSpPr/>
      </xdr:nvSpPr>
      <xdr:spPr>
        <a:xfrm>
          <a:off x="13385346" y="1839233"/>
          <a:ext cx="664031" cy="292553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fld id="{7B71BE78-987E-48FC-936A-68834C7C59E1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4,367 </a:t>
          </a:fld>
          <a:endParaRPr lang="en-US" sz="1100" b="1" i="1"/>
        </a:p>
      </xdr:txBody>
    </xdr:sp>
    <xdr:clientData/>
  </xdr:twoCellAnchor>
  <xdr:twoCellAnchor>
    <xdr:from>
      <xdr:col>14</xdr:col>
      <xdr:colOff>399144</xdr:colOff>
      <xdr:row>9</xdr:row>
      <xdr:rowOff>36287</xdr:rowOff>
    </xdr:from>
    <xdr:to>
      <xdr:col>15</xdr:col>
      <xdr:colOff>453572</xdr:colOff>
      <xdr:row>10</xdr:row>
      <xdr:rowOff>136071</xdr:rowOff>
    </xdr:to>
    <xdr:sp macro="" textlink="$E$10">
      <xdr:nvSpPr>
        <xdr:cNvPr id="12" name="Rectangle 11">
          <a:extLst>
            <a:ext uri="{FF2B5EF4-FFF2-40B4-BE49-F238E27FC236}">
              <a16:creationId xmlns:a16="http://schemas.microsoft.com/office/drawing/2014/main" id="{FEB9E535-B946-433B-BD13-FCC3A538AD2D}"/>
            </a:ext>
          </a:extLst>
        </xdr:cNvPr>
        <xdr:cNvSpPr/>
      </xdr:nvSpPr>
      <xdr:spPr>
        <a:xfrm>
          <a:off x="12305394" y="1884137"/>
          <a:ext cx="660853" cy="280759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fld id="{D74FDB0C-0B5F-4279-8A0C-2E507D5B8C74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22,767 </a:t>
          </a:fld>
          <a:endParaRPr lang="en-US" sz="1100" b="1" i="1"/>
        </a:p>
      </xdr:txBody>
    </xdr:sp>
    <xdr:clientData/>
  </xdr:twoCellAnchor>
  <xdr:twoCellAnchor>
    <xdr:from>
      <xdr:col>15</xdr:col>
      <xdr:colOff>297543</xdr:colOff>
      <xdr:row>7</xdr:row>
      <xdr:rowOff>43543</xdr:rowOff>
    </xdr:from>
    <xdr:to>
      <xdr:col>16</xdr:col>
      <xdr:colOff>351972</xdr:colOff>
      <xdr:row>8</xdr:row>
      <xdr:rowOff>143329</xdr:rowOff>
    </xdr:to>
    <xdr:sp macro="" textlink="$E$12">
      <xdr:nvSpPr>
        <xdr:cNvPr id="13" name="Rectangle 12">
          <a:extLst>
            <a:ext uri="{FF2B5EF4-FFF2-40B4-BE49-F238E27FC236}">
              <a16:creationId xmlns:a16="http://schemas.microsoft.com/office/drawing/2014/main" id="{2F5B8816-6919-4474-89D0-048D07982F78}"/>
            </a:ext>
          </a:extLst>
        </xdr:cNvPr>
        <xdr:cNvSpPr/>
      </xdr:nvSpPr>
      <xdr:spPr>
        <a:xfrm>
          <a:off x="12810218" y="1532618"/>
          <a:ext cx="670379" cy="27441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fld id="{F11A1DCC-0B65-46A1-B9AC-25BEC0E454FB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29,103 </a:t>
          </a:fld>
          <a:endParaRPr lang="en-US" sz="1100" b="1" i="1"/>
        </a:p>
      </xdr:txBody>
    </xdr:sp>
    <xdr:clientData/>
  </xdr:twoCellAnchor>
  <xdr:twoCellAnchor>
    <xdr:from>
      <xdr:col>15</xdr:col>
      <xdr:colOff>272141</xdr:colOff>
      <xdr:row>5</xdr:row>
      <xdr:rowOff>0</xdr:rowOff>
    </xdr:from>
    <xdr:to>
      <xdr:col>16</xdr:col>
      <xdr:colOff>326572</xdr:colOff>
      <xdr:row>6</xdr:row>
      <xdr:rowOff>99785</xdr:rowOff>
    </xdr:to>
    <xdr:sp macro="" textlink="$E$8">
      <xdr:nvSpPr>
        <xdr:cNvPr id="14" name="Rectangle 13">
          <a:extLst>
            <a:ext uri="{FF2B5EF4-FFF2-40B4-BE49-F238E27FC236}">
              <a16:creationId xmlns:a16="http://schemas.microsoft.com/office/drawing/2014/main" id="{F18EA583-DCB2-429F-9EBE-8A00EBF5473A}"/>
            </a:ext>
          </a:extLst>
        </xdr:cNvPr>
        <xdr:cNvSpPr/>
      </xdr:nvSpPr>
      <xdr:spPr>
        <a:xfrm>
          <a:off x="12791166" y="1123950"/>
          <a:ext cx="660856" cy="28393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fld id="{7D37CBB9-44FF-4D53-9F5D-7A88BD8C07FA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21,165 </a:t>
          </a:fld>
          <a:endParaRPr lang="en-US" sz="1100" b="1" i="1"/>
        </a:p>
      </xdr:txBody>
    </xdr:sp>
    <xdr:clientData/>
  </xdr:twoCellAnchor>
  <xdr:twoCellAnchor>
    <xdr:from>
      <xdr:col>13</xdr:col>
      <xdr:colOff>571501</xdr:colOff>
      <xdr:row>19</xdr:row>
      <xdr:rowOff>81643</xdr:rowOff>
    </xdr:from>
    <xdr:to>
      <xdr:col>16</xdr:col>
      <xdr:colOff>535215</xdr:colOff>
      <xdr:row>28</xdr:row>
      <xdr:rowOff>9071</xdr:rowOff>
    </xdr:to>
    <xdr:sp macro="" textlink="">
      <xdr:nvSpPr>
        <xdr:cNvPr id="15" name="Flowchart: Connector 14">
          <a:extLst>
            <a:ext uri="{FF2B5EF4-FFF2-40B4-BE49-F238E27FC236}">
              <a16:creationId xmlns:a16="http://schemas.microsoft.com/office/drawing/2014/main" id="{1D936C3B-121C-41A0-8E2C-2DC477DCCA75}"/>
            </a:ext>
          </a:extLst>
        </xdr:cNvPr>
        <xdr:cNvSpPr/>
      </xdr:nvSpPr>
      <xdr:spPr>
        <a:xfrm>
          <a:off x="11868151" y="3751943"/>
          <a:ext cx="1792514" cy="1575253"/>
        </a:xfrm>
        <a:prstGeom prst="flowChartConnector">
          <a:avLst/>
        </a:prstGeom>
        <a:solidFill>
          <a:schemeClr val="accent4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453571</xdr:colOff>
      <xdr:row>19</xdr:row>
      <xdr:rowOff>81643</xdr:rowOff>
    </xdr:from>
    <xdr:to>
      <xdr:col>18</xdr:col>
      <xdr:colOff>535214</xdr:colOff>
      <xdr:row>28</xdr:row>
      <xdr:rowOff>36285</xdr:rowOff>
    </xdr:to>
    <xdr:sp macro="" textlink="">
      <xdr:nvSpPr>
        <xdr:cNvPr id="16" name="Flowchart: Connector 15">
          <a:extLst>
            <a:ext uri="{FF2B5EF4-FFF2-40B4-BE49-F238E27FC236}">
              <a16:creationId xmlns:a16="http://schemas.microsoft.com/office/drawing/2014/main" id="{11104CC6-4E01-4D8E-B623-83FF9297B534}"/>
            </a:ext>
          </a:extLst>
        </xdr:cNvPr>
        <xdr:cNvSpPr/>
      </xdr:nvSpPr>
      <xdr:spPr>
        <a:xfrm>
          <a:off x="12966246" y="3751943"/>
          <a:ext cx="1913618" cy="1599292"/>
        </a:xfrm>
        <a:prstGeom prst="flowChartConnector">
          <a:avLst/>
        </a:prstGeom>
        <a:solidFill>
          <a:schemeClr val="accent6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562429</xdr:colOff>
      <xdr:row>23</xdr:row>
      <xdr:rowOff>18143</xdr:rowOff>
    </xdr:from>
    <xdr:to>
      <xdr:col>17</xdr:col>
      <xdr:colOff>589643</xdr:colOff>
      <xdr:row>31</xdr:row>
      <xdr:rowOff>36284</xdr:rowOff>
    </xdr:to>
    <xdr:sp macro="" textlink="">
      <xdr:nvSpPr>
        <xdr:cNvPr id="17" name="Flowchart: Connector 16">
          <a:extLst>
            <a:ext uri="{FF2B5EF4-FFF2-40B4-BE49-F238E27FC236}">
              <a16:creationId xmlns:a16="http://schemas.microsoft.com/office/drawing/2014/main" id="{9C044678-60C6-4C3D-BFA0-FCA2977232FA}"/>
            </a:ext>
          </a:extLst>
        </xdr:cNvPr>
        <xdr:cNvSpPr/>
      </xdr:nvSpPr>
      <xdr:spPr>
        <a:xfrm>
          <a:off x="12465504" y="4428218"/>
          <a:ext cx="1859189" cy="1475466"/>
        </a:xfrm>
        <a:prstGeom prst="flowChartConnector">
          <a:avLst/>
        </a:prstGeom>
        <a:solidFill>
          <a:schemeClr val="accent5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471715</xdr:colOff>
      <xdr:row>18</xdr:row>
      <xdr:rowOff>117929</xdr:rowOff>
    </xdr:from>
    <xdr:to>
      <xdr:col>14</xdr:col>
      <xdr:colOff>526144</xdr:colOff>
      <xdr:row>20</xdr:row>
      <xdr:rowOff>18142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E999DC5C-12D8-44D2-9855-2380FC6C6E81}"/>
            </a:ext>
          </a:extLst>
        </xdr:cNvPr>
        <xdr:cNvSpPr/>
      </xdr:nvSpPr>
      <xdr:spPr>
        <a:xfrm>
          <a:off x="11765190" y="3607254"/>
          <a:ext cx="664029" cy="268513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% NPP</a:t>
          </a:r>
        </a:p>
      </xdr:txBody>
    </xdr:sp>
    <xdr:clientData/>
  </xdr:twoCellAnchor>
  <xdr:twoCellAnchor>
    <xdr:from>
      <xdr:col>18</xdr:col>
      <xdr:colOff>72572</xdr:colOff>
      <xdr:row>18</xdr:row>
      <xdr:rowOff>108856</xdr:rowOff>
    </xdr:from>
    <xdr:to>
      <xdr:col>19</xdr:col>
      <xdr:colOff>127001</xdr:colOff>
      <xdr:row>20</xdr:row>
      <xdr:rowOff>9070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5CF1F1DA-4E03-4EE6-B7C0-B323FC0A514B}"/>
            </a:ext>
          </a:extLst>
        </xdr:cNvPr>
        <xdr:cNvSpPr/>
      </xdr:nvSpPr>
      <xdr:spPr>
        <a:xfrm>
          <a:off x="14414047" y="3591831"/>
          <a:ext cx="664029" cy="278039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6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% PP</a:t>
          </a:r>
        </a:p>
      </xdr:txBody>
    </xdr:sp>
    <xdr:clientData/>
  </xdr:twoCellAnchor>
  <xdr:twoCellAnchor>
    <xdr:from>
      <xdr:col>15</xdr:col>
      <xdr:colOff>589643</xdr:colOff>
      <xdr:row>31</xdr:row>
      <xdr:rowOff>90714</xdr:rowOff>
    </xdr:from>
    <xdr:to>
      <xdr:col>17</xdr:col>
      <xdr:colOff>36287</xdr:colOff>
      <xdr:row>33</xdr:row>
      <xdr:rowOff>0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A1C790FC-C8F0-4728-B79E-BAFF0B887471}"/>
            </a:ext>
          </a:extLst>
        </xdr:cNvPr>
        <xdr:cNvSpPr/>
      </xdr:nvSpPr>
      <xdr:spPr>
        <a:xfrm>
          <a:off x="13105493" y="5954939"/>
          <a:ext cx="665844" cy="27441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5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% Sales</a:t>
          </a:r>
        </a:p>
      </xdr:txBody>
    </xdr:sp>
    <xdr:clientData/>
  </xdr:twoCellAnchor>
  <xdr:twoCellAnchor>
    <xdr:from>
      <xdr:col>15</xdr:col>
      <xdr:colOff>553357</xdr:colOff>
      <xdr:row>28</xdr:row>
      <xdr:rowOff>72570</xdr:rowOff>
    </xdr:from>
    <xdr:to>
      <xdr:col>17</xdr:col>
      <xdr:colOff>1</xdr:colOff>
      <xdr:row>29</xdr:row>
      <xdr:rowOff>163285</xdr:rowOff>
    </xdr:to>
    <xdr:sp macro="" textlink="$E$26">
      <xdr:nvSpPr>
        <xdr:cNvPr id="21" name="Rectangle 20">
          <a:extLst>
            <a:ext uri="{FF2B5EF4-FFF2-40B4-BE49-F238E27FC236}">
              <a16:creationId xmlns:a16="http://schemas.microsoft.com/office/drawing/2014/main" id="{373E8C94-5D25-4C8A-83FF-6A609B8D0A1A}"/>
            </a:ext>
          </a:extLst>
        </xdr:cNvPr>
        <xdr:cNvSpPr/>
      </xdr:nvSpPr>
      <xdr:spPr>
        <a:xfrm>
          <a:off x="13069207" y="5384345"/>
          <a:ext cx="665844" cy="28121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fld id="{1B9F317B-CE9C-459E-B8BC-40444F9ED98B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2.6%</a:t>
          </a:fld>
          <a:endParaRPr lang="en-US" sz="1100" b="1" i="1"/>
        </a:p>
      </xdr:txBody>
    </xdr:sp>
    <xdr:clientData/>
  </xdr:twoCellAnchor>
  <xdr:twoCellAnchor>
    <xdr:from>
      <xdr:col>14</xdr:col>
      <xdr:colOff>290287</xdr:colOff>
      <xdr:row>21</xdr:row>
      <xdr:rowOff>108856</xdr:rowOff>
    </xdr:from>
    <xdr:to>
      <xdr:col>15</xdr:col>
      <xdr:colOff>344716</xdr:colOff>
      <xdr:row>23</xdr:row>
      <xdr:rowOff>27213</xdr:rowOff>
    </xdr:to>
    <xdr:sp macro="" textlink="$E$23">
      <xdr:nvSpPr>
        <xdr:cNvPr id="22" name="Rectangle 21">
          <a:extLst>
            <a:ext uri="{FF2B5EF4-FFF2-40B4-BE49-F238E27FC236}">
              <a16:creationId xmlns:a16="http://schemas.microsoft.com/office/drawing/2014/main" id="{01A74482-8C55-4522-9116-F7850E961661}"/>
            </a:ext>
          </a:extLst>
        </xdr:cNvPr>
        <xdr:cNvSpPr/>
      </xdr:nvSpPr>
      <xdr:spPr>
        <a:xfrm>
          <a:off x="12199712" y="4153806"/>
          <a:ext cx="660854" cy="286657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fld id="{6569A7D0-72B0-4B10-B3A1-706D7C3DB5DF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7.0%</a:t>
          </a:fld>
          <a:endParaRPr lang="en-US" sz="1100" b="1" i="1"/>
        </a:p>
      </xdr:txBody>
    </xdr:sp>
    <xdr:clientData/>
  </xdr:twoCellAnchor>
  <xdr:twoCellAnchor>
    <xdr:from>
      <xdr:col>17</xdr:col>
      <xdr:colOff>226786</xdr:colOff>
      <xdr:row>21</xdr:row>
      <xdr:rowOff>90714</xdr:rowOff>
    </xdr:from>
    <xdr:to>
      <xdr:col>18</xdr:col>
      <xdr:colOff>281215</xdr:colOff>
      <xdr:row>23</xdr:row>
      <xdr:rowOff>9071</xdr:rowOff>
    </xdr:to>
    <xdr:sp macro="" textlink="$E$24">
      <xdr:nvSpPr>
        <xdr:cNvPr id="23" name="Rectangle 22">
          <a:extLst>
            <a:ext uri="{FF2B5EF4-FFF2-40B4-BE49-F238E27FC236}">
              <a16:creationId xmlns:a16="http://schemas.microsoft.com/office/drawing/2014/main" id="{BF455CF7-5CC5-444C-94BC-672CCA00ECE5}"/>
            </a:ext>
          </a:extLst>
        </xdr:cNvPr>
        <xdr:cNvSpPr/>
      </xdr:nvSpPr>
      <xdr:spPr>
        <a:xfrm>
          <a:off x="13961836" y="4135664"/>
          <a:ext cx="660854" cy="286657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fld id="{8C3458B0-9595-4F34-8C55-5EBDC1DCA4D0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6.0%</a:t>
          </a:fld>
          <a:endParaRPr lang="en-US" sz="1100" b="1" i="1"/>
        </a:p>
      </xdr:txBody>
    </xdr:sp>
    <xdr:clientData/>
  </xdr:twoCellAnchor>
  <xdr:twoCellAnchor>
    <xdr:from>
      <xdr:col>16</xdr:col>
      <xdr:colOff>453571</xdr:colOff>
      <xdr:row>25</xdr:row>
      <xdr:rowOff>63501</xdr:rowOff>
    </xdr:from>
    <xdr:to>
      <xdr:col>17</xdr:col>
      <xdr:colOff>508001</xdr:colOff>
      <xdr:row>26</xdr:row>
      <xdr:rowOff>163286</xdr:rowOff>
    </xdr:to>
    <xdr:sp macro="" textlink="$E$28">
      <xdr:nvSpPr>
        <xdr:cNvPr id="24" name="Rectangle 23">
          <a:extLst>
            <a:ext uri="{FF2B5EF4-FFF2-40B4-BE49-F238E27FC236}">
              <a16:creationId xmlns:a16="http://schemas.microsoft.com/office/drawing/2014/main" id="{5B2A3D14-4FB5-4E2C-8B46-66D668F292CD}"/>
            </a:ext>
          </a:extLst>
        </xdr:cNvPr>
        <xdr:cNvSpPr/>
      </xdr:nvSpPr>
      <xdr:spPr>
        <a:xfrm>
          <a:off x="13575846" y="4838701"/>
          <a:ext cx="664030" cy="27441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fld id="{8F7C6CC9-D79E-4F63-B66C-B5A31DD18CA0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0.7%</a:t>
          </a:fld>
          <a:endParaRPr lang="en-US" sz="1100" b="1" i="1"/>
        </a:p>
      </xdr:txBody>
    </xdr:sp>
    <xdr:clientData/>
  </xdr:twoCellAnchor>
  <xdr:twoCellAnchor>
    <xdr:from>
      <xdr:col>14</xdr:col>
      <xdr:colOff>589643</xdr:colOff>
      <xdr:row>25</xdr:row>
      <xdr:rowOff>108858</xdr:rowOff>
    </xdr:from>
    <xdr:to>
      <xdr:col>16</xdr:col>
      <xdr:colOff>36286</xdr:colOff>
      <xdr:row>27</xdr:row>
      <xdr:rowOff>18143</xdr:rowOff>
    </xdr:to>
    <xdr:sp macro="" textlink="$E$27">
      <xdr:nvSpPr>
        <xdr:cNvPr id="25" name="Rectangle 24">
          <a:extLst>
            <a:ext uri="{FF2B5EF4-FFF2-40B4-BE49-F238E27FC236}">
              <a16:creationId xmlns:a16="http://schemas.microsoft.com/office/drawing/2014/main" id="{C10D8455-B6F9-4957-A49C-1C09BEBB9FDD}"/>
            </a:ext>
          </a:extLst>
        </xdr:cNvPr>
        <xdr:cNvSpPr/>
      </xdr:nvSpPr>
      <xdr:spPr>
        <a:xfrm>
          <a:off x="12495893" y="4877708"/>
          <a:ext cx="665843" cy="27441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fld id="{CDD36325-62EC-48C8-AF4A-6F465A1D6E37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3.5%</a:t>
          </a:fld>
          <a:endParaRPr lang="en-US" sz="1100" b="1" i="1"/>
        </a:p>
      </xdr:txBody>
    </xdr:sp>
    <xdr:clientData/>
  </xdr:twoCellAnchor>
  <xdr:twoCellAnchor>
    <xdr:from>
      <xdr:col>15</xdr:col>
      <xdr:colOff>488043</xdr:colOff>
      <xdr:row>23</xdr:row>
      <xdr:rowOff>107043</xdr:rowOff>
    </xdr:from>
    <xdr:to>
      <xdr:col>16</xdr:col>
      <xdr:colOff>542472</xdr:colOff>
      <xdr:row>25</xdr:row>
      <xdr:rowOff>34472</xdr:rowOff>
    </xdr:to>
    <xdr:sp macro="" textlink="$E$29">
      <xdr:nvSpPr>
        <xdr:cNvPr id="26" name="Rectangle 25">
          <a:extLst>
            <a:ext uri="{FF2B5EF4-FFF2-40B4-BE49-F238E27FC236}">
              <a16:creationId xmlns:a16="http://schemas.microsoft.com/office/drawing/2014/main" id="{C6586F6C-5489-407D-948A-050B26CBF445}"/>
            </a:ext>
          </a:extLst>
        </xdr:cNvPr>
        <xdr:cNvSpPr/>
      </xdr:nvSpPr>
      <xdr:spPr>
        <a:xfrm>
          <a:off x="13000718" y="4513943"/>
          <a:ext cx="670379" cy="289379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fld id="{1BED83D3-B23B-4BBA-96B0-BE49BEED8A8E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4.5%</a:t>
          </a:fld>
          <a:endParaRPr lang="en-US" sz="1100" b="1" i="1"/>
        </a:p>
      </xdr:txBody>
    </xdr:sp>
    <xdr:clientData/>
  </xdr:twoCellAnchor>
  <xdr:twoCellAnchor>
    <xdr:from>
      <xdr:col>15</xdr:col>
      <xdr:colOff>462641</xdr:colOff>
      <xdr:row>21</xdr:row>
      <xdr:rowOff>63500</xdr:rowOff>
    </xdr:from>
    <xdr:to>
      <xdr:col>16</xdr:col>
      <xdr:colOff>517072</xdr:colOff>
      <xdr:row>22</xdr:row>
      <xdr:rowOff>163285</xdr:rowOff>
    </xdr:to>
    <xdr:sp macro="" textlink="$E$25">
      <xdr:nvSpPr>
        <xdr:cNvPr id="27" name="Rectangle 26">
          <a:extLst>
            <a:ext uri="{FF2B5EF4-FFF2-40B4-BE49-F238E27FC236}">
              <a16:creationId xmlns:a16="http://schemas.microsoft.com/office/drawing/2014/main" id="{8060B5F2-93E2-4E32-AA21-4AB898897B56}"/>
            </a:ext>
          </a:extLst>
        </xdr:cNvPr>
        <xdr:cNvSpPr/>
      </xdr:nvSpPr>
      <xdr:spPr>
        <a:xfrm>
          <a:off x="12981666" y="4114800"/>
          <a:ext cx="660856" cy="27441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fld id="{E846AE4C-EB3B-4D6C-B9AC-C111D7AF3269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3.3%</a:t>
          </a:fld>
          <a:endParaRPr lang="en-US" sz="1100" b="1" i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545013-13A9-4AE6-9414-05EB5DA1D9B3}">
  <sheetPr codeName="Sheet1">
    <tabColor theme="8" tint="0.39997558519241921"/>
  </sheetPr>
  <dimension ref="B1:F13"/>
  <sheetViews>
    <sheetView showGridLines="0" zoomScaleNormal="100" workbookViewId="0">
      <selection activeCell="C24" sqref="C24"/>
    </sheetView>
  </sheetViews>
  <sheetFormatPr defaultRowHeight="14.5" x14ac:dyDescent="0.35"/>
  <cols>
    <col min="1" max="1" width="7.453125" customWidth="1"/>
    <col min="2" max="2" width="9.36328125" customWidth="1"/>
    <col min="3" max="3" width="16.7265625" customWidth="1"/>
    <col min="4" max="4" width="12" customWidth="1"/>
    <col min="5" max="5" width="13.453125" customWidth="1"/>
    <col min="6" max="6" width="15.08984375" customWidth="1"/>
  </cols>
  <sheetData>
    <row r="1" spans="2:6" ht="15" thickBot="1" x14ac:dyDescent="0.4"/>
    <row r="2" spans="2:6" ht="30" customHeight="1" x14ac:dyDescent="0.35">
      <c r="B2" s="204" t="s">
        <v>202</v>
      </c>
      <c r="C2" s="206" t="s">
        <v>0</v>
      </c>
      <c r="D2" s="201" t="s">
        <v>294</v>
      </c>
      <c r="E2" s="201"/>
      <c r="F2" s="202" t="s">
        <v>31</v>
      </c>
    </row>
    <row r="3" spans="2:6" ht="21.5" customHeight="1" thickBot="1" x14ac:dyDescent="0.4">
      <c r="B3" s="205"/>
      <c r="C3" s="207"/>
      <c r="D3" s="183" t="s">
        <v>6</v>
      </c>
      <c r="E3" s="183" t="s">
        <v>7</v>
      </c>
      <c r="F3" s="203"/>
    </row>
    <row r="4" spans="2:6" x14ac:dyDescent="0.35">
      <c r="B4" s="188">
        <v>0</v>
      </c>
      <c r="C4" s="189" t="s">
        <v>52</v>
      </c>
      <c r="D4" s="190">
        <v>44248</v>
      </c>
      <c r="E4" s="190">
        <v>44949</v>
      </c>
      <c r="F4" s="191"/>
    </row>
    <row r="5" spans="2:6" x14ac:dyDescent="0.35">
      <c r="B5" s="192">
        <v>1</v>
      </c>
      <c r="C5" s="185" t="s">
        <v>1</v>
      </c>
      <c r="D5" s="184">
        <f>DATE(2022,2,1)</f>
        <v>44593</v>
      </c>
      <c r="E5" s="184">
        <f>DATE(2023,1,31)</f>
        <v>44957</v>
      </c>
      <c r="F5" s="193" t="s">
        <v>8</v>
      </c>
    </row>
    <row r="6" spans="2:6" x14ac:dyDescent="0.35">
      <c r="B6" s="192">
        <v>2</v>
      </c>
      <c r="C6" s="186" t="s">
        <v>197</v>
      </c>
      <c r="D6" s="184">
        <f>DATE(2022,2,1)</f>
        <v>44593</v>
      </c>
      <c r="E6" s="184">
        <f>DATE(2023,1,31)</f>
        <v>44957</v>
      </c>
      <c r="F6" s="193" t="s">
        <v>8</v>
      </c>
    </row>
    <row r="7" spans="2:6" x14ac:dyDescent="0.35">
      <c r="B7" s="192">
        <v>3</v>
      </c>
      <c r="C7" s="186" t="s">
        <v>198</v>
      </c>
      <c r="D7" s="184">
        <f t="shared" ref="D7:D13" si="0">DATE(2022,2,1)</f>
        <v>44593</v>
      </c>
      <c r="E7" s="184">
        <f t="shared" ref="E7:E13" si="1">DATE(2023,1,31)</f>
        <v>44957</v>
      </c>
      <c r="F7" s="193" t="s">
        <v>8</v>
      </c>
    </row>
    <row r="8" spans="2:6" x14ac:dyDescent="0.35">
      <c r="B8" s="192">
        <v>4</v>
      </c>
      <c r="C8" s="186" t="s">
        <v>189</v>
      </c>
      <c r="D8" s="184">
        <f t="shared" si="0"/>
        <v>44593</v>
      </c>
      <c r="E8" s="184">
        <f t="shared" si="1"/>
        <v>44957</v>
      </c>
      <c r="F8" s="193" t="s">
        <v>8</v>
      </c>
    </row>
    <row r="9" spans="2:6" x14ac:dyDescent="0.35">
      <c r="B9" s="192">
        <v>5</v>
      </c>
      <c r="C9" s="186" t="s">
        <v>179</v>
      </c>
      <c r="D9" s="184">
        <f t="shared" si="0"/>
        <v>44593</v>
      </c>
      <c r="E9" s="184">
        <f t="shared" si="1"/>
        <v>44957</v>
      </c>
      <c r="F9" s="193" t="s">
        <v>8</v>
      </c>
    </row>
    <row r="10" spans="2:6" x14ac:dyDescent="0.35">
      <c r="B10" s="192">
        <v>6</v>
      </c>
      <c r="C10" s="186" t="s">
        <v>196</v>
      </c>
      <c r="D10" s="184">
        <f t="shared" si="0"/>
        <v>44593</v>
      </c>
      <c r="E10" s="184">
        <f t="shared" si="1"/>
        <v>44957</v>
      </c>
      <c r="F10" s="193" t="s">
        <v>8</v>
      </c>
    </row>
    <row r="11" spans="2:6" x14ac:dyDescent="0.35">
      <c r="B11" s="192">
        <v>7</v>
      </c>
      <c r="C11" s="186" t="s">
        <v>185</v>
      </c>
      <c r="D11" s="184">
        <f t="shared" si="0"/>
        <v>44593</v>
      </c>
      <c r="E11" s="184">
        <f t="shared" si="1"/>
        <v>44957</v>
      </c>
      <c r="F11" s="193" t="s">
        <v>8</v>
      </c>
    </row>
    <row r="12" spans="2:6" x14ac:dyDescent="0.35">
      <c r="B12" s="192">
        <v>8</v>
      </c>
      <c r="C12" s="187" t="s">
        <v>192</v>
      </c>
      <c r="D12" s="184">
        <f t="shared" si="0"/>
        <v>44593</v>
      </c>
      <c r="E12" s="184">
        <f t="shared" si="1"/>
        <v>44957</v>
      </c>
      <c r="F12" s="193" t="s">
        <v>8</v>
      </c>
    </row>
    <row r="13" spans="2:6" ht="15" thickBot="1" x14ac:dyDescent="0.4">
      <c r="B13" s="194">
        <v>9</v>
      </c>
      <c r="C13" s="195" t="s">
        <v>295</v>
      </c>
      <c r="D13" s="196">
        <f t="shared" si="0"/>
        <v>44593</v>
      </c>
      <c r="E13" s="196">
        <f t="shared" si="1"/>
        <v>44957</v>
      </c>
      <c r="F13" s="197" t="s">
        <v>8</v>
      </c>
    </row>
  </sheetData>
  <mergeCells count="4">
    <mergeCell ref="D2:E2"/>
    <mergeCell ref="F2:F3"/>
    <mergeCell ref="B2:B3"/>
    <mergeCell ref="C2:C3"/>
  </mergeCells>
  <hyperlinks>
    <hyperlink ref="C5" location="Sales!A1" display="Sales" xr:uid="{C5A741D5-4648-4030-A4A5-540CA0C5C873}"/>
    <hyperlink ref="C4" location="'Trend Charts New'!A1" display="Input Trends" xr:uid="{DD94EDCB-37A8-4EA4-AA6B-440BCC1C0A09}"/>
    <hyperlink ref="C9" location="Doximity!A1" display="Doximity" xr:uid="{BFBEA125-35D0-468B-B5E0-47CC85D74A5E}"/>
    <hyperlink ref="C10" location="Epocrates!A1" display="Epocrates" xr:uid="{EDE46182-7AF0-4483-865E-7FADA0E4F68D}"/>
    <hyperlink ref="C11" location="DeepIntent!A1" display="DeepIntent" xr:uid="{A1D03433-F393-43D7-A127-1D8BFB61C8CE}"/>
    <hyperlink ref="C8" location="Medscape!A1" display="Medscape" xr:uid="{A2B1AD4D-15D2-47FE-A30C-C353D6A6F7E5}"/>
    <hyperlink ref="C12" location="EveryDayHealth!A1" display="EveryDayHealth" xr:uid="{D29CB2B1-6658-498D-AB28-50F42A165B90}"/>
    <hyperlink ref="C6" location="'Field Emails'!A1" display="Field Emails" xr:uid="{4168BC07-F7FD-4EB7-B71C-87B8C4AA55DA}"/>
    <hyperlink ref="C13" location="Nexgen!A1" display="Nexgen" xr:uid="{0B701014-EA76-42A5-BF03-B62E69514A0C}"/>
    <hyperlink ref="C7" location="SFMC!A1" display="SF Emails" xr:uid="{84F0A4D0-D66F-43B1-89A5-14290C077BF2}"/>
  </hyperlinks>
  <pageMargins left="0.7" right="0.7" top="0.75" bottom="0.75" header="0.3" footer="0.3"/>
  <pageSetup paperSize="9" orientation="portrait" r:id="rId1"/>
  <headerFooter>
    <oddHeader>&amp;L&amp;"Calibri"&amp;12&amp;K8E6A00Confidential&amp;1#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F7DD59-EAE9-4B89-9A72-0361DA79DEEA}">
  <sheetPr codeName="Sheet2">
    <tabColor theme="8" tint="0.39997558519241921"/>
  </sheetPr>
  <dimension ref="A1:S47"/>
  <sheetViews>
    <sheetView showGridLines="0" zoomScale="55" zoomScaleNormal="55" workbookViewId="0">
      <selection activeCell="N39" sqref="N39"/>
    </sheetView>
  </sheetViews>
  <sheetFormatPr defaultRowHeight="14.5" x14ac:dyDescent="0.35"/>
  <cols>
    <col min="2" max="2" width="17.453125" hidden="1" customWidth="1"/>
    <col min="3" max="3" width="20.36328125" bestFit="1" customWidth="1"/>
    <col min="4" max="4" width="29.26953125" customWidth="1"/>
    <col min="5" max="5" width="32.1796875" customWidth="1"/>
    <col min="6" max="6" width="30.6328125" customWidth="1"/>
    <col min="7" max="7" width="38" customWidth="1"/>
    <col min="13" max="13" width="18" bestFit="1" customWidth="1"/>
    <col min="14" max="14" width="19.54296875" bestFit="1" customWidth="1"/>
    <col min="15" max="15" width="7.26953125" bestFit="1" customWidth="1"/>
    <col min="16" max="16" width="21" bestFit="1" customWidth="1"/>
    <col min="17" max="17" width="15.1796875" bestFit="1" customWidth="1"/>
  </cols>
  <sheetData>
    <row r="1" spans="1:19" ht="15.5" x14ac:dyDescent="0.35">
      <c r="A1" s="35" t="s">
        <v>30</v>
      </c>
    </row>
    <row r="2" spans="1:19" ht="32" customHeight="1" x14ac:dyDescent="0.35">
      <c r="C2" s="208" t="str">
        <f>"Input Trends Charts of Belsomra Feb'21 - Jan'23"</f>
        <v>Input Trends Charts of Belsomra Feb'21 - Jan'23</v>
      </c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  <c r="O2" s="209"/>
      <c r="P2" s="209"/>
      <c r="Q2" s="209"/>
      <c r="R2" s="209"/>
      <c r="S2" s="209"/>
    </row>
    <row r="3" spans="1:19" ht="21" customHeight="1" x14ac:dyDescent="0.35"/>
    <row r="4" spans="1:19" ht="15" hidden="1" thickBot="1" x14ac:dyDescent="0.4">
      <c r="D4" s="21" t="str">
        <f>_xlfn.CONCAT($D$5," vs ",$D$6)</f>
        <v>NRx vs HCP SFMC Delivery</v>
      </c>
    </row>
    <row r="5" spans="1:19" ht="21.5" customHeight="1" x14ac:dyDescent="0.35">
      <c r="B5" s="43" t="str">
        <f>INDEX(Control!E4:$E$20,MATCH('Trend Charts New'!$D$5,Control!$F$4:$F$20,0))</f>
        <v>hcp_grail_nrx</v>
      </c>
      <c r="C5" s="44" t="s">
        <v>151</v>
      </c>
      <c r="D5" s="45" t="s">
        <v>164</v>
      </c>
    </row>
    <row r="6" spans="1:19" ht="24.5" customHeight="1" x14ac:dyDescent="0.35">
      <c r="B6" s="43" t="str">
        <f>INDEX(Control!$B$4:$B$300,MATCH('Trend Charts New'!$D$6,Control!$C$4:$C$300,0))</f>
        <v>hcp_sfmc_del</v>
      </c>
      <c r="C6" s="44" t="s">
        <v>150</v>
      </c>
      <c r="D6" s="46" t="s">
        <v>199</v>
      </c>
    </row>
    <row r="9" spans="1:19" ht="15" thickBot="1" x14ac:dyDescent="0.4">
      <c r="D9" s="52"/>
    </row>
    <row r="10" spans="1:19" ht="15" thickBot="1" x14ac:dyDescent="0.4">
      <c r="C10" s="24" t="s">
        <v>3</v>
      </c>
      <c r="D10" s="25" t="str">
        <f>$D$5</f>
        <v>NRx</v>
      </c>
      <c r="E10" s="26" t="str">
        <f>$D$6</f>
        <v>HCP SFMC Delivery</v>
      </c>
    </row>
    <row r="11" spans="1:19" x14ac:dyDescent="0.35">
      <c r="C11" s="62">
        <v>44228</v>
      </c>
      <c r="D11" s="27">
        <f>INDEX('Raw Data'!$D$3:$KZ$42,MATCH('Trend Charts New'!$C11,'Raw Data'!$B$3:$B$42,0),MATCH('Trend Charts New'!$B$5,'Raw Data'!$D$2:$KZ$2,0))</f>
        <v>18575.448999999899</v>
      </c>
      <c r="E11" s="28">
        <f>INDEX('Raw Data'!$D$3:$KZ$42,MATCH('Trend Charts New'!$C11,'Raw Data'!$B$3:$B$42,0),MATCH('Trend Charts New'!$B$6,'Raw Data'!$D$2:$KZ$2,0))</f>
        <v>35896</v>
      </c>
    </row>
    <row r="12" spans="1:19" x14ac:dyDescent="0.35">
      <c r="C12" s="62">
        <v>44256</v>
      </c>
      <c r="D12" s="27">
        <f>INDEX('Raw Data'!$D$3:$KZ$42,MATCH('Trend Charts New'!$C12,'Raw Data'!$B$3:$B$42,0),MATCH('Trend Charts New'!$B$5,'Raw Data'!$D$2:$KZ$2,0))</f>
        <v>21399.245999999901</v>
      </c>
      <c r="E12" s="28">
        <f>INDEX('Raw Data'!$D$3:$KZ$42,MATCH('Trend Charts New'!$C12,'Raw Data'!$B$3:$B$42,0),MATCH('Trend Charts New'!$B$6,'Raw Data'!$D$2:$KZ$2,0))</f>
        <v>178671</v>
      </c>
    </row>
    <row r="13" spans="1:19" x14ac:dyDescent="0.35">
      <c r="C13" s="62">
        <v>44287</v>
      </c>
      <c r="D13" s="27">
        <f>INDEX('Raw Data'!$D$3:$KZ$42,MATCH('Trend Charts New'!$C13,'Raw Data'!$B$3:$B$42,0),MATCH('Trend Charts New'!$B$5,'Raw Data'!$D$2:$KZ$2,0))</f>
        <v>20252.035999999898</v>
      </c>
      <c r="E13" s="28">
        <f>INDEX('Raw Data'!$D$3:$KZ$42,MATCH('Trend Charts New'!$C13,'Raw Data'!$B$3:$B$42,0),MATCH('Trend Charts New'!$B$6,'Raw Data'!$D$2:$KZ$2,0))</f>
        <v>393872</v>
      </c>
    </row>
    <row r="14" spans="1:19" x14ac:dyDescent="0.35">
      <c r="C14" s="62">
        <v>44317</v>
      </c>
      <c r="D14" s="27">
        <f>INDEX('Raw Data'!$D$3:$KZ$42,MATCH('Trend Charts New'!$C14,'Raw Data'!$B$3:$B$42,0),MATCH('Trend Charts New'!$B$5,'Raw Data'!$D$2:$KZ$2,0))</f>
        <v>19044.010999999999</v>
      </c>
      <c r="E14" s="28">
        <f>INDEX('Raw Data'!$D$3:$KZ$42,MATCH('Trend Charts New'!$C14,'Raw Data'!$B$3:$B$42,0),MATCH('Trend Charts New'!$B$6,'Raw Data'!$D$2:$KZ$2,0))</f>
        <v>131932</v>
      </c>
    </row>
    <row r="15" spans="1:19" x14ac:dyDescent="0.35">
      <c r="C15" s="62">
        <v>44348</v>
      </c>
      <c r="D15" s="27">
        <f>INDEX('Raw Data'!$D$3:$KZ$42,MATCH('Trend Charts New'!$C15,'Raw Data'!$B$3:$B$42,0),MATCH('Trend Charts New'!$B$5,'Raw Data'!$D$2:$KZ$2,0))</f>
        <v>19988.836999999901</v>
      </c>
      <c r="E15" s="28">
        <f>INDEX('Raw Data'!$D$3:$KZ$42,MATCH('Trend Charts New'!$C15,'Raw Data'!$B$3:$B$42,0),MATCH('Trend Charts New'!$B$6,'Raw Data'!$D$2:$KZ$2,0))</f>
        <v>72565</v>
      </c>
    </row>
    <row r="16" spans="1:19" x14ac:dyDescent="0.35">
      <c r="C16" s="62">
        <v>44378</v>
      </c>
      <c r="D16" s="27">
        <f>INDEX('Raw Data'!$D$3:$KZ$42,MATCH('Trend Charts New'!$C16,'Raw Data'!$B$3:$B$42,0),MATCH('Trend Charts New'!$B$5,'Raw Data'!$D$2:$KZ$2,0))</f>
        <v>19833.813999999998</v>
      </c>
      <c r="E16" s="28">
        <f>INDEX('Raw Data'!$D$3:$KZ$42,MATCH('Trend Charts New'!$C16,'Raw Data'!$B$3:$B$42,0),MATCH('Trend Charts New'!$B$6,'Raw Data'!$D$2:$KZ$2,0))</f>
        <v>113537</v>
      </c>
    </row>
    <row r="17" spans="3:5" x14ac:dyDescent="0.35">
      <c r="C17" s="62">
        <v>44409</v>
      </c>
      <c r="D17" s="27">
        <f>INDEX('Raw Data'!$D$3:$KZ$42,MATCH('Trend Charts New'!$C17,'Raw Data'!$B$3:$B$42,0),MATCH('Trend Charts New'!$B$5,'Raw Data'!$D$2:$KZ$2,0))</f>
        <v>19791.6139999999</v>
      </c>
      <c r="E17" s="28">
        <f>INDEX('Raw Data'!$D$3:$KZ$42,MATCH('Trend Charts New'!$C17,'Raw Data'!$B$3:$B$42,0),MATCH('Trend Charts New'!$B$6,'Raw Data'!$D$2:$KZ$2,0))</f>
        <v>368140</v>
      </c>
    </row>
    <row r="18" spans="3:5" x14ac:dyDescent="0.35">
      <c r="C18" s="62">
        <v>44440</v>
      </c>
      <c r="D18" s="27">
        <f>INDEX('Raw Data'!$D$3:$KZ$42,MATCH('Trend Charts New'!$C18,'Raw Data'!$B$3:$B$42,0),MATCH('Trend Charts New'!$B$5,'Raw Data'!$D$2:$KZ$2,0))</f>
        <v>19803.841</v>
      </c>
      <c r="E18" s="28">
        <f>INDEX('Raw Data'!$D$3:$KZ$42,MATCH('Trend Charts New'!$C18,'Raw Data'!$B$3:$B$42,0),MATCH('Trend Charts New'!$B$6,'Raw Data'!$D$2:$KZ$2,0))</f>
        <v>211562</v>
      </c>
    </row>
    <row r="19" spans="3:5" x14ac:dyDescent="0.35">
      <c r="C19" s="62">
        <v>44470</v>
      </c>
      <c r="D19" s="27">
        <f>INDEX('Raw Data'!$D$3:$KZ$42,MATCH('Trend Charts New'!$C19,'Raw Data'!$B$3:$B$42,0),MATCH('Trend Charts New'!$B$5,'Raw Data'!$D$2:$KZ$2,0))</f>
        <v>20060.856</v>
      </c>
      <c r="E19" s="28">
        <f>INDEX('Raw Data'!$D$3:$KZ$42,MATCH('Trend Charts New'!$C19,'Raw Data'!$B$3:$B$42,0),MATCH('Trend Charts New'!$B$6,'Raw Data'!$D$2:$KZ$2,0))</f>
        <v>82236</v>
      </c>
    </row>
    <row r="20" spans="3:5" x14ac:dyDescent="0.35">
      <c r="C20" s="62">
        <v>44501</v>
      </c>
      <c r="D20" s="27">
        <f>INDEX('Raw Data'!$D$3:$KZ$42,MATCH('Trend Charts New'!$C20,'Raw Data'!$B$3:$B$42,0),MATCH('Trend Charts New'!$B$5,'Raw Data'!$D$2:$KZ$2,0))</f>
        <v>19404.6349999999</v>
      </c>
      <c r="E20" s="28">
        <f>INDEX('Raw Data'!$D$3:$KZ$42,MATCH('Trend Charts New'!$C20,'Raw Data'!$B$3:$B$42,0),MATCH('Trend Charts New'!$B$6,'Raw Data'!$D$2:$KZ$2,0))</f>
        <v>54278</v>
      </c>
    </row>
    <row r="21" spans="3:5" x14ac:dyDescent="0.35">
      <c r="C21" s="62">
        <v>44531</v>
      </c>
      <c r="D21" s="27">
        <f>INDEX('Raw Data'!$D$3:$KZ$42,MATCH('Trend Charts New'!$C21,'Raw Data'!$B$3:$B$42,0),MATCH('Trend Charts New'!$B$5,'Raw Data'!$D$2:$KZ$2,0))</f>
        <v>20133.551999999901</v>
      </c>
      <c r="E21" s="28">
        <f>INDEX('Raw Data'!$D$3:$KZ$42,MATCH('Trend Charts New'!$C21,'Raw Data'!$B$3:$B$42,0),MATCH('Trend Charts New'!$B$6,'Raw Data'!$D$2:$KZ$2,0))</f>
        <v>50089</v>
      </c>
    </row>
    <row r="22" spans="3:5" x14ac:dyDescent="0.35">
      <c r="C22" s="62">
        <v>44562</v>
      </c>
      <c r="D22" s="27">
        <f>INDEX('Raw Data'!$D$3:$KZ$42,MATCH('Trend Charts New'!$C22,'Raw Data'!$B$3:$B$42,0),MATCH('Trend Charts New'!$B$5,'Raw Data'!$D$2:$KZ$2,0))</f>
        <v>18563.743999999999</v>
      </c>
      <c r="E22" s="28">
        <f>INDEX('Raw Data'!$D$3:$KZ$42,MATCH('Trend Charts New'!$C22,'Raw Data'!$B$3:$B$42,0),MATCH('Trend Charts New'!$B$6,'Raw Data'!$D$2:$KZ$2,0))</f>
        <v>102708</v>
      </c>
    </row>
    <row r="23" spans="3:5" x14ac:dyDescent="0.35">
      <c r="C23" s="62">
        <v>44593</v>
      </c>
      <c r="D23" s="27">
        <f>INDEX('Raw Data'!$D$3:$KZ$42,MATCH('Trend Charts New'!$C23,'Raw Data'!$B$3:$B$42,0),MATCH('Trend Charts New'!$B$5,'Raw Data'!$D$2:$KZ$2,0))</f>
        <v>18467.2569999999</v>
      </c>
      <c r="E23" s="28">
        <f>INDEX('Raw Data'!$D$3:$KZ$42,MATCH('Trend Charts New'!$C23,'Raw Data'!$B$3:$B$42,0),MATCH('Trend Charts New'!$B$6,'Raw Data'!$D$2:$KZ$2,0))</f>
        <v>119753</v>
      </c>
    </row>
    <row r="24" spans="3:5" x14ac:dyDescent="0.35">
      <c r="C24" s="62">
        <v>44621</v>
      </c>
      <c r="D24" s="27">
        <f>INDEX('Raw Data'!$D$3:$KZ$42,MATCH('Trend Charts New'!$C24,'Raw Data'!$B$3:$B$42,0),MATCH('Trend Charts New'!$B$5,'Raw Data'!$D$2:$KZ$2,0))</f>
        <v>21605.558999999899</v>
      </c>
      <c r="E24" s="28">
        <f>INDEX('Raw Data'!$D$3:$KZ$42,MATCH('Trend Charts New'!$C24,'Raw Data'!$B$3:$B$42,0),MATCH('Trend Charts New'!$B$6,'Raw Data'!$D$2:$KZ$2,0))</f>
        <v>57409</v>
      </c>
    </row>
    <row r="25" spans="3:5" x14ac:dyDescent="0.35">
      <c r="C25" s="62">
        <v>44652</v>
      </c>
      <c r="D25" s="27">
        <f>INDEX('Raw Data'!$D$3:$KZ$42,MATCH('Trend Charts New'!$C25,'Raw Data'!$B$3:$B$42,0),MATCH('Trend Charts New'!$B$5,'Raw Data'!$D$2:$KZ$2,0))</f>
        <v>20522.0959999999</v>
      </c>
      <c r="E25" s="28">
        <f>INDEX('Raw Data'!$D$3:$KZ$42,MATCH('Trend Charts New'!$C25,'Raw Data'!$B$3:$B$42,0),MATCH('Trend Charts New'!$B$6,'Raw Data'!$D$2:$KZ$2,0))</f>
        <v>210758</v>
      </c>
    </row>
    <row r="26" spans="3:5" x14ac:dyDescent="0.35">
      <c r="C26" s="62">
        <v>44682</v>
      </c>
      <c r="D26" s="27">
        <f>INDEX('Raw Data'!$D$3:$KZ$42,MATCH('Trend Charts New'!$C26,'Raw Data'!$B$3:$B$42,0),MATCH('Trend Charts New'!$B$5,'Raw Data'!$D$2:$KZ$2,0))</f>
        <v>20576.6889999999</v>
      </c>
      <c r="E26" s="28">
        <f>INDEX('Raw Data'!$D$3:$KZ$42,MATCH('Trend Charts New'!$C26,'Raw Data'!$B$3:$B$42,0),MATCH('Trend Charts New'!$B$6,'Raw Data'!$D$2:$KZ$2,0))</f>
        <v>159626</v>
      </c>
    </row>
    <row r="27" spans="3:5" x14ac:dyDescent="0.35">
      <c r="C27" s="62">
        <v>44713</v>
      </c>
      <c r="D27" s="27">
        <f>INDEX('Raw Data'!$D$3:$KZ$42,MATCH('Trend Charts New'!$C27,'Raw Data'!$B$3:$B$42,0),MATCH('Trend Charts New'!$B$5,'Raw Data'!$D$2:$KZ$2,0))</f>
        <v>21125.331999999999</v>
      </c>
      <c r="E27" s="28">
        <f>INDEX('Raw Data'!$D$3:$KZ$42,MATCH('Trend Charts New'!$C27,'Raw Data'!$B$3:$B$42,0),MATCH('Trend Charts New'!$B$6,'Raw Data'!$D$2:$KZ$2,0))</f>
        <v>58867</v>
      </c>
    </row>
    <row r="28" spans="3:5" x14ac:dyDescent="0.35">
      <c r="C28" s="62">
        <v>44743</v>
      </c>
      <c r="D28" s="27">
        <f>INDEX('Raw Data'!$D$3:$KZ$42,MATCH('Trend Charts New'!$C28,'Raw Data'!$B$3:$B$42,0),MATCH('Trend Charts New'!$B$5,'Raw Data'!$D$2:$KZ$2,0))</f>
        <v>20472.434999999899</v>
      </c>
      <c r="E28" s="28">
        <f>INDEX('Raw Data'!$D$3:$KZ$42,MATCH('Trend Charts New'!$C28,'Raw Data'!$B$3:$B$42,0),MATCH('Trend Charts New'!$B$6,'Raw Data'!$D$2:$KZ$2,0))</f>
        <v>84739</v>
      </c>
    </row>
    <row r="29" spans="3:5" x14ac:dyDescent="0.35">
      <c r="C29" s="62">
        <v>44774</v>
      </c>
      <c r="D29" s="27">
        <f>INDEX('Raw Data'!$D$3:$KZ$42,MATCH('Trend Charts New'!$C29,'Raw Data'!$B$3:$B$42,0),MATCH('Trend Charts New'!$B$5,'Raw Data'!$D$2:$KZ$2,0))</f>
        <v>22549.978999999999</v>
      </c>
      <c r="E29" s="28">
        <f>INDEX('Raw Data'!$D$3:$KZ$42,MATCH('Trend Charts New'!$C29,'Raw Data'!$B$3:$B$42,0),MATCH('Trend Charts New'!$B$6,'Raw Data'!$D$2:$KZ$2,0))</f>
        <v>144198</v>
      </c>
    </row>
    <row r="30" spans="3:5" x14ac:dyDescent="0.35">
      <c r="C30" s="62">
        <v>44805</v>
      </c>
      <c r="D30" s="27">
        <f>INDEX('Raw Data'!$D$3:$KZ$42,MATCH('Trend Charts New'!$C30,'Raw Data'!$B$3:$B$42,0),MATCH('Trend Charts New'!$B$5,'Raw Data'!$D$2:$KZ$2,0))</f>
        <v>22301.364000000001</v>
      </c>
      <c r="E30" s="28">
        <f>INDEX('Raw Data'!$D$3:$KZ$42,MATCH('Trend Charts New'!$C30,'Raw Data'!$B$3:$B$42,0),MATCH('Trend Charts New'!$B$6,'Raw Data'!$D$2:$KZ$2,0))</f>
        <v>86313</v>
      </c>
    </row>
    <row r="31" spans="3:5" x14ac:dyDescent="0.35">
      <c r="C31" s="62">
        <v>44835</v>
      </c>
      <c r="D31" s="27">
        <f>INDEX('Raw Data'!$D$3:$KZ$42,MATCH('Trend Charts New'!$C31,'Raw Data'!$B$3:$B$42,0),MATCH('Trend Charts New'!$B$5,'Raw Data'!$D$2:$KZ$2,0))</f>
        <v>22346.25</v>
      </c>
      <c r="E31" s="28">
        <f>INDEX('Raw Data'!$D$3:$KZ$42,MATCH('Trend Charts New'!$C31,'Raw Data'!$B$3:$B$42,0),MATCH('Trend Charts New'!$B$6,'Raw Data'!$D$2:$KZ$2,0))</f>
        <v>123173</v>
      </c>
    </row>
    <row r="32" spans="3:5" x14ac:dyDescent="0.35">
      <c r="C32" s="62">
        <v>44866</v>
      </c>
      <c r="D32" s="27">
        <f>INDEX('Raw Data'!$D$3:$KZ$42,MATCH('Trend Charts New'!$C32,'Raw Data'!$B$3:$B$42,0),MATCH('Trend Charts New'!$B$5,'Raw Data'!$D$2:$KZ$2,0))</f>
        <v>22266.956999999999</v>
      </c>
      <c r="E32" s="28">
        <f>INDEX('Raw Data'!$D$3:$KZ$42,MATCH('Trend Charts New'!$C32,'Raw Data'!$B$3:$B$42,0),MATCH('Trend Charts New'!$B$6,'Raw Data'!$D$2:$KZ$2,0))</f>
        <v>5540</v>
      </c>
    </row>
    <row r="33" spans="3:5" x14ac:dyDescent="0.35">
      <c r="C33" s="62">
        <v>44896</v>
      </c>
      <c r="D33" s="27">
        <f>INDEX('Raw Data'!$D$3:$KZ$42,MATCH('Trend Charts New'!$C33,'Raw Data'!$B$3:$B$42,0),MATCH('Trend Charts New'!$B$5,'Raw Data'!$D$2:$KZ$2,0))</f>
        <v>22805.391999999902</v>
      </c>
      <c r="E33" s="28">
        <f>INDEX('Raw Data'!$D$3:$KZ$42,MATCH('Trend Charts New'!$C33,'Raw Data'!$B$3:$B$42,0),MATCH('Trend Charts New'!$B$6,'Raw Data'!$D$2:$KZ$2,0))</f>
        <v>44712</v>
      </c>
    </row>
    <row r="34" spans="3:5" ht="15" thickBot="1" x14ac:dyDescent="0.4">
      <c r="C34" s="63">
        <v>44927</v>
      </c>
      <c r="D34" s="29">
        <f>INDEX('Raw Data'!$D$3:$KZ$42,MATCH('Trend Charts New'!$C34,'Raw Data'!$B$3:$B$42,0),MATCH('Trend Charts New'!$B$5,'Raw Data'!$D$2:$KZ$2,0))</f>
        <v>22072.416000000001</v>
      </c>
      <c r="E34" s="30">
        <f>INDEX('Raw Data'!$D$3:$KZ$42,MATCH('Trend Charts New'!$C34,'Raw Data'!$B$3:$B$42,0),MATCH('Trend Charts New'!$B$6,'Raw Data'!$D$2:$KZ$2,0))</f>
        <v>17717</v>
      </c>
    </row>
    <row r="35" spans="3:5" x14ac:dyDescent="0.35">
      <c r="C35" s="52"/>
      <c r="E35" s="200">
        <f>SUM(E11:E34)</f>
        <v>2908291</v>
      </c>
    </row>
    <row r="36" spans="3:5" x14ac:dyDescent="0.35">
      <c r="E36" s="199"/>
    </row>
    <row r="37" spans="3:5" ht="18.5" x14ac:dyDescent="0.45">
      <c r="C37" s="37" t="s">
        <v>51</v>
      </c>
    </row>
    <row r="38" spans="3:5" x14ac:dyDescent="0.35">
      <c r="C38" s="82" t="s">
        <v>306</v>
      </c>
    </row>
    <row r="39" spans="3:5" x14ac:dyDescent="0.35">
      <c r="C39" s="82" t="s">
        <v>319</v>
      </c>
    </row>
    <row r="42" spans="3:5" ht="18.5" x14ac:dyDescent="0.45">
      <c r="C42" s="198" t="s">
        <v>301</v>
      </c>
    </row>
    <row r="43" spans="3:5" ht="15.5" x14ac:dyDescent="0.35">
      <c r="C43" s="81" t="s">
        <v>305</v>
      </c>
    </row>
    <row r="44" spans="3:5" x14ac:dyDescent="0.35">
      <c r="C44" s="82" t="s">
        <v>307</v>
      </c>
    </row>
    <row r="45" spans="3:5" x14ac:dyDescent="0.35">
      <c r="C45" s="52" t="s">
        <v>308</v>
      </c>
    </row>
    <row r="46" spans="3:5" x14ac:dyDescent="0.35">
      <c r="C46" s="52" t="s">
        <v>375</v>
      </c>
    </row>
    <row r="47" spans="3:5" x14ac:dyDescent="0.35">
      <c r="C47" t="s">
        <v>379</v>
      </c>
    </row>
  </sheetData>
  <mergeCells count="1">
    <mergeCell ref="C2:S2"/>
  </mergeCells>
  <hyperlinks>
    <hyperlink ref="A1" location="Index!A1" display="Home" xr:uid="{D614FAE1-9D84-46BE-9978-7668C8202917}"/>
  </hyperlinks>
  <pageMargins left="0.7" right="0.7" top="0.75" bottom="0.75" header="0.3" footer="0.3"/>
  <pageSetup paperSize="9" orientation="portrait" r:id="rId1"/>
  <headerFooter>
    <oddHeader>&amp;L&amp;"Calibri"&amp;12&amp;K8E6A00Confidential&amp;1#</oddHead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52CCD73-15AE-4577-8DE2-746F509DC6BE}">
          <x14:formula1>
            <xm:f>Control!$F$4:$F$20</xm:f>
          </x14:formula1>
          <xm:sqref>D5</xm:sqref>
        </x14:dataValidation>
        <x14:dataValidation type="list" allowBlank="1" showInputMessage="1" showErrorMessage="1" xr:uid="{0A6C8E06-2FEF-48D5-B1F1-C293F3527EE2}">
          <x14:formula1>
            <xm:f>Control!$C$4:$C$300</xm:f>
          </x14:formula1>
          <xm:sqref>D6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0C4723-8DB1-42A1-94CD-A5DCFDA16107}">
  <sheetPr codeName="Sheet3">
    <tabColor theme="9" tint="0.39997558519241921"/>
  </sheetPr>
  <dimension ref="A1:G40"/>
  <sheetViews>
    <sheetView zoomScale="70" zoomScaleNormal="70" workbookViewId="0">
      <selection activeCell="H35" sqref="H35"/>
    </sheetView>
  </sheetViews>
  <sheetFormatPr defaultRowHeight="14.5" x14ac:dyDescent="0.35"/>
  <cols>
    <col min="1" max="1" width="9.08984375" style="10" customWidth="1"/>
    <col min="2" max="2" width="15.26953125" style="10" customWidth="1"/>
    <col min="3" max="3" width="18.26953125" style="10" customWidth="1"/>
    <col min="4" max="4" width="14.36328125" style="10" customWidth="1"/>
    <col min="5" max="5" width="19.453125" style="10" customWidth="1"/>
    <col min="6" max="6" width="4" style="10" customWidth="1"/>
    <col min="7" max="7" width="21.90625" style="10" customWidth="1"/>
    <col min="8" max="16384" width="8.7265625" style="10"/>
  </cols>
  <sheetData>
    <row r="1" spans="1:5" ht="15.5" x14ac:dyDescent="0.35">
      <c r="A1" s="35" t="s">
        <v>30</v>
      </c>
    </row>
    <row r="2" spans="1:5" ht="18.5" x14ac:dyDescent="0.45">
      <c r="A2" s="35"/>
      <c r="B2" s="210" t="s">
        <v>1</v>
      </c>
      <c r="C2" s="210"/>
      <c r="D2" s="210"/>
      <c r="E2" s="210"/>
    </row>
    <row r="4" spans="1:5" hidden="1" x14ac:dyDescent="0.35">
      <c r="C4" s="33" t="str">
        <f>INDEX(Control!$E$4:$E$15,MATCH(Sales!C$5,Control!$F$4:$F$15,0))</f>
        <v>hcp_grail_mnrx</v>
      </c>
      <c r="D4" s="33" t="str">
        <f>INDEX(Control!$E$4:$E$15,MATCH(Sales!D$5,Control!$F$4:$F$15,0))</f>
        <v>hcp_grail_nrx</v>
      </c>
      <c r="E4" s="33" t="str">
        <f>INDEX(Control!$E$4:$E$15,MATCH(Sales!E$5,Control!$F$4:$F$15,0))</f>
        <v>hcp_grail_vnrx</v>
      </c>
    </row>
    <row r="5" spans="1:5" x14ac:dyDescent="0.35">
      <c r="B5" s="22" t="s">
        <v>3</v>
      </c>
      <c r="C5" s="22" t="s">
        <v>174</v>
      </c>
      <c r="D5" s="22" t="s">
        <v>164</v>
      </c>
      <c r="E5" s="22" t="s">
        <v>175</v>
      </c>
    </row>
    <row r="6" spans="1:5" x14ac:dyDescent="0.35">
      <c r="B6" s="23" cm="1">
        <f t="array" ref="B6:B29">'Trend Charts New'!C$11:C$34</f>
        <v>44228</v>
      </c>
      <c r="C6" s="34">
        <f>_xlfn.IFNA(INDEX('Raw Data'!$D$3:$KZ$42,MATCH(Sales!$B6,'Raw Data'!$B$3:$B$42,0),MATCH(Sales!C$4,'Raw Data'!$D$2:$KZ$2,0)),0)</f>
        <v>2704242.2279999899</v>
      </c>
      <c r="D6" s="34">
        <f>_xlfn.IFNA(INDEX('Raw Data'!$D$3:$KZ$42,MATCH(Sales!$B6,'Raw Data'!$B$3:$B$42,0),MATCH(Sales!D$4,'Raw Data'!$D$2:$KZ$2,0)),0)</f>
        <v>18575.448999999899</v>
      </c>
      <c r="E6" s="34">
        <f>_xlfn.IFNA(INDEX('Raw Data'!$D$3:$KZ$42,MATCH(Sales!$B6,'Raw Data'!$B$3:$B$42,0),MATCH(Sales!E$4,'Raw Data'!$D$2:$KZ$2,0)),0)</f>
        <v>484.26799999999997</v>
      </c>
    </row>
    <row r="7" spans="1:5" x14ac:dyDescent="0.35">
      <c r="B7" s="23">
        <v>44256</v>
      </c>
      <c r="C7" s="34">
        <f>_xlfn.IFNA(INDEX('Raw Data'!$D$3:$KZ$42,MATCH(Sales!$B7,'Raw Data'!$B$3:$B$42,0),MATCH(Sales!C$4,'Raw Data'!$D$2:$KZ$2,0)),0)</f>
        <v>3156685.8620000002</v>
      </c>
      <c r="D7" s="34">
        <f>_xlfn.IFNA(INDEX('Raw Data'!$D$3:$KZ$42,MATCH(Sales!$B7,'Raw Data'!$B$3:$B$42,0),MATCH(Sales!D$4,'Raw Data'!$D$2:$KZ$2,0)),0)</f>
        <v>21399.245999999901</v>
      </c>
      <c r="E7" s="34">
        <f>_xlfn.IFNA(INDEX('Raw Data'!$D$3:$KZ$42,MATCH(Sales!$B7,'Raw Data'!$B$3:$B$42,0),MATCH(Sales!E$4,'Raw Data'!$D$2:$KZ$2,0)),0)</f>
        <v>615.58199999999999</v>
      </c>
    </row>
    <row r="8" spans="1:5" x14ac:dyDescent="0.35">
      <c r="B8" s="23">
        <v>44287</v>
      </c>
      <c r="C8" s="34">
        <f>_xlfn.IFNA(INDEX('Raw Data'!$D$3:$KZ$42,MATCH(Sales!$B8,'Raw Data'!$B$3:$B$42,0),MATCH(Sales!C$4,'Raw Data'!$D$2:$KZ$2,0)),0)</f>
        <v>2994039.122</v>
      </c>
      <c r="D8" s="34">
        <f>_xlfn.IFNA(INDEX('Raw Data'!$D$3:$KZ$42,MATCH(Sales!$B8,'Raw Data'!$B$3:$B$42,0),MATCH(Sales!D$4,'Raw Data'!$D$2:$KZ$2,0)),0)</f>
        <v>20252.035999999898</v>
      </c>
      <c r="E8" s="34">
        <f>_xlfn.IFNA(INDEX('Raw Data'!$D$3:$KZ$42,MATCH(Sales!$B8,'Raw Data'!$B$3:$B$42,0),MATCH(Sales!E$4,'Raw Data'!$D$2:$KZ$2,0)),0)</f>
        <v>472.59300000000002</v>
      </c>
    </row>
    <row r="9" spans="1:5" x14ac:dyDescent="0.35">
      <c r="B9" s="23">
        <v>44317</v>
      </c>
      <c r="C9" s="34">
        <f>_xlfn.IFNA(INDEX('Raw Data'!$D$3:$KZ$42,MATCH(Sales!$B9,'Raw Data'!$B$3:$B$42,0),MATCH(Sales!C$4,'Raw Data'!$D$2:$KZ$2,0)),0)</f>
        <v>2798839.59799999</v>
      </c>
      <c r="D9" s="34">
        <f>_xlfn.IFNA(INDEX('Raw Data'!$D$3:$KZ$42,MATCH(Sales!$B9,'Raw Data'!$B$3:$B$42,0),MATCH(Sales!D$4,'Raw Data'!$D$2:$KZ$2,0)),0)</f>
        <v>19044.010999999999</v>
      </c>
      <c r="E9" s="34">
        <f>_xlfn.IFNA(INDEX('Raw Data'!$D$3:$KZ$42,MATCH(Sales!$B9,'Raw Data'!$B$3:$B$42,0),MATCH(Sales!E$4,'Raw Data'!$D$2:$KZ$2,0)),0)</f>
        <v>436.17500000000001</v>
      </c>
    </row>
    <row r="10" spans="1:5" x14ac:dyDescent="0.35">
      <c r="B10" s="23">
        <v>44348</v>
      </c>
      <c r="C10" s="34">
        <f>_xlfn.IFNA(INDEX('Raw Data'!$D$3:$KZ$42,MATCH(Sales!$B10,'Raw Data'!$B$3:$B$42,0),MATCH(Sales!C$4,'Raw Data'!$D$2:$KZ$2,0)),0)</f>
        <v>2930485.1769999899</v>
      </c>
      <c r="D10" s="34">
        <f>_xlfn.IFNA(INDEX('Raw Data'!$D$3:$KZ$42,MATCH(Sales!$B10,'Raw Data'!$B$3:$B$42,0),MATCH(Sales!D$4,'Raw Data'!$D$2:$KZ$2,0)),0)</f>
        <v>19988.836999999901</v>
      </c>
      <c r="E10" s="34">
        <f>_xlfn.IFNA(INDEX('Raw Data'!$D$3:$KZ$42,MATCH(Sales!$B10,'Raw Data'!$B$3:$B$42,0),MATCH(Sales!E$4,'Raw Data'!$D$2:$KZ$2,0)),0)</f>
        <v>486.834</v>
      </c>
    </row>
    <row r="11" spans="1:5" x14ac:dyDescent="0.35">
      <c r="B11" s="23">
        <v>44378</v>
      </c>
      <c r="C11" s="34">
        <f>_xlfn.IFNA(INDEX('Raw Data'!$D$3:$KZ$42,MATCH(Sales!$B11,'Raw Data'!$B$3:$B$42,0),MATCH(Sales!C$4,'Raw Data'!$D$2:$KZ$2,0)),0)</f>
        <v>2914400.2019999898</v>
      </c>
      <c r="D11" s="34">
        <f>_xlfn.IFNA(INDEX('Raw Data'!$D$3:$KZ$42,MATCH(Sales!$B11,'Raw Data'!$B$3:$B$42,0),MATCH(Sales!D$4,'Raw Data'!$D$2:$KZ$2,0)),0)</f>
        <v>19833.813999999998</v>
      </c>
      <c r="E11" s="34">
        <f>_xlfn.IFNA(INDEX('Raw Data'!$D$3:$KZ$42,MATCH(Sales!$B11,'Raw Data'!$B$3:$B$42,0),MATCH(Sales!E$4,'Raw Data'!$D$2:$KZ$2,0)),0)</f>
        <v>483.86500000000001</v>
      </c>
    </row>
    <row r="12" spans="1:5" x14ac:dyDescent="0.35">
      <c r="B12" s="23">
        <v>44409</v>
      </c>
      <c r="C12" s="34">
        <f>_xlfn.IFNA(INDEX('Raw Data'!$D$3:$KZ$42,MATCH(Sales!$B12,'Raw Data'!$B$3:$B$42,0),MATCH(Sales!C$4,'Raw Data'!$D$2:$KZ$2,0)),0)</f>
        <v>2931634.28299999</v>
      </c>
      <c r="D12" s="34">
        <f>_xlfn.IFNA(INDEX('Raw Data'!$D$3:$KZ$42,MATCH(Sales!$B12,'Raw Data'!$B$3:$B$42,0),MATCH(Sales!D$4,'Raw Data'!$D$2:$KZ$2,0)),0)</f>
        <v>19791.6139999999</v>
      </c>
      <c r="E12" s="34">
        <f>_xlfn.IFNA(INDEX('Raw Data'!$D$3:$KZ$42,MATCH(Sales!$B12,'Raw Data'!$B$3:$B$42,0),MATCH(Sales!E$4,'Raw Data'!$D$2:$KZ$2,0)),0)</f>
        <v>500.41800000000001</v>
      </c>
    </row>
    <row r="13" spans="1:5" x14ac:dyDescent="0.35">
      <c r="B13" s="23">
        <v>44440</v>
      </c>
      <c r="C13" s="34">
        <f>_xlfn.IFNA(INDEX('Raw Data'!$D$3:$KZ$42,MATCH(Sales!$B13,'Raw Data'!$B$3:$B$42,0),MATCH(Sales!C$4,'Raw Data'!$D$2:$KZ$2,0)),0)</f>
        <v>2936146.4819999901</v>
      </c>
      <c r="D13" s="34">
        <f>_xlfn.IFNA(INDEX('Raw Data'!$D$3:$KZ$42,MATCH(Sales!$B13,'Raw Data'!$B$3:$B$42,0),MATCH(Sales!D$4,'Raw Data'!$D$2:$KZ$2,0)),0)</f>
        <v>19803.841</v>
      </c>
      <c r="E13" s="34">
        <f>_xlfn.IFNA(INDEX('Raw Data'!$D$3:$KZ$42,MATCH(Sales!$B13,'Raw Data'!$B$3:$B$42,0),MATCH(Sales!E$4,'Raw Data'!$D$2:$KZ$2,0)),0)</f>
        <v>468.947</v>
      </c>
    </row>
    <row r="14" spans="1:5" x14ac:dyDescent="0.35">
      <c r="B14" s="23">
        <v>44470</v>
      </c>
      <c r="C14" s="34">
        <f>_xlfn.IFNA(INDEX('Raw Data'!$D$3:$KZ$42,MATCH(Sales!$B14,'Raw Data'!$B$3:$B$42,0),MATCH(Sales!C$4,'Raw Data'!$D$2:$KZ$2,0)),0)</f>
        <v>2999777.8839999898</v>
      </c>
      <c r="D14" s="34">
        <f>_xlfn.IFNA(INDEX('Raw Data'!$D$3:$KZ$42,MATCH(Sales!$B14,'Raw Data'!$B$3:$B$42,0),MATCH(Sales!D$4,'Raw Data'!$D$2:$KZ$2,0)),0)</f>
        <v>20060.856</v>
      </c>
      <c r="E14" s="34">
        <f>_xlfn.IFNA(INDEX('Raw Data'!$D$3:$KZ$42,MATCH(Sales!$B14,'Raw Data'!$B$3:$B$42,0),MATCH(Sales!E$4,'Raw Data'!$D$2:$KZ$2,0)),0)</f>
        <v>521.59199999999998</v>
      </c>
    </row>
    <row r="15" spans="1:5" x14ac:dyDescent="0.35">
      <c r="B15" s="23">
        <v>44501</v>
      </c>
      <c r="C15" s="34">
        <f>_xlfn.IFNA(INDEX('Raw Data'!$D$3:$KZ$42,MATCH(Sales!$B15,'Raw Data'!$B$3:$B$42,0),MATCH(Sales!C$4,'Raw Data'!$D$2:$KZ$2,0)),0)</f>
        <v>2903285.4879999901</v>
      </c>
      <c r="D15" s="34">
        <f>_xlfn.IFNA(INDEX('Raw Data'!$D$3:$KZ$42,MATCH(Sales!$B15,'Raw Data'!$B$3:$B$42,0),MATCH(Sales!D$4,'Raw Data'!$D$2:$KZ$2,0)),0)</f>
        <v>19404.6349999999</v>
      </c>
      <c r="E15" s="34">
        <f>_xlfn.IFNA(INDEX('Raw Data'!$D$3:$KZ$42,MATCH(Sales!$B15,'Raw Data'!$B$3:$B$42,0),MATCH(Sales!E$4,'Raw Data'!$D$2:$KZ$2,0)),0)</f>
        <v>492.38</v>
      </c>
    </row>
    <row r="16" spans="1:5" x14ac:dyDescent="0.35">
      <c r="B16" s="23">
        <v>44531</v>
      </c>
      <c r="C16" s="34">
        <f>_xlfn.IFNA(INDEX('Raw Data'!$D$3:$KZ$42,MATCH(Sales!$B16,'Raw Data'!$B$3:$B$42,0),MATCH(Sales!C$4,'Raw Data'!$D$2:$KZ$2,0)),0)</f>
        <v>3052141.0860000001</v>
      </c>
      <c r="D16" s="34">
        <f>_xlfn.IFNA(INDEX('Raw Data'!$D$3:$KZ$42,MATCH(Sales!$B16,'Raw Data'!$B$3:$B$42,0),MATCH(Sales!D$4,'Raw Data'!$D$2:$KZ$2,0)),0)</f>
        <v>20133.551999999901</v>
      </c>
      <c r="E16" s="34">
        <f>_xlfn.IFNA(INDEX('Raw Data'!$D$3:$KZ$42,MATCH(Sales!$B16,'Raw Data'!$B$3:$B$42,0),MATCH(Sales!E$4,'Raw Data'!$D$2:$KZ$2,0)),0)</f>
        <v>305.00799999999998</v>
      </c>
    </row>
    <row r="17" spans="2:7" x14ac:dyDescent="0.35">
      <c r="B17" s="23">
        <v>44562</v>
      </c>
      <c r="C17" s="34">
        <f>_xlfn.IFNA(INDEX('Raw Data'!$D$3:$KZ$42,MATCH(Sales!$B17,'Raw Data'!$B$3:$B$42,0),MATCH(Sales!C$4,'Raw Data'!$D$2:$KZ$2,0)),0)</f>
        <v>2977424.1260000002</v>
      </c>
      <c r="D17" s="34">
        <f>_xlfn.IFNA(INDEX('Raw Data'!$D$3:$KZ$42,MATCH(Sales!$B17,'Raw Data'!$B$3:$B$42,0),MATCH(Sales!D$4,'Raw Data'!$D$2:$KZ$2,0)),0)</f>
        <v>18563.743999999999</v>
      </c>
      <c r="E17" s="34">
        <f>_xlfn.IFNA(INDEX('Raw Data'!$D$3:$KZ$42,MATCH(Sales!$B17,'Raw Data'!$B$3:$B$42,0),MATCH(Sales!E$4,'Raw Data'!$D$2:$KZ$2,0)),0)</f>
        <v>334.96199999999999</v>
      </c>
    </row>
    <row r="18" spans="2:7" x14ac:dyDescent="0.35">
      <c r="B18" s="23">
        <v>44593</v>
      </c>
      <c r="C18" s="34">
        <f>_xlfn.IFNA(INDEX('Raw Data'!$D$3:$KZ$42,MATCH(Sales!$B18,'Raw Data'!$B$3:$B$42,0),MATCH(Sales!C$4,'Raw Data'!$D$2:$KZ$2,0)),0)</f>
        <v>2829064.89899999</v>
      </c>
      <c r="D18" s="34">
        <f>_xlfn.IFNA(INDEX('Raw Data'!$D$3:$KZ$42,MATCH(Sales!$B18,'Raw Data'!$B$3:$B$42,0),MATCH(Sales!D$4,'Raw Data'!$D$2:$KZ$2,0)),0)</f>
        <v>18467.2569999999</v>
      </c>
      <c r="E18" s="34">
        <f>_xlfn.IFNA(INDEX('Raw Data'!$D$3:$KZ$42,MATCH(Sales!$B18,'Raw Data'!$B$3:$B$42,0),MATCH(Sales!E$4,'Raw Data'!$D$2:$KZ$2,0)),0)</f>
        <v>398.61799999999999</v>
      </c>
    </row>
    <row r="19" spans="2:7" x14ac:dyDescent="0.35">
      <c r="B19" s="23">
        <v>44621</v>
      </c>
      <c r="C19" s="34">
        <f>_xlfn.IFNA(INDEX('Raw Data'!$D$3:$KZ$42,MATCH(Sales!$B19,'Raw Data'!$B$3:$B$42,0),MATCH(Sales!C$4,'Raw Data'!$D$2:$KZ$2,0)),0)</f>
        <v>3193545.6449999898</v>
      </c>
      <c r="D19" s="34">
        <f>_xlfn.IFNA(INDEX('Raw Data'!$D$3:$KZ$42,MATCH(Sales!$B19,'Raw Data'!$B$3:$B$42,0),MATCH(Sales!D$4,'Raw Data'!$D$2:$KZ$2,0)),0)</f>
        <v>21605.558999999899</v>
      </c>
      <c r="E19" s="34">
        <f>_xlfn.IFNA(INDEX('Raw Data'!$D$3:$KZ$42,MATCH(Sales!$B19,'Raw Data'!$B$3:$B$42,0),MATCH(Sales!E$4,'Raw Data'!$D$2:$KZ$2,0)),0)</f>
        <v>539.75699999999995</v>
      </c>
    </row>
    <row r="20" spans="2:7" x14ac:dyDescent="0.35">
      <c r="B20" s="23">
        <v>44652</v>
      </c>
      <c r="C20" s="34">
        <f>_xlfn.IFNA(INDEX('Raw Data'!$D$3:$KZ$42,MATCH(Sales!$B20,'Raw Data'!$B$3:$B$42,0),MATCH(Sales!C$4,'Raw Data'!$D$2:$KZ$2,0)),0)</f>
        <v>2955662.6609999998</v>
      </c>
      <c r="D20" s="34">
        <f>_xlfn.IFNA(INDEX('Raw Data'!$D$3:$KZ$42,MATCH(Sales!$B20,'Raw Data'!$B$3:$B$42,0),MATCH(Sales!D$4,'Raw Data'!$D$2:$KZ$2,0)),0)</f>
        <v>20522.0959999999</v>
      </c>
      <c r="E20" s="34">
        <f>_xlfn.IFNA(INDEX('Raw Data'!$D$3:$KZ$42,MATCH(Sales!$B20,'Raw Data'!$B$3:$B$42,0),MATCH(Sales!E$4,'Raw Data'!$D$2:$KZ$2,0)),0)</f>
        <v>521.16300000000001</v>
      </c>
    </row>
    <row r="21" spans="2:7" x14ac:dyDescent="0.35">
      <c r="B21" s="23">
        <v>44682</v>
      </c>
      <c r="C21" s="34">
        <f>_xlfn.IFNA(INDEX('Raw Data'!$D$3:$KZ$42,MATCH(Sales!$B21,'Raw Data'!$B$3:$B$42,0),MATCH(Sales!C$4,'Raw Data'!$D$2:$KZ$2,0)),0)</f>
        <v>2956911.878</v>
      </c>
      <c r="D21" s="34">
        <f>_xlfn.IFNA(INDEX('Raw Data'!$D$3:$KZ$42,MATCH(Sales!$B21,'Raw Data'!$B$3:$B$42,0),MATCH(Sales!D$4,'Raw Data'!$D$2:$KZ$2,0)),0)</f>
        <v>20576.6889999999</v>
      </c>
      <c r="E21" s="34">
        <f>_xlfn.IFNA(INDEX('Raw Data'!$D$3:$KZ$42,MATCH(Sales!$B21,'Raw Data'!$B$3:$B$42,0),MATCH(Sales!E$4,'Raw Data'!$D$2:$KZ$2,0)),0)</f>
        <v>508.13799999999998</v>
      </c>
    </row>
    <row r="22" spans="2:7" x14ac:dyDescent="0.35">
      <c r="B22" s="23">
        <v>44713</v>
      </c>
      <c r="C22" s="34">
        <f>_xlfn.IFNA(INDEX('Raw Data'!$D$3:$KZ$42,MATCH(Sales!$B22,'Raw Data'!$B$3:$B$42,0),MATCH(Sales!C$4,'Raw Data'!$D$2:$KZ$2,0)),0)</f>
        <v>3004720.3839999898</v>
      </c>
      <c r="D22" s="34">
        <f>_xlfn.IFNA(INDEX('Raw Data'!$D$3:$KZ$42,MATCH(Sales!$B22,'Raw Data'!$B$3:$B$42,0),MATCH(Sales!D$4,'Raw Data'!$D$2:$KZ$2,0)),0)</f>
        <v>21125.331999999999</v>
      </c>
      <c r="E22" s="34">
        <f>_xlfn.IFNA(INDEX('Raw Data'!$D$3:$KZ$42,MATCH(Sales!$B22,'Raw Data'!$B$3:$B$42,0),MATCH(Sales!E$4,'Raw Data'!$D$2:$KZ$2,0)),0)</f>
        <v>451.43299999999999</v>
      </c>
    </row>
    <row r="23" spans="2:7" x14ac:dyDescent="0.35">
      <c r="B23" s="23">
        <v>44743</v>
      </c>
      <c r="C23" s="34">
        <f>_xlfn.IFNA(INDEX('Raw Data'!$D$3:$KZ$42,MATCH(Sales!$B23,'Raw Data'!$B$3:$B$42,0),MATCH(Sales!C$4,'Raw Data'!$D$2:$KZ$2,0)),0)</f>
        <v>2895145.3469999898</v>
      </c>
      <c r="D23" s="34">
        <f>_xlfn.IFNA(INDEX('Raw Data'!$D$3:$KZ$42,MATCH(Sales!$B23,'Raw Data'!$B$3:$B$42,0),MATCH(Sales!D$4,'Raw Data'!$D$2:$KZ$2,0)),0)</f>
        <v>20472.434999999899</v>
      </c>
      <c r="E23" s="34">
        <f>_xlfn.IFNA(INDEX('Raw Data'!$D$3:$KZ$42,MATCH(Sales!$B23,'Raw Data'!$B$3:$B$42,0),MATCH(Sales!E$4,'Raw Data'!$D$2:$KZ$2,0)),0)</f>
        <v>423.75200000000001</v>
      </c>
    </row>
    <row r="24" spans="2:7" x14ac:dyDescent="0.35">
      <c r="B24" s="23">
        <v>44774</v>
      </c>
      <c r="C24" s="34">
        <f>_xlfn.IFNA(INDEX('Raw Data'!$D$3:$KZ$42,MATCH(Sales!$B24,'Raw Data'!$B$3:$B$42,0),MATCH(Sales!C$4,'Raw Data'!$D$2:$KZ$2,0)),0)</f>
        <v>3099369.6609999901</v>
      </c>
      <c r="D24" s="34">
        <f>_xlfn.IFNA(INDEX('Raw Data'!$D$3:$KZ$42,MATCH(Sales!$B24,'Raw Data'!$B$3:$B$42,0),MATCH(Sales!D$4,'Raw Data'!$D$2:$KZ$2,0)),0)</f>
        <v>22549.978999999999</v>
      </c>
      <c r="E24" s="34">
        <f>_xlfn.IFNA(INDEX('Raw Data'!$D$3:$KZ$42,MATCH(Sales!$B24,'Raw Data'!$B$3:$B$42,0),MATCH(Sales!E$4,'Raw Data'!$D$2:$KZ$2,0)),0)</f>
        <v>509.221</v>
      </c>
    </row>
    <row r="25" spans="2:7" x14ac:dyDescent="0.35">
      <c r="B25" s="23">
        <v>44805</v>
      </c>
      <c r="C25" s="34">
        <f>_xlfn.IFNA(INDEX('Raw Data'!$D$3:$KZ$42,MATCH(Sales!$B25,'Raw Data'!$B$3:$B$42,0),MATCH(Sales!C$4,'Raw Data'!$D$2:$KZ$2,0)),0)</f>
        <v>2964044.6099999901</v>
      </c>
      <c r="D25" s="34">
        <f>_xlfn.IFNA(INDEX('Raw Data'!$D$3:$KZ$42,MATCH(Sales!$B25,'Raw Data'!$B$3:$B$42,0),MATCH(Sales!D$4,'Raw Data'!$D$2:$KZ$2,0)),0)</f>
        <v>22301.364000000001</v>
      </c>
      <c r="E25" s="34">
        <f>_xlfn.IFNA(INDEX('Raw Data'!$D$3:$KZ$42,MATCH(Sales!$B25,'Raw Data'!$B$3:$B$42,0),MATCH(Sales!E$4,'Raw Data'!$D$2:$KZ$2,0)),0)</f>
        <v>536.41399999999999</v>
      </c>
    </row>
    <row r="26" spans="2:7" x14ac:dyDescent="0.35">
      <c r="B26" s="23">
        <v>44835</v>
      </c>
      <c r="C26" s="34">
        <f>_xlfn.IFNA(INDEX('Raw Data'!$D$3:$KZ$42,MATCH(Sales!$B26,'Raw Data'!$B$3:$B$42,0),MATCH(Sales!C$4,'Raw Data'!$D$2:$KZ$2,0)),0)</f>
        <v>2986430.48</v>
      </c>
      <c r="D26" s="34">
        <f>_xlfn.IFNA(INDEX('Raw Data'!$D$3:$KZ$42,MATCH(Sales!$B26,'Raw Data'!$B$3:$B$42,0),MATCH(Sales!D$4,'Raw Data'!$D$2:$KZ$2,0)),0)</f>
        <v>22346.25</v>
      </c>
      <c r="E26" s="34">
        <f>_xlfn.IFNA(INDEX('Raw Data'!$D$3:$KZ$42,MATCH(Sales!$B26,'Raw Data'!$B$3:$B$42,0),MATCH(Sales!E$4,'Raw Data'!$D$2:$KZ$2,0)),0)</f>
        <v>461.64400000000001</v>
      </c>
    </row>
    <row r="27" spans="2:7" x14ac:dyDescent="0.35">
      <c r="B27" s="23">
        <v>44866</v>
      </c>
      <c r="C27" s="34">
        <f>_xlfn.IFNA(INDEX('Raw Data'!$D$3:$KZ$42,MATCH(Sales!$B27,'Raw Data'!$B$3:$B$42,0),MATCH(Sales!C$4,'Raw Data'!$D$2:$KZ$2,0)),0)</f>
        <v>2969200.8789999899</v>
      </c>
      <c r="D27" s="34">
        <f>_xlfn.IFNA(INDEX('Raw Data'!$D$3:$KZ$42,MATCH(Sales!$B27,'Raw Data'!$B$3:$B$42,0),MATCH(Sales!D$4,'Raw Data'!$D$2:$KZ$2,0)),0)</f>
        <v>22266.956999999999</v>
      </c>
      <c r="E27" s="34">
        <f>_xlfn.IFNA(INDEX('Raw Data'!$D$3:$KZ$42,MATCH(Sales!$B27,'Raw Data'!$B$3:$B$42,0),MATCH(Sales!E$4,'Raw Data'!$D$2:$KZ$2,0)),0)</f>
        <v>450.38299999999998</v>
      </c>
    </row>
    <row r="28" spans="2:7" x14ac:dyDescent="0.35">
      <c r="B28" s="23">
        <v>44896</v>
      </c>
      <c r="C28" s="34">
        <f>_xlfn.IFNA(INDEX('Raw Data'!$D$3:$KZ$42,MATCH(Sales!$B28,'Raw Data'!$B$3:$B$42,0),MATCH(Sales!C$4,'Raw Data'!$D$2:$KZ$2,0)),0)</f>
        <v>3069812.1129999901</v>
      </c>
      <c r="D28" s="34">
        <f>_xlfn.IFNA(INDEX('Raw Data'!$D$3:$KZ$42,MATCH(Sales!$B28,'Raw Data'!$B$3:$B$42,0),MATCH(Sales!D$4,'Raw Data'!$D$2:$KZ$2,0)),0)</f>
        <v>22805.391999999902</v>
      </c>
      <c r="E28" s="34">
        <f>_xlfn.IFNA(INDEX('Raw Data'!$D$3:$KZ$42,MATCH(Sales!$B28,'Raw Data'!$B$3:$B$42,0),MATCH(Sales!E$4,'Raw Data'!$D$2:$KZ$2,0)),0)</f>
        <v>370.54399999999998</v>
      </c>
    </row>
    <row r="29" spans="2:7" x14ac:dyDescent="0.35">
      <c r="B29" s="23">
        <v>44927</v>
      </c>
      <c r="C29" s="34">
        <f>_xlfn.IFNA(INDEX('Raw Data'!$D$3:$KZ$42,MATCH(Sales!$B29,'Raw Data'!$B$3:$B$42,0),MATCH(Sales!C$4,'Raw Data'!$D$2:$KZ$2,0)),0)</f>
        <v>3130123.36799999</v>
      </c>
      <c r="D29" s="34">
        <f>_xlfn.IFNA(INDEX('Raw Data'!$D$3:$KZ$42,MATCH(Sales!$B29,'Raw Data'!$B$3:$B$42,0),MATCH(Sales!D$4,'Raw Data'!$D$2:$KZ$2,0)),0)</f>
        <v>22072.416000000001</v>
      </c>
      <c r="E29" s="34">
        <f>_xlfn.IFNA(INDEX('Raw Data'!$D$3:$KZ$42,MATCH(Sales!$B29,'Raw Data'!$B$3:$B$42,0),MATCH(Sales!E$4,'Raw Data'!$D$2:$KZ$2,0)),0)</f>
        <v>418.63499999999999</v>
      </c>
    </row>
    <row r="30" spans="2:7" ht="15.5" x14ac:dyDescent="0.35">
      <c r="G30" s="38" t="s">
        <v>299</v>
      </c>
    </row>
    <row r="31" spans="2:7" x14ac:dyDescent="0.35">
      <c r="G31" s="79" t="s">
        <v>324</v>
      </c>
    </row>
    <row r="32" spans="2:7" x14ac:dyDescent="0.35">
      <c r="G32" s="79" t="s">
        <v>325</v>
      </c>
    </row>
    <row r="33" spans="2:7" x14ac:dyDescent="0.35">
      <c r="G33" s="50" t="s">
        <v>326</v>
      </c>
    </row>
    <row r="37" spans="2:7" x14ac:dyDescent="0.35">
      <c r="C37" s="78" t="str">
        <f>C5</f>
        <v>Market NRx</v>
      </c>
      <c r="D37" s="78" t="str">
        <f>D5</f>
        <v>NRx</v>
      </c>
      <c r="E37" s="78" t="str">
        <f>E5</f>
        <v>Voucher NRx</v>
      </c>
    </row>
    <row r="38" spans="2:7" x14ac:dyDescent="0.35">
      <c r="B38" s="56" t="s">
        <v>293</v>
      </c>
      <c r="C38" s="42">
        <f>SUM(C8:C19)</f>
        <v>35460783.991999909</v>
      </c>
      <c r="D38" s="42">
        <f t="shared" ref="D38:E38" si="0">SUM(D8:D19)</f>
        <v>236949.7559999993</v>
      </c>
      <c r="E38" s="42">
        <f t="shared" si="0"/>
        <v>5441.1490000000013</v>
      </c>
    </row>
    <row r="39" spans="2:7" x14ac:dyDescent="0.35">
      <c r="B39" s="56" t="s">
        <v>316</v>
      </c>
      <c r="C39" s="42">
        <f>SUM(C17:C28)</f>
        <v>35901332.682999924</v>
      </c>
      <c r="D39" s="42">
        <f t="shared" ref="D39:E39" si="1">SUM(D17:D28)</f>
        <v>253603.05399999939</v>
      </c>
      <c r="E39" s="42">
        <f t="shared" si="1"/>
        <v>5506.0289999999995</v>
      </c>
    </row>
    <row r="40" spans="2:7" x14ac:dyDescent="0.35">
      <c r="B40" s="31" t="s">
        <v>176</v>
      </c>
      <c r="C40" s="58">
        <f>C39/C38-1</f>
        <v>1.2423546278599096E-2</v>
      </c>
      <c r="D40" s="58">
        <f t="shared" ref="D40:E40" si="2">D39/D38-1</f>
        <v>7.0281979948526141E-2</v>
      </c>
      <c r="E40" s="58">
        <f t="shared" si="2"/>
        <v>1.1923952091736245E-2</v>
      </c>
    </row>
  </sheetData>
  <mergeCells count="1">
    <mergeCell ref="B2:E2"/>
  </mergeCells>
  <hyperlinks>
    <hyperlink ref="A1" location="Index!A1" display="Home" xr:uid="{EB33B847-E7B9-45CE-9630-8F8F5F43CB1C}"/>
  </hyperlinks>
  <pageMargins left="0.7" right="0.7" top="0.75" bottom="0.75" header="0.3" footer="0.3"/>
  <pageSetup paperSize="9" orientation="portrait" r:id="rId1"/>
  <headerFooter>
    <oddHeader>&amp;L&amp;"Calibri"&amp;12&amp;K8E6A00Confidential&amp;1#</oddHead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C956689-E434-48F9-8928-5774A9E19AA1}">
          <x14:formula1>
            <xm:f>Control!$F$4:$F$15</xm:f>
          </x14:formula1>
          <xm:sqref>C5:E5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5762C-1931-4351-BB51-3D9075CC8211}">
  <sheetPr codeName="Sheet7">
    <tabColor theme="9" tint="0.39997558519241921"/>
  </sheetPr>
  <dimension ref="A1:H65"/>
  <sheetViews>
    <sheetView zoomScale="70" zoomScaleNormal="70" workbookViewId="0">
      <selection activeCell="G33" sqref="G33"/>
    </sheetView>
  </sheetViews>
  <sheetFormatPr defaultRowHeight="14.5" x14ac:dyDescent="0.35"/>
  <cols>
    <col min="1" max="1" width="9.08984375" style="10" customWidth="1"/>
    <col min="2" max="2" width="14" style="10" customWidth="1"/>
    <col min="3" max="3" width="27" style="10" customWidth="1"/>
    <col min="4" max="4" width="30.54296875" style="10" customWidth="1"/>
    <col min="5" max="5" width="25.08984375" style="10" customWidth="1"/>
    <col min="6" max="6" width="23.08984375" style="10" customWidth="1"/>
    <col min="7" max="7" width="17.36328125" style="10" customWidth="1"/>
    <col min="8" max="8" width="24.1796875" style="10" customWidth="1"/>
    <col min="9" max="16384" width="8.7265625" style="10"/>
  </cols>
  <sheetData>
    <row r="1" spans="1:7" ht="15.5" x14ac:dyDescent="0.35">
      <c r="A1" s="35" t="s">
        <v>30</v>
      </c>
    </row>
    <row r="2" spans="1:7" ht="18.5" x14ac:dyDescent="0.35">
      <c r="A2" s="35"/>
      <c r="B2" s="211" t="s">
        <v>197</v>
      </c>
      <c r="C2" s="211"/>
      <c r="D2" s="211"/>
      <c r="E2" s="211"/>
      <c r="F2" s="211"/>
    </row>
    <row r="4" spans="1:7" x14ac:dyDescent="0.35">
      <c r="C4" s="71" t="s">
        <v>167</v>
      </c>
      <c r="D4" s="71" t="s">
        <v>168</v>
      </c>
      <c r="E4" s="71" t="s">
        <v>169</v>
      </c>
    </row>
    <row r="5" spans="1:7" ht="14.5" hidden="1" customHeight="1" x14ac:dyDescent="0.35">
      <c r="C5" s="33" t="str">
        <f>INDEX(Control!$B$4:$B$305,MATCH('Field Emails'!C$6,Control!$C$4:$C$305,0))</f>
        <v>hcp_field_del</v>
      </c>
      <c r="D5" s="33" t="str">
        <f>INDEX(Control!$B$4:$B$305,MATCH('Field Emails'!D$6,Control!$C$4:$C$305,0))</f>
        <v>hcp_field_eng</v>
      </c>
      <c r="E5" s="33" t="str">
        <f>INDEX(Control!$B$4:$B$305,MATCH('Field Emails'!E$6,Control!$C$4:$C$305,0))</f>
        <v>hcp_field_clkd</v>
      </c>
      <c r="F5" s="33"/>
    </row>
    <row r="6" spans="1:7" x14ac:dyDescent="0.35">
      <c r="B6" s="22" t="s">
        <v>3</v>
      </c>
      <c r="C6" s="22" t="s">
        <v>193</v>
      </c>
      <c r="D6" s="22" t="s">
        <v>194</v>
      </c>
      <c r="E6" s="22" t="s">
        <v>195</v>
      </c>
      <c r="F6" s="22" t="s">
        <v>165</v>
      </c>
    </row>
    <row r="7" spans="1:7" x14ac:dyDescent="0.35">
      <c r="B7" s="23" cm="1">
        <f t="array" ref="B7:B30">'Trend Charts New'!C$11:C$34</f>
        <v>44228</v>
      </c>
      <c r="C7" s="34">
        <f>_xlfn.IFNA(INDEX('Raw Data'!$D$3:$KZ$42,MATCH('Field Emails'!$B7,'Raw Data'!$B$3:$B$42,0),MATCH('Field Emails'!C$5,'Raw Data'!$D$2:$KZ$2,0)),0)</f>
        <v>6984</v>
      </c>
      <c r="D7" s="34">
        <f>_xlfn.IFNA(INDEX('Raw Data'!$D$3:$KZ$42,MATCH('Field Emails'!$B7,'Raw Data'!$B$3:$B$42,0),MATCH('Field Emails'!D$5,'Raw Data'!$D$2:$KZ$2,0)),0)</f>
        <v>2125</v>
      </c>
      <c r="E7" s="34">
        <f>_xlfn.IFNA(INDEX('Raw Data'!$D$3:$KZ$42,MATCH('Field Emails'!$B7,'Raw Data'!$B$3:$B$42,0),MATCH('Field Emails'!E$5,'Raw Data'!$D$2:$KZ$2,0)),0)</f>
        <v>42</v>
      </c>
      <c r="F7" s="51">
        <f>IFERROR(D7/C7*100,0)</f>
        <v>30.426689576174109</v>
      </c>
    </row>
    <row r="8" spans="1:7" x14ac:dyDescent="0.35">
      <c r="B8" s="23">
        <v>44256</v>
      </c>
      <c r="C8" s="34">
        <f>_xlfn.IFNA(INDEX('Raw Data'!$D$3:$KZ$42,MATCH('Field Emails'!$B8,'Raw Data'!$B$3:$B$42,0),MATCH('Field Emails'!C$5,'Raw Data'!$D$2:$KZ$2,0)),0)</f>
        <v>12576</v>
      </c>
      <c r="D8" s="34">
        <f>_xlfn.IFNA(INDEX('Raw Data'!$D$3:$KZ$42,MATCH('Field Emails'!$B8,'Raw Data'!$B$3:$B$42,0),MATCH('Field Emails'!D$5,'Raw Data'!$D$2:$KZ$2,0)),0)</f>
        <v>2929</v>
      </c>
      <c r="E8" s="34">
        <f>_xlfn.IFNA(INDEX('Raw Data'!$D$3:$KZ$42,MATCH('Field Emails'!$B8,'Raw Data'!$B$3:$B$42,0),MATCH('Field Emails'!E$5,'Raw Data'!$D$2:$KZ$2,0)),0)</f>
        <v>171</v>
      </c>
      <c r="F8" s="51">
        <f t="shared" ref="F8:F30" si="0">IFERROR(D8/C8*100,0)</f>
        <v>23.290394402035624</v>
      </c>
      <c r="G8" s="57"/>
    </row>
    <row r="9" spans="1:7" x14ac:dyDescent="0.35">
      <c r="B9" s="23">
        <v>44287</v>
      </c>
      <c r="C9" s="34">
        <f>_xlfn.IFNA(INDEX('Raw Data'!$D$3:$KZ$42,MATCH('Field Emails'!$B9,'Raw Data'!$B$3:$B$42,0),MATCH('Field Emails'!C$5,'Raw Data'!$D$2:$KZ$2,0)),0)</f>
        <v>9985</v>
      </c>
      <c r="D9" s="34">
        <f>_xlfn.IFNA(INDEX('Raw Data'!$D$3:$KZ$42,MATCH('Field Emails'!$B9,'Raw Data'!$B$3:$B$42,0),MATCH('Field Emails'!D$5,'Raw Data'!$D$2:$KZ$2,0)),0)</f>
        <v>2017</v>
      </c>
      <c r="E9" s="34">
        <f>_xlfn.IFNA(INDEX('Raw Data'!$D$3:$KZ$42,MATCH('Field Emails'!$B9,'Raw Data'!$B$3:$B$42,0),MATCH('Field Emails'!E$5,'Raw Data'!$D$2:$KZ$2,0)),0)</f>
        <v>65</v>
      </c>
      <c r="F9" s="51">
        <f t="shared" si="0"/>
        <v>20.200300450676014</v>
      </c>
    </row>
    <row r="10" spans="1:7" x14ac:dyDescent="0.35">
      <c r="B10" s="23">
        <v>44317</v>
      </c>
      <c r="C10" s="34">
        <f>_xlfn.IFNA(INDEX('Raw Data'!$D$3:$KZ$42,MATCH('Field Emails'!$B10,'Raw Data'!$B$3:$B$42,0),MATCH('Field Emails'!C$5,'Raw Data'!$D$2:$KZ$2,0)),0)</f>
        <v>10829</v>
      </c>
      <c r="D10" s="34">
        <f>_xlfn.IFNA(INDEX('Raw Data'!$D$3:$KZ$42,MATCH('Field Emails'!$B10,'Raw Data'!$B$3:$B$42,0),MATCH('Field Emails'!D$5,'Raw Data'!$D$2:$KZ$2,0)),0)</f>
        <v>2647</v>
      </c>
      <c r="E10" s="34">
        <f>_xlfn.IFNA(INDEX('Raw Data'!$D$3:$KZ$42,MATCH('Field Emails'!$B10,'Raw Data'!$B$3:$B$42,0),MATCH('Field Emails'!E$5,'Raw Data'!$D$2:$KZ$2,0)),0)</f>
        <v>57</v>
      </c>
      <c r="F10" s="51">
        <f t="shared" si="0"/>
        <v>24.443623603287467</v>
      </c>
    </row>
    <row r="11" spans="1:7" x14ac:dyDescent="0.35">
      <c r="B11" s="23">
        <v>44348</v>
      </c>
      <c r="C11" s="34">
        <f>_xlfn.IFNA(INDEX('Raw Data'!$D$3:$KZ$42,MATCH('Field Emails'!$B11,'Raw Data'!$B$3:$B$42,0),MATCH('Field Emails'!C$5,'Raw Data'!$D$2:$KZ$2,0)),0)</f>
        <v>6752</v>
      </c>
      <c r="D11" s="34">
        <f>_xlfn.IFNA(INDEX('Raw Data'!$D$3:$KZ$42,MATCH('Field Emails'!$B11,'Raw Data'!$B$3:$B$42,0),MATCH('Field Emails'!D$5,'Raw Data'!$D$2:$KZ$2,0)),0)</f>
        <v>1747</v>
      </c>
      <c r="E11" s="34">
        <f>_xlfn.IFNA(INDEX('Raw Data'!$D$3:$KZ$42,MATCH('Field Emails'!$B11,'Raw Data'!$B$3:$B$42,0),MATCH('Field Emails'!E$5,'Raw Data'!$D$2:$KZ$2,0)),0)</f>
        <v>35</v>
      </c>
      <c r="F11" s="51">
        <f t="shared" si="0"/>
        <v>25.873815165876778</v>
      </c>
    </row>
    <row r="12" spans="1:7" x14ac:dyDescent="0.35">
      <c r="B12" s="23">
        <v>44378</v>
      </c>
      <c r="C12" s="34">
        <f>_xlfn.IFNA(INDEX('Raw Data'!$D$3:$KZ$42,MATCH('Field Emails'!$B12,'Raw Data'!$B$3:$B$42,0),MATCH('Field Emails'!C$5,'Raw Data'!$D$2:$KZ$2,0)),0)</f>
        <v>8252</v>
      </c>
      <c r="D12" s="34">
        <f>_xlfn.IFNA(INDEX('Raw Data'!$D$3:$KZ$42,MATCH('Field Emails'!$B12,'Raw Data'!$B$3:$B$42,0),MATCH('Field Emails'!D$5,'Raw Data'!$D$2:$KZ$2,0)),0)</f>
        <v>2108</v>
      </c>
      <c r="E12" s="34">
        <f>_xlfn.IFNA(INDEX('Raw Data'!$D$3:$KZ$42,MATCH('Field Emails'!$B12,'Raw Data'!$B$3:$B$42,0),MATCH('Field Emails'!E$5,'Raw Data'!$D$2:$KZ$2,0)),0)</f>
        <v>60</v>
      </c>
      <c r="F12" s="51">
        <f t="shared" si="0"/>
        <v>25.545322346097915</v>
      </c>
    </row>
    <row r="13" spans="1:7" x14ac:dyDescent="0.35">
      <c r="B13" s="23">
        <v>44409</v>
      </c>
      <c r="C13" s="34">
        <f>_xlfn.IFNA(INDEX('Raw Data'!$D$3:$KZ$42,MATCH('Field Emails'!$B13,'Raw Data'!$B$3:$B$42,0),MATCH('Field Emails'!C$5,'Raw Data'!$D$2:$KZ$2,0)),0)</f>
        <v>8264</v>
      </c>
      <c r="D13" s="34">
        <f>_xlfn.IFNA(INDEX('Raw Data'!$D$3:$KZ$42,MATCH('Field Emails'!$B13,'Raw Data'!$B$3:$B$42,0),MATCH('Field Emails'!D$5,'Raw Data'!$D$2:$KZ$2,0)),0)</f>
        <v>1990</v>
      </c>
      <c r="E13" s="34">
        <f>_xlfn.IFNA(INDEX('Raw Data'!$D$3:$KZ$42,MATCH('Field Emails'!$B13,'Raw Data'!$B$3:$B$42,0),MATCH('Field Emails'!E$5,'Raw Data'!$D$2:$KZ$2,0)),0)</f>
        <v>63</v>
      </c>
      <c r="F13" s="51">
        <f t="shared" si="0"/>
        <v>24.080348499515971</v>
      </c>
    </row>
    <row r="14" spans="1:7" x14ac:dyDescent="0.35">
      <c r="B14" s="23">
        <v>44440</v>
      </c>
      <c r="C14" s="34">
        <f>_xlfn.IFNA(INDEX('Raw Data'!$D$3:$KZ$42,MATCH('Field Emails'!$B14,'Raw Data'!$B$3:$B$42,0),MATCH('Field Emails'!C$5,'Raw Data'!$D$2:$KZ$2,0)),0)</f>
        <v>6097</v>
      </c>
      <c r="D14" s="34">
        <f>_xlfn.IFNA(INDEX('Raw Data'!$D$3:$KZ$42,MATCH('Field Emails'!$B14,'Raw Data'!$B$3:$B$42,0),MATCH('Field Emails'!D$5,'Raw Data'!$D$2:$KZ$2,0)),0)</f>
        <v>1452</v>
      </c>
      <c r="E14" s="34">
        <f>_xlfn.IFNA(INDEX('Raw Data'!$D$3:$KZ$42,MATCH('Field Emails'!$B14,'Raw Data'!$B$3:$B$42,0),MATCH('Field Emails'!E$5,'Raw Data'!$D$2:$KZ$2,0)),0)</f>
        <v>40</v>
      </c>
      <c r="F14" s="51">
        <f t="shared" si="0"/>
        <v>23.814990979170084</v>
      </c>
    </row>
    <row r="15" spans="1:7" x14ac:dyDescent="0.35">
      <c r="B15" s="23">
        <v>44470</v>
      </c>
      <c r="C15" s="34">
        <f>_xlfn.IFNA(INDEX('Raw Data'!$D$3:$KZ$42,MATCH('Field Emails'!$B15,'Raw Data'!$B$3:$B$42,0),MATCH('Field Emails'!C$5,'Raw Data'!$D$2:$KZ$2,0)),0)</f>
        <v>6351</v>
      </c>
      <c r="D15" s="34">
        <f>_xlfn.IFNA(INDEX('Raw Data'!$D$3:$KZ$42,MATCH('Field Emails'!$B15,'Raw Data'!$B$3:$B$42,0),MATCH('Field Emails'!D$5,'Raw Data'!$D$2:$KZ$2,0)),0)</f>
        <v>1503</v>
      </c>
      <c r="E15" s="34">
        <f>_xlfn.IFNA(INDEX('Raw Data'!$D$3:$KZ$42,MATCH('Field Emails'!$B15,'Raw Data'!$B$3:$B$42,0),MATCH('Field Emails'!E$5,'Raw Data'!$D$2:$KZ$2,0)),0)</f>
        <v>33</v>
      </c>
      <c r="F15" s="51">
        <f t="shared" si="0"/>
        <v>23.665564478034955</v>
      </c>
    </row>
    <row r="16" spans="1:7" x14ac:dyDescent="0.35">
      <c r="B16" s="23">
        <v>44501</v>
      </c>
      <c r="C16" s="34">
        <f>_xlfn.IFNA(INDEX('Raw Data'!$D$3:$KZ$42,MATCH('Field Emails'!$B16,'Raw Data'!$B$3:$B$42,0),MATCH('Field Emails'!C$5,'Raw Data'!$D$2:$KZ$2,0)),0)</f>
        <v>5522</v>
      </c>
      <c r="D16" s="34">
        <f>_xlfn.IFNA(INDEX('Raw Data'!$D$3:$KZ$42,MATCH('Field Emails'!$B16,'Raw Data'!$B$3:$B$42,0),MATCH('Field Emails'!D$5,'Raw Data'!$D$2:$KZ$2,0)),0)</f>
        <v>1335</v>
      </c>
      <c r="E16" s="34">
        <f>_xlfn.IFNA(INDEX('Raw Data'!$D$3:$KZ$42,MATCH('Field Emails'!$B16,'Raw Data'!$B$3:$B$42,0),MATCH('Field Emails'!E$5,'Raw Data'!$D$2:$KZ$2,0)),0)</f>
        <v>24</v>
      </c>
      <c r="F16" s="51">
        <f t="shared" si="0"/>
        <v>24.176023180007245</v>
      </c>
    </row>
    <row r="17" spans="2:8" ht="29" x14ac:dyDescent="0.35">
      <c r="B17" s="23">
        <v>44531</v>
      </c>
      <c r="C17" s="34">
        <f>_xlfn.IFNA(INDEX('Raw Data'!$D$3:$KZ$42,MATCH('Field Emails'!$B17,'Raw Data'!$B$3:$B$42,0),MATCH('Field Emails'!C$5,'Raw Data'!$D$2:$KZ$2,0)),0)</f>
        <v>2939</v>
      </c>
      <c r="D17" s="34">
        <f>_xlfn.IFNA(INDEX('Raw Data'!$D$3:$KZ$42,MATCH('Field Emails'!$B17,'Raw Data'!$B$3:$B$42,0),MATCH('Field Emails'!D$5,'Raw Data'!$D$2:$KZ$2,0)),0)</f>
        <v>901</v>
      </c>
      <c r="E17" s="34">
        <f>_xlfn.IFNA(INDEX('Raw Data'!$D$3:$KZ$42,MATCH('Field Emails'!$B17,'Raw Data'!$B$3:$B$42,0),MATCH('Field Emails'!E$5,'Raw Data'!$D$2:$KZ$2,0)),0)</f>
        <v>21</v>
      </c>
      <c r="F17" s="51">
        <f t="shared" si="0"/>
        <v>30.656685947601225</v>
      </c>
      <c r="G17" s="87" t="s">
        <v>309</v>
      </c>
    </row>
    <row r="18" spans="2:8" x14ac:dyDescent="0.35">
      <c r="B18" s="23">
        <v>44562</v>
      </c>
      <c r="C18" s="34">
        <f>_xlfn.IFNA(INDEX('Raw Data'!$D$3:$KZ$42,MATCH('Field Emails'!$B18,'Raw Data'!$B$3:$B$42,0),MATCH('Field Emails'!C$5,'Raw Data'!$D$2:$KZ$2,0)),0)</f>
        <v>6083</v>
      </c>
      <c r="D18" s="34">
        <f>_xlfn.IFNA(INDEX('Raw Data'!$D$3:$KZ$42,MATCH('Field Emails'!$B18,'Raw Data'!$B$3:$B$42,0),MATCH('Field Emails'!D$5,'Raw Data'!$D$2:$KZ$2,0)),0)</f>
        <v>1820</v>
      </c>
      <c r="E18" s="34">
        <f>_xlfn.IFNA(INDEX('Raw Data'!$D$3:$KZ$42,MATCH('Field Emails'!$B18,'Raw Data'!$B$3:$B$42,0),MATCH('Field Emails'!E$5,'Raw Data'!$D$2:$KZ$2,0)),0)</f>
        <v>32</v>
      </c>
      <c r="F18" s="51">
        <f t="shared" si="0"/>
        <v>29.919447640966627</v>
      </c>
    </row>
    <row r="19" spans="2:8" x14ac:dyDescent="0.35">
      <c r="B19" s="23">
        <v>44593</v>
      </c>
      <c r="C19" s="34">
        <f>_xlfn.IFNA(INDEX('Raw Data'!$D$3:$KZ$42,MATCH('Field Emails'!$B19,'Raw Data'!$B$3:$B$42,0),MATCH('Field Emails'!C$5,'Raw Data'!$D$2:$KZ$2,0)),0)</f>
        <v>7101</v>
      </c>
      <c r="D19" s="34">
        <f>_xlfn.IFNA(INDEX('Raw Data'!$D$3:$KZ$42,MATCH('Field Emails'!$B19,'Raw Data'!$B$3:$B$42,0),MATCH('Field Emails'!D$5,'Raw Data'!$D$2:$KZ$2,0)),0)</f>
        <v>2232</v>
      </c>
      <c r="E19" s="34">
        <f>_xlfn.IFNA(INDEX('Raw Data'!$D$3:$KZ$42,MATCH('Field Emails'!$B19,'Raw Data'!$B$3:$B$42,0),MATCH('Field Emails'!E$5,'Raw Data'!$D$2:$KZ$2,0)),0)</f>
        <v>39</v>
      </c>
      <c r="F19" s="51">
        <f t="shared" si="0"/>
        <v>31.432192648922687</v>
      </c>
    </row>
    <row r="20" spans="2:8" x14ac:dyDescent="0.35">
      <c r="B20" s="23">
        <v>44621</v>
      </c>
      <c r="C20" s="34">
        <f>_xlfn.IFNA(INDEX('Raw Data'!$D$3:$KZ$42,MATCH('Field Emails'!$B20,'Raw Data'!$B$3:$B$42,0),MATCH('Field Emails'!C$5,'Raw Data'!$D$2:$KZ$2,0)),0)</f>
        <v>11247</v>
      </c>
      <c r="D20" s="34">
        <f>_xlfn.IFNA(INDEX('Raw Data'!$D$3:$KZ$42,MATCH('Field Emails'!$B20,'Raw Data'!$B$3:$B$42,0),MATCH('Field Emails'!D$5,'Raw Data'!$D$2:$KZ$2,0)),0)</f>
        <v>3605</v>
      </c>
      <c r="E20" s="34">
        <f>_xlfn.IFNA(INDEX('Raw Data'!$D$3:$KZ$42,MATCH('Field Emails'!$B20,'Raw Data'!$B$3:$B$42,0),MATCH('Field Emails'!E$5,'Raw Data'!$D$2:$KZ$2,0)),0)</f>
        <v>73</v>
      </c>
      <c r="F20" s="51">
        <f t="shared" si="0"/>
        <v>32.052991908953501</v>
      </c>
    </row>
    <row r="21" spans="2:8" x14ac:dyDescent="0.35">
      <c r="B21" s="23">
        <v>44652</v>
      </c>
      <c r="C21" s="34">
        <f>_xlfn.IFNA(INDEX('Raw Data'!$D$3:$KZ$42,MATCH('Field Emails'!$B21,'Raw Data'!$B$3:$B$42,0),MATCH('Field Emails'!C$5,'Raw Data'!$D$2:$KZ$2,0)),0)</f>
        <v>12919</v>
      </c>
      <c r="D21" s="34">
        <f>_xlfn.IFNA(INDEX('Raw Data'!$D$3:$KZ$42,MATCH('Field Emails'!$B21,'Raw Data'!$B$3:$B$42,0),MATCH('Field Emails'!D$5,'Raw Data'!$D$2:$KZ$2,0)),0)</f>
        <v>4552</v>
      </c>
      <c r="E21" s="34">
        <f>_xlfn.IFNA(INDEX('Raw Data'!$D$3:$KZ$42,MATCH('Field Emails'!$B21,'Raw Data'!$B$3:$B$42,0),MATCH('Field Emails'!E$5,'Raw Data'!$D$2:$KZ$2,0)),0)</f>
        <v>128</v>
      </c>
      <c r="F21" s="51">
        <f t="shared" si="0"/>
        <v>35.234925303816084</v>
      </c>
    </row>
    <row r="22" spans="2:8" x14ac:dyDescent="0.35">
      <c r="B22" s="23">
        <v>44682</v>
      </c>
      <c r="C22" s="34">
        <f>_xlfn.IFNA(INDEX('Raw Data'!$D$3:$KZ$42,MATCH('Field Emails'!$B22,'Raw Data'!$B$3:$B$42,0),MATCH('Field Emails'!C$5,'Raw Data'!$D$2:$KZ$2,0)),0)</f>
        <v>8293</v>
      </c>
      <c r="D22" s="34">
        <f>_xlfn.IFNA(INDEX('Raw Data'!$D$3:$KZ$42,MATCH('Field Emails'!$B22,'Raw Data'!$B$3:$B$42,0),MATCH('Field Emails'!D$5,'Raw Data'!$D$2:$KZ$2,0)),0)</f>
        <v>2969</v>
      </c>
      <c r="E22" s="34">
        <f>_xlfn.IFNA(INDEX('Raw Data'!$D$3:$KZ$42,MATCH('Field Emails'!$B22,'Raw Data'!$B$3:$B$42,0),MATCH('Field Emails'!E$5,'Raw Data'!$D$2:$KZ$2,0)),0)</f>
        <v>97</v>
      </c>
      <c r="F22" s="51">
        <f t="shared" si="0"/>
        <v>35.801278186422287</v>
      </c>
    </row>
    <row r="23" spans="2:8" x14ac:dyDescent="0.35">
      <c r="B23" s="23">
        <v>44713</v>
      </c>
      <c r="C23" s="34">
        <f>_xlfn.IFNA(INDEX('Raw Data'!$D$3:$KZ$42,MATCH('Field Emails'!$B23,'Raw Data'!$B$3:$B$42,0),MATCH('Field Emails'!C$5,'Raw Data'!$D$2:$KZ$2,0)),0)</f>
        <v>6681</v>
      </c>
      <c r="D23" s="34">
        <f>_xlfn.IFNA(INDEX('Raw Data'!$D$3:$KZ$42,MATCH('Field Emails'!$B23,'Raw Data'!$B$3:$B$42,0),MATCH('Field Emails'!D$5,'Raw Data'!$D$2:$KZ$2,0)),0)</f>
        <v>2180</v>
      </c>
      <c r="E23" s="34">
        <f>_xlfn.IFNA(INDEX('Raw Data'!$D$3:$KZ$42,MATCH('Field Emails'!$B23,'Raw Data'!$B$3:$B$42,0),MATCH('Field Emails'!E$5,'Raw Data'!$D$2:$KZ$2,0)),0)</f>
        <v>38</v>
      </c>
      <c r="F23" s="51">
        <f t="shared" si="0"/>
        <v>32.629845831462355</v>
      </c>
    </row>
    <row r="24" spans="2:8" x14ac:dyDescent="0.35">
      <c r="B24" s="23">
        <v>44743</v>
      </c>
      <c r="C24" s="34">
        <f>_xlfn.IFNA(INDEX('Raw Data'!$D$3:$KZ$42,MATCH('Field Emails'!$B24,'Raw Data'!$B$3:$B$42,0),MATCH('Field Emails'!C$5,'Raw Data'!$D$2:$KZ$2,0)),0)</f>
        <v>7149</v>
      </c>
      <c r="D24" s="34">
        <f>_xlfn.IFNA(INDEX('Raw Data'!$D$3:$KZ$42,MATCH('Field Emails'!$B24,'Raw Data'!$B$3:$B$42,0),MATCH('Field Emails'!D$5,'Raw Data'!$D$2:$KZ$2,0)),0)</f>
        <v>2398</v>
      </c>
      <c r="E24" s="34">
        <f>_xlfn.IFNA(INDEX('Raw Data'!$D$3:$KZ$42,MATCH('Field Emails'!$B24,'Raw Data'!$B$3:$B$42,0),MATCH('Field Emails'!E$5,'Raw Data'!$D$2:$KZ$2,0)),0)</f>
        <v>42</v>
      </c>
      <c r="F24" s="51">
        <f t="shared" si="0"/>
        <v>33.543152888515877</v>
      </c>
    </row>
    <row r="25" spans="2:8" x14ac:dyDescent="0.35">
      <c r="B25" s="23">
        <v>44774</v>
      </c>
      <c r="C25" s="34">
        <f>_xlfn.IFNA(INDEX('Raw Data'!$D$3:$KZ$42,MATCH('Field Emails'!$B25,'Raw Data'!$B$3:$B$42,0),MATCH('Field Emails'!C$5,'Raw Data'!$D$2:$KZ$2,0)),0)</f>
        <v>7506</v>
      </c>
      <c r="D25" s="34">
        <f>_xlfn.IFNA(INDEX('Raw Data'!$D$3:$KZ$42,MATCH('Field Emails'!$B25,'Raw Data'!$B$3:$B$42,0),MATCH('Field Emails'!D$5,'Raw Data'!$D$2:$KZ$2,0)),0)</f>
        <v>2604</v>
      </c>
      <c r="E25" s="34">
        <f>_xlfn.IFNA(INDEX('Raw Data'!$D$3:$KZ$42,MATCH('Field Emails'!$B25,'Raw Data'!$B$3:$B$42,0),MATCH('Field Emails'!E$5,'Raw Data'!$D$2:$KZ$2,0)),0)</f>
        <v>56</v>
      </c>
      <c r="F25" s="51">
        <f t="shared" si="0"/>
        <v>34.69224620303757</v>
      </c>
    </row>
    <row r="26" spans="2:8" x14ac:dyDescent="0.35">
      <c r="B26" s="23">
        <v>44805</v>
      </c>
      <c r="C26" s="34">
        <f>_xlfn.IFNA(INDEX('Raw Data'!$D$3:$KZ$42,MATCH('Field Emails'!$B26,'Raw Data'!$B$3:$B$42,0),MATCH('Field Emails'!C$5,'Raw Data'!$D$2:$KZ$2,0)),0)</f>
        <v>5936</v>
      </c>
      <c r="D26" s="34">
        <f>_xlfn.IFNA(INDEX('Raw Data'!$D$3:$KZ$42,MATCH('Field Emails'!$B26,'Raw Data'!$B$3:$B$42,0),MATCH('Field Emails'!D$5,'Raw Data'!$D$2:$KZ$2,0)),0)</f>
        <v>2095</v>
      </c>
      <c r="E26" s="34">
        <f>_xlfn.IFNA(INDEX('Raw Data'!$D$3:$KZ$42,MATCH('Field Emails'!$B26,'Raw Data'!$B$3:$B$42,0),MATCH('Field Emails'!E$5,'Raw Data'!$D$2:$KZ$2,0)),0)</f>
        <v>28</v>
      </c>
      <c r="F26" s="51">
        <f t="shared" si="0"/>
        <v>35.293126684636114</v>
      </c>
    </row>
    <row r="27" spans="2:8" x14ac:dyDescent="0.35">
      <c r="B27" s="23">
        <v>44835</v>
      </c>
      <c r="C27" s="34">
        <f>_xlfn.IFNA(INDEX('Raw Data'!$D$3:$KZ$42,MATCH('Field Emails'!$B27,'Raw Data'!$B$3:$B$42,0),MATCH('Field Emails'!C$5,'Raw Data'!$D$2:$KZ$2,0)),0)</f>
        <v>3729</v>
      </c>
      <c r="D27" s="34">
        <f>_xlfn.IFNA(INDEX('Raw Data'!$D$3:$KZ$42,MATCH('Field Emails'!$B27,'Raw Data'!$B$3:$B$42,0),MATCH('Field Emails'!D$5,'Raw Data'!$D$2:$KZ$2,0)),0)</f>
        <v>1297</v>
      </c>
      <c r="E27" s="34">
        <f>_xlfn.IFNA(INDEX('Raw Data'!$D$3:$KZ$42,MATCH('Field Emails'!$B27,'Raw Data'!$B$3:$B$42,0),MATCH('Field Emails'!E$5,'Raw Data'!$D$2:$KZ$2,0)),0)</f>
        <v>21</v>
      </c>
      <c r="F27" s="51">
        <f t="shared" si="0"/>
        <v>34.781442746044519</v>
      </c>
    </row>
    <row r="28" spans="2:8" x14ac:dyDescent="0.35">
      <c r="B28" s="23">
        <v>44866</v>
      </c>
      <c r="C28" s="34">
        <f>_xlfn.IFNA(INDEX('Raw Data'!$D$3:$KZ$42,MATCH('Field Emails'!$B28,'Raw Data'!$B$3:$B$42,0),MATCH('Field Emails'!C$5,'Raw Data'!$D$2:$KZ$2,0)),0)</f>
        <v>5204</v>
      </c>
      <c r="D28" s="34">
        <f>_xlfn.IFNA(INDEX('Raw Data'!$D$3:$KZ$42,MATCH('Field Emails'!$B28,'Raw Data'!$B$3:$B$42,0),MATCH('Field Emails'!D$5,'Raw Data'!$D$2:$KZ$2,0)),0)</f>
        <v>1888</v>
      </c>
      <c r="E28" s="34">
        <f>_xlfn.IFNA(INDEX('Raw Data'!$D$3:$KZ$42,MATCH('Field Emails'!$B28,'Raw Data'!$B$3:$B$42,0),MATCH('Field Emails'!E$5,'Raw Data'!$D$2:$KZ$2,0)),0)</f>
        <v>40</v>
      </c>
      <c r="F28" s="51">
        <f t="shared" si="0"/>
        <v>36.279784780937739</v>
      </c>
    </row>
    <row r="29" spans="2:8" x14ac:dyDescent="0.35">
      <c r="B29" s="23">
        <v>44896</v>
      </c>
      <c r="C29" s="34">
        <f>_xlfn.IFNA(INDEX('Raw Data'!$D$3:$KZ$42,MATCH('Field Emails'!$B29,'Raw Data'!$B$3:$B$42,0),MATCH('Field Emails'!C$5,'Raw Data'!$D$2:$KZ$2,0)),0)</f>
        <v>3529</v>
      </c>
      <c r="D29" s="34">
        <f>_xlfn.IFNA(INDEX('Raw Data'!$D$3:$KZ$42,MATCH('Field Emails'!$B29,'Raw Data'!$B$3:$B$42,0),MATCH('Field Emails'!D$5,'Raw Data'!$D$2:$KZ$2,0)),0)</f>
        <v>1406</v>
      </c>
      <c r="E29" s="34">
        <f>_xlfn.IFNA(INDEX('Raw Data'!$D$3:$KZ$42,MATCH('Field Emails'!$B29,'Raw Data'!$B$3:$B$42,0),MATCH('Field Emails'!E$5,'Raw Data'!$D$2:$KZ$2,0)),0)</f>
        <v>11</v>
      </c>
      <c r="F29" s="51">
        <f t="shared" si="0"/>
        <v>39.841314820062337</v>
      </c>
    </row>
    <row r="30" spans="2:8" x14ac:dyDescent="0.35">
      <c r="B30" s="23">
        <v>44927</v>
      </c>
      <c r="C30" s="34">
        <f>_xlfn.IFNA(INDEX('Raw Data'!$D$3:$KZ$42,MATCH('Field Emails'!$B30,'Raw Data'!$B$3:$B$42,0),MATCH('Field Emails'!C$5,'Raw Data'!$D$2:$KZ$2,0)),0)</f>
        <v>4132</v>
      </c>
      <c r="D30" s="34">
        <f>_xlfn.IFNA(INDEX('Raw Data'!$D$3:$KZ$42,MATCH('Field Emails'!$B30,'Raw Data'!$B$3:$B$42,0),MATCH('Field Emails'!D$5,'Raw Data'!$D$2:$KZ$2,0)),0)</f>
        <v>1554</v>
      </c>
      <c r="E30" s="34">
        <f>_xlfn.IFNA(INDEX('Raw Data'!$D$3:$KZ$42,MATCH('Field Emails'!$B30,'Raw Data'!$B$3:$B$42,0),MATCH('Field Emails'!E$5,'Raw Data'!$D$2:$KZ$2,0)),0)</f>
        <v>37</v>
      </c>
      <c r="F30" s="51">
        <f t="shared" si="0"/>
        <v>37.608906098741528</v>
      </c>
    </row>
    <row r="31" spans="2:8" ht="15.5" x14ac:dyDescent="0.35">
      <c r="H31" s="38" t="s">
        <v>299</v>
      </c>
    </row>
    <row r="32" spans="2:8" x14ac:dyDescent="0.35">
      <c r="H32" s="79" t="s">
        <v>302</v>
      </c>
    </row>
    <row r="33" spans="2:8" x14ac:dyDescent="0.35">
      <c r="H33" s="36" t="s">
        <v>323</v>
      </c>
    </row>
    <row r="35" spans="2:8" x14ac:dyDescent="0.35">
      <c r="B35" s="55"/>
      <c r="C35" s="212" t="s">
        <v>177</v>
      </c>
      <c r="D35" s="213"/>
      <c r="E35" s="213"/>
      <c r="F35" s="214"/>
    </row>
    <row r="36" spans="2:8" x14ac:dyDescent="0.35">
      <c r="B36" s="31" t="s">
        <v>293</v>
      </c>
      <c r="C36" s="60">
        <f>IFERROR(AVERAGE(C9:C20),"-")</f>
        <v>7451.833333333333</v>
      </c>
      <c r="D36" s="60">
        <f t="shared" ref="D36:F36" si="1">IFERROR(AVERAGE(D9:D20),"-")</f>
        <v>1946.4166666666667</v>
      </c>
      <c r="E36" s="60">
        <f t="shared" si="1"/>
        <v>45.166666666666664</v>
      </c>
      <c r="F36" s="72">
        <f t="shared" si="1"/>
        <v>26.321775570759204</v>
      </c>
    </row>
    <row r="37" spans="2:8" x14ac:dyDescent="0.35">
      <c r="B37" s="31" t="s">
        <v>316</v>
      </c>
      <c r="C37" s="42">
        <f>IFERROR(AVERAGE(C18:C29),"-")</f>
        <v>7114.75</v>
      </c>
      <c r="D37" s="42">
        <f t="shared" ref="D37:F37" si="2">IFERROR(AVERAGE(D18:D29),"-")</f>
        <v>2420.5</v>
      </c>
      <c r="E37" s="42">
        <f t="shared" si="2"/>
        <v>50.416666666666664</v>
      </c>
      <c r="F37" s="73">
        <f t="shared" si="2"/>
        <v>34.291812470314802</v>
      </c>
    </row>
    <row r="38" spans="2:8" x14ac:dyDescent="0.35">
      <c r="B38" s="31" t="s">
        <v>178</v>
      </c>
      <c r="C38" s="59">
        <f>IFERROR(C37/C36-1,"-")</f>
        <v>-4.5234953367180308E-2</v>
      </c>
      <c r="D38" s="59">
        <f t="shared" ref="D38:F38" si="3">IFERROR(D37/D36-1,"-")</f>
        <v>0.24356723894335741</v>
      </c>
      <c r="E38" s="59">
        <f t="shared" si="3"/>
        <v>0.11623616236162371</v>
      </c>
      <c r="F38" s="59">
        <f t="shared" si="3"/>
        <v>0.30279252545597624</v>
      </c>
    </row>
    <row r="39" spans="2:8" x14ac:dyDescent="0.35">
      <c r="D39" s="95">
        <f>SUM(D18:D29)</f>
        <v>29046</v>
      </c>
    </row>
    <row r="43" spans="2:8" x14ac:dyDescent="0.35">
      <c r="B43" s="71" t="s">
        <v>204</v>
      </c>
      <c r="C43" s="71" t="s">
        <v>205</v>
      </c>
      <c r="D43" s="71" t="s">
        <v>291</v>
      </c>
      <c r="E43" s="71" t="s">
        <v>208</v>
      </c>
      <c r="F43" s="71" t="s">
        <v>292</v>
      </c>
    </row>
    <row r="44" spans="2:8" x14ac:dyDescent="0.35">
      <c r="B44" s="31" t="str">
        <f>UPPER(B2)</f>
        <v>FIELD EMAILS</v>
      </c>
      <c r="C44" s="31" t="str" cm="1">
        <f t="array" ref="C44">IFERROR(_xlfn.UNIQUE(_xlfn._xlws.FILTER('NPP Spends'!$D$3:$D$80,--ISNUMBER(SEARCH('Field Emails'!$B44,'NPP Spends'!$C$3:$C$80)))),"-")</f>
        <v>-</v>
      </c>
      <c r="D44" s="31" t="str" cm="1">
        <f t="array" ref="D44">IFERROR(_xlfn.UNIQUE(_xlfn._xlws.FILTER('NPP Spends'!$L$3:$L$80,--ISNUMBER(SEARCH('Field Emails'!$B44,'NPP Spends'!$C$3:$C$80)))),"-")</f>
        <v>-</v>
      </c>
      <c r="E44" s="31" t="str" cm="1">
        <f t="array" ref="E44">IFERROR(_xlfn._xlws.FILTER('NPP Spends'!$G$3:$G$80,--ISNUMBER(SEARCH('Field Emails'!$B44,'NPP Spends'!$C$3:$C$80))),"-")</f>
        <v>-</v>
      </c>
      <c r="F44" s="74" t="str" cm="1">
        <f t="array" ref="F44">IFERROR(_xlfn._xlws.FILTER('NPP Spends'!$H$3:$H$80,--ISNUMBER(SEARCH('Field Emails'!$B44,'NPP Spends'!$C$3:$C$80))),"-")</f>
        <v>-</v>
      </c>
    </row>
    <row r="45" spans="2:8" x14ac:dyDescent="0.35">
      <c r="B45" s="31"/>
      <c r="C45" s="31"/>
      <c r="D45" s="31"/>
      <c r="E45" s="31"/>
      <c r="F45" s="31"/>
    </row>
    <row r="46" spans="2:8" x14ac:dyDescent="0.35">
      <c r="B46" s="31"/>
      <c r="C46" s="31"/>
      <c r="D46" s="31"/>
      <c r="E46" s="31"/>
      <c r="F46" s="31"/>
    </row>
    <row r="47" spans="2:8" x14ac:dyDescent="0.35">
      <c r="B47" s="31"/>
      <c r="C47" s="31"/>
      <c r="D47" s="31"/>
      <c r="E47" s="31"/>
      <c r="F47" s="31"/>
    </row>
    <row r="48" spans="2:8" x14ac:dyDescent="0.35">
      <c r="B48" s="31"/>
      <c r="C48" s="31"/>
      <c r="D48" s="31"/>
      <c r="E48" s="31"/>
      <c r="F48" s="31"/>
    </row>
    <row r="49" spans="2:6" x14ac:dyDescent="0.35">
      <c r="B49" s="31"/>
      <c r="C49" s="31"/>
      <c r="D49" s="31"/>
      <c r="E49" s="31"/>
      <c r="F49" s="31"/>
    </row>
    <row r="50" spans="2:6" x14ac:dyDescent="0.35">
      <c r="B50" s="31"/>
      <c r="C50" s="31"/>
      <c r="D50" s="31"/>
      <c r="E50" s="31"/>
      <c r="F50" s="31"/>
    </row>
    <row r="51" spans="2:6" x14ac:dyDescent="0.35">
      <c r="B51" s="31"/>
      <c r="C51" s="31"/>
      <c r="D51" s="31"/>
      <c r="E51" s="31"/>
      <c r="F51" s="31"/>
    </row>
    <row r="52" spans="2:6" x14ac:dyDescent="0.35">
      <c r="B52" s="31"/>
      <c r="C52" s="31"/>
      <c r="D52" s="31"/>
      <c r="E52" s="31"/>
      <c r="F52" s="31"/>
    </row>
    <row r="53" spans="2:6" x14ac:dyDescent="0.35">
      <c r="B53" s="31"/>
      <c r="C53" s="31"/>
      <c r="D53" s="31"/>
      <c r="E53" s="31"/>
      <c r="F53" s="31"/>
    </row>
    <row r="54" spans="2:6" x14ac:dyDescent="0.35">
      <c r="B54" s="31"/>
      <c r="C54" s="31"/>
      <c r="D54" s="31"/>
      <c r="E54" s="31"/>
      <c r="F54" s="31"/>
    </row>
    <row r="55" spans="2:6" x14ac:dyDescent="0.35">
      <c r="B55" s="31"/>
      <c r="C55" s="31"/>
      <c r="D55" s="31"/>
      <c r="E55" s="31"/>
      <c r="F55" s="31"/>
    </row>
    <row r="56" spans="2:6" x14ac:dyDescent="0.35">
      <c r="B56" s="31"/>
      <c r="C56" s="31"/>
      <c r="D56" s="31"/>
      <c r="E56" s="31"/>
      <c r="F56" s="31"/>
    </row>
    <row r="57" spans="2:6" x14ac:dyDescent="0.35">
      <c r="B57" s="31"/>
      <c r="C57" s="31"/>
      <c r="D57" s="31"/>
      <c r="E57" s="31"/>
      <c r="F57" s="31"/>
    </row>
    <row r="58" spans="2:6" x14ac:dyDescent="0.35">
      <c r="B58" s="31"/>
      <c r="C58" s="31"/>
      <c r="D58" s="31"/>
      <c r="E58" s="31"/>
      <c r="F58" s="31"/>
    </row>
    <row r="59" spans="2:6" x14ac:dyDescent="0.35">
      <c r="B59" s="31"/>
      <c r="C59" s="31"/>
      <c r="D59" s="31"/>
      <c r="E59" s="31"/>
      <c r="F59" s="31"/>
    </row>
    <row r="60" spans="2:6" x14ac:dyDescent="0.35">
      <c r="B60" s="49"/>
      <c r="C60" s="49"/>
      <c r="D60" s="49"/>
      <c r="E60" s="49"/>
      <c r="F60" s="49"/>
    </row>
    <row r="61" spans="2:6" x14ac:dyDescent="0.35">
      <c r="B61" s="49"/>
      <c r="C61" s="49"/>
      <c r="D61" s="49"/>
      <c r="E61" s="49"/>
      <c r="F61" s="49"/>
    </row>
    <row r="62" spans="2:6" x14ac:dyDescent="0.35">
      <c r="B62" s="49"/>
      <c r="C62" s="49"/>
      <c r="D62" s="49"/>
      <c r="E62" s="49"/>
      <c r="F62" s="49"/>
    </row>
    <row r="63" spans="2:6" x14ac:dyDescent="0.35">
      <c r="B63" s="49"/>
      <c r="C63" s="49"/>
      <c r="D63" s="49"/>
      <c r="E63" s="49"/>
      <c r="F63" s="49"/>
    </row>
    <row r="64" spans="2:6" x14ac:dyDescent="0.35">
      <c r="B64" s="49"/>
      <c r="C64" s="49"/>
      <c r="D64" s="49"/>
      <c r="E64" s="49"/>
      <c r="F64" s="49"/>
    </row>
    <row r="65" spans="2:6" x14ac:dyDescent="0.35">
      <c r="B65" s="49"/>
      <c r="C65" s="49"/>
      <c r="D65" s="49"/>
      <c r="E65" s="49"/>
      <c r="F65" s="49"/>
    </row>
  </sheetData>
  <mergeCells count="2">
    <mergeCell ref="B2:F2"/>
    <mergeCell ref="C35:F35"/>
  </mergeCells>
  <hyperlinks>
    <hyperlink ref="A1" location="Index!A1" display="Home" xr:uid="{DEDFDD8B-01F3-4664-8CB9-84C52F783D49}"/>
  </hyperlinks>
  <pageMargins left="0.7" right="0.7" top="0.75" bottom="0.75" header="0.3" footer="0.3"/>
  <pageSetup paperSize="9" orientation="portrait" r:id="rId1"/>
  <headerFooter>
    <oddHeader>&amp;L&amp;"Calibri"&amp;12&amp;K8E6A00Confidential&amp;1#</oddHead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2B89988-470D-4CA3-B1E7-2F84A8218A5B}">
          <x14:formula1>
            <xm:f>Control!$C$4:$C$305</xm:f>
          </x14:formula1>
          <xm:sqref>C6:E6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6B7FA4-04FD-4584-AEB6-C597BEBD3A16}">
  <sheetPr codeName="Sheet10">
    <tabColor theme="9" tint="0.39997558519241921"/>
  </sheetPr>
  <dimension ref="A1:I65"/>
  <sheetViews>
    <sheetView zoomScale="70" zoomScaleNormal="70" workbookViewId="0">
      <selection activeCell="H39" sqref="H39"/>
    </sheetView>
  </sheetViews>
  <sheetFormatPr defaultRowHeight="14.5" x14ac:dyDescent="0.35"/>
  <cols>
    <col min="1" max="1" width="9.08984375" style="10" customWidth="1"/>
    <col min="2" max="2" width="14" style="10" customWidth="1"/>
    <col min="3" max="3" width="22.26953125" style="10" customWidth="1"/>
    <col min="4" max="4" width="26.6328125" style="10" customWidth="1"/>
    <col min="5" max="5" width="24.81640625" style="10" customWidth="1"/>
    <col min="6" max="6" width="23.08984375" style="10" customWidth="1"/>
    <col min="7" max="7" width="15.1796875" style="10" customWidth="1"/>
    <col min="8" max="8" width="25.90625" style="10" customWidth="1"/>
    <col min="9" max="9" width="20.81640625" style="10" bestFit="1" customWidth="1"/>
    <col min="10" max="16384" width="8.7265625" style="10"/>
  </cols>
  <sheetData>
    <row r="1" spans="1:7" ht="15.5" x14ac:dyDescent="0.35">
      <c r="A1" s="35" t="s">
        <v>30</v>
      </c>
    </row>
    <row r="2" spans="1:7" ht="18.5" x14ac:dyDescent="0.35">
      <c r="A2" s="35"/>
      <c r="B2" s="211" t="s">
        <v>198</v>
      </c>
      <c r="C2" s="211"/>
      <c r="D2" s="211"/>
      <c r="E2" s="211"/>
      <c r="F2" s="211"/>
    </row>
    <row r="4" spans="1:7" x14ac:dyDescent="0.35">
      <c r="C4" s="71" t="s">
        <v>167</v>
      </c>
      <c r="D4" s="71" t="s">
        <v>168</v>
      </c>
      <c r="E4" s="71" t="s">
        <v>169</v>
      </c>
    </row>
    <row r="5" spans="1:7" ht="14.5" hidden="1" customHeight="1" x14ac:dyDescent="0.35">
      <c r="C5" s="33" t="str">
        <f>INDEX(Control!$B$4:$B$305,MATCH(SFMC!C$6,Control!$C$4:$C$305,0))</f>
        <v>hcp_sfmc_del</v>
      </c>
      <c r="D5" s="33" t="str">
        <f>INDEX(Control!$B$4:$B$305,MATCH(SFMC!D$6,Control!$C$4:$C$305,0))</f>
        <v>hcp_sfmc_eng</v>
      </c>
      <c r="E5" s="33" t="str">
        <f>INDEX(Control!$B$4:$B$305,MATCH(SFMC!E$6,Control!$C$4:$C$305,0))</f>
        <v>hcp_sfmc_clkd</v>
      </c>
      <c r="F5" s="33"/>
    </row>
    <row r="6" spans="1:7" x14ac:dyDescent="0.35">
      <c r="B6" s="22" t="s">
        <v>3</v>
      </c>
      <c r="C6" s="22" t="s">
        <v>199</v>
      </c>
      <c r="D6" s="22" t="s">
        <v>200</v>
      </c>
      <c r="E6" s="22" t="s">
        <v>201</v>
      </c>
      <c r="F6" s="22" t="s">
        <v>165</v>
      </c>
    </row>
    <row r="7" spans="1:7" x14ac:dyDescent="0.35">
      <c r="B7" s="23" cm="1">
        <f t="array" ref="B7:B30">'Trend Charts New'!C$11:C$34</f>
        <v>44228</v>
      </c>
      <c r="C7" s="34">
        <f>_xlfn.IFNA(INDEX('Raw Data'!$D$3:$KZ$42,MATCH(SFMC!$B7,'Raw Data'!$B$3:$B$42,0),MATCH(SFMC!C$5,'Raw Data'!$D$2:$KZ$2,0)),0)</f>
        <v>35896</v>
      </c>
      <c r="D7" s="34">
        <f>_xlfn.IFNA(INDEX('Raw Data'!$D$3:$KZ$42,MATCH(SFMC!$B7,'Raw Data'!$B$3:$B$42,0),MATCH(SFMC!D$5,'Raw Data'!$D$2:$KZ$2,0)),0)</f>
        <v>2418</v>
      </c>
      <c r="E7" s="34">
        <f>_xlfn.IFNA(INDEX('Raw Data'!$D$3:$KZ$42,MATCH(SFMC!$B7,'Raw Data'!$B$3:$B$42,0),MATCH(SFMC!E$5,'Raw Data'!$D$2:$KZ$2,0)),0)</f>
        <v>545</v>
      </c>
      <c r="F7" s="51">
        <f>IFERROR(D7/C7*100,0)</f>
        <v>6.7361265879206602</v>
      </c>
    </row>
    <row r="8" spans="1:7" x14ac:dyDescent="0.35">
      <c r="B8" s="23">
        <v>44256</v>
      </c>
      <c r="C8" s="34">
        <f>_xlfn.IFNA(INDEX('Raw Data'!$D$3:$KZ$42,MATCH(SFMC!$B8,'Raw Data'!$B$3:$B$42,0),MATCH(SFMC!C$5,'Raw Data'!$D$2:$KZ$2,0)),0)</f>
        <v>178671</v>
      </c>
      <c r="D8" s="34">
        <f>_xlfn.IFNA(INDEX('Raw Data'!$D$3:$KZ$42,MATCH(SFMC!$B8,'Raw Data'!$B$3:$B$42,0),MATCH(SFMC!D$5,'Raw Data'!$D$2:$KZ$2,0)),0)</f>
        <v>8680</v>
      </c>
      <c r="E8" s="34">
        <f>_xlfn.IFNA(INDEX('Raw Data'!$D$3:$KZ$42,MATCH(SFMC!$B8,'Raw Data'!$B$3:$B$42,0),MATCH(SFMC!E$5,'Raw Data'!$D$2:$KZ$2,0)),0)</f>
        <v>2086</v>
      </c>
      <c r="F8" s="51">
        <f t="shared" ref="F8:F30" si="0">IFERROR(D8/C8*100,0)</f>
        <v>4.8580911283868113</v>
      </c>
      <c r="G8" s="57"/>
    </row>
    <row r="9" spans="1:7" x14ac:dyDescent="0.35">
      <c r="B9" s="23">
        <v>44287</v>
      </c>
      <c r="C9" s="34">
        <f>_xlfn.IFNA(INDEX('Raw Data'!$D$3:$KZ$42,MATCH(SFMC!$B9,'Raw Data'!$B$3:$B$42,0),MATCH(SFMC!C$5,'Raw Data'!$D$2:$KZ$2,0)),0)</f>
        <v>393872</v>
      </c>
      <c r="D9" s="34">
        <f>_xlfn.IFNA(INDEX('Raw Data'!$D$3:$KZ$42,MATCH(SFMC!$B9,'Raw Data'!$B$3:$B$42,0),MATCH(SFMC!D$5,'Raw Data'!$D$2:$KZ$2,0)),0)</f>
        <v>20880</v>
      </c>
      <c r="E9" s="34">
        <f>_xlfn.IFNA(INDEX('Raw Data'!$D$3:$KZ$42,MATCH(SFMC!$B9,'Raw Data'!$B$3:$B$42,0),MATCH(SFMC!E$5,'Raw Data'!$D$2:$KZ$2,0)),0)</f>
        <v>5133</v>
      </c>
      <c r="F9" s="51">
        <f t="shared" si="0"/>
        <v>5.3012146077913638</v>
      </c>
    </row>
    <row r="10" spans="1:7" x14ac:dyDescent="0.35">
      <c r="B10" s="23">
        <v>44317</v>
      </c>
      <c r="C10" s="34">
        <f>_xlfn.IFNA(INDEX('Raw Data'!$D$3:$KZ$42,MATCH(SFMC!$B10,'Raw Data'!$B$3:$B$42,0),MATCH(SFMC!C$5,'Raw Data'!$D$2:$KZ$2,0)),0)</f>
        <v>131932</v>
      </c>
      <c r="D10" s="34">
        <f>_xlfn.IFNA(INDEX('Raw Data'!$D$3:$KZ$42,MATCH(SFMC!$B10,'Raw Data'!$B$3:$B$42,0),MATCH(SFMC!D$5,'Raw Data'!$D$2:$KZ$2,0)),0)</f>
        <v>12289</v>
      </c>
      <c r="E10" s="34">
        <f>_xlfn.IFNA(INDEX('Raw Data'!$D$3:$KZ$42,MATCH(SFMC!$B10,'Raw Data'!$B$3:$B$42,0),MATCH(SFMC!E$5,'Raw Data'!$D$2:$KZ$2,0)),0)</f>
        <v>2456</v>
      </c>
      <c r="F10" s="51">
        <f t="shared" si="0"/>
        <v>9.3146469393323823</v>
      </c>
    </row>
    <row r="11" spans="1:7" x14ac:dyDescent="0.35">
      <c r="B11" s="23">
        <v>44348</v>
      </c>
      <c r="C11" s="34">
        <f>_xlfn.IFNA(INDEX('Raw Data'!$D$3:$KZ$42,MATCH(SFMC!$B11,'Raw Data'!$B$3:$B$42,0),MATCH(SFMC!C$5,'Raw Data'!$D$2:$KZ$2,0)),0)</f>
        <v>72565</v>
      </c>
      <c r="D11" s="34">
        <f>_xlfn.IFNA(INDEX('Raw Data'!$D$3:$KZ$42,MATCH(SFMC!$B11,'Raw Data'!$B$3:$B$42,0),MATCH(SFMC!D$5,'Raw Data'!$D$2:$KZ$2,0)),0)</f>
        <v>9064</v>
      </c>
      <c r="E11" s="34">
        <f>_xlfn.IFNA(INDEX('Raw Data'!$D$3:$KZ$42,MATCH(SFMC!$B11,'Raw Data'!$B$3:$B$42,0),MATCH(SFMC!E$5,'Raw Data'!$D$2:$KZ$2,0)),0)</f>
        <v>2457</v>
      </c>
      <c r="F11" s="51">
        <f t="shared" si="0"/>
        <v>12.490870254254807</v>
      </c>
    </row>
    <row r="12" spans="1:7" x14ac:dyDescent="0.35">
      <c r="B12" s="23">
        <v>44378</v>
      </c>
      <c r="C12" s="34">
        <f>_xlfn.IFNA(INDEX('Raw Data'!$D$3:$KZ$42,MATCH(SFMC!$B12,'Raw Data'!$B$3:$B$42,0),MATCH(SFMC!C$5,'Raw Data'!$D$2:$KZ$2,0)),0)</f>
        <v>113537</v>
      </c>
      <c r="D12" s="34">
        <f>_xlfn.IFNA(INDEX('Raw Data'!$D$3:$KZ$42,MATCH(SFMC!$B12,'Raw Data'!$B$3:$B$42,0),MATCH(SFMC!D$5,'Raw Data'!$D$2:$KZ$2,0)),0)</f>
        <v>4693</v>
      </c>
      <c r="E12" s="34">
        <f>_xlfn.IFNA(INDEX('Raw Data'!$D$3:$KZ$42,MATCH(SFMC!$B12,'Raw Data'!$B$3:$B$42,0),MATCH(SFMC!E$5,'Raw Data'!$D$2:$KZ$2,0)),0)</f>
        <v>1310</v>
      </c>
      <c r="F12" s="51">
        <f t="shared" si="0"/>
        <v>4.1334542924333038</v>
      </c>
    </row>
    <row r="13" spans="1:7" x14ac:dyDescent="0.35">
      <c r="B13" s="23">
        <v>44409</v>
      </c>
      <c r="C13" s="34">
        <f>_xlfn.IFNA(INDEX('Raw Data'!$D$3:$KZ$42,MATCH(SFMC!$B13,'Raw Data'!$B$3:$B$42,0),MATCH(SFMC!C$5,'Raw Data'!$D$2:$KZ$2,0)),0)</f>
        <v>368140</v>
      </c>
      <c r="D13" s="34">
        <f>_xlfn.IFNA(INDEX('Raw Data'!$D$3:$KZ$42,MATCH(SFMC!$B13,'Raw Data'!$B$3:$B$42,0),MATCH(SFMC!D$5,'Raw Data'!$D$2:$KZ$2,0)),0)</f>
        <v>16827</v>
      </c>
      <c r="E13" s="34">
        <f>_xlfn.IFNA(INDEX('Raw Data'!$D$3:$KZ$42,MATCH(SFMC!$B13,'Raw Data'!$B$3:$B$42,0),MATCH(SFMC!E$5,'Raw Data'!$D$2:$KZ$2,0)),0)</f>
        <v>3548</v>
      </c>
      <c r="F13" s="51">
        <f t="shared" si="0"/>
        <v>4.570815450643777</v>
      </c>
    </row>
    <row r="14" spans="1:7" x14ac:dyDescent="0.35">
      <c r="B14" s="23">
        <v>44440</v>
      </c>
      <c r="C14" s="34">
        <f>_xlfn.IFNA(INDEX('Raw Data'!$D$3:$KZ$42,MATCH(SFMC!$B14,'Raw Data'!$B$3:$B$42,0),MATCH(SFMC!C$5,'Raw Data'!$D$2:$KZ$2,0)),0)</f>
        <v>211562</v>
      </c>
      <c r="D14" s="34">
        <f>_xlfn.IFNA(INDEX('Raw Data'!$D$3:$KZ$42,MATCH(SFMC!$B14,'Raw Data'!$B$3:$B$42,0),MATCH(SFMC!D$5,'Raw Data'!$D$2:$KZ$2,0)),0)</f>
        <v>13741</v>
      </c>
      <c r="E14" s="34">
        <f>_xlfn.IFNA(INDEX('Raw Data'!$D$3:$KZ$42,MATCH(SFMC!$B14,'Raw Data'!$B$3:$B$42,0),MATCH(SFMC!E$5,'Raw Data'!$D$2:$KZ$2,0)),0)</f>
        <v>2728</v>
      </c>
      <c r="F14" s="51">
        <f t="shared" si="0"/>
        <v>6.4950227356519603</v>
      </c>
    </row>
    <row r="15" spans="1:7" ht="29" x14ac:dyDescent="0.35">
      <c r="B15" s="23">
        <v>44470</v>
      </c>
      <c r="C15" s="34">
        <f>_xlfn.IFNA(INDEX('Raw Data'!$D$3:$KZ$42,MATCH(SFMC!$B15,'Raw Data'!$B$3:$B$42,0),MATCH(SFMC!C$5,'Raw Data'!$D$2:$KZ$2,0)),0)</f>
        <v>82236</v>
      </c>
      <c r="D15" s="34">
        <f>_xlfn.IFNA(INDEX('Raw Data'!$D$3:$KZ$42,MATCH(SFMC!$B15,'Raw Data'!$B$3:$B$42,0),MATCH(SFMC!D$5,'Raw Data'!$D$2:$KZ$2,0)),0)</f>
        <v>8737</v>
      </c>
      <c r="E15" s="34">
        <f>_xlfn.IFNA(INDEX('Raw Data'!$D$3:$KZ$42,MATCH(SFMC!$B15,'Raw Data'!$B$3:$B$42,0),MATCH(SFMC!E$5,'Raw Data'!$D$2:$KZ$2,0)),0)</f>
        <v>1744</v>
      </c>
      <c r="F15" s="51">
        <f t="shared" si="0"/>
        <v>10.624300792840119</v>
      </c>
      <c r="G15" s="87" t="s">
        <v>309</v>
      </c>
    </row>
    <row r="16" spans="1:7" x14ac:dyDescent="0.35">
      <c r="B16" s="23">
        <v>44501</v>
      </c>
      <c r="C16" s="34">
        <f>_xlfn.IFNA(INDEX('Raw Data'!$D$3:$KZ$42,MATCH(SFMC!$B16,'Raw Data'!$B$3:$B$42,0),MATCH(SFMC!C$5,'Raw Data'!$D$2:$KZ$2,0)),0)</f>
        <v>54278</v>
      </c>
      <c r="D16" s="34">
        <f>_xlfn.IFNA(INDEX('Raw Data'!$D$3:$KZ$42,MATCH(SFMC!$B16,'Raw Data'!$B$3:$B$42,0),MATCH(SFMC!D$5,'Raw Data'!$D$2:$KZ$2,0)),0)</f>
        <v>8684</v>
      </c>
      <c r="E16" s="34">
        <f>_xlfn.IFNA(INDEX('Raw Data'!$D$3:$KZ$42,MATCH(SFMC!$B16,'Raw Data'!$B$3:$B$42,0),MATCH(SFMC!E$5,'Raw Data'!$D$2:$KZ$2,0)),0)</f>
        <v>1377</v>
      </c>
      <c r="F16" s="51">
        <f t="shared" si="0"/>
        <v>15.999115663804856</v>
      </c>
    </row>
    <row r="17" spans="2:8" x14ac:dyDescent="0.35">
      <c r="B17" s="23">
        <v>44531</v>
      </c>
      <c r="C17" s="34">
        <f>_xlfn.IFNA(INDEX('Raw Data'!$D$3:$KZ$42,MATCH(SFMC!$B17,'Raw Data'!$B$3:$B$42,0),MATCH(SFMC!C$5,'Raw Data'!$D$2:$KZ$2,0)),0)</f>
        <v>50089</v>
      </c>
      <c r="D17" s="34">
        <f>_xlfn.IFNA(INDEX('Raw Data'!$D$3:$KZ$42,MATCH(SFMC!$B17,'Raw Data'!$B$3:$B$42,0),MATCH(SFMC!D$5,'Raw Data'!$D$2:$KZ$2,0)),0)</f>
        <v>9360</v>
      </c>
      <c r="E17" s="34">
        <f>_xlfn.IFNA(INDEX('Raw Data'!$D$3:$KZ$42,MATCH(SFMC!$B17,'Raw Data'!$B$3:$B$42,0),MATCH(SFMC!E$5,'Raw Data'!$D$2:$KZ$2,0)),0)</f>
        <v>1200</v>
      </c>
      <c r="F17" s="51">
        <f t="shared" si="0"/>
        <v>18.686737607059435</v>
      </c>
    </row>
    <row r="18" spans="2:8" x14ac:dyDescent="0.35">
      <c r="B18" s="23">
        <v>44562</v>
      </c>
      <c r="C18" s="34">
        <f>_xlfn.IFNA(INDEX('Raw Data'!$D$3:$KZ$42,MATCH(SFMC!$B18,'Raw Data'!$B$3:$B$42,0),MATCH(SFMC!C$5,'Raw Data'!$D$2:$KZ$2,0)),0)</f>
        <v>102708</v>
      </c>
      <c r="D18" s="34">
        <f>_xlfn.IFNA(INDEX('Raw Data'!$D$3:$KZ$42,MATCH(SFMC!$B18,'Raw Data'!$B$3:$B$42,0),MATCH(SFMC!D$5,'Raw Data'!$D$2:$KZ$2,0)),0)</f>
        <v>11559</v>
      </c>
      <c r="E18" s="34">
        <f>_xlfn.IFNA(INDEX('Raw Data'!$D$3:$KZ$42,MATCH(SFMC!$B18,'Raw Data'!$B$3:$B$42,0),MATCH(SFMC!E$5,'Raw Data'!$D$2:$KZ$2,0)),0)</f>
        <v>1252</v>
      </c>
      <c r="F18" s="51">
        <f t="shared" si="0"/>
        <v>11.254235307863068</v>
      </c>
    </row>
    <row r="19" spans="2:8" x14ac:dyDescent="0.35">
      <c r="B19" s="23">
        <v>44593</v>
      </c>
      <c r="C19" s="34">
        <f>_xlfn.IFNA(INDEX('Raw Data'!$D$3:$KZ$42,MATCH(SFMC!$B19,'Raw Data'!$B$3:$B$42,0),MATCH(SFMC!C$5,'Raw Data'!$D$2:$KZ$2,0)),0)</f>
        <v>119753</v>
      </c>
      <c r="D19" s="34">
        <f>_xlfn.IFNA(INDEX('Raw Data'!$D$3:$KZ$42,MATCH(SFMC!$B19,'Raw Data'!$B$3:$B$42,0),MATCH(SFMC!D$5,'Raw Data'!$D$2:$KZ$2,0)),0)</f>
        <v>15454</v>
      </c>
      <c r="E19" s="34">
        <f>_xlfn.IFNA(INDEX('Raw Data'!$D$3:$KZ$42,MATCH(SFMC!$B19,'Raw Data'!$B$3:$B$42,0),MATCH(SFMC!E$5,'Raw Data'!$D$2:$KZ$2,0)),0)</f>
        <v>1338</v>
      </c>
      <c r="F19" s="51">
        <f t="shared" si="0"/>
        <v>12.904895910749625</v>
      </c>
    </row>
    <row r="20" spans="2:8" x14ac:dyDescent="0.35">
      <c r="B20" s="23">
        <v>44621</v>
      </c>
      <c r="C20" s="34">
        <f>_xlfn.IFNA(INDEX('Raw Data'!$D$3:$KZ$42,MATCH(SFMC!$B20,'Raw Data'!$B$3:$B$42,0),MATCH(SFMC!C$5,'Raw Data'!$D$2:$KZ$2,0)),0)</f>
        <v>57409</v>
      </c>
      <c r="D20" s="34">
        <f>_xlfn.IFNA(INDEX('Raw Data'!$D$3:$KZ$42,MATCH(SFMC!$B20,'Raw Data'!$B$3:$B$42,0),MATCH(SFMC!D$5,'Raw Data'!$D$2:$KZ$2,0)),0)</f>
        <v>8649</v>
      </c>
      <c r="E20" s="34">
        <f>_xlfn.IFNA(INDEX('Raw Data'!$D$3:$KZ$42,MATCH(SFMC!$B20,'Raw Data'!$B$3:$B$42,0),MATCH(SFMC!E$5,'Raw Data'!$D$2:$KZ$2,0)),0)</f>
        <v>654</v>
      </c>
      <c r="F20" s="51">
        <f t="shared" si="0"/>
        <v>15.065582051594697</v>
      </c>
    </row>
    <row r="21" spans="2:8" x14ac:dyDescent="0.35">
      <c r="B21" s="23">
        <v>44652</v>
      </c>
      <c r="C21" s="34">
        <f>_xlfn.IFNA(INDEX('Raw Data'!$D$3:$KZ$42,MATCH(SFMC!$B21,'Raw Data'!$B$3:$B$42,0),MATCH(SFMC!C$5,'Raw Data'!$D$2:$KZ$2,0)),0)</f>
        <v>210758</v>
      </c>
      <c r="D21" s="34">
        <f>_xlfn.IFNA(INDEX('Raw Data'!$D$3:$KZ$42,MATCH(SFMC!$B21,'Raw Data'!$B$3:$B$42,0),MATCH(SFMC!D$5,'Raw Data'!$D$2:$KZ$2,0)),0)</f>
        <v>40315</v>
      </c>
      <c r="E21" s="34">
        <f>_xlfn.IFNA(INDEX('Raw Data'!$D$3:$KZ$42,MATCH(SFMC!$B21,'Raw Data'!$B$3:$B$42,0),MATCH(SFMC!E$5,'Raw Data'!$D$2:$KZ$2,0)),0)</f>
        <v>3277</v>
      </c>
      <c r="F21" s="51">
        <f t="shared" si="0"/>
        <v>19.128574004308259</v>
      </c>
    </row>
    <row r="22" spans="2:8" x14ac:dyDescent="0.35">
      <c r="B22" s="23">
        <v>44682</v>
      </c>
      <c r="C22" s="34">
        <f>_xlfn.IFNA(INDEX('Raw Data'!$D$3:$KZ$42,MATCH(SFMC!$B22,'Raw Data'!$B$3:$B$42,0),MATCH(SFMC!C$5,'Raw Data'!$D$2:$KZ$2,0)),0)</f>
        <v>159626</v>
      </c>
      <c r="D22" s="34">
        <f>_xlfn.IFNA(INDEX('Raw Data'!$D$3:$KZ$42,MATCH(SFMC!$B22,'Raw Data'!$B$3:$B$42,0),MATCH(SFMC!D$5,'Raw Data'!$D$2:$KZ$2,0)),0)</f>
        <v>29387</v>
      </c>
      <c r="E22" s="34">
        <f>_xlfn.IFNA(INDEX('Raw Data'!$D$3:$KZ$42,MATCH(SFMC!$B22,'Raw Data'!$B$3:$B$42,0),MATCH(SFMC!E$5,'Raw Data'!$D$2:$KZ$2,0)),0)</f>
        <v>2754</v>
      </c>
      <c r="F22" s="51">
        <f t="shared" si="0"/>
        <v>18.409908160324758</v>
      </c>
    </row>
    <row r="23" spans="2:8" x14ac:dyDescent="0.35">
      <c r="B23" s="23">
        <v>44713</v>
      </c>
      <c r="C23" s="34">
        <f>_xlfn.IFNA(INDEX('Raw Data'!$D$3:$KZ$42,MATCH(SFMC!$B23,'Raw Data'!$B$3:$B$42,0),MATCH(SFMC!C$5,'Raw Data'!$D$2:$KZ$2,0)),0)</f>
        <v>58867</v>
      </c>
      <c r="D23" s="34">
        <f>_xlfn.IFNA(INDEX('Raw Data'!$D$3:$KZ$42,MATCH(SFMC!$B23,'Raw Data'!$B$3:$B$42,0),MATCH(SFMC!D$5,'Raw Data'!$D$2:$KZ$2,0)),0)</f>
        <v>14021</v>
      </c>
      <c r="E23" s="34">
        <f>_xlfn.IFNA(INDEX('Raw Data'!$D$3:$KZ$42,MATCH(SFMC!$B23,'Raw Data'!$B$3:$B$42,0),MATCH(SFMC!E$5,'Raw Data'!$D$2:$KZ$2,0)),0)</f>
        <v>1152</v>
      </c>
      <c r="F23" s="51">
        <f t="shared" si="0"/>
        <v>23.818098425263731</v>
      </c>
    </row>
    <row r="24" spans="2:8" x14ac:dyDescent="0.35">
      <c r="B24" s="23">
        <v>44743</v>
      </c>
      <c r="C24" s="34">
        <f>_xlfn.IFNA(INDEX('Raw Data'!$D$3:$KZ$42,MATCH(SFMC!$B24,'Raw Data'!$B$3:$B$42,0),MATCH(SFMC!C$5,'Raw Data'!$D$2:$KZ$2,0)),0)</f>
        <v>84739</v>
      </c>
      <c r="D24" s="34">
        <f>_xlfn.IFNA(INDEX('Raw Data'!$D$3:$KZ$42,MATCH(SFMC!$B24,'Raw Data'!$B$3:$B$42,0),MATCH(SFMC!D$5,'Raw Data'!$D$2:$KZ$2,0)),0)</f>
        <v>16698</v>
      </c>
      <c r="E24" s="34">
        <f>_xlfn.IFNA(INDEX('Raw Data'!$D$3:$KZ$42,MATCH(SFMC!$B24,'Raw Data'!$B$3:$B$42,0),MATCH(SFMC!E$5,'Raw Data'!$D$2:$KZ$2,0)),0)</f>
        <v>1597</v>
      </c>
      <c r="F24" s="51">
        <f t="shared" si="0"/>
        <v>19.70521247595558</v>
      </c>
    </row>
    <row r="25" spans="2:8" x14ac:dyDescent="0.35">
      <c r="B25" s="23">
        <v>44774</v>
      </c>
      <c r="C25" s="34">
        <f>_xlfn.IFNA(INDEX('Raw Data'!$D$3:$KZ$42,MATCH(SFMC!$B25,'Raw Data'!$B$3:$B$42,0),MATCH(SFMC!C$5,'Raw Data'!$D$2:$KZ$2,0)),0)</f>
        <v>144198</v>
      </c>
      <c r="D25" s="34">
        <f>_xlfn.IFNA(INDEX('Raw Data'!$D$3:$KZ$42,MATCH(SFMC!$B25,'Raw Data'!$B$3:$B$42,0),MATCH(SFMC!D$5,'Raw Data'!$D$2:$KZ$2,0)),0)</f>
        <v>27791</v>
      </c>
      <c r="E25" s="34">
        <f>_xlfn.IFNA(INDEX('Raw Data'!$D$3:$KZ$42,MATCH(SFMC!$B25,'Raw Data'!$B$3:$B$42,0),MATCH(SFMC!E$5,'Raw Data'!$D$2:$KZ$2,0)),0)</f>
        <v>2510</v>
      </c>
      <c r="F25" s="51">
        <f t="shared" si="0"/>
        <v>19.272805448064467</v>
      </c>
    </row>
    <row r="26" spans="2:8" x14ac:dyDescent="0.35">
      <c r="B26" s="23">
        <v>44805</v>
      </c>
      <c r="C26" s="34">
        <f>_xlfn.IFNA(INDEX('Raw Data'!$D$3:$KZ$42,MATCH(SFMC!$B26,'Raw Data'!$B$3:$B$42,0),MATCH(SFMC!C$5,'Raw Data'!$D$2:$KZ$2,0)),0)</f>
        <v>86313</v>
      </c>
      <c r="D26" s="34">
        <f>_xlfn.IFNA(INDEX('Raw Data'!$D$3:$KZ$42,MATCH(SFMC!$B26,'Raw Data'!$B$3:$B$42,0),MATCH(SFMC!D$5,'Raw Data'!$D$2:$KZ$2,0)),0)</f>
        <v>17202</v>
      </c>
      <c r="E26" s="34">
        <f>_xlfn.IFNA(INDEX('Raw Data'!$D$3:$KZ$42,MATCH(SFMC!$B26,'Raw Data'!$B$3:$B$42,0),MATCH(SFMC!E$5,'Raw Data'!$D$2:$KZ$2,0)),0)</f>
        <v>1591</v>
      </c>
      <c r="F26" s="51">
        <f t="shared" si="0"/>
        <v>19.9297904139585</v>
      </c>
    </row>
    <row r="27" spans="2:8" x14ac:dyDescent="0.35">
      <c r="B27" s="23">
        <v>44835</v>
      </c>
      <c r="C27" s="34">
        <f>_xlfn.IFNA(INDEX('Raw Data'!$D$3:$KZ$42,MATCH(SFMC!$B27,'Raw Data'!$B$3:$B$42,0),MATCH(SFMC!C$5,'Raw Data'!$D$2:$KZ$2,0)),0)</f>
        <v>123173</v>
      </c>
      <c r="D27" s="34">
        <f>_xlfn.IFNA(INDEX('Raw Data'!$D$3:$KZ$42,MATCH(SFMC!$B27,'Raw Data'!$B$3:$B$42,0),MATCH(SFMC!D$5,'Raw Data'!$D$2:$KZ$2,0)),0)</f>
        <v>23285</v>
      </c>
      <c r="E27" s="34">
        <f>_xlfn.IFNA(INDEX('Raw Data'!$D$3:$KZ$42,MATCH(SFMC!$B27,'Raw Data'!$B$3:$B$42,0),MATCH(SFMC!E$5,'Raw Data'!$D$2:$KZ$2,0)),0)</f>
        <v>2262</v>
      </c>
      <c r="F27" s="51">
        <f t="shared" si="0"/>
        <v>18.904305326654381</v>
      </c>
    </row>
    <row r="28" spans="2:8" x14ac:dyDescent="0.35">
      <c r="B28" s="23">
        <v>44866</v>
      </c>
      <c r="C28" s="34">
        <f>_xlfn.IFNA(INDEX('Raw Data'!$D$3:$KZ$42,MATCH(SFMC!$B28,'Raw Data'!$B$3:$B$42,0),MATCH(SFMC!C$5,'Raw Data'!$D$2:$KZ$2,0)),0)</f>
        <v>5540</v>
      </c>
      <c r="D28" s="34">
        <f>_xlfn.IFNA(INDEX('Raw Data'!$D$3:$KZ$42,MATCH(SFMC!$B28,'Raw Data'!$B$3:$B$42,0),MATCH(SFMC!D$5,'Raw Data'!$D$2:$KZ$2,0)),0)</f>
        <v>4171</v>
      </c>
      <c r="E28" s="34">
        <f>_xlfn.IFNA(INDEX('Raw Data'!$D$3:$KZ$42,MATCH(SFMC!$B28,'Raw Data'!$B$3:$B$42,0),MATCH(SFMC!E$5,'Raw Data'!$D$2:$KZ$2,0)),0)</f>
        <v>277</v>
      </c>
      <c r="F28" s="80">
        <f t="shared" si="0"/>
        <v>75.288808664259932</v>
      </c>
    </row>
    <row r="29" spans="2:8" x14ac:dyDescent="0.35">
      <c r="B29" s="23">
        <v>44896</v>
      </c>
      <c r="C29" s="34">
        <f>_xlfn.IFNA(INDEX('Raw Data'!$D$3:$KZ$42,MATCH(SFMC!$B29,'Raw Data'!$B$3:$B$42,0),MATCH(SFMC!C$5,'Raw Data'!$D$2:$KZ$2,0)),0)</f>
        <v>44712</v>
      </c>
      <c r="D29" s="34">
        <f>_xlfn.IFNA(INDEX('Raw Data'!$D$3:$KZ$42,MATCH(SFMC!$B29,'Raw Data'!$B$3:$B$42,0),MATCH(SFMC!D$5,'Raw Data'!$D$2:$KZ$2,0)),0)</f>
        <v>5596</v>
      </c>
      <c r="E29" s="34">
        <f>_xlfn.IFNA(INDEX('Raw Data'!$D$3:$KZ$42,MATCH(SFMC!$B29,'Raw Data'!$B$3:$B$42,0),MATCH(SFMC!E$5,'Raw Data'!$D$2:$KZ$2,0)),0)</f>
        <v>1055</v>
      </c>
      <c r="F29" s="51">
        <f t="shared" si="0"/>
        <v>12.515655752370728</v>
      </c>
    </row>
    <row r="30" spans="2:8" x14ac:dyDescent="0.35">
      <c r="B30" s="23">
        <v>44927</v>
      </c>
      <c r="C30" s="34">
        <f>_xlfn.IFNA(INDEX('Raw Data'!$D$3:$KZ$42,MATCH(SFMC!$B30,'Raw Data'!$B$3:$B$42,0),MATCH(SFMC!C$5,'Raw Data'!$D$2:$KZ$2,0)),0)</f>
        <v>17717</v>
      </c>
      <c r="D30" s="34">
        <f>_xlfn.IFNA(INDEX('Raw Data'!$D$3:$KZ$42,MATCH(SFMC!$B30,'Raw Data'!$B$3:$B$42,0),MATCH(SFMC!D$5,'Raw Data'!$D$2:$KZ$2,0)),0)</f>
        <v>17717</v>
      </c>
      <c r="E30" s="34">
        <f>_xlfn.IFNA(INDEX('Raw Data'!$D$3:$KZ$42,MATCH(SFMC!$B30,'Raw Data'!$B$3:$B$42,0),MATCH(SFMC!E$5,'Raw Data'!$D$2:$KZ$2,0)),0)</f>
        <v>1130</v>
      </c>
      <c r="F30" s="80">
        <f t="shared" si="0"/>
        <v>100</v>
      </c>
    </row>
    <row r="31" spans="2:8" ht="15.5" x14ac:dyDescent="0.35">
      <c r="H31" s="38" t="s">
        <v>299</v>
      </c>
    </row>
    <row r="32" spans="2:8" x14ac:dyDescent="0.35">
      <c r="H32" s="79" t="s">
        <v>320</v>
      </c>
    </row>
    <row r="33" spans="2:9" x14ac:dyDescent="0.35">
      <c r="H33" s="88" t="s">
        <v>300</v>
      </c>
    </row>
    <row r="34" spans="2:9" x14ac:dyDescent="0.35">
      <c r="H34" s="86" t="s">
        <v>310</v>
      </c>
    </row>
    <row r="35" spans="2:9" x14ac:dyDescent="0.35">
      <c r="B35" s="55"/>
      <c r="C35" s="212" t="s">
        <v>177</v>
      </c>
      <c r="D35" s="213"/>
      <c r="E35" s="213"/>
      <c r="F35" s="214"/>
    </row>
    <row r="36" spans="2:9" x14ac:dyDescent="0.35">
      <c r="B36" s="31" t="s">
        <v>293</v>
      </c>
      <c r="C36" s="60">
        <f>IFERROR(AVERAGE(C9:C20),"-")</f>
        <v>146506.75</v>
      </c>
      <c r="D36" s="60">
        <f t="shared" ref="D36:F36" si="1">IFERROR(AVERAGE(D9:D20),"-")</f>
        <v>11661.416666666666</v>
      </c>
      <c r="E36" s="60">
        <f t="shared" si="1"/>
        <v>2099.75</v>
      </c>
      <c r="F36" s="72">
        <f t="shared" si="1"/>
        <v>10.570074301168281</v>
      </c>
    </row>
    <row r="37" spans="2:9" x14ac:dyDescent="0.35">
      <c r="B37" s="31" t="s">
        <v>316</v>
      </c>
      <c r="C37" s="42">
        <f>IFERROR(AVERAGE(C18:C29),"-")</f>
        <v>99816.333333333328</v>
      </c>
      <c r="D37" s="42">
        <f t="shared" ref="D37:F37" si="2">IFERROR(AVERAGE(D18:D29),"-")</f>
        <v>17844</v>
      </c>
      <c r="E37" s="42">
        <f t="shared" si="2"/>
        <v>1643.25</v>
      </c>
      <c r="F37" s="73">
        <f t="shared" si="2"/>
        <v>22.183155995113978</v>
      </c>
    </row>
    <row r="38" spans="2:9" x14ac:dyDescent="0.35">
      <c r="B38" s="31" t="s">
        <v>178</v>
      </c>
      <c r="C38" s="59">
        <f>IFERROR(C37/C36-1,"-")</f>
        <v>-0.31869123208771388</v>
      </c>
      <c r="D38" s="59">
        <f t="shared" ref="D38:F38" si="3">IFERROR(D37/D36-1,"-")</f>
        <v>0.5301742927174371</v>
      </c>
      <c r="E38" s="59">
        <f t="shared" si="3"/>
        <v>-0.2174068341469223</v>
      </c>
      <c r="F38" s="85">
        <f t="shared" si="3"/>
        <v>1.0986755024666319</v>
      </c>
    </row>
    <row r="39" spans="2:9" x14ac:dyDescent="0.35">
      <c r="D39" s="94">
        <f>SUM(D18:D29)</f>
        <v>214128</v>
      </c>
    </row>
    <row r="43" spans="2:9" x14ac:dyDescent="0.35">
      <c r="B43" s="71" t="s">
        <v>204</v>
      </c>
      <c r="C43" s="71" t="s">
        <v>205</v>
      </c>
      <c r="D43" s="71" t="s">
        <v>291</v>
      </c>
      <c r="E43" s="71" t="s">
        <v>208</v>
      </c>
      <c r="F43" s="71" t="s">
        <v>292</v>
      </c>
      <c r="H43" s="71" t="s">
        <v>303</v>
      </c>
      <c r="I43" s="71" t="s">
        <v>314</v>
      </c>
    </row>
    <row r="44" spans="2:9" x14ac:dyDescent="0.35">
      <c r="B44" s="31" t="str">
        <f>UPPER(B2)</f>
        <v>SFMC</v>
      </c>
      <c r="C44" s="31" t="str" cm="1">
        <f t="array" ref="C44">IFERROR(_xlfn.UNIQUE(_xlfn._xlws.FILTER('NPP Spends'!$D$3:$D$80,--ISNUMBER(SEARCH(SFMC!$B44,'NPP Spends'!$C$3:$C$80)))),"-")</f>
        <v>EMAIL</v>
      </c>
      <c r="D44" s="31" t="str" cm="1">
        <f t="array" ref="D44:D55">IFERROR(_xlfn.UNIQUE(_xlfn._xlws.FILTER('NPP Spends'!$L$3:$L$80,--ISNUMBER(SEARCH(SFMC!$B44,'NPP Spends'!$C$3:$C$80)))),"-")</f>
        <v>Oct2021</v>
      </c>
      <c r="E44" s="42" cm="1">
        <f t="array" ref="E44:E55">IFERROR(_xlfn._xlws.FILTER('NPP Spends'!$G$3:$G$80,--ISNUMBER(SEARCH(SFMC!$B44,'NPP Spends'!$C$3:$C$80))),"-")</f>
        <v>0</v>
      </c>
      <c r="F44" s="74" cm="1">
        <f t="array" ref="F44:F55">IFERROR(_xlfn._xlws.FILTER('NPP Spends'!$H$3:$H$80,--ISNUMBER(SEARCH(SFMC!$B44,'NPP Spends'!$C$3:$C$80))),"-")</f>
        <v>0</v>
      </c>
      <c r="H44" s="74">
        <v>157000</v>
      </c>
      <c r="I44" s="74">
        <v>194100</v>
      </c>
    </row>
    <row r="45" spans="2:9" x14ac:dyDescent="0.35">
      <c r="B45" s="31"/>
      <c r="C45" s="31"/>
      <c r="D45" s="31" t="str">
        <v>Nov2021</v>
      </c>
      <c r="E45" s="31">
        <v>0</v>
      </c>
      <c r="F45" s="74">
        <v>0</v>
      </c>
      <c r="H45" s="50" t="s">
        <v>304</v>
      </c>
    </row>
    <row r="46" spans="2:9" x14ac:dyDescent="0.35">
      <c r="B46" s="31"/>
      <c r="C46" s="31"/>
      <c r="D46" s="31" t="str">
        <v>Dec2021</v>
      </c>
      <c r="E46" s="31">
        <v>0</v>
      </c>
      <c r="F46" s="74">
        <v>0</v>
      </c>
    </row>
    <row r="47" spans="2:9" x14ac:dyDescent="0.35">
      <c r="B47" s="31"/>
      <c r="C47" s="31"/>
      <c r="D47" s="31" t="str">
        <v>Jan2022</v>
      </c>
      <c r="E47" s="31">
        <v>0</v>
      </c>
      <c r="F47" s="74">
        <v>0</v>
      </c>
    </row>
    <row r="48" spans="2:9" x14ac:dyDescent="0.35">
      <c r="B48" s="31"/>
      <c r="C48" s="31"/>
      <c r="D48" s="31" t="str">
        <v>Feb2022</v>
      </c>
      <c r="E48" s="31">
        <v>0</v>
      </c>
      <c r="F48" s="74">
        <v>0</v>
      </c>
    </row>
    <row r="49" spans="2:6" x14ac:dyDescent="0.35">
      <c r="B49" s="31"/>
      <c r="C49" s="31"/>
      <c r="D49" s="31" t="str">
        <v>Mar2022</v>
      </c>
      <c r="E49" s="31">
        <v>0</v>
      </c>
      <c r="F49" s="74">
        <v>0</v>
      </c>
    </row>
    <row r="50" spans="2:6" x14ac:dyDescent="0.35">
      <c r="B50" s="31"/>
      <c r="C50" s="31"/>
      <c r="D50" s="31" t="str">
        <v>Apr2022</v>
      </c>
      <c r="E50" s="31" t="str">
        <v>Merck will be able to provide data for HQ e-mail</v>
      </c>
      <c r="F50" s="74" t="str">
        <v>Merck will be able to provide data for HQ e-mail</v>
      </c>
    </row>
    <row r="51" spans="2:6" x14ac:dyDescent="0.35">
      <c r="B51" s="31"/>
      <c r="C51" s="31"/>
      <c r="D51" s="31" t="str">
        <v>May2022</v>
      </c>
      <c r="E51" s="31" t="str">
        <v>Merck will be able to provide data for HQ e-mail</v>
      </c>
      <c r="F51" s="74" t="str">
        <v>Merck will be able to provide data for HQ e-mail</v>
      </c>
    </row>
    <row r="52" spans="2:6" x14ac:dyDescent="0.35">
      <c r="B52" s="31"/>
      <c r="C52" s="31"/>
      <c r="D52" s="31" t="str">
        <v>Jun2022</v>
      </c>
      <c r="E52" s="31" t="str">
        <v>Merck will be able to provide data for HQ e-mail</v>
      </c>
      <c r="F52" s="74" t="str">
        <v>Merck will be able to provide data for HQ e-mail</v>
      </c>
    </row>
    <row r="53" spans="2:6" x14ac:dyDescent="0.35">
      <c r="B53" s="31"/>
      <c r="C53" s="31"/>
      <c r="D53" s="31" t="str">
        <v>Jul2022</v>
      </c>
      <c r="E53" s="31">
        <v>0</v>
      </c>
      <c r="F53" s="74" t="str">
        <v>-</v>
      </c>
    </row>
    <row r="54" spans="2:6" x14ac:dyDescent="0.35">
      <c r="B54" s="31"/>
      <c r="C54" s="31"/>
      <c r="D54" s="31" t="str">
        <v>Aug2022</v>
      </c>
      <c r="E54" s="31">
        <v>0</v>
      </c>
      <c r="F54" s="74" t="str">
        <v>-</v>
      </c>
    </row>
    <row r="55" spans="2:6" x14ac:dyDescent="0.35">
      <c r="B55" s="31"/>
      <c r="C55" s="31"/>
      <c r="D55" s="31" t="str">
        <v>Sep2022</v>
      </c>
      <c r="E55" s="31">
        <v>0</v>
      </c>
      <c r="F55" s="74" t="str">
        <v>-</v>
      </c>
    </row>
    <row r="56" spans="2:6" x14ac:dyDescent="0.35">
      <c r="B56" s="31"/>
      <c r="C56" s="31"/>
      <c r="D56" s="31"/>
      <c r="E56" s="31"/>
      <c r="F56" s="31"/>
    </row>
    <row r="57" spans="2:6" x14ac:dyDescent="0.35">
      <c r="B57" s="31"/>
      <c r="C57" s="31"/>
      <c r="D57" s="31"/>
      <c r="E57" s="31"/>
      <c r="F57" s="31"/>
    </row>
    <row r="58" spans="2:6" x14ac:dyDescent="0.35">
      <c r="B58" s="31"/>
      <c r="C58" s="31"/>
      <c r="D58" s="31"/>
      <c r="E58" s="31"/>
      <c r="F58" s="31"/>
    </row>
    <row r="59" spans="2:6" x14ac:dyDescent="0.35">
      <c r="B59" s="31"/>
      <c r="C59" s="31"/>
      <c r="D59" s="31"/>
      <c r="E59" s="31"/>
      <c r="F59" s="31"/>
    </row>
    <row r="60" spans="2:6" x14ac:dyDescent="0.35">
      <c r="B60" s="49"/>
      <c r="C60" s="49"/>
      <c r="D60" s="49"/>
      <c r="E60" s="49"/>
      <c r="F60" s="49"/>
    </row>
    <row r="61" spans="2:6" x14ac:dyDescent="0.35">
      <c r="B61" s="49"/>
      <c r="C61" s="49"/>
      <c r="D61" s="49"/>
      <c r="E61" s="49"/>
      <c r="F61" s="49"/>
    </row>
    <row r="62" spans="2:6" x14ac:dyDescent="0.35">
      <c r="B62" s="49"/>
      <c r="C62" s="49"/>
      <c r="D62" s="49"/>
      <c r="E62" s="49"/>
      <c r="F62" s="49"/>
    </row>
    <row r="63" spans="2:6" x14ac:dyDescent="0.35">
      <c r="B63" s="49"/>
      <c r="C63" s="49"/>
      <c r="D63" s="49"/>
      <c r="E63" s="49"/>
      <c r="F63" s="49"/>
    </row>
    <row r="64" spans="2:6" x14ac:dyDescent="0.35">
      <c r="B64" s="49"/>
      <c r="C64" s="49"/>
      <c r="D64" s="49"/>
      <c r="E64" s="49"/>
      <c r="F64" s="49"/>
    </row>
    <row r="65" spans="2:6" x14ac:dyDescent="0.35">
      <c r="B65" s="49"/>
      <c r="C65" s="49"/>
      <c r="D65" s="49"/>
      <c r="E65" s="49"/>
      <c r="F65" s="49"/>
    </row>
  </sheetData>
  <mergeCells count="2">
    <mergeCell ref="B2:F2"/>
    <mergeCell ref="C35:F35"/>
  </mergeCells>
  <hyperlinks>
    <hyperlink ref="A1" location="Index!A1" display="Home" xr:uid="{E886A5BE-40F9-4453-AA4A-A9BB7A894F08}"/>
  </hyperlinks>
  <pageMargins left="0.7" right="0.7" top="0.75" bottom="0.75" header="0.3" footer="0.3"/>
  <pageSetup paperSize="9" orientation="portrait" r:id="rId1"/>
  <headerFooter>
    <oddHeader>&amp;L&amp;"Calibri"&amp;12&amp;K8E6A00Confidential&amp;1#</oddHeader>
  </headerFooter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34C7C0C8-D62E-496E-A0DE-CD4DF46AF7F8}">
          <x14:formula1>
            <xm:f>Control!$C$4:$C$305</xm:f>
          </x14:formula1>
          <xm:sqref>C6:E6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4E8E-B0D4-4F72-B431-DCA1FC1B70CB}">
  <sheetPr codeName="Sheet8">
    <tabColor theme="9" tint="0.39997558519241921"/>
  </sheetPr>
  <dimension ref="A1:I65"/>
  <sheetViews>
    <sheetView zoomScale="55" zoomScaleNormal="55" workbookViewId="0">
      <selection activeCell="F21" sqref="F21"/>
    </sheetView>
  </sheetViews>
  <sheetFormatPr defaultRowHeight="14.5" x14ac:dyDescent="0.35"/>
  <cols>
    <col min="1" max="1" width="9.08984375" style="10" customWidth="1"/>
    <col min="2" max="2" width="14" style="10" customWidth="1"/>
    <col min="3" max="3" width="27.7265625" style="10" customWidth="1"/>
    <col min="4" max="4" width="34.90625" style="10" customWidth="1"/>
    <col min="5" max="5" width="24.81640625" style="10" customWidth="1"/>
    <col min="6" max="6" width="23.08984375" style="10" customWidth="1"/>
    <col min="7" max="7" width="7.26953125" style="10" customWidth="1"/>
    <col min="8" max="8" width="21.6328125" style="10" bestFit="1" customWidth="1"/>
    <col min="9" max="9" width="20.81640625" style="10" bestFit="1" customWidth="1"/>
    <col min="10" max="16384" width="8.7265625" style="10"/>
  </cols>
  <sheetData>
    <row r="1" spans="1:7" ht="15.5" x14ac:dyDescent="0.35">
      <c r="A1" s="35" t="s">
        <v>30</v>
      </c>
    </row>
    <row r="2" spans="1:7" ht="18.5" x14ac:dyDescent="0.45">
      <c r="A2" s="35"/>
      <c r="B2" s="210" t="s">
        <v>189</v>
      </c>
      <c r="C2" s="210"/>
      <c r="D2" s="210"/>
      <c r="E2" s="210"/>
      <c r="F2" s="210"/>
    </row>
    <row r="4" spans="1:7" x14ac:dyDescent="0.35">
      <c r="C4" s="71" t="s">
        <v>167</v>
      </c>
      <c r="D4" s="71" t="s">
        <v>168</v>
      </c>
      <c r="E4" s="71" t="s">
        <v>169</v>
      </c>
    </row>
    <row r="5" spans="1:7" ht="14.5" hidden="1" customHeight="1" x14ac:dyDescent="0.35">
      <c r="C5" s="33" t="str">
        <f>INDEX(Control!$B$4:$B$305,MATCH(Medscape!C$6,Control!$C$4:$C$305,0))</f>
        <v>hcp_mscap_del</v>
      </c>
      <c r="D5" s="33" t="str">
        <f>INDEX(Control!$B$4:$B$305,MATCH(Medscape!D$6,Control!$C$4:$C$305,0))</f>
        <v>hcp_mscap_eng</v>
      </c>
      <c r="E5" s="33" t="str">
        <f>INDEX(Control!$B$4:$B$305,MATCH(Medscape!E$6,Control!$C$4:$C$305,0))</f>
        <v>hcp_mscap_clkd</v>
      </c>
      <c r="F5" s="33"/>
    </row>
    <row r="6" spans="1:7" x14ac:dyDescent="0.35">
      <c r="B6" s="22" t="s">
        <v>3</v>
      </c>
      <c r="C6" s="22" t="s">
        <v>188</v>
      </c>
      <c r="D6" s="22" t="s">
        <v>187</v>
      </c>
      <c r="E6" s="22" t="s">
        <v>186</v>
      </c>
      <c r="F6" s="22" t="s">
        <v>165</v>
      </c>
    </row>
    <row r="7" spans="1:7" x14ac:dyDescent="0.35">
      <c r="B7" s="23" cm="1">
        <f t="array" ref="B7:B30">'Trend Charts New'!C$11:C$34</f>
        <v>44228</v>
      </c>
      <c r="C7" s="34">
        <f>_xlfn.IFNA(INDEX('Raw Data'!$D$3:$KZ$42,MATCH(Medscape!$B7,'Raw Data'!$B$3:$B$42,0),MATCH(Medscape!C$5,'Raw Data'!$D$2:$KZ$2,0)),0)</f>
        <v>0</v>
      </c>
      <c r="D7" s="34">
        <f>_xlfn.IFNA(INDEX('Raw Data'!$D$3:$KZ$42,MATCH(Medscape!$B7,'Raw Data'!$B$3:$B$42,0),MATCH(Medscape!D$5,'Raw Data'!$D$2:$KZ$2,0)),0)</f>
        <v>0</v>
      </c>
      <c r="E7" s="34">
        <f>_xlfn.IFNA(INDEX('Raw Data'!$D$3:$KZ$42,MATCH(Medscape!$B7,'Raw Data'!$B$3:$B$42,0),MATCH(Medscape!E$5,'Raw Data'!$D$2:$KZ$2,0)),0)</f>
        <v>0</v>
      </c>
      <c r="F7" s="51">
        <f>IFERROR(D7/C7*100,0)</f>
        <v>0</v>
      </c>
    </row>
    <row r="8" spans="1:7" x14ac:dyDescent="0.35">
      <c r="B8" s="23">
        <v>44256</v>
      </c>
      <c r="C8" s="34">
        <f>_xlfn.IFNA(INDEX('Raw Data'!$D$3:$KZ$42,MATCH(Medscape!$B8,'Raw Data'!$B$3:$B$42,0),MATCH(Medscape!C$5,'Raw Data'!$D$2:$KZ$2,0)),0)</f>
        <v>2342</v>
      </c>
      <c r="D8" s="34">
        <f>_xlfn.IFNA(INDEX('Raw Data'!$D$3:$KZ$42,MATCH(Medscape!$B8,'Raw Data'!$B$3:$B$42,0),MATCH(Medscape!D$5,'Raw Data'!$D$2:$KZ$2,0)),0)</f>
        <v>1559</v>
      </c>
      <c r="E8" s="34">
        <f>_xlfn.IFNA(INDEX('Raw Data'!$D$3:$KZ$42,MATCH(Medscape!$B8,'Raw Data'!$B$3:$B$42,0),MATCH(Medscape!E$5,'Raw Data'!$D$2:$KZ$2,0)),0)</f>
        <v>1</v>
      </c>
      <c r="F8" s="51">
        <f t="shared" ref="F8:F30" si="0">IFERROR(D8/C8*100,0)</f>
        <v>66.567036720751489</v>
      </c>
      <c r="G8" s="57"/>
    </row>
    <row r="9" spans="1:7" x14ac:dyDescent="0.35">
      <c r="B9" s="23">
        <v>44287</v>
      </c>
      <c r="C9" s="34">
        <f>_xlfn.IFNA(INDEX('Raw Data'!$D$3:$KZ$42,MATCH(Medscape!$B9,'Raw Data'!$B$3:$B$42,0),MATCH(Medscape!C$5,'Raw Data'!$D$2:$KZ$2,0)),0)</f>
        <v>3910</v>
      </c>
      <c r="D9" s="34">
        <f>_xlfn.IFNA(INDEX('Raw Data'!$D$3:$KZ$42,MATCH(Medscape!$B9,'Raw Data'!$B$3:$B$42,0),MATCH(Medscape!D$5,'Raw Data'!$D$2:$KZ$2,0)),0)</f>
        <v>3204</v>
      </c>
      <c r="E9" s="34">
        <f>_xlfn.IFNA(INDEX('Raw Data'!$D$3:$KZ$42,MATCH(Medscape!$B9,'Raw Data'!$B$3:$B$42,0),MATCH(Medscape!E$5,'Raw Data'!$D$2:$KZ$2,0)),0)</f>
        <v>2</v>
      </c>
      <c r="F9" s="51">
        <f t="shared" si="0"/>
        <v>81.943734015345271</v>
      </c>
    </row>
    <row r="10" spans="1:7" x14ac:dyDescent="0.35">
      <c r="B10" s="23">
        <v>44317</v>
      </c>
      <c r="C10" s="34">
        <f>_xlfn.IFNA(INDEX('Raw Data'!$D$3:$KZ$42,MATCH(Medscape!$B10,'Raw Data'!$B$3:$B$42,0),MATCH(Medscape!C$5,'Raw Data'!$D$2:$KZ$2,0)),0)</f>
        <v>7126</v>
      </c>
      <c r="D10" s="34">
        <f>_xlfn.IFNA(INDEX('Raw Data'!$D$3:$KZ$42,MATCH(Medscape!$B10,'Raw Data'!$B$3:$B$42,0),MATCH(Medscape!D$5,'Raw Data'!$D$2:$KZ$2,0)),0)</f>
        <v>3913</v>
      </c>
      <c r="E10" s="34">
        <f>_xlfn.IFNA(INDEX('Raw Data'!$D$3:$KZ$42,MATCH(Medscape!$B10,'Raw Data'!$B$3:$B$42,0),MATCH(Medscape!E$5,'Raw Data'!$D$2:$KZ$2,0)),0)</f>
        <v>0</v>
      </c>
      <c r="F10" s="51">
        <f t="shared" si="0"/>
        <v>54.911591355599207</v>
      </c>
    </row>
    <row r="11" spans="1:7" x14ac:dyDescent="0.35">
      <c r="B11" s="23">
        <v>44348</v>
      </c>
      <c r="C11" s="34">
        <f>_xlfn.IFNA(INDEX('Raw Data'!$D$3:$KZ$42,MATCH(Medscape!$B11,'Raw Data'!$B$3:$B$42,0),MATCH(Medscape!C$5,'Raw Data'!$D$2:$KZ$2,0)),0)</f>
        <v>3765</v>
      </c>
      <c r="D11" s="34">
        <f>_xlfn.IFNA(INDEX('Raw Data'!$D$3:$KZ$42,MATCH(Medscape!$B11,'Raw Data'!$B$3:$B$42,0),MATCH(Medscape!D$5,'Raw Data'!$D$2:$KZ$2,0)),0)</f>
        <v>1856</v>
      </c>
      <c r="E11" s="34">
        <f>_xlfn.IFNA(INDEX('Raw Data'!$D$3:$KZ$42,MATCH(Medscape!$B11,'Raw Data'!$B$3:$B$42,0),MATCH(Medscape!E$5,'Raw Data'!$D$2:$KZ$2,0)),0)</f>
        <v>2</v>
      </c>
      <c r="F11" s="51">
        <f t="shared" si="0"/>
        <v>49.296148738379813</v>
      </c>
    </row>
    <row r="12" spans="1:7" x14ac:dyDescent="0.35">
      <c r="B12" s="23">
        <v>44378</v>
      </c>
      <c r="C12" s="34">
        <f>_xlfn.IFNA(INDEX('Raw Data'!$D$3:$KZ$42,MATCH(Medscape!$B12,'Raw Data'!$B$3:$B$42,0),MATCH(Medscape!C$5,'Raw Data'!$D$2:$KZ$2,0)),0)</f>
        <v>4197</v>
      </c>
      <c r="D12" s="34">
        <f>_xlfn.IFNA(INDEX('Raw Data'!$D$3:$KZ$42,MATCH(Medscape!$B12,'Raw Data'!$B$3:$B$42,0),MATCH(Medscape!D$5,'Raw Data'!$D$2:$KZ$2,0)),0)</f>
        <v>3225</v>
      </c>
      <c r="E12" s="34">
        <f>_xlfn.IFNA(INDEX('Raw Data'!$D$3:$KZ$42,MATCH(Medscape!$B12,'Raw Data'!$B$3:$B$42,0),MATCH(Medscape!E$5,'Raw Data'!$D$2:$KZ$2,0)),0)</f>
        <v>0</v>
      </c>
      <c r="F12" s="51">
        <f t="shared" si="0"/>
        <v>76.840600428877764</v>
      </c>
    </row>
    <row r="13" spans="1:7" x14ac:dyDescent="0.35">
      <c r="B13" s="23">
        <v>44409</v>
      </c>
      <c r="C13" s="34">
        <f>_xlfn.IFNA(INDEX('Raw Data'!$D$3:$KZ$42,MATCH(Medscape!$B13,'Raw Data'!$B$3:$B$42,0),MATCH(Medscape!C$5,'Raw Data'!$D$2:$KZ$2,0)),0)</f>
        <v>6441</v>
      </c>
      <c r="D13" s="34">
        <f>_xlfn.IFNA(INDEX('Raw Data'!$D$3:$KZ$42,MATCH(Medscape!$B13,'Raw Data'!$B$3:$B$42,0),MATCH(Medscape!D$5,'Raw Data'!$D$2:$KZ$2,0)),0)</f>
        <v>5665</v>
      </c>
      <c r="E13" s="34">
        <f>_xlfn.IFNA(INDEX('Raw Data'!$D$3:$KZ$42,MATCH(Medscape!$B13,'Raw Data'!$B$3:$B$42,0),MATCH(Medscape!E$5,'Raw Data'!$D$2:$KZ$2,0)),0)</f>
        <v>1</v>
      </c>
      <c r="F13" s="51">
        <f t="shared" si="0"/>
        <v>87.9521813383015</v>
      </c>
    </row>
    <row r="14" spans="1:7" x14ac:dyDescent="0.35">
      <c r="B14" s="23">
        <v>44440</v>
      </c>
      <c r="C14" s="34">
        <f>_xlfn.IFNA(INDEX('Raw Data'!$D$3:$KZ$42,MATCH(Medscape!$B14,'Raw Data'!$B$3:$B$42,0),MATCH(Medscape!C$5,'Raw Data'!$D$2:$KZ$2,0)),0)</f>
        <v>4906</v>
      </c>
      <c r="D14" s="34">
        <f>_xlfn.IFNA(INDEX('Raw Data'!$D$3:$KZ$42,MATCH(Medscape!$B14,'Raw Data'!$B$3:$B$42,0),MATCH(Medscape!D$5,'Raw Data'!$D$2:$KZ$2,0)),0)</f>
        <v>3543</v>
      </c>
      <c r="E14" s="34">
        <f>_xlfn.IFNA(INDEX('Raw Data'!$D$3:$KZ$42,MATCH(Medscape!$B14,'Raw Data'!$B$3:$B$42,0),MATCH(Medscape!E$5,'Raw Data'!$D$2:$KZ$2,0)),0)</f>
        <v>1</v>
      </c>
      <c r="F14" s="51">
        <f t="shared" si="0"/>
        <v>72.217692621280065</v>
      </c>
    </row>
    <row r="15" spans="1:7" x14ac:dyDescent="0.35">
      <c r="B15" s="23">
        <v>44470</v>
      </c>
      <c r="C15" s="34">
        <f>_xlfn.IFNA(INDEX('Raw Data'!$D$3:$KZ$42,MATCH(Medscape!$B15,'Raw Data'!$B$3:$B$42,0),MATCH(Medscape!C$5,'Raw Data'!$D$2:$KZ$2,0)),0)</f>
        <v>1527</v>
      </c>
      <c r="D15" s="34">
        <f>_xlfn.IFNA(INDEX('Raw Data'!$D$3:$KZ$42,MATCH(Medscape!$B15,'Raw Data'!$B$3:$B$42,0),MATCH(Medscape!D$5,'Raw Data'!$D$2:$KZ$2,0)),0)</f>
        <v>1094</v>
      </c>
      <c r="E15" s="34">
        <f>_xlfn.IFNA(INDEX('Raw Data'!$D$3:$KZ$42,MATCH(Medscape!$B15,'Raw Data'!$B$3:$B$42,0),MATCH(Medscape!E$5,'Raw Data'!$D$2:$KZ$2,0)),0)</f>
        <v>0</v>
      </c>
      <c r="F15" s="51">
        <f t="shared" si="0"/>
        <v>71.643745907007201</v>
      </c>
    </row>
    <row r="16" spans="1:7" x14ac:dyDescent="0.35">
      <c r="B16" s="23">
        <v>44501</v>
      </c>
      <c r="C16" s="34">
        <f>_xlfn.IFNA(INDEX('Raw Data'!$D$3:$KZ$42,MATCH(Medscape!$B16,'Raw Data'!$B$3:$B$42,0),MATCH(Medscape!C$5,'Raw Data'!$D$2:$KZ$2,0)),0)</f>
        <v>2123</v>
      </c>
      <c r="D16" s="34">
        <f>_xlfn.IFNA(INDEX('Raw Data'!$D$3:$KZ$42,MATCH(Medscape!$B16,'Raw Data'!$B$3:$B$42,0),MATCH(Medscape!D$5,'Raw Data'!$D$2:$KZ$2,0)),0)</f>
        <v>1705</v>
      </c>
      <c r="E16" s="34">
        <f>_xlfn.IFNA(INDEX('Raw Data'!$D$3:$KZ$42,MATCH(Medscape!$B16,'Raw Data'!$B$3:$B$42,0),MATCH(Medscape!E$5,'Raw Data'!$D$2:$KZ$2,0)),0)</f>
        <v>1</v>
      </c>
      <c r="F16" s="51">
        <f t="shared" si="0"/>
        <v>80.310880829015545</v>
      </c>
    </row>
    <row r="17" spans="2:8" x14ac:dyDescent="0.35">
      <c r="B17" s="23">
        <v>44531</v>
      </c>
      <c r="C17" s="34">
        <f>_xlfn.IFNA(INDEX('Raw Data'!$D$3:$KZ$42,MATCH(Medscape!$B17,'Raw Data'!$B$3:$B$42,0),MATCH(Medscape!C$5,'Raw Data'!$D$2:$KZ$2,0)),0)</f>
        <v>2915</v>
      </c>
      <c r="D17" s="34">
        <f>_xlfn.IFNA(INDEX('Raw Data'!$D$3:$KZ$42,MATCH(Medscape!$B17,'Raw Data'!$B$3:$B$42,0),MATCH(Medscape!D$5,'Raw Data'!$D$2:$KZ$2,0)),0)</f>
        <v>2373</v>
      </c>
      <c r="E17" s="34">
        <f>_xlfn.IFNA(INDEX('Raw Data'!$D$3:$KZ$42,MATCH(Medscape!$B17,'Raw Data'!$B$3:$B$42,0),MATCH(Medscape!E$5,'Raw Data'!$D$2:$KZ$2,0)),0)</f>
        <v>3</v>
      </c>
      <c r="F17" s="51">
        <f t="shared" si="0"/>
        <v>81.406518010291592</v>
      </c>
    </row>
    <row r="18" spans="2:8" x14ac:dyDescent="0.35">
      <c r="B18" s="23">
        <v>44562</v>
      </c>
      <c r="C18" s="34">
        <f>_xlfn.IFNA(INDEX('Raw Data'!$D$3:$KZ$42,MATCH(Medscape!$B18,'Raw Data'!$B$3:$B$42,0),MATCH(Medscape!C$5,'Raw Data'!$D$2:$KZ$2,0)),0)</f>
        <v>3126</v>
      </c>
      <c r="D18" s="34">
        <f>_xlfn.IFNA(INDEX('Raw Data'!$D$3:$KZ$42,MATCH(Medscape!$B18,'Raw Data'!$B$3:$B$42,0),MATCH(Medscape!D$5,'Raw Data'!$D$2:$KZ$2,0)),0)</f>
        <v>2978</v>
      </c>
      <c r="E18" s="34">
        <f>_xlfn.IFNA(INDEX('Raw Data'!$D$3:$KZ$42,MATCH(Medscape!$B18,'Raw Data'!$B$3:$B$42,0),MATCH(Medscape!E$5,'Raw Data'!$D$2:$KZ$2,0)),0)</f>
        <v>5</v>
      </c>
      <c r="F18" s="51">
        <f t="shared" si="0"/>
        <v>95.265515035188741</v>
      </c>
    </row>
    <row r="19" spans="2:8" x14ac:dyDescent="0.35">
      <c r="B19" s="23">
        <v>44593</v>
      </c>
      <c r="C19" s="34">
        <f>_xlfn.IFNA(INDEX('Raw Data'!$D$3:$KZ$42,MATCH(Medscape!$B19,'Raw Data'!$B$3:$B$42,0),MATCH(Medscape!C$5,'Raw Data'!$D$2:$KZ$2,0)),0)</f>
        <v>34</v>
      </c>
      <c r="D19" s="34">
        <f>_xlfn.IFNA(INDEX('Raw Data'!$D$3:$KZ$42,MATCH(Medscape!$B19,'Raw Data'!$B$3:$B$42,0),MATCH(Medscape!D$5,'Raw Data'!$D$2:$KZ$2,0)),0)</f>
        <v>10</v>
      </c>
      <c r="E19" s="34">
        <f>_xlfn.IFNA(INDEX('Raw Data'!$D$3:$KZ$42,MATCH(Medscape!$B19,'Raw Data'!$B$3:$B$42,0),MATCH(Medscape!E$5,'Raw Data'!$D$2:$KZ$2,0)),0)</f>
        <v>0</v>
      </c>
      <c r="F19" s="51">
        <f t="shared" si="0"/>
        <v>29.411764705882355</v>
      </c>
    </row>
    <row r="20" spans="2:8" x14ac:dyDescent="0.35">
      <c r="B20" s="23">
        <v>44621</v>
      </c>
      <c r="C20" s="34">
        <f>_xlfn.IFNA(INDEX('Raw Data'!$D$3:$KZ$42,MATCH(Medscape!$B20,'Raw Data'!$B$3:$B$42,0),MATCH(Medscape!C$5,'Raw Data'!$D$2:$KZ$2,0)),0)</f>
        <v>0</v>
      </c>
      <c r="D20" s="34">
        <f>_xlfn.IFNA(INDEX('Raw Data'!$D$3:$KZ$42,MATCH(Medscape!$B20,'Raw Data'!$B$3:$B$42,0),MATCH(Medscape!D$5,'Raw Data'!$D$2:$KZ$2,0)),0)</f>
        <v>0</v>
      </c>
      <c r="E20" s="34">
        <f>_xlfn.IFNA(INDEX('Raw Data'!$D$3:$KZ$42,MATCH(Medscape!$B20,'Raw Data'!$B$3:$B$42,0),MATCH(Medscape!E$5,'Raw Data'!$D$2:$KZ$2,0)),0)</f>
        <v>0</v>
      </c>
      <c r="F20" s="51">
        <f t="shared" si="0"/>
        <v>0</v>
      </c>
    </row>
    <row r="21" spans="2:8" x14ac:dyDescent="0.35">
      <c r="B21" s="23">
        <v>44652</v>
      </c>
      <c r="C21" s="34">
        <f>_xlfn.IFNA(INDEX('Raw Data'!$D$3:$KZ$42,MATCH(Medscape!$B21,'Raw Data'!$B$3:$B$42,0),MATCH(Medscape!C$5,'Raw Data'!$D$2:$KZ$2,0)),0)</f>
        <v>2959</v>
      </c>
      <c r="D21" s="34">
        <f>_xlfn.IFNA(INDEX('Raw Data'!$D$3:$KZ$42,MATCH(Medscape!$B21,'Raw Data'!$B$3:$B$42,0),MATCH(Medscape!D$5,'Raw Data'!$D$2:$KZ$2,0)),0)</f>
        <v>2884</v>
      </c>
      <c r="E21" s="34">
        <f>_xlfn.IFNA(INDEX('Raw Data'!$D$3:$KZ$42,MATCH(Medscape!$B21,'Raw Data'!$B$3:$B$42,0),MATCH(Medscape!E$5,'Raw Data'!$D$2:$KZ$2,0)),0)</f>
        <v>5</v>
      </c>
      <c r="F21" s="51">
        <f t="shared" si="0"/>
        <v>97.465359918891508</v>
      </c>
    </row>
    <row r="22" spans="2:8" x14ac:dyDescent="0.35">
      <c r="B22" s="23">
        <v>44682</v>
      </c>
      <c r="C22" s="34">
        <f>_xlfn.IFNA(INDEX('Raw Data'!$D$3:$KZ$42,MATCH(Medscape!$B22,'Raw Data'!$B$3:$B$42,0),MATCH(Medscape!C$5,'Raw Data'!$D$2:$KZ$2,0)),0)</f>
        <v>527</v>
      </c>
      <c r="D22" s="34">
        <f>_xlfn.IFNA(INDEX('Raw Data'!$D$3:$KZ$42,MATCH(Medscape!$B22,'Raw Data'!$B$3:$B$42,0),MATCH(Medscape!D$5,'Raw Data'!$D$2:$KZ$2,0)),0)</f>
        <v>504</v>
      </c>
      <c r="E22" s="34">
        <f>_xlfn.IFNA(INDEX('Raw Data'!$D$3:$KZ$42,MATCH(Medscape!$B22,'Raw Data'!$B$3:$B$42,0),MATCH(Medscape!E$5,'Raw Data'!$D$2:$KZ$2,0)),0)</f>
        <v>1</v>
      </c>
      <c r="F22" s="51">
        <f t="shared" si="0"/>
        <v>95.635673624288415</v>
      </c>
    </row>
    <row r="23" spans="2:8" x14ac:dyDescent="0.35">
      <c r="B23" s="23">
        <v>44713</v>
      </c>
      <c r="C23" s="34">
        <f>_xlfn.IFNA(INDEX('Raw Data'!$D$3:$KZ$42,MATCH(Medscape!$B23,'Raw Data'!$B$3:$B$42,0),MATCH(Medscape!C$5,'Raw Data'!$D$2:$KZ$2,0)),0)</f>
        <v>143</v>
      </c>
      <c r="D23" s="34">
        <f>_xlfn.IFNA(INDEX('Raw Data'!$D$3:$KZ$42,MATCH(Medscape!$B23,'Raw Data'!$B$3:$B$42,0),MATCH(Medscape!D$5,'Raw Data'!$D$2:$KZ$2,0)),0)</f>
        <v>139</v>
      </c>
      <c r="E23" s="34">
        <f>_xlfn.IFNA(INDEX('Raw Data'!$D$3:$KZ$42,MATCH(Medscape!$B23,'Raw Data'!$B$3:$B$42,0),MATCH(Medscape!E$5,'Raw Data'!$D$2:$KZ$2,0)),0)</f>
        <v>0</v>
      </c>
      <c r="F23" s="51">
        <f t="shared" si="0"/>
        <v>97.2027972027972</v>
      </c>
    </row>
    <row r="24" spans="2:8" x14ac:dyDescent="0.35">
      <c r="B24" s="23">
        <v>44743</v>
      </c>
      <c r="C24" s="34">
        <f>_xlfn.IFNA(INDEX('Raw Data'!$D$3:$KZ$42,MATCH(Medscape!$B24,'Raw Data'!$B$3:$B$42,0),MATCH(Medscape!C$5,'Raw Data'!$D$2:$KZ$2,0)),0)</f>
        <v>2294</v>
      </c>
      <c r="D24" s="34">
        <f>_xlfn.IFNA(INDEX('Raw Data'!$D$3:$KZ$42,MATCH(Medscape!$B24,'Raw Data'!$B$3:$B$42,0),MATCH(Medscape!D$5,'Raw Data'!$D$2:$KZ$2,0)),0)</f>
        <v>1163</v>
      </c>
      <c r="E24" s="34">
        <f>_xlfn.IFNA(INDEX('Raw Data'!$D$3:$KZ$42,MATCH(Medscape!$B24,'Raw Data'!$B$3:$B$42,0),MATCH(Medscape!E$5,'Raw Data'!$D$2:$KZ$2,0)),0)</f>
        <v>0</v>
      </c>
      <c r="F24" s="51">
        <f t="shared" si="0"/>
        <v>50.697471665213598</v>
      </c>
    </row>
    <row r="25" spans="2:8" x14ac:dyDescent="0.35">
      <c r="B25" s="23">
        <v>44774</v>
      </c>
      <c r="C25" s="34">
        <f>_xlfn.IFNA(INDEX('Raw Data'!$D$3:$KZ$42,MATCH(Medscape!$B25,'Raw Data'!$B$3:$B$42,0),MATCH(Medscape!C$5,'Raw Data'!$D$2:$KZ$2,0)),0)</f>
        <v>603</v>
      </c>
      <c r="D25" s="34">
        <f>_xlfn.IFNA(INDEX('Raw Data'!$D$3:$KZ$42,MATCH(Medscape!$B25,'Raw Data'!$B$3:$B$42,0),MATCH(Medscape!D$5,'Raw Data'!$D$2:$KZ$2,0)),0)</f>
        <v>299</v>
      </c>
      <c r="E25" s="34">
        <f>_xlfn.IFNA(INDEX('Raw Data'!$D$3:$KZ$42,MATCH(Medscape!$B25,'Raw Data'!$B$3:$B$42,0),MATCH(Medscape!E$5,'Raw Data'!$D$2:$KZ$2,0)),0)</f>
        <v>1</v>
      </c>
      <c r="F25" s="51">
        <f t="shared" si="0"/>
        <v>49.585406301824214</v>
      </c>
    </row>
    <row r="26" spans="2:8" x14ac:dyDescent="0.35">
      <c r="B26" s="23">
        <v>44805</v>
      </c>
      <c r="C26" s="34">
        <f>_xlfn.IFNA(INDEX('Raw Data'!$D$3:$KZ$42,MATCH(Medscape!$B26,'Raw Data'!$B$3:$B$42,0),MATCH(Medscape!C$5,'Raw Data'!$D$2:$KZ$2,0)),0)</f>
        <v>1580</v>
      </c>
      <c r="D26" s="34">
        <f>_xlfn.IFNA(INDEX('Raw Data'!$D$3:$KZ$42,MATCH(Medscape!$B26,'Raw Data'!$B$3:$B$42,0),MATCH(Medscape!D$5,'Raw Data'!$D$2:$KZ$2,0)),0)</f>
        <v>1470</v>
      </c>
      <c r="E26" s="34">
        <f>_xlfn.IFNA(INDEX('Raw Data'!$D$3:$KZ$42,MATCH(Medscape!$B26,'Raw Data'!$B$3:$B$42,0),MATCH(Medscape!E$5,'Raw Data'!$D$2:$KZ$2,0)),0)</f>
        <v>0</v>
      </c>
      <c r="F26" s="51">
        <f t="shared" si="0"/>
        <v>93.037974683544306</v>
      </c>
    </row>
    <row r="27" spans="2:8" x14ac:dyDescent="0.35">
      <c r="B27" s="23">
        <v>44835</v>
      </c>
      <c r="C27" s="34">
        <f>_xlfn.IFNA(INDEX('Raw Data'!$D$3:$KZ$42,MATCH(Medscape!$B27,'Raw Data'!$B$3:$B$42,0),MATCH(Medscape!C$5,'Raw Data'!$D$2:$KZ$2,0)),0)</f>
        <v>1911</v>
      </c>
      <c r="D27" s="34">
        <f>_xlfn.IFNA(INDEX('Raw Data'!$D$3:$KZ$42,MATCH(Medscape!$B27,'Raw Data'!$B$3:$B$42,0),MATCH(Medscape!D$5,'Raw Data'!$D$2:$KZ$2,0)),0)</f>
        <v>1823</v>
      </c>
      <c r="E27" s="34">
        <f>_xlfn.IFNA(INDEX('Raw Data'!$D$3:$KZ$42,MATCH(Medscape!$B27,'Raw Data'!$B$3:$B$42,0),MATCH(Medscape!E$5,'Raw Data'!$D$2:$KZ$2,0)),0)</f>
        <v>3</v>
      </c>
      <c r="F27" s="51">
        <f t="shared" si="0"/>
        <v>95.395081109366814</v>
      </c>
    </row>
    <row r="28" spans="2:8" x14ac:dyDescent="0.35">
      <c r="B28" s="23">
        <v>44866</v>
      </c>
      <c r="C28" s="34">
        <f>_xlfn.IFNA(INDEX('Raw Data'!$D$3:$KZ$42,MATCH(Medscape!$B28,'Raw Data'!$B$3:$B$42,0),MATCH(Medscape!C$5,'Raw Data'!$D$2:$KZ$2,0)),0)</f>
        <v>1802</v>
      </c>
      <c r="D28" s="34">
        <f>_xlfn.IFNA(INDEX('Raw Data'!$D$3:$KZ$42,MATCH(Medscape!$B28,'Raw Data'!$B$3:$B$42,0),MATCH(Medscape!D$5,'Raw Data'!$D$2:$KZ$2,0)),0)</f>
        <v>1351</v>
      </c>
      <c r="E28" s="34">
        <f>_xlfn.IFNA(INDEX('Raw Data'!$D$3:$KZ$42,MATCH(Medscape!$B28,'Raw Data'!$B$3:$B$42,0),MATCH(Medscape!E$5,'Raw Data'!$D$2:$KZ$2,0)),0)</f>
        <v>1</v>
      </c>
      <c r="F28" s="51">
        <f t="shared" si="0"/>
        <v>74.972253052164262</v>
      </c>
    </row>
    <row r="29" spans="2:8" x14ac:dyDescent="0.35">
      <c r="B29" s="23">
        <v>44896</v>
      </c>
      <c r="C29" s="34">
        <f>_xlfn.IFNA(INDEX('Raw Data'!$D$3:$KZ$42,MATCH(Medscape!$B29,'Raw Data'!$B$3:$B$42,0),MATCH(Medscape!C$5,'Raw Data'!$D$2:$KZ$2,0)),0)</f>
        <v>789</v>
      </c>
      <c r="D29" s="34">
        <f>_xlfn.IFNA(INDEX('Raw Data'!$D$3:$KZ$42,MATCH(Medscape!$B29,'Raw Data'!$B$3:$B$42,0),MATCH(Medscape!D$5,'Raw Data'!$D$2:$KZ$2,0)),0)</f>
        <v>325</v>
      </c>
      <c r="E29" s="34">
        <f>_xlfn.IFNA(INDEX('Raw Data'!$D$3:$KZ$42,MATCH(Medscape!$B29,'Raw Data'!$B$3:$B$42,0),MATCH(Medscape!E$5,'Raw Data'!$D$2:$KZ$2,0)),0)</f>
        <v>0</v>
      </c>
      <c r="F29" s="51">
        <f t="shared" si="0"/>
        <v>41.191381495564002</v>
      </c>
    </row>
    <row r="30" spans="2:8" x14ac:dyDescent="0.35">
      <c r="B30" s="23">
        <v>44927</v>
      </c>
      <c r="C30" s="34">
        <f>_xlfn.IFNA(INDEX('Raw Data'!$D$3:$KZ$42,MATCH(Medscape!$B30,'Raw Data'!$B$3:$B$42,0),MATCH(Medscape!C$5,'Raw Data'!$D$2:$KZ$2,0)),0)</f>
        <v>0</v>
      </c>
      <c r="D30" s="34">
        <f>_xlfn.IFNA(INDEX('Raw Data'!$D$3:$KZ$42,MATCH(Medscape!$B30,'Raw Data'!$B$3:$B$42,0),MATCH(Medscape!D$5,'Raw Data'!$D$2:$KZ$2,0)),0)</f>
        <v>0</v>
      </c>
      <c r="E30" s="34">
        <f>_xlfn.IFNA(INDEX('Raw Data'!$D$3:$KZ$42,MATCH(Medscape!$B30,'Raw Data'!$B$3:$B$42,0),MATCH(Medscape!E$5,'Raw Data'!$D$2:$KZ$2,0)),0)</f>
        <v>0</v>
      </c>
      <c r="F30" s="51">
        <f t="shared" si="0"/>
        <v>0</v>
      </c>
    </row>
    <row r="31" spans="2:8" ht="15.5" x14ac:dyDescent="0.35">
      <c r="H31" s="38" t="s">
        <v>51</v>
      </c>
    </row>
    <row r="32" spans="2:8" x14ac:dyDescent="0.35">
      <c r="H32" s="79" t="s">
        <v>322</v>
      </c>
    </row>
    <row r="33" spans="2:9" x14ac:dyDescent="0.35">
      <c r="H33" s="79" t="s">
        <v>313</v>
      </c>
    </row>
    <row r="35" spans="2:9" x14ac:dyDescent="0.35">
      <c r="B35" s="55"/>
      <c r="C35" s="212" t="s">
        <v>177</v>
      </c>
      <c r="D35" s="213"/>
      <c r="E35" s="213"/>
      <c r="F35" s="214"/>
    </row>
    <row r="36" spans="2:9" x14ac:dyDescent="0.35">
      <c r="B36" s="31" t="s">
        <v>293</v>
      </c>
      <c r="C36" s="60">
        <f>IFERROR(AVERAGE(C9:C20),"-")</f>
        <v>3339.1666666666665</v>
      </c>
      <c r="D36" s="60">
        <f t="shared" ref="D36:F36" si="1">IFERROR(AVERAGE(D9:D20),"-")</f>
        <v>2463.8333333333335</v>
      </c>
      <c r="E36" s="60">
        <f t="shared" si="1"/>
        <v>1.25</v>
      </c>
      <c r="F36" s="72">
        <f t="shared" si="1"/>
        <v>65.100031082097416</v>
      </c>
    </row>
    <row r="37" spans="2:9" x14ac:dyDescent="0.35">
      <c r="B37" s="31" t="s">
        <v>316</v>
      </c>
      <c r="C37" s="42">
        <f>IFERROR(AVERAGE(C18:C29),"-")</f>
        <v>1314</v>
      </c>
      <c r="D37" s="42">
        <f t="shared" ref="D37:F37" si="2">IFERROR(AVERAGE(D18:D29),"-")</f>
        <v>1078.8333333333333</v>
      </c>
      <c r="E37" s="42">
        <f t="shared" si="2"/>
        <v>1.3333333333333333</v>
      </c>
      <c r="F37" s="73">
        <f t="shared" si="2"/>
        <v>68.321723232893802</v>
      </c>
    </row>
    <row r="38" spans="2:9" x14ac:dyDescent="0.35">
      <c r="B38" s="31" t="s">
        <v>178</v>
      </c>
      <c r="C38" s="59">
        <f>IFERROR(C37/C36-1,"-")</f>
        <v>-0.60648864487147491</v>
      </c>
      <c r="D38" s="59">
        <f t="shared" ref="D38:F38" si="3">IFERROR(D37/D36-1,"-")</f>
        <v>-0.56213217885408917</v>
      </c>
      <c r="E38" s="59">
        <f t="shared" si="3"/>
        <v>6.6666666666666652E-2</v>
      </c>
      <c r="F38" s="59">
        <f t="shared" si="3"/>
        <v>4.9488335062905398E-2</v>
      </c>
    </row>
    <row r="39" spans="2:9" x14ac:dyDescent="0.35">
      <c r="D39" s="94"/>
    </row>
    <row r="43" spans="2:9" x14ac:dyDescent="0.35">
      <c r="B43" s="71" t="s">
        <v>204</v>
      </c>
      <c r="C43" s="71" t="s">
        <v>205</v>
      </c>
      <c r="D43" s="71" t="s">
        <v>291</v>
      </c>
      <c r="E43" s="71" t="s">
        <v>208</v>
      </c>
      <c r="F43" s="71" t="s">
        <v>292</v>
      </c>
      <c r="H43" s="71" t="s">
        <v>303</v>
      </c>
      <c r="I43" s="71" t="s">
        <v>314</v>
      </c>
    </row>
    <row r="44" spans="2:9" x14ac:dyDescent="0.35">
      <c r="B44" s="31" t="str">
        <f>UPPER(B2)</f>
        <v>MEDSCAPE</v>
      </c>
      <c r="C44" s="31" t="str" cm="1">
        <f t="array" ref="C44">IFERROR(_xlfn.UNIQUE(_xlfn._xlws.FILTER('NPP Spends'!$D$3:$D$80,--ISNUMBER(SEARCH(Medscape!$B44,'NPP Spends'!$C$3:$C$80)))),"-")</f>
        <v>ALERT</v>
      </c>
      <c r="D44" s="31" t="str" cm="1">
        <f t="array" ref="D44:D60">IFERROR(_xlfn.UNIQUE(_xlfn._xlws.FILTER('NPP Spends'!$L$3:$L$80,--ISNUMBER(SEARCH(Medscape!$B44,'NPP Spends'!$C$3:$C$80)))),"-")</f>
        <v>Jul2021</v>
      </c>
      <c r="E44" s="42" cm="1">
        <f t="array" ref="E44:E60">IFERROR(_xlfn._xlws.FILTER('NPP Spends'!$G$3:$G$80,--ISNUMBER(SEARCH(Medscape!$B44,'NPP Spends'!$C$3:$C$80))),"-")</f>
        <v>3376</v>
      </c>
      <c r="F44" s="74" cm="1">
        <f t="array" ref="F44:F60">IFERROR(_xlfn._xlws.FILTER('NPP Spends'!$H$3:$H$80,--ISNUMBER(SEARCH(Medscape!$B44,'NPP Spends'!$C$3:$C$80))),"-")</f>
        <v>111408</v>
      </c>
      <c r="H44" s="74">
        <v>962219.6</v>
      </c>
      <c r="I44" s="74">
        <f>SUM(F50:F60)</f>
        <v>483510.48</v>
      </c>
    </row>
    <row r="45" spans="2:9" x14ac:dyDescent="0.35">
      <c r="B45" s="31"/>
      <c r="C45" s="31"/>
      <c r="D45" s="31" t="str">
        <v>Aug2021</v>
      </c>
      <c r="E45" s="42">
        <v>6006</v>
      </c>
      <c r="F45" s="74">
        <v>186186</v>
      </c>
      <c r="I45" s="84">
        <f>I44/H44-1</f>
        <v>-0.49750506017545271</v>
      </c>
    </row>
    <row r="46" spans="2:9" x14ac:dyDescent="0.35">
      <c r="B46" s="31"/>
      <c r="C46" s="31"/>
      <c r="D46" s="31" t="str">
        <v>Sep2021</v>
      </c>
      <c r="E46" s="42">
        <v>3740</v>
      </c>
      <c r="F46" s="74">
        <v>115940</v>
      </c>
    </row>
    <row r="47" spans="2:9" x14ac:dyDescent="0.35">
      <c r="B47" s="31"/>
      <c r="C47" s="31"/>
      <c r="D47" s="31" t="str">
        <v>Oct2021</v>
      </c>
      <c r="E47" s="42">
        <v>1123</v>
      </c>
      <c r="F47" s="74">
        <v>37059</v>
      </c>
    </row>
    <row r="48" spans="2:9" x14ac:dyDescent="0.35">
      <c r="B48" s="31"/>
      <c r="C48" s="31"/>
      <c r="D48" s="31" t="str">
        <v>Nov2021</v>
      </c>
      <c r="E48" s="42">
        <v>1761</v>
      </c>
      <c r="F48" s="74">
        <v>42264</v>
      </c>
    </row>
    <row r="49" spans="2:6" x14ac:dyDescent="0.35">
      <c r="B49" s="31"/>
      <c r="C49" s="31"/>
      <c r="D49" s="31" t="str">
        <v>Dec2021</v>
      </c>
      <c r="E49" s="42">
        <v>2746</v>
      </c>
      <c r="F49" s="74">
        <v>65904</v>
      </c>
    </row>
    <row r="50" spans="2:6" x14ac:dyDescent="0.35">
      <c r="B50" s="31"/>
      <c r="C50" s="31"/>
      <c r="D50" s="31" t="str">
        <v>Jan2022</v>
      </c>
      <c r="E50" s="42">
        <v>4179</v>
      </c>
      <c r="F50" s="74">
        <v>122862.59999999999</v>
      </c>
    </row>
    <row r="51" spans="2:6" x14ac:dyDescent="0.35">
      <c r="B51" s="31"/>
      <c r="C51" s="31"/>
      <c r="D51" s="31" t="str">
        <v>Feb2022</v>
      </c>
      <c r="E51" s="42">
        <v>40</v>
      </c>
      <c r="F51" s="74">
        <v>1176</v>
      </c>
    </row>
    <row r="52" spans="2:6" x14ac:dyDescent="0.35">
      <c r="B52" s="31"/>
      <c r="C52" s="31"/>
      <c r="D52" s="31" t="str">
        <v>Apr2022</v>
      </c>
      <c r="E52" s="42">
        <v>3018</v>
      </c>
      <c r="F52" s="74">
        <v>88729</v>
      </c>
    </row>
    <row r="53" spans="2:6" x14ac:dyDescent="0.35">
      <c r="B53" s="31"/>
      <c r="C53" s="31"/>
      <c r="D53" s="31" t="str">
        <v>May2022</v>
      </c>
      <c r="E53" s="42">
        <v>721</v>
      </c>
      <c r="F53" s="74">
        <v>21197</v>
      </c>
    </row>
    <row r="54" spans="2:6" x14ac:dyDescent="0.35">
      <c r="B54" s="31"/>
      <c r="C54" s="31"/>
      <c r="D54" s="31" t="str">
        <v>Jun2022</v>
      </c>
      <c r="E54" s="42">
        <v>152</v>
      </c>
      <c r="F54" s="74">
        <v>4469</v>
      </c>
    </row>
    <row r="55" spans="2:6" x14ac:dyDescent="0.35">
      <c r="B55" s="31"/>
      <c r="C55" s="31"/>
      <c r="D55" s="31" t="str">
        <v>Jul2022</v>
      </c>
      <c r="E55" s="42">
        <v>0</v>
      </c>
      <c r="F55" s="74">
        <v>35221</v>
      </c>
    </row>
    <row r="56" spans="2:6" x14ac:dyDescent="0.35">
      <c r="B56" s="31"/>
      <c r="C56" s="31"/>
      <c r="D56" s="31" t="str">
        <v>Aug2022</v>
      </c>
      <c r="E56" s="42">
        <v>0</v>
      </c>
      <c r="F56" s="74">
        <v>9643</v>
      </c>
    </row>
    <row r="57" spans="2:6" x14ac:dyDescent="0.35">
      <c r="B57" s="31"/>
      <c r="C57" s="31"/>
      <c r="D57" s="31" t="str">
        <v>Sep2022</v>
      </c>
      <c r="E57" s="42">
        <v>0</v>
      </c>
      <c r="F57" s="74">
        <v>47363</v>
      </c>
    </row>
    <row r="58" spans="2:6" x14ac:dyDescent="0.35">
      <c r="B58" s="31"/>
      <c r="C58" s="31"/>
      <c r="D58" s="31" t="str">
        <v>Oct2022</v>
      </c>
      <c r="E58" s="42">
        <v>0</v>
      </c>
      <c r="F58" s="74">
        <v>58506</v>
      </c>
    </row>
    <row r="59" spans="2:6" x14ac:dyDescent="0.35">
      <c r="B59" s="31"/>
      <c r="C59" s="31"/>
      <c r="D59" s="31" t="str">
        <v>Nov2022</v>
      </c>
      <c r="E59" s="42">
        <v>0</v>
      </c>
      <c r="F59" s="74">
        <v>80908.08</v>
      </c>
    </row>
    <row r="60" spans="2:6" x14ac:dyDescent="0.35">
      <c r="B60" s="49"/>
      <c r="C60" s="49"/>
      <c r="D60" s="31" t="str">
        <v>Dec2022</v>
      </c>
      <c r="E60" s="42">
        <v>0</v>
      </c>
      <c r="F60" s="74">
        <v>13435.8</v>
      </c>
    </row>
    <row r="61" spans="2:6" x14ac:dyDescent="0.35">
      <c r="B61" s="49"/>
      <c r="C61" s="49"/>
      <c r="D61" s="49"/>
      <c r="E61" s="42"/>
      <c r="F61" s="49"/>
    </row>
    <row r="62" spans="2:6" x14ac:dyDescent="0.35">
      <c r="B62" s="49"/>
      <c r="C62" s="49"/>
      <c r="D62" s="49"/>
      <c r="E62" s="42"/>
      <c r="F62" s="49"/>
    </row>
    <row r="63" spans="2:6" x14ac:dyDescent="0.35">
      <c r="B63" s="49"/>
      <c r="C63" s="49"/>
      <c r="D63" s="49"/>
      <c r="E63" s="42"/>
      <c r="F63" s="49"/>
    </row>
    <row r="64" spans="2:6" x14ac:dyDescent="0.35">
      <c r="B64" s="49"/>
      <c r="C64" s="49"/>
      <c r="D64" s="49"/>
      <c r="E64" s="42"/>
      <c r="F64" s="49"/>
    </row>
    <row r="65" spans="2:6" x14ac:dyDescent="0.35">
      <c r="B65" s="49"/>
      <c r="C65" s="49"/>
      <c r="D65" s="49"/>
      <c r="E65" s="42"/>
      <c r="F65" s="49"/>
    </row>
  </sheetData>
  <mergeCells count="2">
    <mergeCell ref="B2:F2"/>
    <mergeCell ref="C35:F35"/>
  </mergeCells>
  <hyperlinks>
    <hyperlink ref="A1" location="Index!A1" display="Home" xr:uid="{0C770D54-8F3D-4762-83C8-B1772EE0F1F9}"/>
  </hyperlinks>
  <pageMargins left="0.7" right="0.7" top="0.75" bottom="0.75" header="0.3" footer="0.3"/>
  <pageSetup paperSize="9" orientation="portrait" r:id="rId1"/>
  <headerFooter>
    <oddHeader>&amp;L&amp;"Calibri"&amp;12&amp;K8E6A00Confidential&amp;1#</oddHead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F3AF9B1-4CE0-4D37-8289-ACF9588F3326}">
          <x14:formula1>
            <xm:f>Control!$C$4:$C$305</xm:f>
          </x14:formula1>
          <xm:sqref>C6:E6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F5C11-7173-4A54-BAC1-36E49D1CCDEE}">
  <sheetPr codeName="Sheet4">
    <tabColor theme="9" tint="0.39997558519241921"/>
  </sheetPr>
  <dimension ref="A1:I65"/>
  <sheetViews>
    <sheetView zoomScale="85" zoomScaleNormal="85" workbookViewId="0">
      <selection activeCell="C8" sqref="C8"/>
    </sheetView>
  </sheetViews>
  <sheetFormatPr defaultRowHeight="14.5" x14ac:dyDescent="0.35"/>
  <cols>
    <col min="1" max="1" width="9.08984375" style="10" customWidth="1"/>
    <col min="2" max="2" width="14" style="10" customWidth="1"/>
    <col min="3" max="3" width="22.26953125" style="10" customWidth="1"/>
    <col min="4" max="4" width="26.6328125" style="10" customWidth="1"/>
    <col min="5" max="5" width="24.81640625" style="10" customWidth="1"/>
    <col min="6" max="6" width="23.08984375" style="10" customWidth="1"/>
    <col min="7" max="7" width="10.90625" style="10" customWidth="1"/>
    <col min="8" max="8" width="21.54296875" style="10" customWidth="1"/>
    <col min="9" max="9" width="21.6328125" style="10" bestFit="1" customWidth="1"/>
    <col min="10" max="16384" width="8.7265625" style="10"/>
  </cols>
  <sheetData>
    <row r="1" spans="1:7" ht="15.5" x14ac:dyDescent="0.35">
      <c r="A1" s="35" t="s">
        <v>30</v>
      </c>
    </row>
    <row r="2" spans="1:7" ht="18.5" x14ac:dyDescent="0.45">
      <c r="A2" s="35"/>
      <c r="B2" s="210" t="s">
        <v>179</v>
      </c>
      <c r="C2" s="210"/>
      <c r="D2" s="210"/>
      <c r="E2" s="210"/>
      <c r="F2" s="210"/>
    </row>
    <row r="4" spans="1:7" x14ac:dyDescent="0.35">
      <c r="C4" s="71" t="s">
        <v>167</v>
      </c>
      <c r="D4" s="71" t="s">
        <v>168</v>
      </c>
      <c r="E4" s="71" t="s">
        <v>169</v>
      </c>
    </row>
    <row r="5" spans="1:7" ht="14.5" hidden="1" customHeight="1" x14ac:dyDescent="0.35">
      <c r="C5" s="33" t="str">
        <f>INDEX(Control!$B$4:$B$305,MATCH(Doximity!C$6,Control!$C$4:$C$305,0))</f>
        <v>hcp_dox_del</v>
      </c>
      <c r="D5" s="33" t="str">
        <f>INDEX(Control!$B$4:$B$305,MATCH(Doximity!D$6,Control!$C$4:$C$305,0))</f>
        <v>hcp_dox_eng</v>
      </c>
      <c r="E5" s="33" t="str">
        <f>INDEX(Control!$B$4:$B$305,MATCH(Doximity!E$6,Control!$C$4:$C$305,0))</f>
        <v>hcp_dox_clkd</v>
      </c>
      <c r="F5" s="33"/>
    </row>
    <row r="6" spans="1:7" x14ac:dyDescent="0.35">
      <c r="B6" s="22" t="s">
        <v>3</v>
      </c>
      <c r="C6" s="22" t="s">
        <v>153</v>
      </c>
      <c r="D6" s="22" t="s">
        <v>154</v>
      </c>
      <c r="E6" s="22" t="s">
        <v>152</v>
      </c>
      <c r="F6" s="22" t="s">
        <v>165</v>
      </c>
    </row>
    <row r="7" spans="1:7" x14ac:dyDescent="0.35">
      <c r="B7" s="23" cm="1">
        <f t="array" ref="B7:B30">'Trend Charts New'!C$11:C$34</f>
        <v>44228</v>
      </c>
      <c r="C7" s="34">
        <f>_xlfn.IFNA(INDEX('Raw Data'!$D$3:$KZ$42,MATCH(Doximity!$B7,'Raw Data'!$B$3:$B$42,0),MATCH(Doximity!C$5,'Raw Data'!$D$2:$KZ$2,0)),0)</f>
        <v>0</v>
      </c>
      <c r="D7" s="34">
        <f>_xlfn.IFNA(INDEX('Raw Data'!$D$3:$KZ$42,MATCH(Doximity!$B7,'Raw Data'!$B$3:$B$42,0),MATCH(Doximity!D$5,'Raw Data'!$D$2:$KZ$2,0)),0)</f>
        <v>0</v>
      </c>
      <c r="E7" s="34">
        <f>_xlfn.IFNA(INDEX('Raw Data'!$D$3:$KZ$42,MATCH(Doximity!$B7,'Raw Data'!$B$3:$B$42,0),MATCH(Doximity!E$5,'Raw Data'!$D$2:$KZ$2,0)),0)</f>
        <v>0</v>
      </c>
      <c r="F7" s="51">
        <f>IFERROR(D7/C7*100,0)</f>
        <v>0</v>
      </c>
    </row>
    <row r="8" spans="1:7" x14ac:dyDescent="0.35">
      <c r="B8" s="23">
        <v>44256</v>
      </c>
      <c r="C8" s="34">
        <f>_xlfn.IFNA(INDEX('Raw Data'!$D$3:$KZ$42,MATCH(Doximity!$B8,'Raw Data'!$B$3:$B$42,0),MATCH(Doximity!C$5,'Raw Data'!$D$2:$KZ$2,0)),0)</f>
        <v>1262</v>
      </c>
      <c r="D8" s="34">
        <f>_xlfn.IFNA(INDEX('Raw Data'!$D$3:$KZ$42,MATCH(Doximity!$B8,'Raw Data'!$B$3:$B$42,0),MATCH(Doximity!D$5,'Raw Data'!$D$2:$KZ$2,0)),0)</f>
        <v>595</v>
      </c>
      <c r="E8" s="34">
        <f>_xlfn.IFNA(INDEX('Raw Data'!$D$3:$KZ$42,MATCH(Doximity!$B8,'Raw Data'!$B$3:$B$42,0),MATCH(Doximity!E$5,'Raw Data'!$D$2:$KZ$2,0)),0)</f>
        <v>2</v>
      </c>
      <c r="F8" s="51">
        <f t="shared" ref="F8:F30" si="0">IFERROR(D8/C8*100,0)</f>
        <v>47.147385103011089</v>
      </c>
      <c r="G8" s="57"/>
    </row>
    <row r="9" spans="1:7" x14ac:dyDescent="0.35">
      <c r="B9" s="23">
        <v>44287</v>
      </c>
      <c r="C9" s="34">
        <f>_xlfn.IFNA(INDEX('Raw Data'!$D$3:$KZ$42,MATCH(Doximity!$B9,'Raw Data'!$B$3:$B$42,0),MATCH(Doximity!C$5,'Raw Data'!$D$2:$KZ$2,0)),0)</f>
        <v>2512</v>
      </c>
      <c r="D9" s="34">
        <f>_xlfn.IFNA(INDEX('Raw Data'!$D$3:$KZ$42,MATCH(Doximity!$B9,'Raw Data'!$B$3:$B$42,0),MATCH(Doximity!D$5,'Raw Data'!$D$2:$KZ$2,0)),0)</f>
        <v>1445</v>
      </c>
      <c r="E9" s="34">
        <f>_xlfn.IFNA(INDEX('Raw Data'!$D$3:$KZ$42,MATCH(Doximity!$B9,'Raw Data'!$B$3:$B$42,0),MATCH(Doximity!E$5,'Raw Data'!$D$2:$KZ$2,0)),0)</f>
        <v>1</v>
      </c>
      <c r="F9" s="51">
        <f t="shared" si="0"/>
        <v>57.523885350318473</v>
      </c>
    </row>
    <row r="10" spans="1:7" x14ac:dyDescent="0.35">
      <c r="B10" s="23">
        <v>44317</v>
      </c>
      <c r="C10" s="34">
        <f>_xlfn.IFNA(INDEX('Raw Data'!$D$3:$KZ$42,MATCH(Doximity!$B10,'Raw Data'!$B$3:$B$42,0),MATCH(Doximity!C$5,'Raw Data'!$D$2:$KZ$2,0)),0)</f>
        <v>2185</v>
      </c>
      <c r="D10" s="34">
        <f>_xlfn.IFNA(INDEX('Raw Data'!$D$3:$KZ$42,MATCH(Doximity!$B10,'Raw Data'!$B$3:$B$42,0),MATCH(Doximity!D$5,'Raw Data'!$D$2:$KZ$2,0)),0)</f>
        <v>1413</v>
      </c>
      <c r="E10" s="34">
        <f>_xlfn.IFNA(INDEX('Raw Data'!$D$3:$KZ$42,MATCH(Doximity!$B10,'Raw Data'!$B$3:$B$42,0),MATCH(Doximity!E$5,'Raw Data'!$D$2:$KZ$2,0)),0)</f>
        <v>1</v>
      </c>
      <c r="F10" s="51">
        <f t="shared" si="0"/>
        <v>64.668192219679639</v>
      </c>
    </row>
    <row r="11" spans="1:7" x14ac:dyDescent="0.35">
      <c r="B11" s="23">
        <v>44348</v>
      </c>
      <c r="C11" s="34">
        <f>_xlfn.IFNA(INDEX('Raw Data'!$D$3:$KZ$42,MATCH(Doximity!$B11,'Raw Data'!$B$3:$B$42,0),MATCH(Doximity!C$5,'Raw Data'!$D$2:$KZ$2,0)),0)</f>
        <v>642</v>
      </c>
      <c r="D11" s="34">
        <f>_xlfn.IFNA(INDEX('Raw Data'!$D$3:$KZ$42,MATCH(Doximity!$B11,'Raw Data'!$B$3:$B$42,0),MATCH(Doximity!D$5,'Raw Data'!$D$2:$KZ$2,0)),0)</f>
        <v>321</v>
      </c>
      <c r="E11" s="34">
        <f>_xlfn.IFNA(INDEX('Raw Data'!$D$3:$KZ$42,MATCH(Doximity!$B11,'Raw Data'!$B$3:$B$42,0),MATCH(Doximity!E$5,'Raw Data'!$D$2:$KZ$2,0)),0)</f>
        <v>0</v>
      </c>
      <c r="F11" s="51">
        <f t="shared" si="0"/>
        <v>50</v>
      </c>
    </row>
    <row r="12" spans="1:7" x14ac:dyDescent="0.35">
      <c r="B12" s="23">
        <v>44378</v>
      </c>
      <c r="C12" s="34">
        <f>_xlfn.IFNA(INDEX('Raw Data'!$D$3:$KZ$42,MATCH(Doximity!$B12,'Raw Data'!$B$3:$B$42,0),MATCH(Doximity!C$5,'Raw Data'!$D$2:$KZ$2,0)),0)</f>
        <v>1372</v>
      </c>
      <c r="D12" s="34">
        <f>_xlfn.IFNA(INDEX('Raw Data'!$D$3:$KZ$42,MATCH(Doximity!$B12,'Raw Data'!$B$3:$B$42,0),MATCH(Doximity!D$5,'Raw Data'!$D$2:$KZ$2,0)),0)</f>
        <v>869</v>
      </c>
      <c r="E12" s="34">
        <f>_xlfn.IFNA(INDEX('Raw Data'!$D$3:$KZ$42,MATCH(Doximity!$B12,'Raw Data'!$B$3:$B$42,0),MATCH(Doximity!E$5,'Raw Data'!$D$2:$KZ$2,0)),0)</f>
        <v>1</v>
      </c>
      <c r="F12" s="51">
        <f t="shared" si="0"/>
        <v>63.33819241982507</v>
      </c>
    </row>
    <row r="13" spans="1:7" x14ac:dyDescent="0.35">
      <c r="B13" s="23">
        <v>44409</v>
      </c>
      <c r="C13" s="34">
        <f>_xlfn.IFNA(INDEX('Raw Data'!$D$3:$KZ$42,MATCH(Doximity!$B13,'Raw Data'!$B$3:$B$42,0),MATCH(Doximity!C$5,'Raw Data'!$D$2:$KZ$2,0)),0)</f>
        <v>2490</v>
      </c>
      <c r="D13" s="34">
        <f>_xlfn.IFNA(INDEX('Raw Data'!$D$3:$KZ$42,MATCH(Doximity!$B13,'Raw Data'!$B$3:$B$42,0),MATCH(Doximity!D$5,'Raw Data'!$D$2:$KZ$2,0)),0)</f>
        <v>1501</v>
      </c>
      <c r="E13" s="34">
        <f>_xlfn.IFNA(INDEX('Raw Data'!$D$3:$KZ$42,MATCH(Doximity!$B13,'Raw Data'!$B$3:$B$42,0),MATCH(Doximity!E$5,'Raw Data'!$D$2:$KZ$2,0)),0)</f>
        <v>3</v>
      </c>
      <c r="F13" s="51">
        <f t="shared" si="0"/>
        <v>60.281124497991968</v>
      </c>
    </row>
    <row r="14" spans="1:7" x14ac:dyDescent="0.35">
      <c r="B14" s="23">
        <v>44440</v>
      </c>
      <c r="C14" s="34">
        <f>_xlfn.IFNA(INDEX('Raw Data'!$D$3:$KZ$42,MATCH(Doximity!$B14,'Raw Data'!$B$3:$B$42,0),MATCH(Doximity!C$5,'Raw Data'!$D$2:$KZ$2,0)),0)</f>
        <v>1781</v>
      </c>
      <c r="D14" s="34">
        <f>_xlfn.IFNA(INDEX('Raw Data'!$D$3:$KZ$42,MATCH(Doximity!$B14,'Raw Data'!$B$3:$B$42,0),MATCH(Doximity!D$5,'Raw Data'!$D$2:$KZ$2,0)),0)</f>
        <v>1015</v>
      </c>
      <c r="E14" s="34">
        <f>_xlfn.IFNA(INDEX('Raw Data'!$D$3:$KZ$42,MATCH(Doximity!$B14,'Raw Data'!$B$3:$B$42,0),MATCH(Doximity!E$5,'Raw Data'!$D$2:$KZ$2,0)),0)</f>
        <v>2</v>
      </c>
      <c r="F14" s="51">
        <f t="shared" si="0"/>
        <v>56.990454800673774</v>
      </c>
    </row>
    <row r="15" spans="1:7" x14ac:dyDescent="0.35">
      <c r="B15" s="23">
        <v>44470</v>
      </c>
      <c r="C15" s="34">
        <f>_xlfn.IFNA(INDEX('Raw Data'!$D$3:$KZ$42,MATCH(Doximity!$B15,'Raw Data'!$B$3:$B$42,0),MATCH(Doximity!C$5,'Raw Data'!$D$2:$KZ$2,0)),0)</f>
        <v>552</v>
      </c>
      <c r="D15" s="34">
        <f>_xlfn.IFNA(INDEX('Raw Data'!$D$3:$KZ$42,MATCH(Doximity!$B15,'Raw Data'!$B$3:$B$42,0),MATCH(Doximity!D$5,'Raw Data'!$D$2:$KZ$2,0)),0)</f>
        <v>303</v>
      </c>
      <c r="E15" s="34">
        <f>_xlfn.IFNA(INDEX('Raw Data'!$D$3:$KZ$42,MATCH(Doximity!$B15,'Raw Data'!$B$3:$B$42,0),MATCH(Doximity!E$5,'Raw Data'!$D$2:$KZ$2,0)),0)</f>
        <v>0</v>
      </c>
      <c r="F15" s="51">
        <f t="shared" si="0"/>
        <v>54.891304347826086</v>
      </c>
    </row>
    <row r="16" spans="1:7" x14ac:dyDescent="0.35">
      <c r="B16" s="23">
        <v>44501</v>
      </c>
      <c r="C16" s="34">
        <f>_xlfn.IFNA(INDEX('Raw Data'!$D$3:$KZ$42,MATCH(Doximity!$B16,'Raw Data'!$B$3:$B$42,0),MATCH(Doximity!C$5,'Raw Data'!$D$2:$KZ$2,0)),0)</f>
        <v>1296</v>
      </c>
      <c r="D16" s="34">
        <f>_xlfn.IFNA(INDEX('Raw Data'!$D$3:$KZ$42,MATCH(Doximity!$B16,'Raw Data'!$B$3:$B$42,0),MATCH(Doximity!D$5,'Raw Data'!$D$2:$KZ$2,0)),0)</f>
        <v>810</v>
      </c>
      <c r="E16" s="34">
        <f>_xlfn.IFNA(INDEX('Raw Data'!$D$3:$KZ$42,MATCH(Doximity!$B16,'Raw Data'!$B$3:$B$42,0),MATCH(Doximity!E$5,'Raw Data'!$D$2:$KZ$2,0)),0)</f>
        <v>1</v>
      </c>
      <c r="F16" s="51">
        <f t="shared" si="0"/>
        <v>62.5</v>
      </c>
    </row>
    <row r="17" spans="2:8" x14ac:dyDescent="0.35">
      <c r="B17" s="23">
        <v>44531</v>
      </c>
      <c r="C17" s="34">
        <f>_xlfn.IFNA(INDEX('Raw Data'!$D$3:$KZ$42,MATCH(Doximity!$B17,'Raw Data'!$B$3:$B$42,0),MATCH(Doximity!C$5,'Raw Data'!$D$2:$KZ$2,0)),0)</f>
        <v>1624</v>
      </c>
      <c r="D17" s="34">
        <f>_xlfn.IFNA(INDEX('Raw Data'!$D$3:$KZ$42,MATCH(Doximity!$B17,'Raw Data'!$B$3:$B$42,0),MATCH(Doximity!D$5,'Raw Data'!$D$2:$KZ$2,0)),0)</f>
        <v>1111</v>
      </c>
      <c r="E17" s="34">
        <f>_xlfn.IFNA(INDEX('Raw Data'!$D$3:$KZ$42,MATCH(Doximity!$B17,'Raw Data'!$B$3:$B$42,0),MATCH(Doximity!E$5,'Raw Data'!$D$2:$KZ$2,0)),0)</f>
        <v>1</v>
      </c>
      <c r="F17" s="51">
        <f t="shared" si="0"/>
        <v>68.411330049261082</v>
      </c>
    </row>
    <row r="18" spans="2:8" x14ac:dyDescent="0.35">
      <c r="B18" s="23">
        <v>44562</v>
      </c>
      <c r="C18" s="34">
        <f>_xlfn.IFNA(INDEX('Raw Data'!$D$3:$KZ$42,MATCH(Doximity!$B18,'Raw Data'!$B$3:$B$42,0),MATCH(Doximity!C$5,'Raw Data'!$D$2:$KZ$2,0)),0)</f>
        <v>1543</v>
      </c>
      <c r="D18" s="34">
        <f>_xlfn.IFNA(INDEX('Raw Data'!$D$3:$KZ$42,MATCH(Doximity!$B18,'Raw Data'!$B$3:$B$42,0),MATCH(Doximity!D$5,'Raw Data'!$D$2:$KZ$2,0)),0)</f>
        <v>1002</v>
      </c>
      <c r="E18" s="34">
        <f>_xlfn.IFNA(INDEX('Raw Data'!$D$3:$KZ$42,MATCH(Doximity!$B18,'Raw Data'!$B$3:$B$42,0),MATCH(Doximity!E$5,'Raw Data'!$D$2:$KZ$2,0)),0)</f>
        <v>0</v>
      </c>
      <c r="F18" s="51">
        <f t="shared" si="0"/>
        <v>64.938431626701231</v>
      </c>
    </row>
    <row r="19" spans="2:8" x14ac:dyDescent="0.35">
      <c r="B19" s="23">
        <v>44593</v>
      </c>
      <c r="C19" s="34">
        <f>_xlfn.IFNA(INDEX('Raw Data'!$D$3:$KZ$42,MATCH(Doximity!$B19,'Raw Data'!$B$3:$B$42,0),MATCH(Doximity!C$5,'Raw Data'!$D$2:$KZ$2,0)),0)</f>
        <v>11</v>
      </c>
      <c r="D19" s="34">
        <f>_xlfn.IFNA(INDEX('Raw Data'!$D$3:$KZ$42,MATCH(Doximity!$B19,'Raw Data'!$B$3:$B$42,0),MATCH(Doximity!D$5,'Raw Data'!$D$2:$KZ$2,0)),0)</f>
        <v>5</v>
      </c>
      <c r="E19" s="34">
        <f>_xlfn.IFNA(INDEX('Raw Data'!$D$3:$KZ$42,MATCH(Doximity!$B19,'Raw Data'!$B$3:$B$42,0),MATCH(Doximity!E$5,'Raw Data'!$D$2:$KZ$2,0)),0)</f>
        <v>0</v>
      </c>
      <c r="F19" s="51">
        <f t="shared" si="0"/>
        <v>45.454545454545453</v>
      </c>
    </row>
    <row r="20" spans="2:8" x14ac:dyDescent="0.35">
      <c r="B20" s="23">
        <v>44621</v>
      </c>
      <c r="C20" s="34">
        <f>_xlfn.IFNA(INDEX('Raw Data'!$D$3:$KZ$42,MATCH(Doximity!$B20,'Raw Data'!$B$3:$B$42,0),MATCH(Doximity!C$5,'Raw Data'!$D$2:$KZ$2,0)),0)</f>
        <v>0</v>
      </c>
      <c r="D20" s="34">
        <f>_xlfn.IFNA(INDEX('Raw Data'!$D$3:$KZ$42,MATCH(Doximity!$B20,'Raw Data'!$B$3:$B$42,0),MATCH(Doximity!D$5,'Raw Data'!$D$2:$KZ$2,0)),0)</f>
        <v>0</v>
      </c>
      <c r="E20" s="34">
        <f>_xlfn.IFNA(INDEX('Raw Data'!$D$3:$KZ$42,MATCH(Doximity!$B20,'Raw Data'!$B$3:$B$42,0),MATCH(Doximity!E$5,'Raw Data'!$D$2:$KZ$2,0)),0)</f>
        <v>0</v>
      </c>
      <c r="F20" s="51">
        <f t="shared" si="0"/>
        <v>0</v>
      </c>
    </row>
    <row r="21" spans="2:8" x14ac:dyDescent="0.35">
      <c r="B21" s="23">
        <v>44652</v>
      </c>
      <c r="C21" s="34">
        <f>_xlfn.IFNA(INDEX('Raw Data'!$D$3:$KZ$42,MATCH(Doximity!$B21,'Raw Data'!$B$3:$B$42,0),MATCH(Doximity!C$5,'Raw Data'!$D$2:$KZ$2,0)),0)</f>
        <v>603</v>
      </c>
      <c r="D21" s="34">
        <f>_xlfn.IFNA(INDEX('Raw Data'!$D$3:$KZ$42,MATCH(Doximity!$B21,'Raw Data'!$B$3:$B$42,0),MATCH(Doximity!D$5,'Raw Data'!$D$2:$KZ$2,0)),0)</f>
        <v>379</v>
      </c>
      <c r="E21" s="34">
        <f>_xlfn.IFNA(INDEX('Raw Data'!$D$3:$KZ$42,MATCH(Doximity!$B21,'Raw Data'!$B$3:$B$42,0),MATCH(Doximity!E$5,'Raw Data'!$D$2:$KZ$2,0)),0)</f>
        <v>0</v>
      </c>
      <c r="F21" s="51">
        <f t="shared" si="0"/>
        <v>62.852404643449425</v>
      </c>
    </row>
    <row r="22" spans="2:8" x14ac:dyDescent="0.35">
      <c r="B22" s="23">
        <v>44682</v>
      </c>
      <c r="C22" s="34">
        <f>_xlfn.IFNA(INDEX('Raw Data'!$D$3:$KZ$42,MATCH(Doximity!$B22,'Raw Data'!$B$3:$B$42,0),MATCH(Doximity!C$5,'Raw Data'!$D$2:$KZ$2,0)),0)</f>
        <v>60</v>
      </c>
      <c r="D22" s="34">
        <f>_xlfn.IFNA(INDEX('Raw Data'!$D$3:$KZ$42,MATCH(Doximity!$B22,'Raw Data'!$B$3:$B$42,0),MATCH(Doximity!D$5,'Raw Data'!$D$2:$KZ$2,0)),0)</f>
        <v>37</v>
      </c>
      <c r="E22" s="34">
        <f>_xlfn.IFNA(INDEX('Raw Data'!$D$3:$KZ$42,MATCH(Doximity!$B22,'Raw Data'!$B$3:$B$42,0),MATCH(Doximity!E$5,'Raw Data'!$D$2:$KZ$2,0)),0)</f>
        <v>0</v>
      </c>
      <c r="F22" s="51">
        <f t="shared" si="0"/>
        <v>61.666666666666671</v>
      </c>
    </row>
    <row r="23" spans="2:8" x14ac:dyDescent="0.35">
      <c r="B23" s="23">
        <v>44713</v>
      </c>
      <c r="C23" s="34">
        <f>_xlfn.IFNA(INDEX('Raw Data'!$D$3:$KZ$42,MATCH(Doximity!$B23,'Raw Data'!$B$3:$B$42,0),MATCH(Doximity!C$5,'Raw Data'!$D$2:$KZ$2,0)),0)</f>
        <v>0</v>
      </c>
      <c r="D23" s="34">
        <f>_xlfn.IFNA(INDEX('Raw Data'!$D$3:$KZ$42,MATCH(Doximity!$B23,'Raw Data'!$B$3:$B$42,0),MATCH(Doximity!D$5,'Raw Data'!$D$2:$KZ$2,0)),0)</f>
        <v>0</v>
      </c>
      <c r="E23" s="34">
        <f>_xlfn.IFNA(INDEX('Raw Data'!$D$3:$KZ$42,MATCH(Doximity!$B23,'Raw Data'!$B$3:$B$42,0),MATCH(Doximity!E$5,'Raw Data'!$D$2:$KZ$2,0)),0)</f>
        <v>0</v>
      </c>
      <c r="F23" s="51">
        <f t="shared" si="0"/>
        <v>0</v>
      </c>
    </row>
    <row r="24" spans="2:8" x14ac:dyDescent="0.35">
      <c r="B24" s="23">
        <v>44743</v>
      </c>
      <c r="C24" s="34">
        <f>_xlfn.IFNA(INDEX('Raw Data'!$D$3:$KZ$42,MATCH(Doximity!$B24,'Raw Data'!$B$3:$B$42,0),MATCH(Doximity!C$5,'Raw Data'!$D$2:$KZ$2,0)),0)</f>
        <v>664</v>
      </c>
      <c r="D24" s="34">
        <f>_xlfn.IFNA(INDEX('Raw Data'!$D$3:$KZ$42,MATCH(Doximity!$B24,'Raw Data'!$B$3:$B$42,0),MATCH(Doximity!D$5,'Raw Data'!$D$2:$KZ$2,0)),0)</f>
        <v>452</v>
      </c>
      <c r="E24" s="34">
        <f>_xlfn.IFNA(INDEX('Raw Data'!$D$3:$KZ$42,MATCH(Doximity!$B24,'Raw Data'!$B$3:$B$42,0),MATCH(Doximity!E$5,'Raw Data'!$D$2:$KZ$2,0)),0)</f>
        <v>0</v>
      </c>
      <c r="F24" s="51">
        <f t="shared" si="0"/>
        <v>68.07228915662651</v>
      </c>
    </row>
    <row r="25" spans="2:8" x14ac:dyDescent="0.35">
      <c r="B25" s="23">
        <v>44774</v>
      </c>
      <c r="C25" s="34">
        <f>_xlfn.IFNA(INDEX('Raw Data'!$D$3:$KZ$42,MATCH(Doximity!$B25,'Raw Data'!$B$3:$B$42,0),MATCH(Doximity!C$5,'Raw Data'!$D$2:$KZ$2,0)),0)</f>
        <v>427</v>
      </c>
      <c r="D25" s="34">
        <f>_xlfn.IFNA(INDEX('Raw Data'!$D$3:$KZ$42,MATCH(Doximity!$B25,'Raw Data'!$B$3:$B$42,0),MATCH(Doximity!D$5,'Raw Data'!$D$2:$KZ$2,0)),0)</f>
        <v>268</v>
      </c>
      <c r="E25" s="34">
        <f>_xlfn.IFNA(INDEX('Raw Data'!$D$3:$KZ$42,MATCH(Doximity!$B25,'Raw Data'!$B$3:$B$42,0),MATCH(Doximity!E$5,'Raw Data'!$D$2:$KZ$2,0)),0)</f>
        <v>0</v>
      </c>
      <c r="F25" s="51">
        <f t="shared" si="0"/>
        <v>62.763466042154569</v>
      </c>
    </row>
    <row r="26" spans="2:8" x14ac:dyDescent="0.35">
      <c r="B26" s="23">
        <v>44805</v>
      </c>
      <c r="C26" s="34">
        <f>_xlfn.IFNA(INDEX('Raw Data'!$D$3:$KZ$42,MATCH(Doximity!$B26,'Raw Data'!$B$3:$B$42,0),MATCH(Doximity!C$5,'Raw Data'!$D$2:$KZ$2,0)),0)</f>
        <v>302</v>
      </c>
      <c r="D26" s="34">
        <f>_xlfn.IFNA(INDEX('Raw Data'!$D$3:$KZ$42,MATCH(Doximity!$B26,'Raw Data'!$B$3:$B$42,0),MATCH(Doximity!D$5,'Raw Data'!$D$2:$KZ$2,0)),0)</f>
        <v>165</v>
      </c>
      <c r="E26" s="34">
        <f>_xlfn.IFNA(INDEX('Raw Data'!$D$3:$KZ$42,MATCH(Doximity!$B26,'Raw Data'!$B$3:$B$42,0),MATCH(Doximity!E$5,'Raw Data'!$D$2:$KZ$2,0)),0)</f>
        <v>0</v>
      </c>
      <c r="F26" s="51">
        <f t="shared" si="0"/>
        <v>54.635761589403977</v>
      </c>
    </row>
    <row r="27" spans="2:8" x14ac:dyDescent="0.35">
      <c r="B27" s="23">
        <v>44835</v>
      </c>
      <c r="C27" s="34">
        <f>_xlfn.IFNA(INDEX('Raw Data'!$D$3:$KZ$42,MATCH(Doximity!$B27,'Raw Data'!$B$3:$B$42,0),MATCH(Doximity!C$5,'Raw Data'!$D$2:$KZ$2,0)),0)</f>
        <v>716</v>
      </c>
      <c r="D27" s="34">
        <f>_xlfn.IFNA(INDEX('Raw Data'!$D$3:$KZ$42,MATCH(Doximity!$B27,'Raw Data'!$B$3:$B$42,0),MATCH(Doximity!D$5,'Raw Data'!$D$2:$KZ$2,0)),0)</f>
        <v>530</v>
      </c>
      <c r="E27" s="34">
        <f>_xlfn.IFNA(INDEX('Raw Data'!$D$3:$KZ$42,MATCH(Doximity!$B27,'Raw Data'!$B$3:$B$42,0),MATCH(Doximity!E$5,'Raw Data'!$D$2:$KZ$2,0)),0)</f>
        <v>0</v>
      </c>
      <c r="F27" s="51">
        <f t="shared" si="0"/>
        <v>74.022346368715091</v>
      </c>
    </row>
    <row r="28" spans="2:8" x14ac:dyDescent="0.35">
      <c r="B28" s="23">
        <v>44866</v>
      </c>
      <c r="C28" s="34">
        <f>_xlfn.IFNA(INDEX('Raw Data'!$D$3:$KZ$42,MATCH(Doximity!$B28,'Raw Data'!$B$3:$B$42,0),MATCH(Doximity!C$5,'Raw Data'!$D$2:$KZ$2,0)),0)</f>
        <v>617</v>
      </c>
      <c r="D28" s="34">
        <f>_xlfn.IFNA(INDEX('Raw Data'!$D$3:$KZ$42,MATCH(Doximity!$B28,'Raw Data'!$B$3:$B$42,0),MATCH(Doximity!D$5,'Raw Data'!$D$2:$KZ$2,0)),0)</f>
        <v>447</v>
      </c>
      <c r="E28" s="34">
        <f>_xlfn.IFNA(INDEX('Raw Data'!$D$3:$KZ$42,MATCH(Doximity!$B28,'Raw Data'!$B$3:$B$42,0),MATCH(Doximity!E$5,'Raw Data'!$D$2:$KZ$2,0)),0)</f>
        <v>0</v>
      </c>
      <c r="F28" s="51">
        <f t="shared" si="0"/>
        <v>72.447325769854132</v>
      </c>
    </row>
    <row r="29" spans="2:8" x14ac:dyDescent="0.35">
      <c r="B29" s="23">
        <v>44896</v>
      </c>
      <c r="C29" s="34">
        <f>_xlfn.IFNA(INDEX('Raw Data'!$D$3:$KZ$42,MATCH(Doximity!$B29,'Raw Data'!$B$3:$B$42,0),MATCH(Doximity!C$5,'Raw Data'!$D$2:$KZ$2,0)),0)</f>
        <v>169</v>
      </c>
      <c r="D29" s="34">
        <f>_xlfn.IFNA(INDEX('Raw Data'!$D$3:$KZ$42,MATCH(Doximity!$B29,'Raw Data'!$B$3:$B$42,0),MATCH(Doximity!D$5,'Raw Data'!$D$2:$KZ$2,0)),0)</f>
        <v>99</v>
      </c>
      <c r="E29" s="34">
        <f>_xlfn.IFNA(INDEX('Raw Data'!$D$3:$KZ$42,MATCH(Doximity!$B29,'Raw Data'!$B$3:$B$42,0),MATCH(Doximity!E$5,'Raw Data'!$D$2:$KZ$2,0)),0)</f>
        <v>0</v>
      </c>
      <c r="F29" s="51">
        <f t="shared" si="0"/>
        <v>58.57988165680473</v>
      </c>
    </row>
    <row r="30" spans="2:8" x14ac:dyDescent="0.35">
      <c r="B30" s="23">
        <v>44927</v>
      </c>
      <c r="C30" s="34">
        <f>_xlfn.IFNA(INDEX('Raw Data'!$D$3:$KZ$42,MATCH(Doximity!$B30,'Raw Data'!$B$3:$B$42,0),MATCH(Doximity!C$5,'Raw Data'!$D$2:$KZ$2,0)),0)</f>
        <v>0</v>
      </c>
      <c r="D30" s="34">
        <f>_xlfn.IFNA(INDEX('Raw Data'!$D$3:$KZ$42,MATCH(Doximity!$B30,'Raw Data'!$B$3:$B$42,0),MATCH(Doximity!D$5,'Raw Data'!$D$2:$KZ$2,0)),0)</f>
        <v>0</v>
      </c>
      <c r="E30" s="34">
        <f>_xlfn.IFNA(INDEX('Raw Data'!$D$3:$KZ$42,MATCH(Doximity!$B30,'Raw Data'!$B$3:$B$42,0),MATCH(Doximity!E$5,'Raw Data'!$D$2:$KZ$2,0)),0)</f>
        <v>0</v>
      </c>
      <c r="F30" s="51">
        <f t="shared" si="0"/>
        <v>0</v>
      </c>
    </row>
    <row r="31" spans="2:8" ht="15.5" x14ac:dyDescent="0.35">
      <c r="H31" s="38" t="s">
        <v>299</v>
      </c>
    </row>
    <row r="32" spans="2:8" x14ac:dyDescent="0.35">
      <c r="H32" s="79" t="s">
        <v>321</v>
      </c>
    </row>
    <row r="33" spans="2:9" x14ac:dyDescent="0.35">
      <c r="H33" s="36"/>
    </row>
    <row r="35" spans="2:9" x14ac:dyDescent="0.35">
      <c r="B35" s="55"/>
      <c r="C35" s="212" t="s">
        <v>177</v>
      </c>
      <c r="D35" s="213"/>
      <c r="E35" s="213"/>
      <c r="F35" s="214"/>
    </row>
    <row r="36" spans="2:9" x14ac:dyDescent="0.35">
      <c r="B36" s="31" t="s">
        <v>293</v>
      </c>
      <c r="C36" s="60">
        <f>IFERROR(AVERAGE(C9:C20),"-")</f>
        <v>1334</v>
      </c>
      <c r="D36" s="60">
        <f t="shared" ref="D36:F36" si="1">IFERROR(AVERAGE(D9:D20),"-")</f>
        <v>816.25</v>
      </c>
      <c r="E36" s="60">
        <f t="shared" si="1"/>
        <v>0.83333333333333337</v>
      </c>
      <c r="F36" s="72">
        <f t="shared" si="1"/>
        <v>54.083121730568564</v>
      </c>
    </row>
    <row r="37" spans="2:9" x14ac:dyDescent="0.35">
      <c r="B37" s="31" t="s">
        <v>316</v>
      </c>
      <c r="C37" s="42">
        <f>IFERROR(AVERAGE(C18:C29),"-")</f>
        <v>426</v>
      </c>
      <c r="D37" s="42">
        <f t="shared" ref="D37:F37" si="2">IFERROR(AVERAGE(D18:D29),"-")</f>
        <v>282</v>
      </c>
      <c r="E37" s="42">
        <f t="shared" si="2"/>
        <v>0</v>
      </c>
      <c r="F37" s="73">
        <f t="shared" si="2"/>
        <v>52.119426581243488</v>
      </c>
    </row>
    <row r="38" spans="2:9" x14ac:dyDescent="0.35">
      <c r="B38" s="31" t="s">
        <v>178</v>
      </c>
      <c r="C38" s="59">
        <f>IFERROR(C37/C36-1,"-")</f>
        <v>-0.68065967016491746</v>
      </c>
      <c r="D38" s="59">
        <f t="shared" ref="D38:F38" si="3">IFERROR(D37/D36-1,"-")</f>
        <v>-0.65451761102603367</v>
      </c>
      <c r="E38" s="59">
        <f t="shared" si="3"/>
        <v>-1</v>
      </c>
      <c r="F38" s="59">
        <f t="shared" si="3"/>
        <v>-3.630883511325067E-2</v>
      </c>
    </row>
    <row r="39" spans="2:9" x14ac:dyDescent="0.35">
      <c r="D39" s="94">
        <f>SUM(D18:D29)</f>
        <v>3384</v>
      </c>
    </row>
    <row r="43" spans="2:9" x14ac:dyDescent="0.35">
      <c r="B43" s="71" t="s">
        <v>204</v>
      </c>
      <c r="C43" s="71" t="s">
        <v>205</v>
      </c>
      <c r="D43" s="71" t="s">
        <v>291</v>
      </c>
      <c r="E43" s="71" t="s">
        <v>208</v>
      </c>
      <c r="F43" s="71" t="s">
        <v>292</v>
      </c>
      <c r="H43" s="71" t="s">
        <v>303</v>
      </c>
      <c r="I43" s="71" t="s">
        <v>314</v>
      </c>
    </row>
    <row r="44" spans="2:9" x14ac:dyDescent="0.35">
      <c r="B44" s="31" t="str">
        <f>UPPER(B2)</f>
        <v>DOXIMITY</v>
      </c>
      <c r="C44" s="31" t="str" cm="1">
        <f t="array" ref="C44">IFERROR(_xlfn.UNIQUE(_xlfn._xlws.FILTER('NPP Spends'!$D$3:$D$80,--ISNUMBER(SEARCH(Doximity!$B44,'NPP Spends'!$C$3:$C$80)))),"-")</f>
        <v>ALERT</v>
      </c>
      <c r="D44" s="31" t="str" cm="1">
        <f t="array" ref="D44:D59">IFERROR(_xlfn.UNIQUE(_xlfn._xlws.FILTER('NPP Spends'!$L$3:$L$80,--ISNUMBER(SEARCH(Doximity!$B44,'NPP Spends'!$C$3:$C$80)))),"-")</f>
        <v>Jul2021</v>
      </c>
      <c r="E44" s="42" cm="1">
        <f t="array" ref="E44:E59">IFERROR(_xlfn._xlws.FILTER('NPP Spends'!$G$3:$G$80,--ISNUMBER(SEARCH(Doximity!$B44,'NPP Spends'!$C$3:$C$80))),"-")</f>
        <v>1191</v>
      </c>
      <c r="F44" s="74" cm="1">
        <f t="array" ref="F44:F59">IFERROR(_xlfn._xlws.FILTER('NPP Spends'!$H$3:$H$80,--ISNUMBER(SEARCH(Doximity!$B44,'NPP Spends'!$C$3:$C$80))),"-")</f>
        <v>72750</v>
      </c>
      <c r="H44" s="74">
        <v>713949</v>
      </c>
      <c r="I44" s="74">
        <f>SUM(F50:F59)</f>
        <v>330189.50807136786</v>
      </c>
    </row>
    <row r="45" spans="2:9" x14ac:dyDescent="0.35">
      <c r="B45" s="31"/>
      <c r="C45" s="31"/>
      <c r="D45" s="31" t="str">
        <v>Aug2021</v>
      </c>
      <c r="E45" s="42">
        <v>0</v>
      </c>
      <c r="F45" s="74">
        <v>0</v>
      </c>
      <c r="I45" s="84">
        <f>I44/H44-1</f>
        <v>-0.53751667406023707</v>
      </c>
    </row>
    <row r="46" spans="2:9" x14ac:dyDescent="0.35">
      <c r="B46" s="31"/>
      <c r="C46" s="31"/>
      <c r="D46" s="31" t="str">
        <v>Sep2021</v>
      </c>
      <c r="E46" s="42">
        <v>1767</v>
      </c>
      <c r="F46" s="74">
        <v>105000</v>
      </c>
    </row>
    <row r="47" spans="2:9" x14ac:dyDescent="0.35">
      <c r="B47" s="31"/>
      <c r="C47" s="31"/>
      <c r="D47" s="31" t="str">
        <v>Oct2021</v>
      </c>
      <c r="E47" s="42">
        <v>1259</v>
      </c>
      <c r="F47" s="74">
        <v>90000</v>
      </c>
    </row>
    <row r="48" spans="2:9" x14ac:dyDescent="0.35">
      <c r="B48" s="31"/>
      <c r="C48" s="31"/>
      <c r="D48" s="31" t="str">
        <v>Nov2021</v>
      </c>
      <c r="E48" s="42">
        <v>0</v>
      </c>
      <c r="F48" s="74">
        <v>0</v>
      </c>
    </row>
    <row r="49" spans="2:6" x14ac:dyDescent="0.35">
      <c r="B49" s="31"/>
      <c r="C49" s="31"/>
      <c r="D49" s="31" t="str">
        <v>Dec2021</v>
      </c>
      <c r="E49" s="42">
        <v>2082</v>
      </c>
      <c r="F49" s="74">
        <v>138825</v>
      </c>
    </row>
    <row r="50" spans="2:6" x14ac:dyDescent="0.35">
      <c r="B50" s="31"/>
      <c r="C50" s="31"/>
      <c r="D50" s="31" t="str">
        <v>Jan2022</v>
      </c>
      <c r="E50" s="42">
        <v>1146</v>
      </c>
      <c r="F50" s="74">
        <v>113454</v>
      </c>
    </row>
    <row r="51" spans="2:6" x14ac:dyDescent="0.35">
      <c r="B51" s="31"/>
      <c r="C51" s="31"/>
      <c r="D51" s="31" t="str">
        <v>Feb2022</v>
      </c>
      <c r="E51" s="42">
        <v>5</v>
      </c>
      <c r="F51" s="74">
        <v>495</v>
      </c>
    </row>
    <row r="52" spans="2:6" x14ac:dyDescent="0.35">
      <c r="B52" s="31"/>
      <c r="C52" s="31"/>
      <c r="D52" s="31" t="str">
        <v>Apr2022</v>
      </c>
      <c r="E52" s="42">
        <v>379</v>
      </c>
      <c r="F52" s="74">
        <v>37521</v>
      </c>
    </row>
    <row r="53" spans="2:6" x14ac:dyDescent="0.35">
      <c r="B53" s="31"/>
      <c r="C53" s="31"/>
      <c r="D53" s="31" t="str">
        <v>May2022</v>
      </c>
      <c r="E53" s="42">
        <v>37</v>
      </c>
      <c r="F53" s="74">
        <v>3663</v>
      </c>
    </row>
    <row r="54" spans="2:6" x14ac:dyDescent="0.35">
      <c r="B54" s="31"/>
      <c r="C54" s="31"/>
      <c r="D54" s="31" t="str">
        <v>Jul2022</v>
      </c>
      <c r="E54" s="42">
        <v>0</v>
      </c>
      <c r="F54" s="74">
        <v>40858.76</v>
      </c>
    </row>
    <row r="55" spans="2:6" x14ac:dyDescent="0.35">
      <c r="B55" s="31"/>
      <c r="C55" s="31"/>
      <c r="D55" s="31" t="str">
        <v>Aug2022</v>
      </c>
      <c r="E55" s="42">
        <v>0</v>
      </c>
      <c r="F55" s="74">
        <v>24225.99</v>
      </c>
    </row>
    <row r="56" spans="2:6" x14ac:dyDescent="0.35">
      <c r="B56" s="31"/>
      <c r="C56" s="31"/>
      <c r="D56" s="31" t="str">
        <v>Sep2022</v>
      </c>
      <c r="E56" s="42">
        <v>0</v>
      </c>
      <c r="F56" s="74">
        <v>14915.25</v>
      </c>
    </row>
    <row r="57" spans="2:6" x14ac:dyDescent="0.35">
      <c r="B57" s="31"/>
      <c r="C57" s="31"/>
      <c r="D57" s="31" t="str">
        <v>Oct2022</v>
      </c>
      <c r="E57" s="42">
        <v>0</v>
      </c>
      <c r="F57" s="74">
        <v>46691.333899745114</v>
      </c>
    </row>
    <row r="58" spans="2:6" x14ac:dyDescent="0.35">
      <c r="B58" s="31"/>
      <c r="C58" s="31"/>
      <c r="D58" s="31" t="str">
        <v>Nov2022</v>
      </c>
      <c r="E58" s="42">
        <v>0</v>
      </c>
      <c r="F58" s="74">
        <v>39379.2948173322</v>
      </c>
    </row>
    <row r="59" spans="2:6" x14ac:dyDescent="0.35">
      <c r="B59" s="31"/>
      <c r="C59" s="31"/>
      <c r="D59" s="31" t="str">
        <v>Dec2022</v>
      </c>
      <c r="E59" s="42">
        <v>0</v>
      </c>
      <c r="F59" s="74">
        <v>8985.8793542905696</v>
      </c>
    </row>
    <row r="60" spans="2:6" x14ac:dyDescent="0.35">
      <c r="B60" s="49"/>
      <c r="C60" s="49"/>
      <c r="D60" s="49"/>
      <c r="E60" s="49"/>
      <c r="F60" s="49"/>
    </row>
    <row r="61" spans="2:6" x14ac:dyDescent="0.35">
      <c r="B61" s="49"/>
      <c r="C61" s="49"/>
      <c r="D61" s="49"/>
      <c r="E61" s="49"/>
      <c r="F61" s="49"/>
    </row>
    <row r="62" spans="2:6" x14ac:dyDescent="0.35">
      <c r="B62" s="49"/>
      <c r="C62" s="49"/>
      <c r="D62" s="49"/>
      <c r="E62" s="49"/>
      <c r="F62" s="49"/>
    </row>
    <row r="63" spans="2:6" x14ac:dyDescent="0.35">
      <c r="B63" s="49"/>
      <c r="C63" s="49"/>
      <c r="D63" s="49"/>
      <c r="E63" s="49"/>
      <c r="F63" s="49"/>
    </row>
    <row r="64" spans="2:6" x14ac:dyDescent="0.35">
      <c r="B64" s="49"/>
      <c r="C64" s="49"/>
      <c r="D64" s="49"/>
      <c r="E64" s="49"/>
      <c r="F64" s="49"/>
    </row>
    <row r="65" spans="2:6" x14ac:dyDescent="0.35">
      <c r="B65" s="49"/>
      <c r="C65" s="49"/>
      <c r="D65" s="49"/>
      <c r="E65" s="49"/>
      <c r="F65" s="49"/>
    </row>
  </sheetData>
  <mergeCells count="2">
    <mergeCell ref="B2:F2"/>
    <mergeCell ref="C35:F35"/>
  </mergeCells>
  <hyperlinks>
    <hyperlink ref="A1" location="Index!A1" display="Home" xr:uid="{93ABA91A-BE10-4A34-9E3D-28C5B35EE52A}"/>
  </hyperlinks>
  <pageMargins left="0.7" right="0.7" top="0.75" bottom="0.75" header="0.3" footer="0.3"/>
  <pageSetup paperSize="9" orientation="portrait" r:id="rId1"/>
  <headerFooter>
    <oddHeader>&amp;L&amp;"Calibri"&amp;12&amp;K8E6A00Confidential&amp;1#</oddHeader>
  </headerFooter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56FC28AE-0BB8-4C7D-90BF-091EF1631A39}">
          <x14:formula1>
            <xm:f>Control!$C$4:$C$305</xm:f>
          </x14:formula1>
          <xm:sqref>C6:E6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4D810-81CB-405F-A66D-8AD8A359E3A6}">
  <sheetPr codeName="Sheet6">
    <tabColor theme="9" tint="0.39997558519241921"/>
  </sheetPr>
  <dimension ref="A1:I65"/>
  <sheetViews>
    <sheetView zoomScale="55" zoomScaleNormal="55" workbookViewId="0">
      <selection activeCell="D7" sqref="D7:D30"/>
    </sheetView>
  </sheetViews>
  <sheetFormatPr defaultRowHeight="14.5" x14ac:dyDescent="0.35"/>
  <cols>
    <col min="1" max="1" width="9.08984375" style="10" customWidth="1"/>
    <col min="2" max="2" width="14" style="10" customWidth="1"/>
    <col min="3" max="3" width="23.26953125" style="10" customWidth="1"/>
    <col min="4" max="4" width="27.08984375" style="10" customWidth="1"/>
    <col min="5" max="5" width="23" style="10" customWidth="1"/>
    <col min="6" max="6" width="21.81640625" style="10" customWidth="1"/>
    <col min="7" max="7" width="8.90625" style="10" bestFit="1" customWidth="1"/>
    <col min="8" max="8" width="21.6328125" style="10" bestFit="1" customWidth="1"/>
    <col min="9" max="9" width="20.81640625" style="10" bestFit="1" customWidth="1"/>
    <col min="10" max="16384" width="8.7265625" style="10"/>
  </cols>
  <sheetData>
    <row r="1" spans="1:7" ht="15.5" x14ac:dyDescent="0.35">
      <c r="A1" s="35" t="s">
        <v>30</v>
      </c>
    </row>
    <row r="2" spans="1:7" ht="18.5" x14ac:dyDescent="0.45">
      <c r="A2" s="35"/>
      <c r="B2" s="210" t="s">
        <v>196</v>
      </c>
      <c r="C2" s="210"/>
      <c r="D2" s="210"/>
      <c r="E2" s="210"/>
      <c r="F2" s="210"/>
    </row>
    <row r="4" spans="1:7" x14ac:dyDescent="0.35">
      <c r="C4" s="71" t="s">
        <v>167</v>
      </c>
      <c r="D4" s="71" t="s">
        <v>168</v>
      </c>
      <c r="E4" s="71" t="s">
        <v>169</v>
      </c>
    </row>
    <row r="5" spans="1:7" ht="14.5" hidden="1" customHeight="1" x14ac:dyDescent="0.35">
      <c r="C5" s="33" t="str">
        <f>INDEX(Control!$B$4:$B$305,MATCH(Epocrates!C$6,Control!$C$4:$C$305,0))</f>
        <v>hcp_epoc_del</v>
      </c>
      <c r="D5" s="33" t="str">
        <f>INDEX(Control!$B$4:$B$305,MATCH(Epocrates!D$6,Control!$C$4:$C$305,0))</f>
        <v>hcp_epoc_eng</v>
      </c>
      <c r="E5" s="33" t="str">
        <f>INDEX(Control!$B$4:$B$305,MATCH(Epocrates!E$6,Control!$C$4:$C$305,0))</f>
        <v>hcp_epoc_clkd</v>
      </c>
      <c r="F5" s="33"/>
    </row>
    <row r="6" spans="1:7" x14ac:dyDescent="0.35">
      <c r="B6" s="22" t="s">
        <v>3</v>
      </c>
      <c r="C6" s="22" t="s">
        <v>180</v>
      </c>
      <c r="D6" s="22" t="s">
        <v>181</v>
      </c>
      <c r="E6" s="22" t="s">
        <v>182</v>
      </c>
      <c r="F6" s="22" t="s">
        <v>165</v>
      </c>
    </row>
    <row r="7" spans="1:7" x14ac:dyDescent="0.35">
      <c r="B7" s="23" cm="1">
        <f t="array" ref="B7:B30">'Trend Charts New'!C$11:C$34</f>
        <v>44228</v>
      </c>
      <c r="C7" s="34">
        <f>_xlfn.IFNA(INDEX('Raw Data'!$D$3:$KZ$42,MATCH(Epocrates!$B7,'Raw Data'!$B$3:$B$42,0),MATCH(Epocrates!C$5,'Raw Data'!$D$2:$KZ$2,0)),0)</f>
        <v>1142</v>
      </c>
      <c r="D7" s="34">
        <f>_xlfn.IFNA(INDEX('Raw Data'!$D$3:$KZ$42,MATCH(Epocrates!$B7,'Raw Data'!$B$3:$B$42,0),MATCH(Epocrates!D$5,'Raw Data'!$D$2:$KZ$2,0)),0)</f>
        <v>113</v>
      </c>
      <c r="E7" s="34">
        <f>_xlfn.IFNA(INDEX('Raw Data'!$D$3:$KZ$42,MATCH(Epocrates!$B7,'Raw Data'!$B$3:$B$42,0),MATCH(Epocrates!E$5,'Raw Data'!$D$2:$KZ$2,0)),0)</f>
        <v>0</v>
      </c>
      <c r="F7" s="51">
        <f>IFERROR(D7/C7*100,0)</f>
        <v>9.8949211908931698</v>
      </c>
    </row>
    <row r="8" spans="1:7" x14ac:dyDescent="0.35">
      <c r="B8" s="23">
        <v>44256</v>
      </c>
      <c r="C8" s="34">
        <f>_xlfn.IFNA(INDEX('Raw Data'!$D$3:$KZ$42,MATCH(Epocrates!$B8,'Raw Data'!$B$3:$B$42,0),MATCH(Epocrates!C$5,'Raw Data'!$D$2:$KZ$2,0)),0)</f>
        <v>20930</v>
      </c>
      <c r="D8" s="34">
        <f>_xlfn.IFNA(INDEX('Raw Data'!$D$3:$KZ$42,MATCH(Epocrates!$B8,'Raw Data'!$B$3:$B$42,0),MATCH(Epocrates!D$5,'Raw Data'!$D$2:$KZ$2,0)),0)</f>
        <v>1343</v>
      </c>
      <c r="E8" s="34">
        <f>_xlfn.IFNA(INDEX('Raw Data'!$D$3:$KZ$42,MATCH(Epocrates!$B8,'Raw Data'!$B$3:$B$42,0),MATCH(Epocrates!E$5,'Raw Data'!$D$2:$KZ$2,0)),0)</f>
        <v>0</v>
      </c>
      <c r="F8" s="51">
        <f t="shared" ref="F8:F30" si="0">IFERROR(D8/C8*100,0)</f>
        <v>6.4166268514094602</v>
      </c>
      <c r="G8" s="57"/>
    </row>
    <row r="9" spans="1:7" x14ac:dyDescent="0.35">
      <c r="B9" s="23">
        <v>44287</v>
      </c>
      <c r="C9" s="34">
        <f>_xlfn.IFNA(INDEX('Raw Data'!$D$3:$KZ$42,MATCH(Epocrates!$B9,'Raw Data'!$B$3:$B$42,0),MATCH(Epocrates!C$5,'Raw Data'!$D$2:$KZ$2,0)),0)</f>
        <v>26949</v>
      </c>
      <c r="D9" s="34">
        <f>_xlfn.IFNA(INDEX('Raw Data'!$D$3:$KZ$42,MATCH(Epocrates!$B9,'Raw Data'!$B$3:$B$42,0),MATCH(Epocrates!D$5,'Raw Data'!$D$2:$KZ$2,0)),0)</f>
        <v>1373</v>
      </c>
      <c r="E9" s="34">
        <f>_xlfn.IFNA(INDEX('Raw Data'!$D$3:$KZ$42,MATCH(Epocrates!$B9,'Raw Data'!$B$3:$B$42,0),MATCH(Epocrates!E$5,'Raw Data'!$D$2:$KZ$2,0)),0)</f>
        <v>0</v>
      </c>
      <c r="F9" s="51">
        <f t="shared" si="0"/>
        <v>5.0948087127537196</v>
      </c>
    </row>
    <row r="10" spans="1:7" x14ac:dyDescent="0.35">
      <c r="B10" s="23">
        <v>44317</v>
      </c>
      <c r="C10" s="34">
        <f>_xlfn.IFNA(INDEX('Raw Data'!$D$3:$KZ$42,MATCH(Epocrates!$B10,'Raw Data'!$B$3:$B$42,0),MATCH(Epocrates!C$5,'Raw Data'!$D$2:$KZ$2,0)),0)</f>
        <v>8856</v>
      </c>
      <c r="D10" s="34">
        <f>_xlfn.IFNA(INDEX('Raw Data'!$D$3:$KZ$42,MATCH(Epocrates!$B10,'Raw Data'!$B$3:$B$42,0),MATCH(Epocrates!D$5,'Raw Data'!$D$2:$KZ$2,0)),0)</f>
        <v>2753</v>
      </c>
      <c r="E10" s="34">
        <f>_xlfn.IFNA(INDEX('Raw Data'!$D$3:$KZ$42,MATCH(Epocrates!$B10,'Raw Data'!$B$3:$B$42,0),MATCH(Epocrates!E$5,'Raw Data'!$D$2:$KZ$2,0)),0)</f>
        <v>0</v>
      </c>
      <c r="F10" s="51">
        <f t="shared" si="0"/>
        <v>31.086269196025295</v>
      </c>
    </row>
    <row r="11" spans="1:7" x14ac:dyDescent="0.35">
      <c r="B11" s="23">
        <v>44348</v>
      </c>
      <c r="C11" s="34">
        <f>_xlfn.IFNA(INDEX('Raw Data'!$D$3:$KZ$42,MATCH(Epocrates!$B11,'Raw Data'!$B$3:$B$42,0),MATCH(Epocrates!C$5,'Raw Data'!$D$2:$KZ$2,0)),0)</f>
        <v>5950</v>
      </c>
      <c r="D11" s="34">
        <f>_xlfn.IFNA(INDEX('Raw Data'!$D$3:$KZ$42,MATCH(Epocrates!$B11,'Raw Data'!$B$3:$B$42,0),MATCH(Epocrates!D$5,'Raw Data'!$D$2:$KZ$2,0)),0)</f>
        <v>1387</v>
      </c>
      <c r="E11" s="34">
        <f>_xlfn.IFNA(INDEX('Raw Data'!$D$3:$KZ$42,MATCH(Epocrates!$B11,'Raw Data'!$B$3:$B$42,0),MATCH(Epocrates!E$5,'Raw Data'!$D$2:$KZ$2,0)),0)</f>
        <v>44</v>
      </c>
      <c r="F11" s="51">
        <f t="shared" si="0"/>
        <v>23.310924369747898</v>
      </c>
    </row>
    <row r="12" spans="1:7" x14ac:dyDescent="0.35">
      <c r="B12" s="23">
        <v>44378</v>
      </c>
      <c r="C12" s="34">
        <f>_xlfn.IFNA(INDEX('Raw Data'!$D$3:$KZ$42,MATCH(Epocrates!$B12,'Raw Data'!$B$3:$B$42,0),MATCH(Epocrates!C$5,'Raw Data'!$D$2:$KZ$2,0)),0)</f>
        <v>12174</v>
      </c>
      <c r="D12" s="34">
        <f>_xlfn.IFNA(INDEX('Raw Data'!$D$3:$KZ$42,MATCH(Epocrates!$B12,'Raw Data'!$B$3:$B$42,0),MATCH(Epocrates!D$5,'Raw Data'!$D$2:$KZ$2,0)),0)</f>
        <v>1418</v>
      </c>
      <c r="E12" s="34">
        <f>_xlfn.IFNA(INDEX('Raw Data'!$D$3:$KZ$42,MATCH(Epocrates!$B12,'Raw Data'!$B$3:$B$42,0),MATCH(Epocrates!E$5,'Raw Data'!$D$2:$KZ$2,0)),0)</f>
        <v>155</v>
      </c>
      <c r="F12" s="51">
        <f t="shared" si="0"/>
        <v>11.647773944471824</v>
      </c>
    </row>
    <row r="13" spans="1:7" x14ac:dyDescent="0.35">
      <c r="B13" s="23">
        <v>44409</v>
      </c>
      <c r="C13" s="34">
        <f>_xlfn.IFNA(INDEX('Raw Data'!$D$3:$KZ$42,MATCH(Epocrates!$B13,'Raw Data'!$B$3:$B$42,0),MATCH(Epocrates!C$5,'Raw Data'!$D$2:$KZ$2,0)),0)</f>
        <v>7237</v>
      </c>
      <c r="D13" s="34">
        <f>_xlfn.IFNA(INDEX('Raw Data'!$D$3:$KZ$42,MATCH(Epocrates!$B13,'Raw Data'!$B$3:$B$42,0),MATCH(Epocrates!D$5,'Raw Data'!$D$2:$KZ$2,0)),0)</f>
        <v>1216</v>
      </c>
      <c r="E13" s="34">
        <f>_xlfn.IFNA(INDEX('Raw Data'!$D$3:$KZ$42,MATCH(Epocrates!$B13,'Raw Data'!$B$3:$B$42,0),MATCH(Epocrates!E$5,'Raw Data'!$D$2:$KZ$2,0)),0)</f>
        <v>68</v>
      </c>
      <c r="F13" s="51">
        <f t="shared" si="0"/>
        <v>16.802542489982038</v>
      </c>
    </row>
    <row r="14" spans="1:7" x14ac:dyDescent="0.35">
      <c r="B14" s="23">
        <v>44440</v>
      </c>
      <c r="C14" s="34">
        <f>_xlfn.IFNA(INDEX('Raw Data'!$D$3:$KZ$42,MATCH(Epocrates!$B14,'Raw Data'!$B$3:$B$42,0),MATCH(Epocrates!C$5,'Raw Data'!$D$2:$KZ$2,0)),0)</f>
        <v>12</v>
      </c>
      <c r="D14" s="34">
        <f>_xlfn.IFNA(INDEX('Raw Data'!$D$3:$KZ$42,MATCH(Epocrates!$B14,'Raw Data'!$B$3:$B$42,0),MATCH(Epocrates!D$5,'Raw Data'!$D$2:$KZ$2,0)),0)</f>
        <v>1</v>
      </c>
      <c r="E14" s="34">
        <f>_xlfn.IFNA(INDEX('Raw Data'!$D$3:$KZ$42,MATCH(Epocrates!$B14,'Raw Data'!$B$3:$B$42,0),MATCH(Epocrates!E$5,'Raw Data'!$D$2:$KZ$2,0)),0)</f>
        <v>0</v>
      </c>
      <c r="F14" s="51">
        <f t="shared" si="0"/>
        <v>8.3333333333333321</v>
      </c>
    </row>
    <row r="15" spans="1:7" x14ac:dyDescent="0.35">
      <c r="B15" s="23">
        <v>44470</v>
      </c>
      <c r="C15" s="34">
        <f>_xlfn.IFNA(INDEX('Raw Data'!$D$3:$KZ$42,MATCH(Epocrates!$B15,'Raw Data'!$B$3:$B$42,0),MATCH(Epocrates!C$5,'Raw Data'!$D$2:$KZ$2,0)),0)</f>
        <v>0</v>
      </c>
      <c r="D15" s="34">
        <f>_xlfn.IFNA(INDEX('Raw Data'!$D$3:$KZ$42,MATCH(Epocrates!$B15,'Raw Data'!$B$3:$B$42,0),MATCH(Epocrates!D$5,'Raw Data'!$D$2:$KZ$2,0)),0)</f>
        <v>0</v>
      </c>
      <c r="E15" s="34">
        <f>_xlfn.IFNA(INDEX('Raw Data'!$D$3:$KZ$42,MATCH(Epocrates!$B15,'Raw Data'!$B$3:$B$42,0),MATCH(Epocrates!E$5,'Raw Data'!$D$2:$KZ$2,0)),0)</f>
        <v>0</v>
      </c>
      <c r="F15" s="51">
        <f t="shared" si="0"/>
        <v>0</v>
      </c>
    </row>
    <row r="16" spans="1:7" x14ac:dyDescent="0.35">
      <c r="B16" s="23">
        <v>44501</v>
      </c>
      <c r="C16" s="34">
        <f>_xlfn.IFNA(INDEX('Raw Data'!$D$3:$KZ$42,MATCH(Epocrates!$B16,'Raw Data'!$B$3:$B$42,0),MATCH(Epocrates!C$5,'Raw Data'!$D$2:$KZ$2,0)),0)</f>
        <v>0</v>
      </c>
      <c r="D16" s="34">
        <f>_xlfn.IFNA(INDEX('Raw Data'!$D$3:$KZ$42,MATCH(Epocrates!$B16,'Raw Data'!$B$3:$B$42,0),MATCH(Epocrates!D$5,'Raw Data'!$D$2:$KZ$2,0)),0)</f>
        <v>0</v>
      </c>
      <c r="E16" s="34">
        <f>_xlfn.IFNA(INDEX('Raw Data'!$D$3:$KZ$42,MATCH(Epocrates!$B16,'Raw Data'!$B$3:$B$42,0),MATCH(Epocrates!E$5,'Raw Data'!$D$2:$KZ$2,0)),0)</f>
        <v>0</v>
      </c>
      <c r="F16" s="51">
        <f t="shared" si="0"/>
        <v>0</v>
      </c>
    </row>
    <row r="17" spans="2:8" x14ac:dyDescent="0.35">
      <c r="B17" s="23">
        <v>44531</v>
      </c>
      <c r="C17" s="34">
        <f>_xlfn.IFNA(INDEX('Raw Data'!$D$3:$KZ$42,MATCH(Epocrates!$B17,'Raw Data'!$B$3:$B$42,0),MATCH(Epocrates!C$5,'Raw Data'!$D$2:$KZ$2,0)),0)</f>
        <v>0</v>
      </c>
      <c r="D17" s="34">
        <f>_xlfn.IFNA(INDEX('Raw Data'!$D$3:$KZ$42,MATCH(Epocrates!$B17,'Raw Data'!$B$3:$B$42,0),MATCH(Epocrates!D$5,'Raw Data'!$D$2:$KZ$2,0)),0)</f>
        <v>0</v>
      </c>
      <c r="E17" s="34">
        <f>_xlfn.IFNA(INDEX('Raw Data'!$D$3:$KZ$42,MATCH(Epocrates!$B17,'Raw Data'!$B$3:$B$42,0),MATCH(Epocrates!E$5,'Raw Data'!$D$2:$KZ$2,0)),0)</f>
        <v>0</v>
      </c>
      <c r="F17" s="51">
        <f t="shared" si="0"/>
        <v>0</v>
      </c>
    </row>
    <row r="18" spans="2:8" x14ac:dyDescent="0.35">
      <c r="B18" s="23">
        <v>44562</v>
      </c>
      <c r="C18" s="34">
        <f>_xlfn.IFNA(INDEX('Raw Data'!$D$3:$KZ$42,MATCH(Epocrates!$B18,'Raw Data'!$B$3:$B$42,0),MATCH(Epocrates!C$5,'Raw Data'!$D$2:$KZ$2,0)),0)</f>
        <v>0</v>
      </c>
      <c r="D18" s="34">
        <f>_xlfn.IFNA(INDEX('Raw Data'!$D$3:$KZ$42,MATCH(Epocrates!$B18,'Raw Data'!$B$3:$B$42,0),MATCH(Epocrates!D$5,'Raw Data'!$D$2:$KZ$2,0)),0)</f>
        <v>0</v>
      </c>
      <c r="E18" s="34">
        <f>_xlfn.IFNA(INDEX('Raw Data'!$D$3:$KZ$42,MATCH(Epocrates!$B18,'Raw Data'!$B$3:$B$42,0),MATCH(Epocrates!E$5,'Raw Data'!$D$2:$KZ$2,0)),0)</f>
        <v>0</v>
      </c>
      <c r="F18" s="51">
        <f t="shared" si="0"/>
        <v>0</v>
      </c>
    </row>
    <row r="19" spans="2:8" x14ac:dyDescent="0.35">
      <c r="B19" s="23">
        <v>44593</v>
      </c>
      <c r="C19" s="34">
        <f>_xlfn.IFNA(INDEX('Raw Data'!$D$3:$KZ$42,MATCH(Epocrates!$B19,'Raw Data'!$B$3:$B$42,0),MATCH(Epocrates!C$5,'Raw Data'!$D$2:$KZ$2,0)),0)</f>
        <v>4479</v>
      </c>
      <c r="D19" s="34">
        <f>_xlfn.IFNA(INDEX('Raw Data'!$D$3:$KZ$42,MATCH(Epocrates!$B19,'Raw Data'!$B$3:$B$42,0),MATCH(Epocrates!D$5,'Raw Data'!$D$2:$KZ$2,0)),0)</f>
        <v>240</v>
      </c>
      <c r="E19" s="34">
        <f>_xlfn.IFNA(INDEX('Raw Data'!$D$3:$KZ$42,MATCH(Epocrates!$B19,'Raw Data'!$B$3:$B$42,0),MATCH(Epocrates!E$5,'Raw Data'!$D$2:$KZ$2,0)),0)</f>
        <v>0</v>
      </c>
      <c r="F19" s="51">
        <f t="shared" si="0"/>
        <v>5.35833891493637</v>
      </c>
    </row>
    <row r="20" spans="2:8" x14ac:dyDescent="0.35">
      <c r="B20" s="23">
        <v>44621</v>
      </c>
      <c r="C20" s="34">
        <f>_xlfn.IFNA(INDEX('Raw Data'!$D$3:$KZ$42,MATCH(Epocrates!$B20,'Raw Data'!$B$3:$B$42,0),MATCH(Epocrates!C$5,'Raw Data'!$D$2:$KZ$2,0)),0)</f>
        <v>3660</v>
      </c>
      <c r="D20" s="34">
        <f>_xlfn.IFNA(INDEX('Raw Data'!$D$3:$KZ$42,MATCH(Epocrates!$B20,'Raw Data'!$B$3:$B$42,0),MATCH(Epocrates!D$5,'Raw Data'!$D$2:$KZ$2,0)),0)</f>
        <v>187</v>
      </c>
      <c r="E20" s="34">
        <f>_xlfn.IFNA(INDEX('Raw Data'!$D$3:$KZ$42,MATCH(Epocrates!$B20,'Raw Data'!$B$3:$B$42,0),MATCH(Epocrates!E$5,'Raw Data'!$D$2:$KZ$2,0)),0)</f>
        <v>0</v>
      </c>
      <c r="F20" s="51">
        <f t="shared" si="0"/>
        <v>5.1092896174863389</v>
      </c>
    </row>
    <row r="21" spans="2:8" x14ac:dyDescent="0.35">
      <c r="B21" s="23">
        <v>44652</v>
      </c>
      <c r="C21" s="34">
        <f>_xlfn.IFNA(INDEX('Raw Data'!$D$3:$KZ$42,MATCH(Epocrates!$B21,'Raw Data'!$B$3:$B$42,0),MATCH(Epocrates!C$5,'Raw Data'!$D$2:$KZ$2,0)),0)</f>
        <v>0</v>
      </c>
      <c r="D21" s="34">
        <f>_xlfn.IFNA(INDEX('Raw Data'!$D$3:$KZ$42,MATCH(Epocrates!$B21,'Raw Data'!$B$3:$B$42,0),MATCH(Epocrates!D$5,'Raw Data'!$D$2:$KZ$2,0)),0)</f>
        <v>0</v>
      </c>
      <c r="E21" s="34">
        <f>_xlfn.IFNA(INDEX('Raw Data'!$D$3:$KZ$42,MATCH(Epocrates!$B21,'Raw Data'!$B$3:$B$42,0),MATCH(Epocrates!E$5,'Raw Data'!$D$2:$KZ$2,0)),0)</f>
        <v>0</v>
      </c>
      <c r="F21" s="51">
        <f t="shared" si="0"/>
        <v>0</v>
      </c>
    </row>
    <row r="22" spans="2:8" x14ac:dyDescent="0.35">
      <c r="B22" s="23">
        <v>44682</v>
      </c>
      <c r="C22" s="34">
        <f>_xlfn.IFNA(INDEX('Raw Data'!$D$3:$KZ$42,MATCH(Epocrates!$B22,'Raw Data'!$B$3:$B$42,0),MATCH(Epocrates!C$5,'Raw Data'!$D$2:$KZ$2,0)),0)</f>
        <v>967</v>
      </c>
      <c r="D22" s="34">
        <f>_xlfn.IFNA(INDEX('Raw Data'!$D$3:$KZ$42,MATCH(Epocrates!$B22,'Raw Data'!$B$3:$B$42,0),MATCH(Epocrates!D$5,'Raw Data'!$D$2:$KZ$2,0)),0)</f>
        <v>319</v>
      </c>
      <c r="E22" s="34">
        <f>_xlfn.IFNA(INDEX('Raw Data'!$D$3:$KZ$42,MATCH(Epocrates!$B22,'Raw Data'!$B$3:$B$42,0),MATCH(Epocrates!E$5,'Raw Data'!$D$2:$KZ$2,0)),0)</f>
        <v>0</v>
      </c>
      <c r="F22" s="51">
        <f t="shared" si="0"/>
        <v>32.988624612202685</v>
      </c>
    </row>
    <row r="23" spans="2:8" x14ac:dyDescent="0.35">
      <c r="B23" s="23">
        <v>44713</v>
      </c>
      <c r="C23" s="34">
        <f>_xlfn.IFNA(INDEX('Raw Data'!$D$3:$KZ$42,MATCH(Epocrates!$B23,'Raw Data'!$B$3:$B$42,0),MATCH(Epocrates!C$5,'Raw Data'!$D$2:$KZ$2,0)),0)</f>
        <v>1</v>
      </c>
      <c r="D23" s="34">
        <f>_xlfn.IFNA(INDEX('Raw Data'!$D$3:$KZ$42,MATCH(Epocrates!$B23,'Raw Data'!$B$3:$B$42,0),MATCH(Epocrates!D$5,'Raw Data'!$D$2:$KZ$2,0)),0)</f>
        <v>0</v>
      </c>
      <c r="E23" s="34">
        <f>_xlfn.IFNA(INDEX('Raw Data'!$D$3:$KZ$42,MATCH(Epocrates!$B23,'Raw Data'!$B$3:$B$42,0),MATCH(Epocrates!E$5,'Raw Data'!$D$2:$KZ$2,0)),0)</f>
        <v>0</v>
      </c>
      <c r="F23" s="51">
        <f t="shared" si="0"/>
        <v>0</v>
      </c>
    </row>
    <row r="24" spans="2:8" x14ac:dyDescent="0.35">
      <c r="B24" s="23">
        <v>44743</v>
      </c>
      <c r="C24" s="34">
        <f>_xlfn.IFNA(INDEX('Raw Data'!$D$3:$KZ$42,MATCH(Epocrates!$B24,'Raw Data'!$B$3:$B$42,0),MATCH(Epocrates!C$5,'Raw Data'!$D$2:$KZ$2,0)),0)</f>
        <v>4527</v>
      </c>
      <c r="D24" s="34">
        <f>_xlfn.IFNA(INDEX('Raw Data'!$D$3:$KZ$42,MATCH(Epocrates!$B24,'Raw Data'!$B$3:$B$42,0),MATCH(Epocrates!D$5,'Raw Data'!$D$2:$KZ$2,0)),0)</f>
        <v>764</v>
      </c>
      <c r="E24" s="34">
        <f>_xlfn.IFNA(INDEX('Raw Data'!$D$3:$KZ$42,MATCH(Epocrates!$B24,'Raw Data'!$B$3:$B$42,0),MATCH(Epocrates!E$5,'Raw Data'!$D$2:$KZ$2,0)),0)</f>
        <v>63</v>
      </c>
      <c r="F24" s="51">
        <f t="shared" si="0"/>
        <v>16.876518665783081</v>
      </c>
    </row>
    <row r="25" spans="2:8" x14ac:dyDescent="0.35">
      <c r="B25" s="23">
        <v>44774</v>
      </c>
      <c r="C25" s="34">
        <f>_xlfn.IFNA(INDEX('Raw Data'!$D$3:$KZ$42,MATCH(Epocrates!$B25,'Raw Data'!$B$3:$B$42,0),MATCH(Epocrates!C$5,'Raw Data'!$D$2:$KZ$2,0)),0)</f>
        <v>2285</v>
      </c>
      <c r="D25" s="34">
        <f>_xlfn.IFNA(INDEX('Raw Data'!$D$3:$KZ$42,MATCH(Epocrates!$B25,'Raw Data'!$B$3:$B$42,0),MATCH(Epocrates!D$5,'Raw Data'!$D$2:$KZ$2,0)),0)</f>
        <v>472</v>
      </c>
      <c r="E25" s="34">
        <f>_xlfn.IFNA(INDEX('Raw Data'!$D$3:$KZ$42,MATCH(Epocrates!$B25,'Raw Data'!$B$3:$B$42,0),MATCH(Epocrates!E$5,'Raw Data'!$D$2:$KZ$2,0)),0)</f>
        <v>26</v>
      </c>
      <c r="F25" s="51">
        <f t="shared" si="0"/>
        <v>20.656455142231948</v>
      </c>
    </row>
    <row r="26" spans="2:8" x14ac:dyDescent="0.35">
      <c r="B26" s="23">
        <v>44805</v>
      </c>
      <c r="C26" s="34">
        <f>_xlfn.IFNA(INDEX('Raw Data'!$D$3:$KZ$42,MATCH(Epocrates!$B26,'Raw Data'!$B$3:$B$42,0),MATCH(Epocrates!C$5,'Raw Data'!$D$2:$KZ$2,0)),0)</f>
        <v>448</v>
      </c>
      <c r="D26" s="34">
        <f>_xlfn.IFNA(INDEX('Raw Data'!$D$3:$KZ$42,MATCH(Epocrates!$B26,'Raw Data'!$B$3:$B$42,0),MATCH(Epocrates!D$5,'Raw Data'!$D$2:$KZ$2,0)),0)</f>
        <v>99</v>
      </c>
      <c r="E26" s="34">
        <f>_xlfn.IFNA(INDEX('Raw Data'!$D$3:$KZ$42,MATCH(Epocrates!$B26,'Raw Data'!$B$3:$B$42,0),MATCH(Epocrates!E$5,'Raw Data'!$D$2:$KZ$2,0)),0)</f>
        <v>19</v>
      </c>
      <c r="F26" s="51">
        <f t="shared" si="0"/>
        <v>22.098214285714285</v>
      </c>
    </row>
    <row r="27" spans="2:8" x14ac:dyDescent="0.35">
      <c r="B27" s="23">
        <v>44835</v>
      </c>
      <c r="C27" s="34">
        <f>_xlfn.IFNA(INDEX('Raw Data'!$D$3:$KZ$42,MATCH(Epocrates!$B27,'Raw Data'!$B$3:$B$42,0),MATCH(Epocrates!C$5,'Raw Data'!$D$2:$KZ$2,0)),0)</f>
        <v>982</v>
      </c>
      <c r="D27" s="34">
        <f>_xlfn.IFNA(INDEX('Raw Data'!$D$3:$KZ$42,MATCH(Epocrates!$B27,'Raw Data'!$B$3:$B$42,0),MATCH(Epocrates!D$5,'Raw Data'!$D$2:$KZ$2,0)),0)</f>
        <v>326</v>
      </c>
      <c r="E27" s="34">
        <f>_xlfn.IFNA(INDEX('Raw Data'!$D$3:$KZ$42,MATCH(Epocrates!$B27,'Raw Data'!$B$3:$B$42,0),MATCH(Epocrates!E$5,'Raw Data'!$D$2:$KZ$2,0)),0)</f>
        <v>9</v>
      </c>
      <c r="F27" s="51">
        <f t="shared" si="0"/>
        <v>33.197556008146641</v>
      </c>
    </row>
    <row r="28" spans="2:8" x14ac:dyDescent="0.35">
      <c r="B28" s="23">
        <v>44866</v>
      </c>
      <c r="C28" s="34">
        <f>_xlfn.IFNA(INDEX('Raw Data'!$D$3:$KZ$42,MATCH(Epocrates!$B28,'Raw Data'!$B$3:$B$42,0),MATCH(Epocrates!C$5,'Raw Data'!$D$2:$KZ$2,0)),0)</f>
        <v>873</v>
      </c>
      <c r="D28" s="34">
        <f>_xlfn.IFNA(INDEX('Raw Data'!$D$3:$KZ$42,MATCH(Epocrates!$B28,'Raw Data'!$B$3:$B$42,0),MATCH(Epocrates!D$5,'Raw Data'!$D$2:$KZ$2,0)),0)</f>
        <v>262</v>
      </c>
      <c r="E28" s="34">
        <f>_xlfn.IFNA(INDEX('Raw Data'!$D$3:$KZ$42,MATCH(Epocrates!$B28,'Raw Data'!$B$3:$B$42,0),MATCH(Epocrates!E$5,'Raw Data'!$D$2:$KZ$2,0)),0)</f>
        <v>0</v>
      </c>
      <c r="F28" s="51">
        <f t="shared" si="0"/>
        <v>30.011454753722795</v>
      </c>
    </row>
    <row r="29" spans="2:8" x14ac:dyDescent="0.35">
      <c r="B29" s="23">
        <v>44896</v>
      </c>
      <c r="C29" s="34">
        <f>_xlfn.IFNA(INDEX('Raw Data'!$D$3:$KZ$42,MATCH(Epocrates!$B29,'Raw Data'!$B$3:$B$42,0),MATCH(Epocrates!C$5,'Raw Data'!$D$2:$KZ$2,0)),0)</f>
        <v>3120</v>
      </c>
      <c r="D29" s="34">
        <f>_xlfn.IFNA(INDEX('Raw Data'!$D$3:$KZ$42,MATCH(Epocrates!$B29,'Raw Data'!$B$3:$B$42,0),MATCH(Epocrates!D$5,'Raw Data'!$D$2:$KZ$2,0)),0)</f>
        <v>352</v>
      </c>
      <c r="E29" s="34">
        <f>_xlfn.IFNA(INDEX('Raw Data'!$D$3:$KZ$42,MATCH(Epocrates!$B29,'Raw Data'!$B$3:$B$42,0),MATCH(Epocrates!E$5,'Raw Data'!$D$2:$KZ$2,0)),0)</f>
        <v>0</v>
      </c>
      <c r="F29" s="51">
        <f t="shared" si="0"/>
        <v>11.282051282051283</v>
      </c>
    </row>
    <row r="30" spans="2:8" x14ac:dyDescent="0.35">
      <c r="B30" s="23">
        <v>44927</v>
      </c>
      <c r="C30" s="34">
        <f>_xlfn.IFNA(INDEX('Raw Data'!$D$3:$KZ$42,MATCH(Epocrates!$B30,'Raw Data'!$B$3:$B$42,0),MATCH(Epocrates!C$5,'Raw Data'!$D$2:$KZ$2,0)),0)</f>
        <v>0</v>
      </c>
      <c r="D30" s="34">
        <f>_xlfn.IFNA(INDEX('Raw Data'!$D$3:$KZ$42,MATCH(Epocrates!$B30,'Raw Data'!$B$3:$B$42,0),MATCH(Epocrates!D$5,'Raw Data'!$D$2:$KZ$2,0)),0)</f>
        <v>0</v>
      </c>
      <c r="E30" s="34">
        <f>_xlfn.IFNA(INDEX('Raw Data'!$D$3:$KZ$42,MATCH(Epocrates!$B30,'Raw Data'!$B$3:$B$42,0),MATCH(Epocrates!E$5,'Raw Data'!$D$2:$KZ$2,0)),0)</f>
        <v>0</v>
      </c>
      <c r="F30" s="51">
        <f t="shared" si="0"/>
        <v>0</v>
      </c>
    </row>
    <row r="31" spans="2:8" ht="15.5" x14ac:dyDescent="0.35">
      <c r="H31" s="38" t="s">
        <v>51</v>
      </c>
    </row>
    <row r="32" spans="2:8" x14ac:dyDescent="0.35">
      <c r="H32" s="79" t="s">
        <v>318</v>
      </c>
    </row>
    <row r="33" spans="2:9" x14ac:dyDescent="0.35">
      <c r="H33" s="79" t="s">
        <v>312</v>
      </c>
    </row>
    <row r="35" spans="2:9" x14ac:dyDescent="0.35">
      <c r="B35" s="55"/>
      <c r="C35" s="212" t="s">
        <v>177</v>
      </c>
      <c r="D35" s="213"/>
      <c r="E35" s="213"/>
      <c r="F35" s="214"/>
    </row>
    <row r="36" spans="2:9" x14ac:dyDescent="0.35">
      <c r="B36" s="31" t="s">
        <v>293</v>
      </c>
      <c r="C36" s="60">
        <f>IFERROR(AVERAGE(C9:C20),"-")</f>
        <v>5776.416666666667</v>
      </c>
      <c r="D36" s="60">
        <f t="shared" ref="D36:F36" si="1">IFERROR(AVERAGE(D9:D20),"-")</f>
        <v>714.58333333333337</v>
      </c>
      <c r="E36" s="60">
        <f t="shared" si="1"/>
        <v>22.25</v>
      </c>
      <c r="F36" s="72">
        <f t="shared" si="1"/>
        <v>8.8952733815614007</v>
      </c>
    </row>
    <row r="37" spans="2:9" x14ac:dyDescent="0.35">
      <c r="B37" s="31" t="s">
        <v>316</v>
      </c>
      <c r="C37" s="42">
        <f>IFERROR(AVERAGE(C18:C29),"-")</f>
        <v>1778.5</v>
      </c>
      <c r="D37" s="42">
        <f t="shared" ref="D37:F37" si="2">IFERROR(AVERAGE(D18:D29),"-")</f>
        <v>251.75</v>
      </c>
      <c r="E37" s="42">
        <f t="shared" si="2"/>
        <v>9.75</v>
      </c>
      <c r="F37" s="73">
        <f t="shared" si="2"/>
        <v>14.798208606856285</v>
      </c>
    </row>
    <row r="38" spans="2:9" x14ac:dyDescent="0.35">
      <c r="B38" s="31" t="s">
        <v>178</v>
      </c>
      <c r="C38" s="59">
        <f>IFERROR(C37/C36-1,"-")</f>
        <v>-0.69211016056667196</v>
      </c>
      <c r="D38" s="59">
        <f t="shared" ref="D38:F38" si="3">IFERROR(D37/D36-1,"-")</f>
        <v>-0.64769679300291549</v>
      </c>
      <c r="E38" s="59">
        <f t="shared" si="3"/>
        <v>-0.5617977528089888</v>
      </c>
      <c r="F38" s="59">
        <f t="shared" si="3"/>
        <v>0.66360357597674335</v>
      </c>
    </row>
    <row r="39" spans="2:9" x14ac:dyDescent="0.35">
      <c r="D39" s="94">
        <f>SUM(D18:D29)</f>
        <v>3021</v>
      </c>
    </row>
    <row r="43" spans="2:9" x14ac:dyDescent="0.35">
      <c r="B43" s="71" t="s">
        <v>204</v>
      </c>
      <c r="C43" s="71" t="s">
        <v>205</v>
      </c>
      <c r="D43" s="71" t="s">
        <v>291</v>
      </c>
      <c r="E43" s="71" t="s">
        <v>208</v>
      </c>
      <c r="F43" s="71" t="s">
        <v>292</v>
      </c>
      <c r="H43" s="71" t="s">
        <v>303</v>
      </c>
      <c r="I43" s="71" t="s">
        <v>314</v>
      </c>
    </row>
    <row r="44" spans="2:9" x14ac:dyDescent="0.35">
      <c r="B44" s="31" t="str">
        <f>UPPER(B2)</f>
        <v>EPOCRATES</v>
      </c>
      <c r="C44" s="31" t="str" cm="1">
        <f t="array" ref="C44">IFERROR(_xlfn.UNIQUE(_xlfn._xlws.FILTER('NPP Spends'!$D$3:$D$80,--ISNUMBER(SEARCH(Epocrates!$B44,'NPP Spends'!$C$3:$C$80)))),"-")</f>
        <v>ALERT</v>
      </c>
      <c r="D44" s="31" t="str" cm="1">
        <f t="array" ref="D44:D55">IFERROR(_xlfn.UNIQUE(_xlfn._xlws.FILTER('NPP Spends'!$L$3:$L$80,--ISNUMBER(SEARCH(Epocrates!$B44,'NPP Spends'!$C$3:$C$80)))),"-")</f>
        <v>Jul2021</v>
      </c>
      <c r="E44" s="42" cm="1">
        <f t="array" ref="E44:E55">IFERROR(_xlfn._xlws.FILTER('NPP Spends'!$G$3:$G$80,--ISNUMBER(SEARCH(Epocrates!$B44,'NPP Spends'!$C$3:$C$80))),"-")</f>
        <v>51</v>
      </c>
      <c r="F44" s="74" cm="1">
        <f t="array" ref="F44:F55">IFERROR(_xlfn._xlws.FILTER('NPP Spends'!$H$3:$H$80,--ISNUMBER(SEARCH(Epocrates!$B44,'NPP Spends'!$C$3:$C$80))),"-")</f>
        <v>4335</v>
      </c>
      <c r="G44" s="83"/>
      <c r="H44" s="74">
        <v>642600</v>
      </c>
      <c r="I44" s="74">
        <f>SUM(F47:F55)</f>
        <v>255935</v>
      </c>
    </row>
    <row r="45" spans="2:9" x14ac:dyDescent="0.35">
      <c r="B45" s="31"/>
      <c r="C45" s="31"/>
      <c r="D45" s="31" t="str">
        <v>Aug2021</v>
      </c>
      <c r="E45" s="42">
        <v>913</v>
      </c>
      <c r="F45" s="74">
        <v>77605</v>
      </c>
      <c r="I45" s="84">
        <f>I44/H44-1</f>
        <v>-0.60171957671957665</v>
      </c>
    </row>
    <row r="46" spans="2:9" x14ac:dyDescent="0.35">
      <c r="B46" s="31"/>
      <c r="C46" s="31"/>
      <c r="D46" s="31" t="str">
        <v>Sep2021</v>
      </c>
      <c r="E46" s="42">
        <v>0</v>
      </c>
      <c r="F46" s="74">
        <v>0</v>
      </c>
    </row>
    <row r="47" spans="2:9" x14ac:dyDescent="0.35">
      <c r="B47" s="31"/>
      <c r="C47" s="31"/>
      <c r="D47" s="31" t="str">
        <v>Feb2022</v>
      </c>
      <c r="E47" s="42">
        <v>356</v>
      </c>
      <c r="F47" s="74">
        <v>30260</v>
      </c>
    </row>
    <row r="48" spans="2:9" x14ac:dyDescent="0.35">
      <c r="B48" s="31"/>
      <c r="C48" s="31"/>
      <c r="D48" s="31" t="str">
        <v>Mar2022</v>
      </c>
      <c r="E48" s="42">
        <v>319</v>
      </c>
      <c r="F48" s="74">
        <v>27115</v>
      </c>
    </row>
    <row r="49" spans="2:6" x14ac:dyDescent="0.35">
      <c r="B49" s="31"/>
      <c r="C49" s="31"/>
      <c r="D49" s="31" t="str">
        <v>May2022</v>
      </c>
      <c r="E49" s="42">
        <v>446</v>
      </c>
      <c r="F49" s="74">
        <v>37910</v>
      </c>
    </row>
    <row r="50" spans="2:6" x14ac:dyDescent="0.35">
      <c r="B50" s="31"/>
      <c r="C50" s="31"/>
      <c r="D50" s="31" t="str">
        <v>Jun2022</v>
      </c>
      <c r="E50" s="42" t="str">
        <v>-</v>
      </c>
      <c r="F50" s="74" t="str">
        <v>-</v>
      </c>
    </row>
    <row r="51" spans="2:6" x14ac:dyDescent="0.35">
      <c r="B51" s="31"/>
      <c r="C51" s="31"/>
      <c r="D51" s="31" t="str">
        <v>Aug2022</v>
      </c>
      <c r="E51" s="42">
        <v>0</v>
      </c>
      <c r="F51" s="74">
        <v>36465</v>
      </c>
    </row>
    <row r="52" spans="2:6" x14ac:dyDescent="0.35">
      <c r="B52" s="31"/>
      <c r="C52" s="31"/>
      <c r="D52" s="31" t="str">
        <v>Sep2022</v>
      </c>
      <c r="E52" s="42">
        <v>0</v>
      </c>
      <c r="F52" s="74">
        <v>0</v>
      </c>
    </row>
    <row r="53" spans="2:6" x14ac:dyDescent="0.35">
      <c r="B53" s="31"/>
      <c r="C53" s="31"/>
      <c r="D53" s="31" t="str">
        <v>Oct2022</v>
      </c>
      <c r="E53" s="42">
        <v>0</v>
      </c>
      <c r="F53" s="74">
        <v>34765</v>
      </c>
    </row>
    <row r="54" spans="2:6" x14ac:dyDescent="0.35">
      <c r="B54" s="31"/>
      <c r="C54" s="31"/>
      <c r="D54" s="31" t="str">
        <v>Nov2022</v>
      </c>
      <c r="E54" s="42">
        <v>0</v>
      </c>
      <c r="F54" s="74">
        <v>36975</v>
      </c>
    </row>
    <row r="55" spans="2:6" x14ac:dyDescent="0.35">
      <c r="B55" s="31"/>
      <c r="C55" s="31"/>
      <c r="D55" s="31" t="str">
        <v>Dec2022</v>
      </c>
      <c r="E55" s="42">
        <v>0</v>
      </c>
      <c r="F55" s="74">
        <v>52445</v>
      </c>
    </row>
    <row r="56" spans="2:6" x14ac:dyDescent="0.35">
      <c r="B56" s="31"/>
      <c r="C56" s="31"/>
      <c r="D56" s="31"/>
      <c r="E56" s="42"/>
      <c r="F56" s="74"/>
    </row>
    <row r="57" spans="2:6" x14ac:dyDescent="0.35">
      <c r="B57" s="31"/>
      <c r="C57" s="31"/>
      <c r="D57" s="31"/>
      <c r="E57" s="42"/>
      <c r="F57" s="74"/>
    </row>
    <row r="58" spans="2:6" x14ac:dyDescent="0.35">
      <c r="B58" s="31"/>
      <c r="C58" s="31"/>
      <c r="D58" s="31"/>
      <c r="E58" s="42"/>
      <c r="F58" s="74"/>
    </row>
    <row r="59" spans="2:6" x14ac:dyDescent="0.35">
      <c r="B59" s="31"/>
      <c r="C59" s="31"/>
      <c r="D59" s="31"/>
      <c r="E59" s="42"/>
      <c r="F59" s="74"/>
    </row>
    <row r="60" spans="2:6" x14ac:dyDescent="0.35">
      <c r="B60" s="49"/>
      <c r="C60" s="49"/>
      <c r="D60" s="49"/>
      <c r="E60" s="42"/>
      <c r="F60" s="74"/>
    </row>
    <row r="61" spans="2:6" x14ac:dyDescent="0.35">
      <c r="B61" s="49"/>
      <c r="C61" s="49"/>
      <c r="D61" s="49"/>
      <c r="E61" s="42"/>
      <c r="F61" s="74"/>
    </row>
    <row r="62" spans="2:6" x14ac:dyDescent="0.35">
      <c r="B62" s="49"/>
      <c r="C62" s="49"/>
      <c r="D62" s="49"/>
      <c r="E62" s="42"/>
      <c r="F62" s="74"/>
    </row>
    <row r="63" spans="2:6" x14ac:dyDescent="0.35">
      <c r="B63" s="49"/>
      <c r="C63" s="49"/>
      <c r="D63" s="49"/>
      <c r="E63" s="42"/>
      <c r="F63" s="74"/>
    </row>
    <row r="64" spans="2:6" x14ac:dyDescent="0.35">
      <c r="B64" s="49"/>
      <c r="C64" s="49"/>
      <c r="D64" s="49"/>
      <c r="E64" s="42"/>
      <c r="F64" s="74"/>
    </row>
    <row r="65" spans="2:6" x14ac:dyDescent="0.35">
      <c r="B65" s="49"/>
      <c r="C65" s="49"/>
      <c r="D65" s="49"/>
      <c r="E65" s="42"/>
      <c r="F65" s="74"/>
    </row>
  </sheetData>
  <mergeCells count="2">
    <mergeCell ref="B2:F2"/>
    <mergeCell ref="C35:F35"/>
  </mergeCells>
  <hyperlinks>
    <hyperlink ref="A1" location="Index!A1" display="Home" xr:uid="{B31ED7AF-5B61-49C9-B770-DF62FC537E32}"/>
  </hyperlinks>
  <pageMargins left="0.7" right="0.7" top="0.75" bottom="0.75" header="0.3" footer="0.3"/>
  <pageSetup paperSize="9" orientation="portrait" r:id="rId1"/>
  <headerFooter>
    <oddHeader>&amp;L&amp;"Calibri"&amp;12&amp;K8E6A00Confidential&amp;1#</oddHeader>
  </headerFooter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4B0BBA6-FC38-45E0-B70A-72C324F8A898}">
          <x14:formula1>
            <xm:f>Control!$C$4:$C$305</xm:f>
          </x14:formula1>
          <xm:sqref>C6:E6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1F991D-C853-4854-AE94-06825DDD24B5}">
  <sheetPr codeName="Sheet11">
    <tabColor theme="9" tint="0.39997558519241921"/>
  </sheetPr>
  <dimension ref="A1:I65"/>
  <sheetViews>
    <sheetView zoomScale="85" zoomScaleNormal="85" workbookViewId="0">
      <selection activeCell="J60" sqref="J60"/>
    </sheetView>
  </sheetViews>
  <sheetFormatPr defaultRowHeight="14.5" x14ac:dyDescent="0.35"/>
  <cols>
    <col min="1" max="1" width="9.08984375" style="10" customWidth="1"/>
    <col min="2" max="2" width="14" style="10" customWidth="1"/>
    <col min="3" max="3" width="22.26953125" style="10" customWidth="1"/>
    <col min="4" max="4" width="26.6328125" style="10" customWidth="1"/>
    <col min="5" max="5" width="24.81640625" style="10" customWidth="1"/>
    <col min="6" max="6" width="23.08984375" style="10" customWidth="1"/>
    <col min="7" max="7" width="7.26953125" style="10" customWidth="1"/>
    <col min="8" max="8" width="21.6328125" style="10" bestFit="1" customWidth="1"/>
    <col min="9" max="9" width="20.81640625" style="10" bestFit="1" customWidth="1"/>
    <col min="10" max="16384" width="8.7265625" style="10"/>
  </cols>
  <sheetData>
    <row r="1" spans="1:7" ht="15.5" x14ac:dyDescent="0.35">
      <c r="A1" s="35" t="s">
        <v>30</v>
      </c>
    </row>
    <row r="2" spans="1:7" ht="18.5" x14ac:dyDescent="0.45">
      <c r="A2" s="35"/>
      <c r="B2" s="210" t="s">
        <v>185</v>
      </c>
      <c r="C2" s="210"/>
      <c r="D2" s="210"/>
      <c r="E2" s="210"/>
      <c r="F2" s="210"/>
    </row>
    <row r="4" spans="1:7" x14ac:dyDescent="0.35">
      <c r="C4" s="71" t="s">
        <v>167</v>
      </c>
      <c r="D4" s="71" t="s">
        <v>168</v>
      </c>
      <c r="E4" s="71" t="s">
        <v>169</v>
      </c>
    </row>
    <row r="5" spans="1:7" ht="14.5" hidden="1" customHeight="1" x14ac:dyDescent="0.35">
      <c r="C5" s="33" t="str">
        <f>INDEX(Control!$B$4:$B$305,MATCH(DeepIntent!C$6,Control!$C$4:$C$305,0))</f>
        <v>hcp_dpint_del</v>
      </c>
      <c r="D5" s="33" t="str">
        <f>INDEX(Control!$B$4:$B$305,MATCH(DeepIntent!D$6,Control!$C$4:$C$305,0))</f>
        <v>hcp_dpint_eng</v>
      </c>
      <c r="E5" s="33" t="str">
        <f>INDEX(Control!$B$4:$B$305,MATCH(DeepIntent!E$6,Control!$C$4:$C$305,0))</f>
        <v>hcp_dpint_clkd</v>
      </c>
      <c r="F5" s="33"/>
    </row>
    <row r="6" spans="1:7" x14ac:dyDescent="0.35">
      <c r="B6" s="22" t="s">
        <v>3</v>
      </c>
      <c r="C6" s="22" t="s">
        <v>172</v>
      </c>
      <c r="D6" s="22" t="s">
        <v>183</v>
      </c>
      <c r="E6" s="22" t="s">
        <v>184</v>
      </c>
      <c r="F6" s="22" t="s">
        <v>165</v>
      </c>
    </row>
    <row r="7" spans="1:7" x14ac:dyDescent="0.35">
      <c r="B7" s="23" cm="1">
        <f t="array" ref="B7:B30">'Trend Charts New'!C$11:C$34</f>
        <v>44228</v>
      </c>
      <c r="C7" s="34">
        <f>_xlfn.IFNA(INDEX('Raw Data'!$D$3:$KZ$42,MATCH(DeepIntent!$B7,'Raw Data'!$B$3:$B$42,0),MATCH(DeepIntent!C$5,'Raw Data'!$D$2:$KZ$2,0)),0)</f>
        <v>0</v>
      </c>
      <c r="D7" s="34">
        <f>_xlfn.IFNA(INDEX('Raw Data'!$D$3:$KZ$42,MATCH(DeepIntent!$B7,'Raw Data'!$B$3:$B$42,0),MATCH(DeepIntent!D$5,'Raw Data'!$D$2:$KZ$2,0)),0)</f>
        <v>0</v>
      </c>
      <c r="E7" s="34">
        <f>_xlfn.IFNA(INDEX('Raw Data'!$D$3:$KZ$42,MATCH(DeepIntent!$B7,'Raw Data'!$B$3:$B$42,0),MATCH(DeepIntent!E$5,'Raw Data'!$D$2:$KZ$2,0)),0)</f>
        <v>0</v>
      </c>
      <c r="F7" s="51">
        <f>IFERROR(D7/C7*100,0)</f>
        <v>0</v>
      </c>
    </row>
    <row r="8" spans="1:7" x14ac:dyDescent="0.35">
      <c r="B8" s="23">
        <v>44256</v>
      </c>
      <c r="C8" s="34">
        <f>_xlfn.IFNA(INDEX('Raw Data'!$D$3:$KZ$42,MATCH(DeepIntent!$B8,'Raw Data'!$B$3:$B$42,0),MATCH(DeepIntent!C$5,'Raw Data'!$D$2:$KZ$2,0)),0)</f>
        <v>0</v>
      </c>
      <c r="D8" s="34">
        <f>_xlfn.IFNA(INDEX('Raw Data'!$D$3:$KZ$42,MATCH(DeepIntent!$B8,'Raw Data'!$B$3:$B$42,0),MATCH(DeepIntent!D$5,'Raw Data'!$D$2:$KZ$2,0)),0)</f>
        <v>0</v>
      </c>
      <c r="E8" s="34">
        <f>_xlfn.IFNA(INDEX('Raw Data'!$D$3:$KZ$42,MATCH(DeepIntent!$B8,'Raw Data'!$B$3:$B$42,0),MATCH(DeepIntent!E$5,'Raw Data'!$D$2:$KZ$2,0)),0)</f>
        <v>0</v>
      </c>
      <c r="F8" s="51">
        <f t="shared" ref="F8:F30" si="0">IFERROR(D8/C8*100,0)</f>
        <v>0</v>
      </c>
      <c r="G8" s="57"/>
    </row>
    <row r="9" spans="1:7" x14ac:dyDescent="0.35">
      <c r="B9" s="23">
        <v>44287</v>
      </c>
      <c r="C9" s="34">
        <f>_xlfn.IFNA(INDEX('Raw Data'!$D$3:$KZ$42,MATCH(DeepIntent!$B9,'Raw Data'!$B$3:$B$42,0),MATCH(DeepIntent!C$5,'Raw Data'!$D$2:$KZ$2,0)),0)</f>
        <v>38724</v>
      </c>
      <c r="D9" s="34">
        <f>_xlfn.IFNA(INDEX('Raw Data'!$D$3:$KZ$42,MATCH(DeepIntent!$B9,'Raw Data'!$B$3:$B$42,0),MATCH(DeepIntent!D$5,'Raw Data'!$D$2:$KZ$2,0)),0)</f>
        <v>339</v>
      </c>
      <c r="E9" s="34">
        <f>_xlfn.IFNA(INDEX('Raw Data'!$D$3:$KZ$42,MATCH(DeepIntent!$B9,'Raw Data'!$B$3:$B$42,0),MATCH(DeepIntent!E$5,'Raw Data'!$D$2:$KZ$2,0)),0)</f>
        <v>339</v>
      </c>
      <c r="F9" s="51">
        <f t="shared" si="0"/>
        <v>0.87542609234583202</v>
      </c>
    </row>
    <row r="10" spans="1:7" x14ac:dyDescent="0.35">
      <c r="B10" s="23">
        <v>44317</v>
      </c>
      <c r="C10" s="34">
        <f>_xlfn.IFNA(INDEX('Raw Data'!$D$3:$KZ$42,MATCH(DeepIntent!$B10,'Raw Data'!$B$3:$B$42,0),MATCH(DeepIntent!C$5,'Raw Data'!$D$2:$KZ$2,0)),0)</f>
        <v>29747</v>
      </c>
      <c r="D10" s="34">
        <f>_xlfn.IFNA(INDEX('Raw Data'!$D$3:$KZ$42,MATCH(DeepIntent!$B10,'Raw Data'!$B$3:$B$42,0),MATCH(DeepIntent!D$5,'Raw Data'!$D$2:$KZ$2,0)),0)</f>
        <v>146</v>
      </c>
      <c r="E10" s="34">
        <f>_xlfn.IFNA(INDEX('Raw Data'!$D$3:$KZ$42,MATCH(DeepIntent!$B10,'Raw Data'!$B$3:$B$42,0),MATCH(DeepIntent!E$5,'Raw Data'!$D$2:$KZ$2,0)),0)</f>
        <v>146</v>
      </c>
      <c r="F10" s="51">
        <f t="shared" si="0"/>
        <v>0.49080579554240761</v>
      </c>
    </row>
    <row r="11" spans="1:7" x14ac:dyDescent="0.35">
      <c r="B11" s="23">
        <v>44348</v>
      </c>
      <c r="C11" s="34">
        <f>_xlfn.IFNA(INDEX('Raw Data'!$D$3:$KZ$42,MATCH(DeepIntent!$B11,'Raw Data'!$B$3:$B$42,0),MATCH(DeepIntent!C$5,'Raw Data'!$D$2:$KZ$2,0)),0)</f>
        <v>112415</v>
      </c>
      <c r="D11" s="34">
        <f>_xlfn.IFNA(INDEX('Raw Data'!$D$3:$KZ$42,MATCH(DeepIntent!$B11,'Raw Data'!$B$3:$B$42,0),MATCH(DeepIntent!D$5,'Raw Data'!$D$2:$KZ$2,0)),0)</f>
        <v>152</v>
      </c>
      <c r="E11" s="34">
        <f>_xlfn.IFNA(INDEX('Raw Data'!$D$3:$KZ$42,MATCH(DeepIntent!$B11,'Raw Data'!$B$3:$B$42,0),MATCH(DeepIntent!E$5,'Raw Data'!$D$2:$KZ$2,0)),0)</f>
        <v>152</v>
      </c>
      <c r="F11" s="51">
        <f t="shared" si="0"/>
        <v>0.13521327225014457</v>
      </c>
    </row>
    <row r="12" spans="1:7" x14ac:dyDescent="0.35">
      <c r="B12" s="23">
        <v>44378</v>
      </c>
      <c r="C12" s="34">
        <f>_xlfn.IFNA(INDEX('Raw Data'!$D$3:$KZ$42,MATCH(DeepIntent!$B12,'Raw Data'!$B$3:$B$42,0),MATCH(DeepIntent!C$5,'Raw Data'!$D$2:$KZ$2,0)),0)</f>
        <v>184114</v>
      </c>
      <c r="D12" s="34">
        <f>_xlfn.IFNA(INDEX('Raw Data'!$D$3:$KZ$42,MATCH(DeepIntent!$B12,'Raw Data'!$B$3:$B$42,0),MATCH(DeepIntent!D$5,'Raw Data'!$D$2:$KZ$2,0)),0)</f>
        <v>264</v>
      </c>
      <c r="E12" s="34">
        <f>_xlfn.IFNA(INDEX('Raw Data'!$D$3:$KZ$42,MATCH(DeepIntent!$B12,'Raw Data'!$B$3:$B$42,0),MATCH(DeepIntent!E$5,'Raw Data'!$D$2:$KZ$2,0)),0)</f>
        <v>264</v>
      </c>
      <c r="F12" s="51">
        <f t="shared" si="0"/>
        <v>0.14338942177129385</v>
      </c>
    </row>
    <row r="13" spans="1:7" x14ac:dyDescent="0.35">
      <c r="B13" s="23">
        <v>44409</v>
      </c>
      <c r="C13" s="34">
        <f>_xlfn.IFNA(INDEX('Raw Data'!$D$3:$KZ$42,MATCH(DeepIntent!$B13,'Raw Data'!$B$3:$B$42,0),MATCH(DeepIntent!C$5,'Raw Data'!$D$2:$KZ$2,0)),0)</f>
        <v>247891</v>
      </c>
      <c r="D13" s="34">
        <f>_xlfn.IFNA(INDEX('Raw Data'!$D$3:$KZ$42,MATCH(DeepIntent!$B13,'Raw Data'!$B$3:$B$42,0),MATCH(DeepIntent!D$5,'Raw Data'!$D$2:$KZ$2,0)),0)</f>
        <v>382</v>
      </c>
      <c r="E13" s="34">
        <f>_xlfn.IFNA(INDEX('Raw Data'!$D$3:$KZ$42,MATCH(DeepIntent!$B13,'Raw Data'!$B$3:$B$42,0),MATCH(DeepIntent!E$5,'Raw Data'!$D$2:$KZ$2,0)),0)</f>
        <v>382</v>
      </c>
      <c r="F13" s="51">
        <f t="shared" si="0"/>
        <v>0.15409998749450363</v>
      </c>
    </row>
    <row r="14" spans="1:7" x14ac:dyDescent="0.35">
      <c r="B14" s="23">
        <v>44440</v>
      </c>
      <c r="C14" s="34">
        <f>_xlfn.IFNA(INDEX('Raw Data'!$D$3:$KZ$42,MATCH(DeepIntent!$B14,'Raw Data'!$B$3:$B$42,0),MATCH(DeepIntent!C$5,'Raw Data'!$D$2:$KZ$2,0)),0)</f>
        <v>244989</v>
      </c>
      <c r="D14" s="34">
        <f>_xlfn.IFNA(INDEX('Raw Data'!$D$3:$KZ$42,MATCH(DeepIntent!$B14,'Raw Data'!$B$3:$B$42,0),MATCH(DeepIntent!D$5,'Raw Data'!$D$2:$KZ$2,0)),0)</f>
        <v>371</v>
      </c>
      <c r="E14" s="34">
        <f>_xlfn.IFNA(INDEX('Raw Data'!$D$3:$KZ$42,MATCH(DeepIntent!$B14,'Raw Data'!$B$3:$B$42,0),MATCH(DeepIntent!E$5,'Raw Data'!$D$2:$KZ$2,0)),0)</f>
        <v>371</v>
      </c>
      <c r="F14" s="51">
        <f t="shared" si="0"/>
        <v>0.15143537056765813</v>
      </c>
    </row>
    <row r="15" spans="1:7" x14ac:dyDescent="0.35">
      <c r="B15" s="23">
        <v>44470</v>
      </c>
      <c r="C15" s="34">
        <f>_xlfn.IFNA(INDEX('Raw Data'!$D$3:$KZ$42,MATCH(DeepIntent!$B15,'Raw Data'!$B$3:$B$42,0),MATCH(DeepIntent!C$5,'Raw Data'!$D$2:$KZ$2,0)),0)</f>
        <v>162246</v>
      </c>
      <c r="D15" s="34">
        <f>_xlfn.IFNA(INDEX('Raw Data'!$D$3:$KZ$42,MATCH(DeepIntent!$B15,'Raw Data'!$B$3:$B$42,0),MATCH(DeepIntent!D$5,'Raw Data'!$D$2:$KZ$2,0)),0)</f>
        <v>130</v>
      </c>
      <c r="E15" s="34">
        <f>_xlfn.IFNA(INDEX('Raw Data'!$D$3:$KZ$42,MATCH(DeepIntent!$B15,'Raw Data'!$B$3:$B$42,0),MATCH(DeepIntent!E$5,'Raw Data'!$D$2:$KZ$2,0)),0)</f>
        <v>130</v>
      </c>
      <c r="F15" s="51">
        <f t="shared" si="0"/>
        <v>8.0125241916595785E-2</v>
      </c>
    </row>
    <row r="16" spans="1:7" x14ac:dyDescent="0.35">
      <c r="B16" s="23">
        <v>44501</v>
      </c>
      <c r="C16" s="34">
        <f>_xlfn.IFNA(INDEX('Raw Data'!$D$3:$KZ$42,MATCH(DeepIntent!$B16,'Raw Data'!$B$3:$B$42,0),MATCH(DeepIntent!C$5,'Raw Data'!$D$2:$KZ$2,0)),0)</f>
        <v>191375</v>
      </c>
      <c r="D16" s="34">
        <f>_xlfn.IFNA(INDEX('Raw Data'!$D$3:$KZ$42,MATCH(DeepIntent!$B16,'Raw Data'!$B$3:$B$42,0),MATCH(DeepIntent!D$5,'Raw Data'!$D$2:$KZ$2,0)),0)</f>
        <v>234</v>
      </c>
      <c r="E16" s="34">
        <f>_xlfn.IFNA(INDEX('Raw Data'!$D$3:$KZ$42,MATCH(DeepIntent!$B16,'Raw Data'!$B$3:$B$42,0),MATCH(DeepIntent!E$5,'Raw Data'!$D$2:$KZ$2,0)),0)</f>
        <v>234</v>
      </c>
      <c r="F16" s="51">
        <f t="shared" si="0"/>
        <v>0.12227302416721099</v>
      </c>
    </row>
    <row r="17" spans="2:8" x14ac:dyDescent="0.35">
      <c r="B17" s="23">
        <v>44531</v>
      </c>
      <c r="C17" s="34">
        <f>_xlfn.IFNA(INDEX('Raw Data'!$D$3:$KZ$42,MATCH(DeepIntent!$B17,'Raw Data'!$B$3:$B$42,0),MATCH(DeepIntent!C$5,'Raw Data'!$D$2:$KZ$2,0)),0)</f>
        <v>310781</v>
      </c>
      <c r="D17" s="34">
        <f>_xlfn.IFNA(INDEX('Raw Data'!$D$3:$KZ$42,MATCH(DeepIntent!$B17,'Raw Data'!$B$3:$B$42,0),MATCH(DeepIntent!D$5,'Raw Data'!$D$2:$KZ$2,0)),0)</f>
        <v>783</v>
      </c>
      <c r="E17" s="34">
        <f>_xlfn.IFNA(INDEX('Raw Data'!$D$3:$KZ$42,MATCH(DeepIntent!$B17,'Raw Data'!$B$3:$B$42,0),MATCH(DeepIntent!E$5,'Raw Data'!$D$2:$KZ$2,0)),0)</f>
        <v>783</v>
      </c>
      <c r="F17" s="51">
        <f t="shared" si="0"/>
        <v>0.25194590402888206</v>
      </c>
    </row>
    <row r="18" spans="2:8" x14ac:dyDescent="0.35">
      <c r="B18" s="23">
        <v>44562</v>
      </c>
      <c r="C18" s="34">
        <f>_xlfn.IFNA(INDEX('Raw Data'!$D$3:$KZ$42,MATCH(DeepIntent!$B18,'Raw Data'!$B$3:$B$42,0),MATCH(DeepIntent!C$5,'Raw Data'!$D$2:$KZ$2,0)),0)</f>
        <v>31581</v>
      </c>
      <c r="D18" s="34">
        <f>_xlfn.IFNA(INDEX('Raw Data'!$D$3:$KZ$42,MATCH(DeepIntent!$B18,'Raw Data'!$B$3:$B$42,0),MATCH(DeepIntent!D$5,'Raw Data'!$D$2:$KZ$2,0)),0)</f>
        <v>113</v>
      </c>
      <c r="E18" s="34">
        <f>_xlfn.IFNA(INDEX('Raw Data'!$D$3:$KZ$42,MATCH(DeepIntent!$B18,'Raw Data'!$B$3:$B$42,0),MATCH(DeepIntent!E$5,'Raw Data'!$D$2:$KZ$2,0)),0)</f>
        <v>113</v>
      </c>
      <c r="F18" s="51">
        <f t="shared" si="0"/>
        <v>0.35781007567841422</v>
      </c>
    </row>
    <row r="19" spans="2:8" x14ac:dyDescent="0.35">
      <c r="B19" s="23">
        <v>44593</v>
      </c>
      <c r="C19" s="34">
        <f>_xlfn.IFNA(INDEX('Raw Data'!$D$3:$KZ$42,MATCH(DeepIntent!$B19,'Raw Data'!$B$3:$B$42,0),MATCH(DeepIntent!C$5,'Raw Data'!$D$2:$KZ$2,0)),0)</f>
        <v>35975</v>
      </c>
      <c r="D19" s="34">
        <f>_xlfn.IFNA(INDEX('Raw Data'!$D$3:$KZ$42,MATCH(DeepIntent!$B19,'Raw Data'!$B$3:$B$42,0),MATCH(DeepIntent!D$5,'Raw Data'!$D$2:$KZ$2,0)),0)</f>
        <v>88</v>
      </c>
      <c r="E19" s="34">
        <f>_xlfn.IFNA(INDEX('Raw Data'!$D$3:$KZ$42,MATCH(DeepIntent!$B19,'Raw Data'!$B$3:$B$42,0),MATCH(DeepIntent!E$5,'Raw Data'!$D$2:$KZ$2,0)),0)</f>
        <v>88</v>
      </c>
      <c r="F19" s="51">
        <f t="shared" si="0"/>
        <v>0.24461431549687285</v>
      </c>
    </row>
    <row r="20" spans="2:8" x14ac:dyDescent="0.35">
      <c r="B20" s="23">
        <v>44621</v>
      </c>
      <c r="C20" s="34">
        <f>_xlfn.IFNA(INDEX('Raw Data'!$D$3:$KZ$42,MATCH(DeepIntent!$B20,'Raw Data'!$B$3:$B$42,0),MATCH(DeepIntent!C$5,'Raw Data'!$D$2:$KZ$2,0)),0)</f>
        <v>36590</v>
      </c>
      <c r="D20" s="34">
        <f>_xlfn.IFNA(INDEX('Raw Data'!$D$3:$KZ$42,MATCH(DeepIntent!$B20,'Raw Data'!$B$3:$B$42,0),MATCH(DeepIntent!D$5,'Raw Data'!$D$2:$KZ$2,0)),0)</f>
        <v>78</v>
      </c>
      <c r="E20" s="34">
        <f>_xlfn.IFNA(INDEX('Raw Data'!$D$3:$KZ$42,MATCH(DeepIntent!$B20,'Raw Data'!$B$3:$B$42,0),MATCH(DeepIntent!E$5,'Raw Data'!$D$2:$KZ$2,0)),0)</f>
        <v>78</v>
      </c>
      <c r="F20" s="51">
        <f t="shared" si="0"/>
        <v>0.21317299808690901</v>
      </c>
    </row>
    <row r="21" spans="2:8" x14ac:dyDescent="0.35">
      <c r="B21" s="23">
        <v>44652</v>
      </c>
      <c r="C21" s="34">
        <f>_xlfn.IFNA(INDEX('Raw Data'!$D$3:$KZ$42,MATCH(DeepIntent!$B21,'Raw Data'!$B$3:$B$42,0),MATCH(DeepIntent!C$5,'Raw Data'!$D$2:$KZ$2,0)),0)</f>
        <v>35454</v>
      </c>
      <c r="D21" s="34">
        <f>_xlfn.IFNA(INDEX('Raw Data'!$D$3:$KZ$42,MATCH(DeepIntent!$B21,'Raw Data'!$B$3:$B$42,0),MATCH(DeepIntent!D$5,'Raw Data'!$D$2:$KZ$2,0)),0)</f>
        <v>81</v>
      </c>
      <c r="E21" s="34">
        <f>_xlfn.IFNA(INDEX('Raw Data'!$D$3:$KZ$42,MATCH(DeepIntent!$B21,'Raw Data'!$B$3:$B$42,0),MATCH(DeepIntent!E$5,'Raw Data'!$D$2:$KZ$2,0)),0)</f>
        <v>81</v>
      </c>
      <c r="F21" s="51">
        <f t="shared" si="0"/>
        <v>0.22846505330851244</v>
      </c>
    </row>
    <row r="22" spans="2:8" x14ac:dyDescent="0.35">
      <c r="B22" s="23">
        <v>44682</v>
      </c>
      <c r="C22" s="34">
        <f>_xlfn.IFNA(INDEX('Raw Data'!$D$3:$KZ$42,MATCH(DeepIntent!$B22,'Raw Data'!$B$3:$B$42,0),MATCH(DeepIntent!C$5,'Raw Data'!$D$2:$KZ$2,0)),0)</f>
        <v>25311</v>
      </c>
      <c r="D22" s="34">
        <f>_xlfn.IFNA(INDEX('Raw Data'!$D$3:$KZ$42,MATCH(DeepIntent!$B22,'Raw Data'!$B$3:$B$42,0),MATCH(DeepIntent!D$5,'Raw Data'!$D$2:$KZ$2,0)),0)</f>
        <v>24</v>
      </c>
      <c r="E22" s="34">
        <f>_xlfn.IFNA(INDEX('Raw Data'!$D$3:$KZ$42,MATCH(DeepIntent!$B22,'Raw Data'!$B$3:$B$42,0),MATCH(DeepIntent!E$5,'Raw Data'!$D$2:$KZ$2,0)),0)</f>
        <v>24</v>
      </c>
      <c r="F22" s="51">
        <f t="shared" si="0"/>
        <v>9.4820433803484649E-2</v>
      </c>
    </row>
    <row r="23" spans="2:8" x14ac:dyDescent="0.35">
      <c r="B23" s="23">
        <v>44713</v>
      </c>
      <c r="C23" s="34">
        <f>_xlfn.IFNA(INDEX('Raw Data'!$D$3:$KZ$42,MATCH(DeepIntent!$B23,'Raw Data'!$B$3:$B$42,0),MATCH(DeepIntent!C$5,'Raw Data'!$D$2:$KZ$2,0)),0)</f>
        <v>23670</v>
      </c>
      <c r="D23" s="34">
        <f>_xlfn.IFNA(INDEX('Raw Data'!$D$3:$KZ$42,MATCH(DeepIntent!$B23,'Raw Data'!$B$3:$B$42,0),MATCH(DeepIntent!D$5,'Raw Data'!$D$2:$KZ$2,0)),0)</f>
        <v>44</v>
      </c>
      <c r="E23" s="34">
        <f>_xlfn.IFNA(INDEX('Raw Data'!$D$3:$KZ$42,MATCH(DeepIntent!$B23,'Raw Data'!$B$3:$B$42,0),MATCH(DeepIntent!E$5,'Raw Data'!$D$2:$KZ$2,0)),0)</f>
        <v>44</v>
      </c>
      <c r="F23" s="51">
        <f t="shared" si="0"/>
        <v>0.18588931136459655</v>
      </c>
    </row>
    <row r="24" spans="2:8" x14ac:dyDescent="0.35">
      <c r="B24" s="23">
        <v>44743</v>
      </c>
      <c r="C24" s="34">
        <f>_xlfn.IFNA(INDEX('Raw Data'!$D$3:$KZ$42,MATCH(DeepIntent!$B24,'Raw Data'!$B$3:$B$42,0),MATCH(DeepIntent!C$5,'Raw Data'!$D$2:$KZ$2,0)),0)</f>
        <v>34886</v>
      </c>
      <c r="D24" s="34">
        <f>_xlfn.IFNA(INDEX('Raw Data'!$D$3:$KZ$42,MATCH(DeepIntent!$B24,'Raw Data'!$B$3:$B$42,0),MATCH(DeepIntent!D$5,'Raw Data'!$D$2:$KZ$2,0)),0)</f>
        <v>47</v>
      </c>
      <c r="E24" s="34">
        <f>_xlfn.IFNA(INDEX('Raw Data'!$D$3:$KZ$42,MATCH(DeepIntent!$B24,'Raw Data'!$B$3:$B$42,0),MATCH(DeepIntent!E$5,'Raw Data'!$D$2:$KZ$2,0)),0)</f>
        <v>47</v>
      </c>
      <c r="F24" s="51">
        <f t="shared" si="0"/>
        <v>0.13472453133061973</v>
      </c>
    </row>
    <row r="25" spans="2:8" x14ac:dyDescent="0.35">
      <c r="B25" s="23">
        <v>44774</v>
      </c>
      <c r="C25" s="34">
        <f>_xlfn.IFNA(INDEX('Raw Data'!$D$3:$KZ$42,MATCH(DeepIntent!$B25,'Raw Data'!$B$3:$B$42,0),MATCH(DeepIntent!C$5,'Raw Data'!$D$2:$KZ$2,0)),0)</f>
        <v>34313</v>
      </c>
      <c r="D25" s="34">
        <f>_xlfn.IFNA(INDEX('Raw Data'!$D$3:$KZ$42,MATCH(DeepIntent!$B25,'Raw Data'!$B$3:$B$42,0),MATCH(DeepIntent!D$5,'Raw Data'!$D$2:$KZ$2,0)),0)</f>
        <v>29</v>
      </c>
      <c r="E25" s="34">
        <f>_xlfn.IFNA(INDEX('Raw Data'!$D$3:$KZ$42,MATCH(DeepIntent!$B25,'Raw Data'!$B$3:$B$42,0),MATCH(DeepIntent!E$5,'Raw Data'!$D$2:$KZ$2,0)),0)</f>
        <v>29</v>
      </c>
      <c r="F25" s="51">
        <f t="shared" si="0"/>
        <v>8.451607262553551E-2</v>
      </c>
    </row>
    <row r="26" spans="2:8" x14ac:dyDescent="0.35">
      <c r="B26" s="23">
        <v>44805</v>
      </c>
      <c r="C26" s="34">
        <f>_xlfn.IFNA(INDEX('Raw Data'!$D$3:$KZ$42,MATCH(DeepIntent!$B26,'Raw Data'!$B$3:$B$42,0),MATCH(DeepIntent!C$5,'Raw Data'!$D$2:$KZ$2,0)),0)</f>
        <v>26136</v>
      </c>
      <c r="D26" s="34">
        <f>_xlfn.IFNA(INDEX('Raw Data'!$D$3:$KZ$42,MATCH(DeepIntent!$B26,'Raw Data'!$B$3:$B$42,0),MATCH(DeepIntent!D$5,'Raw Data'!$D$2:$KZ$2,0)),0)</f>
        <v>46</v>
      </c>
      <c r="E26" s="34">
        <f>_xlfn.IFNA(INDEX('Raw Data'!$D$3:$KZ$42,MATCH(DeepIntent!$B26,'Raw Data'!$B$3:$B$42,0),MATCH(DeepIntent!E$5,'Raw Data'!$D$2:$KZ$2,0)),0)</f>
        <v>46</v>
      </c>
      <c r="F26" s="51">
        <f t="shared" si="0"/>
        <v>0.17600244872972146</v>
      </c>
    </row>
    <row r="27" spans="2:8" x14ac:dyDescent="0.35">
      <c r="B27" s="23">
        <v>44835</v>
      </c>
      <c r="C27" s="34">
        <f>_xlfn.IFNA(INDEX('Raw Data'!$D$3:$KZ$42,MATCH(DeepIntent!$B27,'Raw Data'!$B$3:$B$42,0),MATCH(DeepIntent!C$5,'Raw Data'!$D$2:$KZ$2,0)),0)</f>
        <v>36720</v>
      </c>
      <c r="D27" s="34">
        <f>_xlfn.IFNA(INDEX('Raw Data'!$D$3:$KZ$42,MATCH(DeepIntent!$B27,'Raw Data'!$B$3:$B$42,0),MATCH(DeepIntent!D$5,'Raw Data'!$D$2:$KZ$2,0)),0)</f>
        <v>67</v>
      </c>
      <c r="E27" s="34">
        <f>_xlfn.IFNA(INDEX('Raw Data'!$D$3:$KZ$42,MATCH(DeepIntent!$B27,'Raw Data'!$B$3:$B$42,0),MATCH(DeepIntent!E$5,'Raw Data'!$D$2:$KZ$2,0)),0)</f>
        <v>67</v>
      </c>
      <c r="F27" s="51">
        <f t="shared" si="0"/>
        <v>0.18246187363834424</v>
      </c>
    </row>
    <row r="28" spans="2:8" x14ac:dyDescent="0.35">
      <c r="B28" s="23">
        <v>44866</v>
      </c>
      <c r="C28" s="34">
        <f>_xlfn.IFNA(INDEX('Raw Data'!$D$3:$KZ$42,MATCH(DeepIntent!$B28,'Raw Data'!$B$3:$B$42,0),MATCH(DeepIntent!C$5,'Raw Data'!$D$2:$KZ$2,0)),0)</f>
        <v>23235</v>
      </c>
      <c r="D28" s="34">
        <f>_xlfn.IFNA(INDEX('Raw Data'!$D$3:$KZ$42,MATCH(DeepIntent!$B28,'Raw Data'!$B$3:$B$42,0),MATCH(DeepIntent!D$5,'Raw Data'!$D$2:$KZ$2,0)),0)</f>
        <v>46</v>
      </c>
      <c r="E28" s="34">
        <f>_xlfn.IFNA(INDEX('Raw Data'!$D$3:$KZ$42,MATCH(DeepIntent!$B28,'Raw Data'!$B$3:$B$42,0),MATCH(DeepIntent!E$5,'Raw Data'!$D$2:$KZ$2,0)),0)</f>
        <v>46</v>
      </c>
      <c r="F28" s="51">
        <f t="shared" si="0"/>
        <v>0.1979771895846783</v>
      </c>
    </row>
    <row r="29" spans="2:8" x14ac:dyDescent="0.35">
      <c r="B29" s="23">
        <v>44896</v>
      </c>
      <c r="C29" s="34">
        <f>_xlfn.IFNA(INDEX('Raw Data'!$D$3:$KZ$42,MATCH(DeepIntent!$B29,'Raw Data'!$B$3:$B$42,0),MATCH(DeepIntent!C$5,'Raw Data'!$D$2:$KZ$2,0)),0)</f>
        <v>23310</v>
      </c>
      <c r="D29" s="34">
        <f>_xlfn.IFNA(INDEX('Raw Data'!$D$3:$KZ$42,MATCH(DeepIntent!$B29,'Raw Data'!$B$3:$B$42,0),MATCH(DeepIntent!D$5,'Raw Data'!$D$2:$KZ$2,0)),0)</f>
        <v>54</v>
      </c>
      <c r="E29" s="34">
        <f>_xlfn.IFNA(INDEX('Raw Data'!$D$3:$KZ$42,MATCH(DeepIntent!$B29,'Raw Data'!$B$3:$B$42,0),MATCH(DeepIntent!E$5,'Raw Data'!$D$2:$KZ$2,0)),0)</f>
        <v>54</v>
      </c>
      <c r="F29" s="51">
        <f t="shared" si="0"/>
        <v>0.23166023166023164</v>
      </c>
    </row>
    <row r="30" spans="2:8" x14ac:dyDescent="0.35">
      <c r="B30" s="23">
        <v>44927</v>
      </c>
      <c r="C30" s="34">
        <f>_xlfn.IFNA(INDEX('Raw Data'!$D$3:$KZ$42,MATCH(DeepIntent!$B30,'Raw Data'!$B$3:$B$42,0),MATCH(DeepIntent!C$5,'Raw Data'!$D$2:$KZ$2,0)),0)</f>
        <v>51399</v>
      </c>
      <c r="D30" s="34">
        <f>_xlfn.IFNA(INDEX('Raw Data'!$D$3:$KZ$42,MATCH(DeepIntent!$B30,'Raw Data'!$B$3:$B$42,0),MATCH(DeepIntent!D$5,'Raw Data'!$D$2:$KZ$2,0)),0)</f>
        <v>68</v>
      </c>
      <c r="E30" s="34">
        <f>_xlfn.IFNA(INDEX('Raw Data'!$D$3:$KZ$42,MATCH(DeepIntent!$B30,'Raw Data'!$B$3:$B$42,0),MATCH(DeepIntent!E$5,'Raw Data'!$D$2:$KZ$2,0)),0)</f>
        <v>68</v>
      </c>
      <c r="F30" s="51">
        <f t="shared" si="0"/>
        <v>0.13229829374112337</v>
      </c>
    </row>
    <row r="31" spans="2:8" ht="15.5" x14ac:dyDescent="0.35">
      <c r="H31" s="38" t="s">
        <v>51</v>
      </c>
    </row>
    <row r="32" spans="2:8" x14ac:dyDescent="0.35">
      <c r="H32" s="79" t="s">
        <v>317</v>
      </c>
    </row>
    <row r="33" spans="2:9" x14ac:dyDescent="0.35">
      <c r="H33" s="86" t="s">
        <v>327</v>
      </c>
    </row>
    <row r="35" spans="2:9" x14ac:dyDescent="0.35">
      <c r="B35" s="55"/>
      <c r="C35" s="212" t="s">
        <v>177</v>
      </c>
      <c r="D35" s="213"/>
      <c r="E35" s="213"/>
      <c r="F35" s="214"/>
    </row>
    <row r="36" spans="2:9" x14ac:dyDescent="0.35">
      <c r="B36" s="31" t="s">
        <v>293</v>
      </c>
      <c r="C36" s="60">
        <f>IFERROR(AVERAGE(C9:C20),"-")</f>
        <v>135535.66666666666</v>
      </c>
      <c r="D36" s="60">
        <f t="shared" ref="D36:F36" si="1">IFERROR(AVERAGE(D9:D20),"-")</f>
        <v>256.66666666666669</v>
      </c>
      <c r="E36" s="60">
        <f t="shared" si="1"/>
        <v>256.66666666666669</v>
      </c>
      <c r="F36" s="72">
        <f t="shared" si="1"/>
        <v>0.2683592916122271</v>
      </c>
    </row>
    <row r="37" spans="2:9" x14ac:dyDescent="0.35">
      <c r="B37" s="31" t="s">
        <v>316</v>
      </c>
      <c r="C37" s="42">
        <f>IFERROR(AVERAGE(C18:C29),"-")</f>
        <v>30598.416666666668</v>
      </c>
      <c r="D37" s="42">
        <f t="shared" ref="D37:F37" si="2">IFERROR(AVERAGE(D18:D29),"-")</f>
        <v>59.75</v>
      </c>
      <c r="E37" s="42">
        <f t="shared" si="2"/>
        <v>59.75</v>
      </c>
      <c r="F37" s="73">
        <f t="shared" si="2"/>
        <v>0.19434287794232674</v>
      </c>
    </row>
    <row r="38" spans="2:9" x14ac:dyDescent="0.35">
      <c r="B38" s="31" t="s">
        <v>178</v>
      </c>
      <c r="C38" s="59">
        <f>IFERROR(C37/C36-1,"-")</f>
        <v>-0.77424085173152446</v>
      </c>
      <c r="D38" s="59">
        <f t="shared" ref="D38:F38" si="3">IFERROR(D37/D36-1,"-")</f>
        <v>-0.76720779220779223</v>
      </c>
      <c r="E38" s="59">
        <f t="shared" si="3"/>
        <v>-0.76720779220779223</v>
      </c>
      <c r="F38" s="59">
        <f t="shared" si="3"/>
        <v>-0.27581088482247285</v>
      </c>
    </row>
    <row r="43" spans="2:9" x14ac:dyDescent="0.35">
      <c r="B43" s="71" t="s">
        <v>204</v>
      </c>
      <c r="C43" s="71" t="s">
        <v>205</v>
      </c>
      <c r="D43" s="71" t="s">
        <v>291</v>
      </c>
      <c r="E43" s="71" t="s">
        <v>208</v>
      </c>
      <c r="F43" s="71" t="s">
        <v>292</v>
      </c>
      <c r="H43" s="71" t="s">
        <v>303</v>
      </c>
      <c r="I43" s="71" t="s">
        <v>314</v>
      </c>
    </row>
    <row r="44" spans="2:9" x14ac:dyDescent="0.35">
      <c r="B44" s="31" t="str">
        <f>UPPER(B2)</f>
        <v>DEEPINTENT</v>
      </c>
      <c r="C44" s="31" t="str" cm="1">
        <f t="array" ref="C44">IFERROR(_xlfn.UNIQUE(_xlfn._xlws.FILTER('NPP Spends'!$D$3:$D$80,--ISNUMBER(SEARCH(DeepIntent!$B44,'NPP Spends'!$C$3:$C$80)))),"-")</f>
        <v>BANNER</v>
      </c>
      <c r="D44" s="31" t="str" cm="1">
        <f t="array" ref="D44:D61">IFERROR(_xlfn.UNIQUE(_xlfn._xlws.FILTER('NPP Spends'!$L$3:$L$80,--ISNUMBER(SEARCH(DeepIntent!$B44,'NPP Spends'!$C$3:$C$80)))),"-")</f>
        <v>Jul2021</v>
      </c>
      <c r="E44" s="42" cm="1">
        <f t="array" ref="E44:E61">IFERROR(_xlfn._xlws.FILTER('NPP Spends'!$G$3:$G$80,--ISNUMBER(SEARCH(DeepIntent!$B44,'NPP Spends'!$C$3:$C$80))),"-")</f>
        <v>1787716</v>
      </c>
      <c r="F44" s="74" cm="1">
        <f t="array" ref="F44:F61">IFERROR(_xlfn._xlws.FILTER('NPP Spends'!$H$3:$H$80,--ISNUMBER(SEARCH(DeepIntent!$B44,'NPP Spends'!$C$3:$C$80))),"-")</f>
        <v>22796.52</v>
      </c>
      <c r="H44" s="74">
        <v>266149.43</v>
      </c>
      <c r="I44" s="74">
        <f>SUM(F50:F61)</f>
        <v>35707.999999999993</v>
      </c>
    </row>
    <row r="45" spans="2:9" x14ac:dyDescent="0.35">
      <c r="B45" s="31"/>
      <c r="C45" s="31"/>
      <c r="D45" s="31" t="str">
        <v>Aug2021</v>
      </c>
      <c r="E45" s="42">
        <v>1716717</v>
      </c>
      <c r="F45" s="74">
        <v>21021.56</v>
      </c>
      <c r="I45" s="84">
        <f>I44/H44-1</f>
        <v>-0.86583476808498139</v>
      </c>
    </row>
    <row r="46" spans="2:9" x14ac:dyDescent="0.35">
      <c r="B46" s="31"/>
      <c r="C46" s="31"/>
      <c r="D46" s="31" t="str">
        <v>Sep2021</v>
      </c>
      <c r="E46" s="42">
        <v>1954882</v>
      </c>
      <c r="F46" s="74">
        <v>48872.05</v>
      </c>
    </row>
    <row r="47" spans="2:9" x14ac:dyDescent="0.35">
      <c r="B47" s="31"/>
      <c r="C47" s="31"/>
      <c r="D47" s="31" t="str">
        <v>Oct2021</v>
      </c>
      <c r="E47" s="42">
        <v>572655</v>
      </c>
      <c r="F47" s="74">
        <v>13625.85</v>
      </c>
    </row>
    <row r="48" spans="2:9" x14ac:dyDescent="0.35">
      <c r="B48" s="31"/>
      <c r="C48" s="31"/>
      <c r="D48" s="31" t="str">
        <v>Nov2021</v>
      </c>
      <c r="E48" s="42">
        <v>842114</v>
      </c>
      <c r="F48" s="74">
        <v>27623.759999999998</v>
      </c>
    </row>
    <row r="49" spans="2:6" x14ac:dyDescent="0.35">
      <c r="B49" s="31"/>
      <c r="C49" s="31"/>
      <c r="D49" s="31" t="str">
        <v>Dec2021</v>
      </c>
      <c r="E49" s="42">
        <v>2197267</v>
      </c>
      <c r="F49" s="74">
        <v>78282.679999999993</v>
      </c>
    </row>
    <row r="50" spans="2:6" x14ac:dyDescent="0.35">
      <c r="B50" s="31"/>
      <c r="C50" s="31"/>
      <c r="D50" s="31" t="str">
        <v>Jan2022</v>
      </c>
      <c r="E50" s="42">
        <v>126491</v>
      </c>
      <c r="F50" s="74">
        <v>2975.67</v>
      </c>
    </row>
    <row r="51" spans="2:6" x14ac:dyDescent="0.35">
      <c r="B51" s="31"/>
      <c r="C51" s="31"/>
      <c r="D51" s="31" t="str">
        <v>Feb2022</v>
      </c>
      <c r="E51" s="42">
        <v>124198</v>
      </c>
      <c r="F51" s="74">
        <v>2975.67</v>
      </c>
    </row>
    <row r="52" spans="2:6" x14ac:dyDescent="0.35">
      <c r="B52" s="31"/>
      <c r="C52" s="31"/>
      <c r="D52" s="31" t="str">
        <v>Mar2022</v>
      </c>
      <c r="E52" s="42">
        <v>123934</v>
      </c>
      <c r="F52" s="74">
        <v>2975.67</v>
      </c>
    </row>
    <row r="53" spans="2:6" x14ac:dyDescent="0.35">
      <c r="B53" s="31"/>
      <c r="C53" s="31"/>
      <c r="D53" s="31" t="str">
        <v>Apr2022</v>
      </c>
      <c r="E53" s="42">
        <v>118763</v>
      </c>
      <c r="F53" s="74">
        <v>2969.08</v>
      </c>
    </row>
    <row r="54" spans="2:6" x14ac:dyDescent="0.35">
      <c r="B54" s="31"/>
      <c r="C54" s="31"/>
      <c r="D54" s="31" t="str">
        <v>May2022</v>
      </c>
      <c r="E54" s="42">
        <v>122608</v>
      </c>
      <c r="F54" s="74">
        <v>2982.26</v>
      </c>
    </row>
    <row r="55" spans="2:6" x14ac:dyDescent="0.35">
      <c r="B55" s="31"/>
      <c r="C55" s="31"/>
      <c r="D55" s="31" t="str">
        <v>Jun2022</v>
      </c>
      <c r="E55" s="42" t="str">
        <v xml:space="preserve">122166	</v>
      </c>
      <c r="F55" s="74">
        <v>2975.67</v>
      </c>
    </row>
    <row r="56" spans="2:6" x14ac:dyDescent="0.35">
      <c r="B56" s="31"/>
      <c r="C56" s="31"/>
      <c r="D56" s="31" t="str">
        <v>Jul2022</v>
      </c>
      <c r="E56" s="42">
        <v>0</v>
      </c>
      <c r="F56" s="74">
        <v>2907.15</v>
      </c>
    </row>
    <row r="57" spans="2:6" x14ac:dyDescent="0.35">
      <c r="B57" s="31"/>
      <c r="C57" s="31"/>
      <c r="D57" s="31" t="str">
        <v>Aug2022</v>
      </c>
      <c r="E57" s="42">
        <v>0</v>
      </c>
      <c r="F57" s="74">
        <v>3044.19</v>
      </c>
    </row>
    <row r="58" spans="2:6" x14ac:dyDescent="0.35">
      <c r="B58" s="31"/>
      <c r="C58" s="31"/>
      <c r="D58" s="31" t="str">
        <v>Sep2022</v>
      </c>
      <c r="E58" s="42">
        <v>0</v>
      </c>
      <c r="F58" s="74">
        <v>2975.67</v>
      </c>
    </row>
    <row r="59" spans="2:6" x14ac:dyDescent="0.35">
      <c r="B59" s="31"/>
      <c r="C59" s="31"/>
      <c r="D59" s="31" t="str">
        <v>Oct2022</v>
      </c>
      <c r="E59" s="42">
        <v>0</v>
      </c>
      <c r="F59" s="74">
        <v>2975.67</v>
      </c>
    </row>
    <row r="60" spans="2:6" x14ac:dyDescent="0.35">
      <c r="B60" s="31"/>
      <c r="C60" s="31"/>
      <c r="D60" s="31" t="str">
        <v>Nov2022</v>
      </c>
      <c r="E60" s="42">
        <v>0</v>
      </c>
      <c r="F60" s="74">
        <v>2975.67</v>
      </c>
    </row>
    <row r="61" spans="2:6" x14ac:dyDescent="0.35">
      <c r="B61" s="31"/>
      <c r="C61" s="31"/>
      <c r="D61" s="31" t="str">
        <v>Dec2022</v>
      </c>
      <c r="E61" s="42">
        <v>0</v>
      </c>
      <c r="F61" s="74">
        <v>2975.63</v>
      </c>
    </row>
    <row r="62" spans="2:6" x14ac:dyDescent="0.35">
      <c r="B62" s="31"/>
      <c r="C62" s="31"/>
      <c r="D62" s="31"/>
      <c r="E62" s="42"/>
      <c r="F62" s="74"/>
    </row>
    <row r="63" spans="2:6" x14ac:dyDescent="0.35">
      <c r="B63" s="31"/>
      <c r="C63" s="31"/>
      <c r="D63" s="31"/>
      <c r="E63" s="42"/>
      <c r="F63" s="74"/>
    </row>
    <row r="64" spans="2:6" x14ac:dyDescent="0.35">
      <c r="B64" s="31"/>
      <c r="C64" s="31"/>
      <c r="D64" s="31"/>
      <c r="E64" s="42"/>
      <c r="F64" s="74"/>
    </row>
    <row r="65" spans="2:6" x14ac:dyDescent="0.35">
      <c r="B65" s="31"/>
      <c r="C65" s="31"/>
      <c r="D65" s="31"/>
      <c r="E65" s="42"/>
      <c r="F65" s="74"/>
    </row>
  </sheetData>
  <mergeCells count="2">
    <mergeCell ref="B2:F2"/>
    <mergeCell ref="C35:F35"/>
  </mergeCells>
  <hyperlinks>
    <hyperlink ref="A1" location="Index!A1" display="Home" xr:uid="{401BA4B9-F328-4464-AAA3-D6BB95637294}"/>
  </hyperlinks>
  <pageMargins left="0.7" right="0.7" top="0.75" bottom="0.75" header="0.3" footer="0.3"/>
  <pageSetup paperSize="9" orientation="portrait" r:id="rId1"/>
  <headerFooter>
    <oddHeader>&amp;L&amp;"Calibri"&amp;12&amp;K8E6A00Confidential&amp;1#</oddHeader>
  </headerFooter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24AB5629-BB62-4F6B-83D7-3BB3377D03F4}">
          <x14:formula1>
            <xm:f>Control!$C$4:$C$305</xm:f>
          </x14:formula1>
          <xm:sqref>C6:E6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014BD-1912-48B4-9418-2D672310E71B}">
  <sheetPr codeName="Sheet5">
    <tabColor theme="5" tint="0.39997558519241921"/>
  </sheetPr>
  <dimension ref="A1:H65"/>
  <sheetViews>
    <sheetView tabSelected="1" topLeftCell="A6" zoomScale="55" zoomScaleNormal="55" workbookViewId="0">
      <selection activeCell="C6" sqref="C6"/>
    </sheetView>
  </sheetViews>
  <sheetFormatPr defaultRowHeight="14.5" x14ac:dyDescent="0.35"/>
  <cols>
    <col min="1" max="1" width="9.08984375" style="10" customWidth="1"/>
    <col min="2" max="2" width="16.08984375" style="10" bestFit="1" customWidth="1"/>
    <col min="3" max="3" width="29.36328125" style="10" customWidth="1"/>
    <col min="4" max="4" width="33.6328125" style="10" customWidth="1"/>
    <col min="5" max="5" width="26.6328125" style="10" customWidth="1"/>
    <col min="6" max="6" width="23.08984375" style="10" customWidth="1"/>
    <col min="7" max="7" width="7.26953125" style="10" customWidth="1"/>
    <col min="8" max="16384" width="8.7265625" style="10"/>
  </cols>
  <sheetData>
    <row r="1" spans="1:7" ht="15.5" x14ac:dyDescent="0.35">
      <c r="A1" s="35" t="s">
        <v>30</v>
      </c>
    </row>
    <row r="2" spans="1:7" ht="18.5" x14ac:dyDescent="0.45">
      <c r="A2" s="35"/>
      <c r="B2" s="210" t="s">
        <v>192</v>
      </c>
      <c r="C2" s="210"/>
      <c r="D2" s="210"/>
      <c r="E2" s="210"/>
      <c r="F2" s="210"/>
    </row>
    <row r="4" spans="1:7" x14ac:dyDescent="0.35">
      <c r="C4" s="71" t="s">
        <v>167</v>
      </c>
      <c r="D4" s="71" t="s">
        <v>168</v>
      </c>
      <c r="E4" s="71" t="s">
        <v>169</v>
      </c>
    </row>
    <row r="5" spans="1:7" ht="14.5" customHeight="1" x14ac:dyDescent="0.35">
      <c r="C5" s="33" t="str">
        <f>INDEX(Control!$B$4:$B$305,MATCH(EveryDayHealth!C$6,Control!$C$4:$C$305,0))</f>
        <v>hcp_edh_del</v>
      </c>
      <c r="D5" s="33" t="str">
        <f>INDEX(Control!$B$4:$B$305,MATCH(EveryDayHealth!D$6,Control!$C$4:$C$305,0))</f>
        <v>hcp_edh_eng</v>
      </c>
      <c r="E5" s="33" t="str">
        <f>INDEX(Control!$B$4:$B$305,MATCH(EveryDayHealth!E$6,Control!$C$4:$C$305,0))</f>
        <v>hcp_edh_clkd</v>
      </c>
      <c r="F5" s="33"/>
    </row>
    <row r="6" spans="1:7" x14ac:dyDescent="0.35">
      <c r="B6" s="22" t="s">
        <v>3</v>
      </c>
      <c r="C6" s="22" t="s">
        <v>173</v>
      </c>
      <c r="D6" s="22" t="s">
        <v>190</v>
      </c>
      <c r="E6" s="22" t="s">
        <v>191</v>
      </c>
      <c r="F6" s="22" t="s">
        <v>165</v>
      </c>
    </row>
    <row r="7" spans="1:7" x14ac:dyDescent="0.35">
      <c r="B7" s="23" cm="1">
        <f t="array" ref="B7:B30">'Trend Charts New'!C$11:C$34</f>
        <v>44228</v>
      </c>
      <c r="C7" s="34">
        <f>_xlfn.IFNA(INDEX('Raw Data'!$D$3:$KZ$42,MATCH(EveryDayHealth!$B7,'Raw Data'!$B$3:$B$42,0),MATCH(EveryDayHealth!C$5,'Raw Data'!$D$2:$KZ$2,0)),0)</f>
        <v>1746</v>
      </c>
      <c r="D7" s="34">
        <f>_xlfn.IFNA(INDEX('Raw Data'!$D$3:$KZ$42,MATCH(EveryDayHealth!$B7,'Raw Data'!$B$3:$B$42,0),MATCH(EveryDayHealth!D$5,'Raw Data'!$D$2:$KZ$2,0)),0)</f>
        <v>694</v>
      </c>
      <c r="E7" s="34">
        <f>_xlfn.IFNA(INDEX('Raw Data'!$D$3:$KZ$42,MATCH(EveryDayHealth!$B7,'Raw Data'!$B$3:$B$42,0),MATCH(EveryDayHealth!E$5,'Raw Data'!$D$2:$KZ$2,0)),0)</f>
        <v>8</v>
      </c>
      <c r="F7" s="51">
        <f>IFERROR(D7/C7*100,0)</f>
        <v>39.747995418098512</v>
      </c>
    </row>
    <row r="8" spans="1:7" x14ac:dyDescent="0.35">
      <c r="B8" s="23">
        <v>44256</v>
      </c>
      <c r="C8" s="34">
        <f>_xlfn.IFNA(INDEX('Raw Data'!$D$3:$KZ$42,MATCH(EveryDayHealth!$B8,'Raw Data'!$B$3:$B$42,0),MATCH(EveryDayHealth!C$5,'Raw Data'!$D$2:$KZ$2,0)),0)</f>
        <v>1547</v>
      </c>
      <c r="D8" s="34">
        <f>_xlfn.IFNA(INDEX('Raw Data'!$D$3:$KZ$42,MATCH(EveryDayHealth!$B8,'Raw Data'!$B$3:$B$42,0),MATCH(EveryDayHealth!D$5,'Raw Data'!$D$2:$KZ$2,0)),0)</f>
        <v>672</v>
      </c>
      <c r="E8" s="34">
        <f>_xlfn.IFNA(INDEX('Raw Data'!$D$3:$KZ$42,MATCH(EveryDayHealth!$B8,'Raw Data'!$B$3:$B$42,0),MATCH(EveryDayHealth!E$5,'Raw Data'!$D$2:$KZ$2,0)),0)</f>
        <v>9</v>
      </c>
      <c r="F8" s="51">
        <f t="shared" ref="F8:F30" si="0">IFERROR(D8/C8*100,0)</f>
        <v>43.438914027149323</v>
      </c>
      <c r="G8" s="57"/>
    </row>
    <row r="9" spans="1:7" x14ac:dyDescent="0.35">
      <c r="B9" s="23">
        <v>44287</v>
      </c>
      <c r="C9" s="34">
        <f>_xlfn.IFNA(INDEX('Raw Data'!$D$3:$KZ$42,MATCH(EveryDayHealth!$B9,'Raw Data'!$B$3:$B$42,0),MATCH(EveryDayHealth!C$5,'Raw Data'!$D$2:$KZ$2,0)),0)</f>
        <v>0</v>
      </c>
      <c r="D9" s="34">
        <f>_xlfn.IFNA(INDEX('Raw Data'!$D$3:$KZ$42,MATCH(EveryDayHealth!$B9,'Raw Data'!$B$3:$B$42,0),MATCH(EveryDayHealth!D$5,'Raw Data'!$D$2:$KZ$2,0)),0)</f>
        <v>0</v>
      </c>
      <c r="E9" s="34">
        <f>_xlfn.IFNA(INDEX('Raw Data'!$D$3:$KZ$42,MATCH(EveryDayHealth!$B9,'Raw Data'!$B$3:$B$42,0),MATCH(EveryDayHealth!E$5,'Raw Data'!$D$2:$KZ$2,0)),0)</f>
        <v>0</v>
      </c>
      <c r="F9" s="51">
        <f t="shared" si="0"/>
        <v>0</v>
      </c>
    </row>
    <row r="10" spans="1:7" x14ac:dyDescent="0.35">
      <c r="B10" s="23">
        <v>44317</v>
      </c>
      <c r="C10" s="34">
        <f>_xlfn.IFNA(INDEX('Raw Data'!$D$3:$KZ$42,MATCH(EveryDayHealth!$B10,'Raw Data'!$B$3:$B$42,0),MATCH(EveryDayHealth!C$5,'Raw Data'!$D$2:$KZ$2,0)),0)</f>
        <v>0</v>
      </c>
      <c r="D10" s="34">
        <f>_xlfn.IFNA(INDEX('Raw Data'!$D$3:$KZ$42,MATCH(EveryDayHealth!$B10,'Raw Data'!$B$3:$B$42,0),MATCH(EveryDayHealth!D$5,'Raw Data'!$D$2:$KZ$2,0)),0)</f>
        <v>0</v>
      </c>
      <c r="E10" s="34">
        <f>_xlfn.IFNA(INDEX('Raw Data'!$D$3:$KZ$42,MATCH(EveryDayHealth!$B10,'Raw Data'!$B$3:$B$42,0),MATCH(EveryDayHealth!E$5,'Raw Data'!$D$2:$KZ$2,0)),0)</f>
        <v>0</v>
      </c>
      <c r="F10" s="51">
        <f t="shared" si="0"/>
        <v>0</v>
      </c>
    </row>
    <row r="11" spans="1:7" x14ac:dyDescent="0.35">
      <c r="B11" s="23">
        <v>44348</v>
      </c>
      <c r="C11" s="34">
        <f>_xlfn.IFNA(INDEX('Raw Data'!$D$3:$KZ$42,MATCH(EveryDayHealth!$B11,'Raw Data'!$B$3:$B$42,0),MATCH(EveryDayHealth!C$5,'Raw Data'!$D$2:$KZ$2,0)),0)</f>
        <v>0</v>
      </c>
      <c r="D11" s="34">
        <f>_xlfn.IFNA(INDEX('Raw Data'!$D$3:$KZ$42,MATCH(EveryDayHealth!$B11,'Raw Data'!$B$3:$B$42,0),MATCH(EveryDayHealth!D$5,'Raw Data'!$D$2:$KZ$2,0)),0)</f>
        <v>0</v>
      </c>
      <c r="E11" s="34">
        <f>_xlfn.IFNA(INDEX('Raw Data'!$D$3:$KZ$42,MATCH(EveryDayHealth!$B11,'Raw Data'!$B$3:$B$42,0),MATCH(EveryDayHealth!E$5,'Raw Data'!$D$2:$KZ$2,0)),0)</f>
        <v>0</v>
      </c>
      <c r="F11" s="51">
        <f t="shared" si="0"/>
        <v>0</v>
      </c>
    </row>
    <row r="12" spans="1:7" x14ac:dyDescent="0.35">
      <c r="B12" s="23">
        <v>44378</v>
      </c>
      <c r="C12" s="34">
        <f>_xlfn.IFNA(INDEX('Raw Data'!$D$3:$KZ$42,MATCH(EveryDayHealth!$B12,'Raw Data'!$B$3:$B$42,0),MATCH(EveryDayHealth!C$5,'Raw Data'!$D$2:$KZ$2,0)),0)</f>
        <v>0</v>
      </c>
      <c r="D12" s="34">
        <f>_xlfn.IFNA(INDEX('Raw Data'!$D$3:$KZ$42,MATCH(EveryDayHealth!$B12,'Raw Data'!$B$3:$B$42,0),MATCH(EveryDayHealth!D$5,'Raw Data'!$D$2:$KZ$2,0)),0)</f>
        <v>0</v>
      </c>
      <c r="E12" s="34">
        <f>_xlfn.IFNA(INDEX('Raw Data'!$D$3:$KZ$42,MATCH(EveryDayHealth!$B12,'Raw Data'!$B$3:$B$42,0),MATCH(EveryDayHealth!E$5,'Raw Data'!$D$2:$KZ$2,0)),0)</f>
        <v>0</v>
      </c>
      <c r="F12" s="51">
        <f t="shared" si="0"/>
        <v>0</v>
      </c>
    </row>
    <row r="13" spans="1:7" x14ac:dyDescent="0.35">
      <c r="B13" s="23">
        <v>44409</v>
      </c>
      <c r="C13" s="34">
        <f>_xlfn.IFNA(INDEX('Raw Data'!$D$3:$KZ$42,MATCH(EveryDayHealth!$B13,'Raw Data'!$B$3:$B$42,0),MATCH(EveryDayHealth!C$5,'Raw Data'!$D$2:$KZ$2,0)),0)</f>
        <v>0</v>
      </c>
      <c r="D13" s="34">
        <f>_xlfn.IFNA(INDEX('Raw Data'!$D$3:$KZ$42,MATCH(EveryDayHealth!$B13,'Raw Data'!$B$3:$B$42,0),MATCH(EveryDayHealth!D$5,'Raw Data'!$D$2:$KZ$2,0)),0)</f>
        <v>0</v>
      </c>
      <c r="E13" s="34">
        <f>_xlfn.IFNA(INDEX('Raw Data'!$D$3:$KZ$42,MATCH(EveryDayHealth!$B13,'Raw Data'!$B$3:$B$42,0),MATCH(EveryDayHealth!E$5,'Raw Data'!$D$2:$KZ$2,0)),0)</f>
        <v>0</v>
      </c>
      <c r="F13" s="51">
        <f t="shared" si="0"/>
        <v>0</v>
      </c>
    </row>
    <row r="14" spans="1:7" x14ac:dyDescent="0.35">
      <c r="B14" s="23">
        <v>44440</v>
      </c>
      <c r="C14" s="34">
        <f>_xlfn.IFNA(INDEX('Raw Data'!$D$3:$KZ$42,MATCH(EveryDayHealth!$B14,'Raw Data'!$B$3:$B$42,0),MATCH(EveryDayHealth!C$5,'Raw Data'!$D$2:$KZ$2,0)),0)</f>
        <v>0</v>
      </c>
      <c r="D14" s="34">
        <f>_xlfn.IFNA(INDEX('Raw Data'!$D$3:$KZ$42,MATCH(EveryDayHealth!$B14,'Raw Data'!$B$3:$B$42,0),MATCH(EveryDayHealth!D$5,'Raw Data'!$D$2:$KZ$2,0)),0)</f>
        <v>0</v>
      </c>
      <c r="E14" s="34">
        <f>_xlfn.IFNA(INDEX('Raw Data'!$D$3:$KZ$42,MATCH(EveryDayHealth!$B14,'Raw Data'!$B$3:$B$42,0),MATCH(EveryDayHealth!E$5,'Raw Data'!$D$2:$KZ$2,0)),0)</f>
        <v>0</v>
      </c>
      <c r="F14" s="51">
        <f t="shared" si="0"/>
        <v>0</v>
      </c>
    </row>
    <row r="15" spans="1:7" x14ac:dyDescent="0.35">
      <c r="B15" s="23">
        <v>44470</v>
      </c>
      <c r="C15" s="34">
        <f>_xlfn.IFNA(INDEX('Raw Data'!$D$3:$KZ$42,MATCH(EveryDayHealth!$B15,'Raw Data'!$B$3:$B$42,0),MATCH(EveryDayHealth!C$5,'Raw Data'!$D$2:$KZ$2,0)),0)</f>
        <v>0</v>
      </c>
      <c r="D15" s="34">
        <f>_xlfn.IFNA(INDEX('Raw Data'!$D$3:$KZ$42,MATCH(EveryDayHealth!$B15,'Raw Data'!$B$3:$B$42,0),MATCH(EveryDayHealth!D$5,'Raw Data'!$D$2:$KZ$2,0)),0)</f>
        <v>0</v>
      </c>
      <c r="E15" s="34">
        <f>_xlfn.IFNA(INDEX('Raw Data'!$D$3:$KZ$42,MATCH(EveryDayHealth!$B15,'Raw Data'!$B$3:$B$42,0),MATCH(EveryDayHealth!E$5,'Raw Data'!$D$2:$KZ$2,0)),0)</f>
        <v>0</v>
      </c>
      <c r="F15" s="51">
        <f t="shared" si="0"/>
        <v>0</v>
      </c>
    </row>
    <row r="16" spans="1:7" x14ac:dyDescent="0.35">
      <c r="B16" s="23">
        <v>44501</v>
      </c>
      <c r="C16" s="34">
        <f>_xlfn.IFNA(INDEX('Raw Data'!$D$3:$KZ$42,MATCH(EveryDayHealth!$B16,'Raw Data'!$B$3:$B$42,0),MATCH(EveryDayHealth!C$5,'Raw Data'!$D$2:$KZ$2,0)),0)</f>
        <v>0</v>
      </c>
      <c r="D16" s="34">
        <f>_xlfn.IFNA(INDEX('Raw Data'!$D$3:$KZ$42,MATCH(EveryDayHealth!$B16,'Raw Data'!$B$3:$B$42,0),MATCH(EveryDayHealth!D$5,'Raw Data'!$D$2:$KZ$2,0)),0)</f>
        <v>0</v>
      </c>
      <c r="E16" s="34">
        <f>_xlfn.IFNA(INDEX('Raw Data'!$D$3:$KZ$42,MATCH(EveryDayHealth!$B16,'Raw Data'!$B$3:$B$42,0),MATCH(EveryDayHealth!E$5,'Raw Data'!$D$2:$KZ$2,0)),0)</f>
        <v>0</v>
      </c>
      <c r="F16" s="51">
        <f t="shared" si="0"/>
        <v>0</v>
      </c>
    </row>
    <row r="17" spans="2:8" x14ac:dyDescent="0.35">
      <c r="B17" s="23">
        <v>44531</v>
      </c>
      <c r="C17" s="34">
        <f>_xlfn.IFNA(INDEX('Raw Data'!$D$3:$KZ$42,MATCH(EveryDayHealth!$B17,'Raw Data'!$B$3:$B$42,0),MATCH(EveryDayHealth!C$5,'Raw Data'!$D$2:$KZ$2,0)),0)</f>
        <v>0</v>
      </c>
      <c r="D17" s="34">
        <f>_xlfn.IFNA(INDEX('Raw Data'!$D$3:$KZ$42,MATCH(EveryDayHealth!$B17,'Raw Data'!$B$3:$B$42,0),MATCH(EveryDayHealth!D$5,'Raw Data'!$D$2:$KZ$2,0)),0)</f>
        <v>0</v>
      </c>
      <c r="E17" s="34">
        <f>_xlfn.IFNA(INDEX('Raw Data'!$D$3:$KZ$42,MATCH(EveryDayHealth!$B17,'Raw Data'!$B$3:$B$42,0),MATCH(EveryDayHealth!E$5,'Raw Data'!$D$2:$KZ$2,0)),0)</f>
        <v>0</v>
      </c>
      <c r="F17" s="51">
        <f t="shared" si="0"/>
        <v>0</v>
      </c>
    </row>
    <row r="18" spans="2:8" x14ac:dyDescent="0.35">
      <c r="B18" s="23">
        <v>44562</v>
      </c>
      <c r="C18" s="34">
        <f>_xlfn.IFNA(INDEX('Raw Data'!$D$3:$KZ$42,MATCH(EveryDayHealth!$B18,'Raw Data'!$B$3:$B$42,0),MATCH(EveryDayHealth!C$5,'Raw Data'!$D$2:$KZ$2,0)),0)</f>
        <v>0</v>
      </c>
      <c r="D18" s="34">
        <f>_xlfn.IFNA(INDEX('Raw Data'!$D$3:$KZ$42,MATCH(EveryDayHealth!$B18,'Raw Data'!$B$3:$B$42,0),MATCH(EveryDayHealth!D$5,'Raw Data'!$D$2:$KZ$2,0)),0)</f>
        <v>0</v>
      </c>
      <c r="E18" s="34">
        <f>_xlfn.IFNA(INDEX('Raw Data'!$D$3:$KZ$42,MATCH(EveryDayHealth!$B18,'Raw Data'!$B$3:$B$42,0),MATCH(EveryDayHealth!E$5,'Raw Data'!$D$2:$KZ$2,0)),0)</f>
        <v>0</v>
      </c>
      <c r="F18" s="51">
        <f t="shared" si="0"/>
        <v>0</v>
      </c>
    </row>
    <row r="19" spans="2:8" x14ac:dyDescent="0.35">
      <c r="B19" s="23">
        <v>44593</v>
      </c>
      <c r="C19" s="34">
        <f>_xlfn.IFNA(INDEX('Raw Data'!$D$3:$KZ$42,MATCH(EveryDayHealth!$B19,'Raw Data'!$B$3:$B$42,0),MATCH(EveryDayHealth!C$5,'Raw Data'!$D$2:$KZ$2,0)),0)</f>
        <v>0</v>
      </c>
      <c r="D19" s="34">
        <f>_xlfn.IFNA(INDEX('Raw Data'!$D$3:$KZ$42,MATCH(EveryDayHealth!$B19,'Raw Data'!$B$3:$B$42,0),MATCH(EveryDayHealth!D$5,'Raw Data'!$D$2:$KZ$2,0)),0)</f>
        <v>0</v>
      </c>
      <c r="E19" s="34">
        <f>_xlfn.IFNA(INDEX('Raw Data'!$D$3:$KZ$42,MATCH(EveryDayHealth!$B19,'Raw Data'!$B$3:$B$42,0),MATCH(EveryDayHealth!E$5,'Raw Data'!$D$2:$KZ$2,0)),0)</f>
        <v>0</v>
      </c>
      <c r="F19" s="51">
        <f t="shared" si="0"/>
        <v>0</v>
      </c>
    </row>
    <row r="20" spans="2:8" x14ac:dyDescent="0.35">
      <c r="B20" s="23">
        <v>44621</v>
      </c>
      <c r="C20" s="34">
        <f>_xlfn.IFNA(INDEX('Raw Data'!$D$3:$KZ$42,MATCH(EveryDayHealth!$B20,'Raw Data'!$B$3:$B$42,0),MATCH(EveryDayHealth!C$5,'Raw Data'!$D$2:$KZ$2,0)),0)</f>
        <v>0</v>
      </c>
      <c r="D20" s="34">
        <f>_xlfn.IFNA(INDEX('Raw Data'!$D$3:$KZ$42,MATCH(EveryDayHealth!$B20,'Raw Data'!$B$3:$B$42,0),MATCH(EveryDayHealth!D$5,'Raw Data'!$D$2:$KZ$2,0)),0)</f>
        <v>0</v>
      </c>
      <c r="E20" s="34">
        <f>_xlfn.IFNA(INDEX('Raw Data'!$D$3:$KZ$42,MATCH(EveryDayHealth!$B20,'Raw Data'!$B$3:$B$42,0),MATCH(EveryDayHealth!E$5,'Raw Data'!$D$2:$KZ$2,0)),0)</f>
        <v>0</v>
      </c>
      <c r="F20" s="51">
        <f t="shared" si="0"/>
        <v>0</v>
      </c>
    </row>
    <row r="21" spans="2:8" x14ac:dyDescent="0.35">
      <c r="B21" s="23">
        <v>44652</v>
      </c>
      <c r="C21" s="34">
        <f>_xlfn.IFNA(INDEX('Raw Data'!$D$3:$KZ$42,MATCH(EveryDayHealth!$B21,'Raw Data'!$B$3:$B$42,0),MATCH(EveryDayHealth!C$5,'Raw Data'!$D$2:$KZ$2,0)),0)</f>
        <v>0</v>
      </c>
      <c r="D21" s="34">
        <f>_xlfn.IFNA(INDEX('Raw Data'!$D$3:$KZ$42,MATCH(EveryDayHealth!$B21,'Raw Data'!$B$3:$B$42,0),MATCH(EveryDayHealth!D$5,'Raw Data'!$D$2:$KZ$2,0)),0)</f>
        <v>0</v>
      </c>
      <c r="E21" s="34">
        <f>_xlfn.IFNA(INDEX('Raw Data'!$D$3:$KZ$42,MATCH(EveryDayHealth!$B21,'Raw Data'!$B$3:$B$42,0),MATCH(EveryDayHealth!E$5,'Raw Data'!$D$2:$KZ$2,0)),0)</f>
        <v>0</v>
      </c>
      <c r="F21" s="51">
        <f t="shared" si="0"/>
        <v>0</v>
      </c>
    </row>
    <row r="22" spans="2:8" x14ac:dyDescent="0.35">
      <c r="B22" s="23">
        <v>44682</v>
      </c>
      <c r="C22" s="34">
        <f>_xlfn.IFNA(INDEX('Raw Data'!$D$3:$KZ$42,MATCH(EveryDayHealth!$B22,'Raw Data'!$B$3:$B$42,0),MATCH(EveryDayHealth!C$5,'Raw Data'!$D$2:$KZ$2,0)),0)</f>
        <v>0</v>
      </c>
      <c r="D22" s="34">
        <f>_xlfn.IFNA(INDEX('Raw Data'!$D$3:$KZ$42,MATCH(EveryDayHealth!$B22,'Raw Data'!$B$3:$B$42,0),MATCH(EveryDayHealth!D$5,'Raw Data'!$D$2:$KZ$2,0)),0)</f>
        <v>0</v>
      </c>
      <c r="E22" s="34">
        <f>_xlfn.IFNA(INDEX('Raw Data'!$D$3:$KZ$42,MATCH(EveryDayHealth!$B22,'Raw Data'!$B$3:$B$42,0),MATCH(EveryDayHealth!E$5,'Raw Data'!$D$2:$KZ$2,0)),0)</f>
        <v>0</v>
      </c>
      <c r="F22" s="51">
        <f t="shared" si="0"/>
        <v>0</v>
      </c>
    </row>
    <row r="23" spans="2:8" x14ac:dyDescent="0.35">
      <c r="B23" s="23">
        <v>44713</v>
      </c>
      <c r="C23" s="34">
        <f>_xlfn.IFNA(INDEX('Raw Data'!$D$3:$KZ$42,MATCH(EveryDayHealth!$B23,'Raw Data'!$B$3:$B$42,0),MATCH(EveryDayHealth!C$5,'Raw Data'!$D$2:$KZ$2,0)),0)</f>
        <v>0</v>
      </c>
      <c r="D23" s="34">
        <f>_xlfn.IFNA(INDEX('Raw Data'!$D$3:$KZ$42,MATCH(EveryDayHealth!$B23,'Raw Data'!$B$3:$B$42,0),MATCH(EveryDayHealth!D$5,'Raw Data'!$D$2:$KZ$2,0)),0)</f>
        <v>0</v>
      </c>
      <c r="E23" s="34">
        <f>_xlfn.IFNA(INDEX('Raw Data'!$D$3:$KZ$42,MATCH(EveryDayHealth!$B23,'Raw Data'!$B$3:$B$42,0),MATCH(EveryDayHealth!E$5,'Raw Data'!$D$2:$KZ$2,0)),0)</f>
        <v>0</v>
      </c>
      <c r="F23" s="51">
        <f t="shared" si="0"/>
        <v>0</v>
      </c>
    </row>
    <row r="24" spans="2:8" x14ac:dyDescent="0.35">
      <c r="B24" s="23">
        <v>44743</v>
      </c>
      <c r="C24" s="34">
        <f>_xlfn.IFNA(INDEX('Raw Data'!$D$3:$KZ$42,MATCH(EveryDayHealth!$B24,'Raw Data'!$B$3:$B$42,0),MATCH(EveryDayHealth!C$5,'Raw Data'!$D$2:$KZ$2,0)),0)</f>
        <v>0</v>
      </c>
      <c r="D24" s="34">
        <f>_xlfn.IFNA(INDEX('Raw Data'!$D$3:$KZ$42,MATCH(EveryDayHealth!$B24,'Raw Data'!$B$3:$B$42,0),MATCH(EveryDayHealth!D$5,'Raw Data'!$D$2:$KZ$2,0)),0)</f>
        <v>0</v>
      </c>
      <c r="E24" s="34">
        <f>_xlfn.IFNA(INDEX('Raw Data'!$D$3:$KZ$42,MATCH(EveryDayHealth!$B24,'Raw Data'!$B$3:$B$42,0),MATCH(EveryDayHealth!E$5,'Raw Data'!$D$2:$KZ$2,0)),0)</f>
        <v>0</v>
      </c>
      <c r="F24" s="51">
        <f t="shared" si="0"/>
        <v>0</v>
      </c>
    </row>
    <row r="25" spans="2:8" x14ac:dyDescent="0.35">
      <c r="B25" s="23">
        <v>44774</v>
      </c>
      <c r="C25" s="34">
        <f>_xlfn.IFNA(INDEX('Raw Data'!$D$3:$KZ$42,MATCH(EveryDayHealth!$B25,'Raw Data'!$B$3:$B$42,0),MATCH(EveryDayHealth!C$5,'Raw Data'!$D$2:$KZ$2,0)),0)</f>
        <v>0</v>
      </c>
      <c r="D25" s="34">
        <f>_xlfn.IFNA(INDEX('Raw Data'!$D$3:$KZ$42,MATCH(EveryDayHealth!$B25,'Raw Data'!$B$3:$B$42,0),MATCH(EveryDayHealth!D$5,'Raw Data'!$D$2:$KZ$2,0)),0)</f>
        <v>0</v>
      </c>
      <c r="E25" s="34">
        <f>_xlfn.IFNA(INDEX('Raw Data'!$D$3:$KZ$42,MATCH(EveryDayHealth!$B25,'Raw Data'!$B$3:$B$42,0),MATCH(EveryDayHealth!E$5,'Raw Data'!$D$2:$KZ$2,0)),0)</f>
        <v>0</v>
      </c>
      <c r="F25" s="51">
        <f t="shared" si="0"/>
        <v>0</v>
      </c>
    </row>
    <row r="26" spans="2:8" x14ac:dyDescent="0.35">
      <c r="B26" s="23">
        <v>44805</v>
      </c>
      <c r="C26" s="34">
        <f>_xlfn.IFNA(INDEX('Raw Data'!$D$3:$KZ$42,MATCH(EveryDayHealth!$B26,'Raw Data'!$B$3:$B$42,0),MATCH(EveryDayHealth!C$5,'Raw Data'!$D$2:$KZ$2,0)),0)</f>
        <v>0</v>
      </c>
      <c r="D26" s="34">
        <f>_xlfn.IFNA(INDEX('Raw Data'!$D$3:$KZ$42,MATCH(EveryDayHealth!$B26,'Raw Data'!$B$3:$B$42,0),MATCH(EveryDayHealth!D$5,'Raw Data'!$D$2:$KZ$2,0)),0)</f>
        <v>0</v>
      </c>
      <c r="E26" s="34">
        <f>_xlfn.IFNA(INDEX('Raw Data'!$D$3:$KZ$42,MATCH(EveryDayHealth!$B26,'Raw Data'!$B$3:$B$42,0),MATCH(EveryDayHealth!E$5,'Raw Data'!$D$2:$KZ$2,0)),0)</f>
        <v>0</v>
      </c>
      <c r="F26" s="51">
        <f t="shared" si="0"/>
        <v>0</v>
      </c>
    </row>
    <row r="27" spans="2:8" x14ac:dyDescent="0.35">
      <c r="B27" s="23">
        <v>44835</v>
      </c>
      <c r="C27" s="34">
        <f>_xlfn.IFNA(INDEX('Raw Data'!$D$3:$KZ$42,MATCH(EveryDayHealth!$B27,'Raw Data'!$B$3:$B$42,0),MATCH(EveryDayHealth!C$5,'Raw Data'!$D$2:$KZ$2,0)),0)</f>
        <v>0</v>
      </c>
      <c r="D27" s="34">
        <f>_xlfn.IFNA(INDEX('Raw Data'!$D$3:$KZ$42,MATCH(EveryDayHealth!$B27,'Raw Data'!$B$3:$B$42,0),MATCH(EveryDayHealth!D$5,'Raw Data'!$D$2:$KZ$2,0)),0)</f>
        <v>0</v>
      </c>
      <c r="E27" s="34">
        <f>_xlfn.IFNA(INDEX('Raw Data'!$D$3:$KZ$42,MATCH(EveryDayHealth!$B27,'Raw Data'!$B$3:$B$42,0),MATCH(EveryDayHealth!E$5,'Raw Data'!$D$2:$KZ$2,0)),0)</f>
        <v>0</v>
      </c>
      <c r="F27" s="51">
        <f t="shared" si="0"/>
        <v>0</v>
      </c>
    </row>
    <row r="28" spans="2:8" x14ac:dyDescent="0.35">
      <c r="B28" s="23">
        <v>44866</v>
      </c>
      <c r="C28" s="34">
        <f>_xlfn.IFNA(INDEX('Raw Data'!$D$3:$KZ$42,MATCH(EveryDayHealth!$B28,'Raw Data'!$B$3:$B$42,0),MATCH(EveryDayHealth!C$5,'Raw Data'!$D$2:$KZ$2,0)),0)</f>
        <v>0</v>
      </c>
      <c r="D28" s="34">
        <f>_xlfn.IFNA(INDEX('Raw Data'!$D$3:$KZ$42,MATCH(EveryDayHealth!$B28,'Raw Data'!$B$3:$B$42,0),MATCH(EveryDayHealth!D$5,'Raw Data'!$D$2:$KZ$2,0)),0)</f>
        <v>0</v>
      </c>
      <c r="E28" s="34">
        <f>_xlfn.IFNA(INDEX('Raw Data'!$D$3:$KZ$42,MATCH(EveryDayHealth!$B28,'Raw Data'!$B$3:$B$42,0),MATCH(EveryDayHealth!E$5,'Raw Data'!$D$2:$KZ$2,0)),0)</f>
        <v>0</v>
      </c>
      <c r="F28" s="51">
        <f t="shared" si="0"/>
        <v>0</v>
      </c>
    </row>
    <row r="29" spans="2:8" x14ac:dyDescent="0.35">
      <c r="B29" s="23">
        <v>44896</v>
      </c>
      <c r="C29" s="34">
        <f>_xlfn.IFNA(INDEX('Raw Data'!$D$3:$KZ$42,MATCH(EveryDayHealth!$B29,'Raw Data'!$B$3:$B$42,0),MATCH(EveryDayHealth!C$5,'Raw Data'!$D$2:$KZ$2,0)),0)</f>
        <v>0</v>
      </c>
      <c r="D29" s="34">
        <f>_xlfn.IFNA(INDEX('Raw Data'!$D$3:$KZ$42,MATCH(EveryDayHealth!$B29,'Raw Data'!$B$3:$B$42,0),MATCH(EveryDayHealth!D$5,'Raw Data'!$D$2:$KZ$2,0)),0)</f>
        <v>0</v>
      </c>
      <c r="E29" s="34">
        <f>_xlfn.IFNA(INDEX('Raw Data'!$D$3:$KZ$42,MATCH(EveryDayHealth!$B29,'Raw Data'!$B$3:$B$42,0),MATCH(EveryDayHealth!E$5,'Raw Data'!$D$2:$KZ$2,0)),0)</f>
        <v>0</v>
      </c>
      <c r="F29" s="51">
        <f t="shared" si="0"/>
        <v>0</v>
      </c>
    </row>
    <row r="30" spans="2:8" x14ac:dyDescent="0.35">
      <c r="B30" s="23">
        <v>44927</v>
      </c>
      <c r="C30" s="34">
        <f>_xlfn.IFNA(INDEX('Raw Data'!$D$3:$KZ$42,MATCH(EveryDayHealth!$B30,'Raw Data'!$B$3:$B$42,0),MATCH(EveryDayHealth!C$5,'Raw Data'!$D$2:$KZ$2,0)),0)</f>
        <v>0</v>
      </c>
      <c r="D30" s="34">
        <f>_xlfn.IFNA(INDEX('Raw Data'!$D$3:$KZ$42,MATCH(EveryDayHealth!$B30,'Raw Data'!$B$3:$B$42,0),MATCH(EveryDayHealth!D$5,'Raw Data'!$D$2:$KZ$2,0)),0)</f>
        <v>0</v>
      </c>
      <c r="E30" s="34">
        <f>_xlfn.IFNA(INDEX('Raw Data'!$D$3:$KZ$42,MATCH(EveryDayHealth!$B30,'Raw Data'!$B$3:$B$42,0),MATCH(EveryDayHealth!E$5,'Raw Data'!$D$2:$KZ$2,0)),0)</f>
        <v>0</v>
      </c>
      <c r="F30" s="51">
        <f t="shared" si="0"/>
        <v>0</v>
      </c>
    </row>
    <row r="31" spans="2:8" ht="15.5" x14ac:dyDescent="0.35">
      <c r="H31" s="38" t="s">
        <v>51</v>
      </c>
    </row>
    <row r="32" spans="2:8" x14ac:dyDescent="0.35">
      <c r="H32" s="79" t="s">
        <v>311</v>
      </c>
    </row>
    <row r="33" spans="2:8" x14ac:dyDescent="0.35">
      <c r="H33" s="79"/>
    </row>
    <row r="35" spans="2:8" x14ac:dyDescent="0.35">
      <c r="B35" s="55"/>
      <c r="C35" s="212" t="s">
        <v>177</v>
      </c>
      <c r="D35" s="213"/>
      <c r="E35" s="213"/>
      <c r="F35" s="214"/>
    </row>
    <row r="36" spans="2:8" x14ac:dyDescent="0.35">
      <c r="B36" s="31" t="s">
        <v>293</v>
      </c>
      <c r="C36" s="60">
        <f>IFERROR(AVERAGE(C9:C20),"-")</f>
        <v>0</v>
      </c>
      <c r="D36" s="60">
        <f t="shared" ref="D36:F36" si="1">IFERROR(AVERAGE(D9:D20),"-")</f>
        <v>0</v>
      </c>
      <c r="E36" s="60">
        <f t="shared" si="1"/>
        <v>0</v>
      </c>
      <c r="F36" s="72">
        <f t="shared" si="1"/>
        <v>0</v>
      </c>
    </row>
    <row r="37" spans="2:8" x14ac:dyDescent="0.35">
      <c r="B37" s="31" t="s">
        <v>316</v>
      </c>
      <c r="C37" s="42">
        <f>IFERROR(AVERAGE(C18:C29),"-")</f>
        <v>0</v>
      </c>
      <c r="D37" s="42">
        <f t="shared" ref="D37:F37" si="2">IFERROR(AVERAGE(D18:D29),"-")</f>
        <v>0</v>
      </c>
      <c r="E37" s="42">
        <f t="shared" si="2"/>
        <v>0</v>
      </c>
      <c r="F37" s="73">
        <f t="shared" si="2"/>
        <v>0</v>
      </c>
    </row>
    <row r="38" spans="2:8" x14ac:dyDescent="0.35">
      <c r="B38" s="31" t="s">
        <v>178</v>
      </c>
      <c r="C38" s="59" t="str">
        <f>IFERROR(C37/C36-1,"-")</f>
        <v>-</v>
      </c>
      <c r="D38" s="59" t="str">
        <f t="shared" ref="D38:F38" si="3">IFERROR(D37/D36-1,"-")</f>
        <v>-</v>
      </c>
      <c r="E38" s="59" t="str">
        <f t="shared" si="3"/>
        <v>-</v>
      </c>
      <c r="F38" s="59" t="str">
        <f t="shared" si="3"/>
        <v>-</v>
      </c>
    </row>
    <row r="43" spans="2:8" x14ac:dyDescent="0.35">
      <c r="B43" s="71" t="s">
        <v>204</v>
      </c>
      <c r="C43" s="71" t="s">
        <v>205</v>
      </c>
      <c r="D43" s="71" t="s">
        <v>291</v>
      </c>
      <c r="E43" s="71" t="s">
        <v>208</v>
      </c>
      <c r="F43" s="71" t="s">
        <v>292</v>
      </c>
    </row>
    <row r="44" spans="2:8" x14ac:dyDescent="0.35">
      <c r="B44" s="31" t="str">
        <f>UPPER(B2)</f>
        <v>EVERYDAYHEALTH</v>
      </c>
      <c r="C44" s="31" t="str" cm="1">
        <f t="array" ref="C44">IFERROR(_xlfn.UNIQUE(_xlfn._xlws.FILTER('NPP Spends'!$D$3:$D$80,--ISNUMBER(SEARCH(EveryDayHealth!$B44,'NPP Spends'!$C$3:$C$80)))),"-")</f>
        <v>-</v>
      </c>
      <c r="D44" s="31" t="str" cm="1">
        <f t="array" ref="D44">IFERROR(_xlfn.UNIQUE(_xlfn._xlws.FILTER('NPP Spends'!$L$3:$L$80,--ISNUMBER(SEARCH(EveryDayHealth!$B44,'NPP Spends'!$C$3:$C$80)))),"-")</f>
        <v>-</v>
      </c>
      <c r="E44" s="31" t="str" cm="1">
        <f t="array" ref="E44">IFERROR(_xlfn._xlws.FILTER('NPP Spends'!$G$3:$G$80,--ISNUMBER(SEARCH(EveryDayHealth!$B44,'NPP Spends'!$C$3:$C$80))),"-")</f>
        <v>-</v>
      </c>
      <c r="F44" s="74" t="str" cm="1">
        <f t="array" ref="F44">IFERROR(_xlfn._xlws.FILTER('NPP Spends'!$H$3:$H$80,--ISNUMBER(SEARCH(EveryDayHealth!$B44,'NPP Spends'!$C$3:$C$80))),"-")</f>
        <v>-</v>
      </c>
    </row>
    <row r="45" spans="2:8" x14ac:dyDescent="0.35">
      <c r="B45" s="31"/>
      <c r="C45" s="31"/>
      <c r="D45" s="31"/>
      <c r="E45" s="31"/>
      <c r="F45" s="31"/>
    </row>
    <row r="46" spans="2:8" x14ac:dyDescent="0.35">
      <c r="B46" s="31"/>
      <c r="C46" s="31"/>
      <c r="D46" s="31"/>
      <c r="E46" s="31"/>
      <c r="F46" s="31"/>
    </row>
    <row r="47" spans="2:8" x14ac:dyDescent="0.35">
      <c r="B47" s="31"/>
      <c r="C47" s="31"/>
      <c r="D47" s="31"/>
      <c r="E47" s="31"/>
      <c r="F47" s="31"/>
    </row>
    <row r="48" spans="2:8" x14ac:dyDescent="0.35">
      <c r="B48" s="31"/>
      <c r="C48" s="31"/>
      <c r="D48" s="31"/>
      <c r="E48" s="31"/>
      <c r="F48" s="31"/>
    </row>
    <row r="49" spans="2:6" x14ac:dyDescent="0.35">
      <c r="B49" s="31"/>
      <c r="C49" s="31"/>
      <c r="D49" s="31"/>
      <c r="E49" s="31"/>
      <c r="F49" s="31"/>
    </row>
    <row r="50" spans="2:6" x14ac:dyDescent="0.35">
      <c r="B50" s="31"/>
      <c r="C50" s="31"/>
      <c r="D50" s="31"/>
      <c r="E50" s="31"/>
      <c r="F50" s="31"/>
    </row>
    <row r="51" spans="2:6" x14ac:dyDescent="0.35">
      <c r="B51" s="31"/>
      <c r="C51" s="31"/>
      <c r="D51" s="31"/>
      <c r="E51" s="31"/>
      <c r="F51" s="31"/>
    </row>
    <row r="52" spans="2:6" x14ac:dyDescent="0.35">
      <c r="B52" s="31"/>
      <c r="C52" s="31"/>
      <c r="D52" s="31"/>
      <c r="E52" s="31"/>
      <c r="F52" s="31"/>
    </row>
    <row r="53" spans="2:6" x14ac:dyDescent="0.35">
      <c r="B53" s="31"/>
      <c r="C53" s="31"/>
      <c r="D53" s="31"/>
      <c r="E53" s="31"/>
      <c r="F53" s="31"/>
    </row>
    <row r="54" spans="2:6" x14ac:dyDescent="0.35">
      <c r="B54" s="31"/>
      <c r="C54" s="31"/>
      <c r="D54" s="31"/>
      <c r="E54" s="31"/>
      <c r="F54" s="31"/>
    </row>
    <row r="55" spans="2:6" x14ac:dyDescent="0.35">
      <c r="B55" s="31"/>
      <c r="C55" s="31"/>
      <c r="D55" s="31"/>
      <c r="E55" s="31"/>
      <c r="F55" s="31"/>
    </row>
    <row r="56" spans="2:6" x14ac:dyDescent="0.35">
      <c r="B56" s="31"/>
      <c r="C56" s="31"/>
      <c r="D56" s="31"/>
      <c r="E56" s="31"/>
      <c r="F56" s="31"/>
    </row>
    <row r="57" spans="2:6" x14ac:dyDescent="0.35">
      <c r="B57" s="31"/>
      <c r="C57" s="31"/>
      <c r="D57" s="31"/>
      <c r="E57" s="31"/>
      <c r="F57" s="31"/>
    </row>
    <row r="58" spans="2:6" x14ac:dyDescent="0.35">
      <c r="B58" s="31"/>
      <c r="C58" s="31"/>
      <c r="D58" s="31"/>
      <c r="E58" s="31"/>
      <c r="F58" s="31"/>
    </row>
    <row r="59" spans="2:6" x14ac:dyDescent="0.35">
      <c r="B59" s="31"/>
      <c r="C59" s="31"/>
      <c r="D59" s="31"/>
      <c r="E59" s="31"/>
      <c r="F59" s="31"/>
    </row>
    <row r="60" spans="2:6" x14ac:dyDescent="0.35">
      <c r="B60" s="49"/>
      <c r="C60" s="49"/>
      <c r="D60" s="49"/>
      <c r="E60" s="49"/>
      <c r="F60" s="49"/>
    </row>
    <row r="61" spans="2:6" x14ac:dyDescent="0.35">
      <c r="B61" s="49"/>
      <c r="C61" s="49"/>
      <c r="D61" s="49"/>
      <c r="E61" s="49"/>
      <c r="F61" s="49"/>
    </row>
    <row r="62" spans="2:6" x14ac:dyDescent="0.35">
      <c r="B62" s="49"/>
      <c r="C62" s="49"/>
      <c r="D62" s="49"/>
      <c r="E62" s="49"/>
      <c r="F62" s="49"/>
    </row>
    <row r="63" spans="2:6" x14ac:dyDescent="0.35">
      <c r="B63" s="49"/>
      <c r="C63" s="49"/>
      <c r="D63" s="49"/>
      <c r="E63" s="49"/>
      <c r="F63" s="49"/>
    </row>
    <row r="64" spans="2:6" x14ac:dyDescent="0.35">
      <c r="B64" s="49"/>
      <c r="C64" s="49"/>
      <c r="D64" s="49"/>
      <c r="E64" s="49"/>
      <c r="F64" s="49"/>
    </row>
    <row r="65" spans="2:6" x14ac:dyDescent="0.35">
      <c r="B65" s="49"/>
      <c r="C65" s="49"/>
      <c r="D65" s="49"/>
      <c r="E65" s="49"/>
      <c r="F65" s="49"/>
    </row>
  </sheetData>
  <mergeCells count="2">
    <mergeCell ref="B2:F2"/>
    <mergeCell ref="C35:F35"/>
  </mergeCells>
  <hyperlinks>
    <hyperlink ref="A1" location="Index!A1" display="Home" xr:uid="{5797FCA2-A451-4C04-972F-59123DAB048D}"/>
  </hyperlinks>
  <pageMargins left="0.7" right="0.7" top="0.75" bottom="0.75" header="0.3" footer="0.3"/>
  <pageSetup paperSize="9" orientation="portrait" r:id="rId1"/>
  <headerFooter>
    <oddHeader>&amp;L&amp;"Calibri"&amp;12&amp;K8E6A00Confidential&amp;1#</oddHead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F1336FE-E29B-4A42-A560-C9424650AFF1}">
          <x14:formula1>
            <xm:f>Control!$C$4:$C$305</xm:f>
          </x14:formula1>
          <xm:sqref>C6:E6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5116A-7310-455B-91C6-6C942E910904}">
  <sheetPr codeName="Sheet9">
    <tabColor theme="5" tint="0.39997558519241921"/>
  </sheetPr>
  <dimension ref="A1:H65"/>
  <sheetViews>
    <sheetView zoomScale="70" zoomScaleNormal="70" workbookViewId="0">
      <selection activeCell="E9" sqref="E9:E21"/>
    </sheetView>
  </sheetViews>
  <sheetFormatPr defaultRowHeight="14.5" x14ac:dyDescent="0.35"/>
  <cols>
    <col min="1" max="1" width="9.08984375" style="10" customWidth="1"/>
    <col min="2" max="2" width="14" style="10" customWidth="1"/>
    <col min="3" max="3" width="22.26953125" style="10" customWidth="1"/>
    <col min="4" max="4" width="26.6328125" style="10" customWidth="1"/>
    <col min="5" max="5" width="24.81640625" style="10" customWidth="1"/>
    <col min="6" max="6" width="23.08984375" style="10" customWidth="1"/>
    <col min="7" max="7" width="7.26953125" style="10" customWidth="1"/>
    <col min="8" max="16384" width="8.7265625" style="10"/>
  </cols>
  <sheetData>
    <row r="1" spans="1:7" ht="15.5" x14ac:dyDescent="0.35">
      <c r="A1" s="35" t="s">
        <v>30</v>
      </c>
    </row>
    <row r="2" spans="1:7" ht="18.5" x14ac:dyDescent="0.45">
      <c r="A2" s="35"/>
      <c r="B2" s="210" t="s">
        <v>295</v>
      </c>
      <c r="C2" s="210"/>
      <c r="D2" s="210"/>
      <c r="E2" s="210"/>
      <c r="F2" s="210"/>
    </row>
    <row r="4" spans="1:7" x14ac:dyDescent="0.35">
      <c r="C4" s="71" t="s">
        <v>167</v>
      </c>
      <c r="D4" s="71" t="s">
        <v>168</v>
      </c>
      <c r="E4" s="71" t="s">
        <v>169</v>
      </c>
    </row>
    <row r="5" spans="1:7" ht="14.5" hidden="1" customHeight="1" x14ac:dyDescent="0.35">
      <c r="C5" s="33" t="str">
        <f>INDEX(Control!$B$4:$B$305,MATCH(Nexgen!C$6,Control!$C$4:$C$305,0))</f>
        <v>hcp_mng_del</v>
      </c>
      <c r="D5" s="33" t="str">
        <f>INDEX(Control!$B$4:$B$305,MATCH(Nexgen!D$6,Control!$C$4:$C$305,0))</f>
        <v>hcp_mng_eng</v>
      </c>
      <c r="E5" s="33" t="str">
        <f>INDEX(Control!$B$4:$B$305,MATCH(Nexgen!E$6,Control!$C$4:$C$305,0))</f>
        <v>hcp_mng_clkd</v>
      </c>
      <c r="F5" s="33"/>
    </row>
    <row r="6" spans="1:7" x14ac:dyDescent="0.35">
      <c r="B6" s="22" t="s">
        <v>3</v>
      </c>
      <c r="C6" s="22" t="s">
        <v>296</v>
      </c>
      <c r="D6" s="22" t="s">
        <v>297</v>
      </c>
      <c r="E6" s="22" t="s">
        <v>298</v>
      </c>
      <c r="F6" s="22" t="s">
        <v>165</v>
      </c>
    </row>
    <row r="7" spans="1:7" x14ac:dyDescent="0.35">
      <c r="B7" s="23" cm="1">
        <f t="array" ref="B7:B30">'Trend Charts New'!C$11:C$34</f>
        <v>44228</v>
      </c>
      <c r="C7" s="34">
        <f>_xlfn.IFNA(INDEX('Raw Data'!$D$3:$KZ$42,MATCH(Nexgen!$B7,'Raw Data'!$B$3:$B$42,0),MATCH(Nexgen!C$5,'Raw Data'!$D$2:$KZ$2,0)),0)</f>
        <v>0</v>
      </c>
      <c r="D7" s="34">
        <f>_xlfn.IFNA(INDEX('Raw Data'!$D$3:$KZ$42,MATCH(Nexgen!$B7,'Raw Data'!$B$3:$B$42,0),MATCH(Nexgen!D$5,'Raw Data'!$D$2:$KZ$2,0)),0)</f>
        <v>0</v>
      </c>
      <c r="E7" s="34">
        <f>_xlfn.IFNA(INDEX('Raw Data'!$D$3:$KZ$42,MATCH(Nexgen!$B7,'Raw Data'!$B$3:$B$42,0),MATCH(Nexgen!E$5,'Raw Data'!$D$2:$KZ$2,0)),0)</f>
        <v>0</v>
      </c>
      <c r="F7" s="51">
        <f>IFERROR(D7/C7*100,0)</f>
        <v>0</v>
      </c>
    </row>
    <row r="8" spans="1:7" x14ac:dyDescent="0.35">
      <c r="B8" s="23">
        <v>44256</v>
      </c>
      <c r="C8" s="34">
        <f>_xlfn.IFNA(INDEX('Raw Data'!$D$3:$KZ$42,MATCH(Nexgen!$B8,'Raw Data'!$B$3:$B$42,0),MATCH(Nexgen!C$5,'Raw Data'!$D$2:$KZ$2,0)),0)</f>
        <v>0</v>
      </c>
      <c r="D8" s="34">
        <f>_xlfn.IFNA(INDEX('Raw Data'!$D$3:$KZ$42,MATCH(Nexgen!$B8,'Raw Data'!$B$3:$B$42,0),MATCH(Nexgen!D$5,'Raw Data'!$D$2:$KZ$2,0)),0)</f>
        <v>0</v>
      </c>
      <c r="E8" s="34">
        <f>_xlfn.IFNA(INDEX('Raw Data'!$D$3:$KZ$42,MATCH(Nexgen!$B8,'Raw Data'!$B$3:$B$42,0),MATCH(Nexgen!E$5,'Raw Data'!$D$2:$KZ$2,0)),0)</f>
        <v>0</v>
      </c>
      <c r="F8" s="51">
        <f t="shared" ref="F8:F30" si="0">IFERROR(D8/C8*100,0)</f>
        <v>0</v>
      </c>
      <c r="G8" s="57"/>
    </row>
    <row r="9" spans="1:7" x14ac:dyDescent="0.35">
      <c r="B9" s="23">
        <v>44287</v>
      </c>
      <c r="C9" s="34">
        <f>_xlfn.IFNA(INDEX('Raw Data'!$D$3:$KZ$42,MATCH(Nexgen!$B9,'Raw Data'!$B$3:$B$42,0),MATCH(Nexgen!C$5,'Raw Data'!$D$2:$KZ$2,0)),0)</f>
        <v>0</v>
      </c>
      <c r="D9" s="34">
        <f>_xlfn.IFNA(INDEX('Raw Data'!$D$3:$KZ$42,MATCH(Nexgen!$B9,'Raw Data'!$B$3:$B$42,0),MATCH(Nexgen!D$5,'Raw Data'!$D$2:$KZ$2,0)),0)</f>
        <v>0</v>
      </c>
      <c r="E9" s="34">
        <f>_xlfn.IFNA(INDEX('Raw Data'!$D$3:$KZ$42,MATCH(Nexgen!$B9,'Raw Data'!$B$3:$B$42,0),MATCH(Nexgen!E$5,'Raw Data'!$D$2:$KZ$2,0)),0)</f>
        <v>0</v>
      </c>
      <c r="F9" s="51">
        <f t="shared" si="0"/>
        <v>0</v>
      </c>
    </row>
    <row r="10" spans="1:7" x14ac:dyDescent="0.35">
      <c r="B10" s="23">
        <v>44317</v>
      </c>
      <c r="C10" s="34">
        <f>_xlfn.IFNA(INDEX('Raw Data'!$D$3:$KZ$42,MATCH(Nexgen!$B10,'Raw Data'!$B$3:$B$42,0),MATCH(Nexgen!C$5,'Raw Data'!$D$2:$KZ$2,0)),0)</f>
        <v>16789</v>
      </c>
      <c r="D10" s="34">
        <f>_xlfn.IFNA(INDEX('Raw Data'!$D$3:$KZ$42,MATCH(Nexgen!$B10,'Raw Data'!$B$3:$B$42,0),MATCH(Nexgen!D$5,'Raw Data'!$D$2:$KZ$2,0)),0)</f>
        <v>628</v>
      </c>
      <c r="E10" s="34">
        <f>_xlfn.IFNA(INDEX('Raw Data'!$D$3:$KZ$42,MATCH(Nexgen!$B10,'Raw Data'!$B$3:$B$42,0),MATCH(Nexgen!E$5,'Raw Data'!$D$2:$KZ$2,0)),0)</f>
        <v>271</v>
      </c>
      <c r="F10" s="51">
        <f t="shared" si="0"/>
        <v>3.7405444040740963</v>
      </c>
    </row>
    <row r="11" spans="1:7" x14ac:dyDescent="0.35">
      <c r="B11" s="23">
        <v>44348</v>
      </c>
      <c r="C11" s="34">
        <f>_xlfn.IFNA(INDEX('Raw Data'!$D$3:$KZ$42,MATCH(Nexgen!$B11,'Raw Data'!$B$3:$B$42,0),MATCH(Nexgen!C$5,'Raw Data'!$D$2:$KZ$2,0)),0)</f>
        <v>97445</v>
      </c>
      <c r="D11" s="34">
        <f>_xlfn.IFNA(INDEX('Raw Data'!$D$3:$KZ$42,MATCH(Nexgen!$B11,'Raw Data'!$B$3:$B$42,0),MATCH(Nexgen!D$5,'Raw Data'!$D$2:$KZ$2,0)),0)</f>
        <v>2653</v>
      </c>
      <c r="E11" s="34">
        <f>_xlfn.IFNA(INDEX('Raw Data'!$D$3:$KZ$42,MATCH(Nexgen!$B11,'Raw Data'!$B$3:$B$42,0),MATCH(Nexgen!E$5,'Raw Data'!$D$2:$KZ$2,0)),0)</f>
        <v>1112</v>
      </c>
      <c r="F11" s="51">
        <f t="shared" si="0"/>
        <v>2.7225614449176461</v>
      </c>
    </row>
    <row r="12" spans="1:7" x14ac:dyDescent="0.35">
      <c r="B12" s="23">
        <v>44378</v>
      </c>
      <c r="C12" s="34">
        <f>_xlfn.IFNA(INDEX('Raw Data'!$D$3:$KZ$42,MATCH(Nexgen!$B12,'Raw Data'!$B$3:$B$42,0),MATCH(Nexgen!C$5,'Raw Data'!$D$2:$KZ$2,0)),0)</f>
        <v>67018</v>
      </c>
      <c r="D12" s="34">
        <f>_xlfn.IFNA(INDEX('Raw Data'!$D$3:$KZ$42,MATCH(Nexgen!$B12,'Raw Data'!$B$3:$B$42,0),MATCH(Nexgen!D$5,'Raw Data'!$D$2:$KZ$2,0)),0)</f>
        <v>1047</v>
      </c>
      <c r="E12" s="34">
        <f>_xlfn.IFNA(INDEX('Raw Data'!$D$3:$KZ$42,MATCH(Nexgen!$B12,'Raw Data'!$B$3:$B$42,0),MATCH(Nexgen!E$5,'Raw Data'!$D$2:$KZ$2,0)),0)</f>
        <v>140</v>
      </c>
      <c r="F12" s="51">
        <f t="shared" si="0"/>
        <v>1.5622668536811006</v>
      </c>
    </row>
    <row r="13" spans="1:7" x14ac:dyDescent="0.35">
      <c r="B13" s="23">
        <v>44409</v>
      </c>
      <c r="C13" s="34">
        <f>_xlfn.IFNA(INDEX('Raw Data'!$D$3:$KZ$42,MATCH(Nexgen!$B13,'Raw Data'!$B$3:$B$42,0),MATCH(Nexgen!C$5,'Raw Data'!$D$2:$KZ$2,0)),0)</f>
        <v>0</v>
      </c>
      <c r="D13" s="34">
        <f>_xlfn.IFNA(INDEX('Raw Data'!$D$3:$KZ$42,MATCH(Nexgen!$B13,'Raw Data'!$B$3:$B$42,0),MATCH(Nexgen!D$5,'Raw Data'!$D$2:$KZ$2,0)),0)</f>
        <v>0</v>
      </c>
      <c r="E13" s="34">
        <f>_xlfn.IFNA(INDEX('Raw Data'!$D$3:$KZ$42,MATCH(Nexgen!$B13,'Raw Data'!$B$3:$B$42,0),MATCH(Nexgen!E$5,'Raw Data'!$D$2:$KZ$2,0)),0)</f>
        <v>0</v>
      </c>
      <c r="F13" s="51">
        <f t="shared" si="0"/>
        <v>0</v>
      </c>
    </row>
    <row r="14" spans="1:7" x14ac:dyDescent="0.35">
      <c r="B14" s="23">
        <v>44440</v>
      </c>
      <c r="C14" s="34">
        <f>_xlfn.IFNA(INDEX('Raw Data'!$D$3:$KZ$42,MATCH(Nexgen!$B14,'Raw Data'!$B$3:$B$42,0),MATCH(Nexgen!C$5,'Raw Data'!$D$2:$KZ$2,0)),0)</f>
        <v>0</v>
      </c>
      <c r="D14" s="34">
        <f>_xlfn.IFNA(INDEX('Raw Data'!$D$3:$KZ$42,MATCH(Nexgen!$B14,'Raw Data'!$B$3:$B$42,0),MATCH(Nexgen!D$5,'Raw Data'!$D$2:$KZ$2,0)),0)</f>
        <v>0</v>
      </c>
      <c r="E14" s="34">
        <f>_xlfn.IFNA(INDEX('Raw Data'!$D$3:$KZ$42,MATCH(Nexgen!$B14,'Raw Data'!$B$3:$B$42,0),MATCH(Nexgen!E$5,'Raw Data'!$D$2:$KZ$2,0)),0)</f>
        <v>0</v>
      </c>
      <c r="F14" s="51">
        <f t="shared" si="0"/>
        <v>0</v>
      </c>
    </row>
    <row r="15" spans="1:7" x14ac:dyDescent="0.35">
      <c r="B15" s="23">
        <v>44470</v>
      </c>
      <c r="C15" s="34">
        <f>_xlfn.IFNA(INDEX('Raw Data'!$D$3:$KZ$42,MATCH(Nexgen!$B15,'Raw Data'!$B$3:$B$42,0),MATCH(Nexgen!C$5,'Raw Data'!$D$2:$KZ$2,0)),0)</f>
        <v>0</v>
      </c>
      <c r="D15" s="34">
        <f>_xlfn.IFNA(INDEX('Raw Data'!$D$3:$KZ$42,MATCH(Nexgen!$B15,'Raw Data'!$B$3:$B$42,0),MATCH(Nexgen!D$5,'Raw Data'!$D$2:$KZ$2,0)),0)</f>
        <v>0</v>
      </c>
      <c r="E15" s="34">
        <f>_xlfn.IFNA(INDEX('Raw Data'!$D$3:$KZ$42,MATCH(Nexgen!$B15,'Raw Data'!$B$3:$B$42,0),MATCH(Nexgen!E$5,'Raw Data'!$D$2:$KZ$2,0)),0)</f>
        <v>0</v>
      </c>
      <c r="F15" s="51">
        <f t="shared" si="0"/>
        <v>0</v>
      </c>
    </row>
    <row r="16" spans="1:7" x14ac:dyDescent="0.35">
      <c r="B16" s="23">
        <v>44501</v>
      </c>
      <c r="C16" s="34">
        <f>_xlfn.IFNA(INDEX('Raw Data'!$D$3:$KZ$42,MATCH(Nexgen!$B16,'Raw Data'!$B$3:$B$42,0),MATCH(Nexgen!C$5,'Raw Data'!$D$2:$KZ$2,0)),0)</f>
        <v>0</v>
      </c>
      <c r="D16" s="34">
        <f>_xlfn.IFNA(INDEX('Raw Data'!$D$3:$KZ$42,MATCH(Nexgen!$B16,'Raw Data'!$B$3:$B$42,0),MATCH(Nexgen!D$5,'Raw Data'!$D$2:$KZ$2,0)),0)</f>
        <v>0</v>
      </c>
      <c r="E16" s="34">
        <f>_xlfn.IFNA(INDEX('Raw Data'!$D$3:$KZ$42,MATCH(Nexgen!$B16,'Raw Data'!$B$3:$B$42,0),MATCH(Nexgen!E$5,'Raw Data'!$D$2:$KZ$2,0)),0)</f>
        <v>0</v>
      </c>
      <c r="F16" s="51">
        <f t="shared" si="0"/>
        <v>0</v>
      </c>
    </row>
    <row r="17" spans="2:8" x14ac:dyDescent="0.35">
      <c r="B17" s="23">
        <v>44531</v>
      </c>
      <c r="C17" s="34">
        <f>_xlfn.IFNA(INDEX('Raw Data'!$D$3:$KZ$42,MATCH(Nexgen!$B17,'Raw Data'!$B$3:$B$42,0),MATCH(Nexgen!C$5,'Raw Data'!$D$2:$KZ$2,0)),0)</f>
        <v>0</v>
      </c>
      <c r="D17" s="34">
        <f>_xlfn.IFNA(INDEX('Raw Data'!$D$3:$KZ$42,MATCH(Nexgen!$B17,'Raw Data'!$B$3:$B$42,0),MATCH(Nexgen!D$5,'Raw Data'!$D$2:$KZ$2,0)),0)</f>
        <v>0</v>
      </c>
      <c r="E17" s="34">
        <f>_xlfn.IFNA(INDEX('Raw Data'!$D$3:$KZ$42,MATCH(Nexgen!$B17,'Raw Data'!$B$3:$B$42,0),MATCH(Nexgen!E$5,'Raw Data'!$D$2:$KZ$2,0)),0)</f>
        <v>0</v>
      </c>
      <c r="F17" s="51">
        <f t="shared" si="0"/>
        <v>0</v>
      </c>
    </row>
    <row r="18" spans="2:8" x14ac:dyDescent="0.35">
      <c r="B18" s="23">
        <v>44562</v>
      </c>
      <c r="C18" s="34">
        <f>_xlfn.IFNA(INDEX('Raw Data'!$D$3:$KZ$42,MATCH(Nexgen!$B18,'Raw Data'!$B$3:$B$42,0),MATCH(Nexgen!C$5,'Raw Data'!$D$2:$KZ$2,0)),0)</f>
        <v>0</v>
      </c>
      <c r="D18" s="34">
        <f>_xlfn.IFNA(INDEX('Raw Data'!$D$3:$KZ$42,MATCH(Nexgen!$B18,'Raw Data'!$B$3:$B$42,0),MATCH(Nexgen!D$5,'Raw Data'!$D$2:$KZ$2,0)),0)</f>
        <v>0</v>
      </c>
      <c r="E18" s="34">
        <f>_xlfn.IFNA(INDEX('Raw Data'!$D$3:$KZ$42,MATCH(Nexgen!$B18,'Raw Data'!$B$3:$B$42,0),MATCH(Nexgen!E$5,'Raw Data'!$D$2:$KZ$2,0)),0)</f>
        <v>0</v>
      </c>
      <c r="F18" s="51">
        <f t="shared" si="0"/>
        <v>0</v>
      </c>
    </row>
    <row r="19" spans="2:8" x14ac:dyDescent="0.35">
      <c r="B19" s="23">
        <v>44593</v>
      </c>
      <c r="C19" s="34">
        <f>_xlfn.IFNA(INDEX('Raw Data'!$D$3:$KZ$42,MATCH(Nexgen!$B19,'Raw Data'!$B$3:$B$42,0),MATCH(Nexgen!C$5,'Raw Data'!$D$2:$KZ$2,0)),0)</f>
        <v>0</v>
      </c>
      <c r="D19" s="34">
        <f>_xlfn.IFNA(INDEX('Raw Data'!$D$3:$KZ$42,MATCH(Nexgen!$B19,'Raw Data'!$B$3:$B$42,0),MATCH(Nexgen!D$5,'Raw Data'!$D$2:$KZ$2,0)),0)</f>
        <v>0</v>
      </c>
      <c r="E19" s="34">
        <f>_xlfn.IFNA(INDEX('Raw Data'!$D$3:$KZ$42,MATCH(Nexgen!$B19,'Raw Data'!$B$3:$B$42,0),MATCH(Nexgen!E$5,'Raw Data'!$D$2:$KZ$2,0)),0)</f>
        <v>0</v>
      </c>
      <c r="F19" s="51">
        <f t="shared" si="0"/>
        <v>0</v>
      </c>
    </row>
    <row r="20" spans="2:8" x14ac:dyDescent="0.35">
      <c r="B20" s="23">
        <v>44621</v>
      </c>
      <c r="C20" s="34">
        <f>_xlfn.IFNA(INDEX('Raw Data'!$D$3:$KZ$42,MATCH(Nexgen!$B20,'Raw Data'!$B$3:$B$42,0),MATCH(Nexgen!C$5,'Raw Data'!$D$2:$KZ$2,0)),0)</f>
        <v>0</v>
      </c>
      <c r="D20" s="34">
        <f>_xlfn.IFNA(INDEX('Raw Data'!$D$3:$KZ$42,MATCH(Nexgen!$B20,'Raw Data'!$B$3:$B$42,0),MATCH(Nexgen!D$5,'Raw Data'!$D$2:$KZ$2,0)),0)</f>
        <v>0</v>
      </c>
      <c r="E20" s="34">
        <f>_xlfn.IFNA(INDEX('Raw Data'!$D$3:$KZ$42,MATCH(Nexgen!$B20,'Raw Data'!$B$3:$B$42,0),MATCH(Nexgen!E$5,'Raw Data'!$D$2:$KZ$2,0)),0)</f>
        <v>0</v>
      </c>
      <c r="F20" s="51">
        <f t="shared" si="0"/>
        <v>0</v>
      </c>
    </row>
    <row r="21" spans="2:8" x14ac:dyDescent="0.35">
      <c r="B21" s="23">
        <v>44652</v>
      </c>
      <c r="C21" s="34">
        <f>_xlfn.IFNA(INDEX('Raw Data'!$D$3:$KZ$42,MATCH(Nexgen!$B21,'Raw Data'!$B$3:$B$42,0),MATCH(Nexgen!C$5,'Raw Data'!$D$2:$KZ$2,0)),0)</f>
        <v>0</v>
      </c>
      <c r="D21" s="34">
        <f>_xlfn.IFNA(INDEX('Raw Data'!$D$3:$KZ$42,MATCH(Nexgen!$B21,'Raw Data'!$B$3:$B$42,0),MATCH(Nexgen!D$5,'Raw Data'!$D$2:$KZ$2,0)),0)</f>
        <v>0</v>
      </c>
      <c r="E21" s="34">
        <f>_xlfn.IFNA(INDEX('Raw Data'!$D$3:$KZ$42,MATCH(Nexgen!$B21,'Raw Data'!$B$3:$B$42,0),MATCH(Nexgen!E$5,'Raw Data'!$D$2:$KZ$2,0)),0)</f>
        <v>0</v>
      </c>
      <c r="F21" s="51">
        <f t="shared" si="0"/>
        <v>0</v>
      </c>
    </row>
    <row r="22" spans="2:8" x14ac:dyDescent="0.35">
      <c r="B22" s="23">
        <v>44682</v>
      </c>
      <c r="C22" s="34">
        <f>_xlfn.IFNA(INDEX('Raw Data'!$D$3:$KZ$42,MATCH(Nexgen!$B22,'Raw Data'!$B$3:$B$42,0),MATCH(Nexgen!C$5,'Raw Data'!$D$2:$KZ$2,0)),0)</f>
        <v>0</v>
      </c>
      <c r="D22" s="34">
        <f>_xlfn.IFNA(INDEX('Raw Data'!$D$3:$KZ$42,MATCH(Nexgen!$B22,'Raw Data'!$B$3:$B$42,0),MATCH(Nexgen!D$5,'Raw Data'!$D$2:$KZ$2,0)),0)</f>
        <v>0</v>
      </c>
      <c r="E22" s="34">
        <f>_xlfn.IFNA(INDEX('Raw Data'!$D$3:$KZ$42,MATCH(Nexgen!$B22,'Raw Data'!$B$3:$B$42,0),MATCH(Nexgen!E$5,'Raw Data'!$D$2:$KZ$2,0)),0)</f>
        <v>0</v>
      </c>
      <c r="F22" s="51">
        <f t="shared" si="0"/>
        <v>0</v>
      </c>
    </row>
    <row r="23" spans="2:8" x14ac:dyDescent="0.35">
      <c r="B23" s="23">
        <v>44713</v>
      </c>
      <c r="C23" s="34">
        <f>_xlfn.IFNA(INDEX('Raw Data'!$D$3:$KZ$42,MATCH(Nexgen!$B23,'Raw Data'!$B$3:$B$42,0),MATCH(Nexgen!C$5,'Raw Data'!$D$2:$KZ$2,0)),0)</f>
        <v>0</v>
      </c>
      <c r="D23" s="34">
        <f>_xlfn.IFNA(INDEX('Raw Data'!$D$3:$KZ$42,MATCH(Nexgen!$B23,'Raw Data'!$B$3:$B$42,0),MATCH(Nexgen!D$5,'Raw Data'!$D$2:$KZ$2,0)),0)</f>
        <v>0</v>
      </c>
      <c r="E23" s="34">
        <f>_xlfn.IFNA(INDEX('Raw Data'!$D$3:$KZ$42,MATCH(Nexgen!$B23,'Raw Data'!$B$3:$B$42,0),MATCH(Nexgen!E$5,'Raw Data'!$D$2:$KZ$2,0)),0)</f>
        <v>0</v>
      </c>
      <c r="F23" s="51">
        <f t="shared" si="0"/>
        <v>0</v>
      </c>
    </row>
    <row r="24" spans="2:8" x14ac:dyDescent="0.35">
      <c r="B24" s="23">
        <v>44743</v>
      </c>
      <c r="C24" s="34">
        <f>_xlfn.IFNA(INDEX('Raw Data'!$D$3:$KZ$42,MATCH(Nexgen!$B24,'Raw Data'!$B$3:$B$42,0),MATCH(Nexgen!C$5,'Raw Data'!$D$2:$KZ$2,0)),0)</f>
        <v>0</v>
      </c>
      <c r="D24" s="34">
        <f>_xlfn.IFNA(INDEX('Raw Data'!$D$3:$KZ$42,MATCH(Nexgen!$B24,'Raw Data'!$B$3:$B$42,0),MATCH(Nexgen!D$5,'Raw Data'!$D$2:$KZ$2,0)),0)</f>
        <v>0</v>
      </c>
      <c r="E24" s="34">
        <f>_xlfn.IFNA(INDEX('Raw Data'!$D$3:$KZ$42,MATCH(Nexgen!$B24,'Raw Data'!$B$3:$B$42,0),MATCH(Nexgen!E$5,'Raw Data'!$D$2:$KZ$2,0)),0)</f>
        <v>0</v>
      </c>
      <c r="F24" s="51">
        <f t="shared" si="0"/>
        <v>0</v>
      </c>
    </row>
    <row r="25" spans="2:8" x14ac:dyDescent="0.35">
      <c r="B25" s="23">
        <v>44774</v>
      </c>
      <c r="C25" s="34">
        <f>_xlfn.IFNA(INDEX('Raw Data'!$D$3:$KZ$42,MATCH(Nexgen!$B25,'Raw Data'!$B$3:$B$42,0),MATCH(Nexgen!C$5,'Raw Data'!$D$2:$KZ$2,0)),0)</f>
        <v>0</v>
      </c>
      <c r="D25" s="34">
        <f>_xlfn.IFNA(INDEX('Raw Data'!$D$3:$KZ$42,MATCH(Nexgen!$B25,'Raw Data'!$B$3:$B$42,0),MATCH(Nexgen!D$5,'Raw Data'!$D$2:$KZ$2,0)),0)</f>
        <v>0</v>
      </c>
      <c r="E25" s="34">
        <f>_xlfn.IFNA(INDEX('Raw Data'!$D$3:$KZ$42,MATCH(Nexgen!$B25,'Raw Data'!$B$3:$B$42,0),MATCH(Nexgen!E$5,'Raw Data'!$D$2:$KZ$2,0)),0)</f>
        <v>0</v>
      </c>
      <c r="F25" s="51">
        <f t="shared" si="0"/>
        <v>0</v>
      </c>
    </row>
    <row r="26" spans="2:8" x14ac:dyDescent="0.35">
      <c r="B26" s="23">
        <v>44805</v>
      </c>
      <c r="C26" s="34">
        <f>_xlfn.IFNA(INDEX('Raw Data'!$D$3:$KZ$42,MATCH(Nexgen!$B26,'Raw Data'!$B$3:$B$42,0),MATCH(Nexgen!C$5,'Raw Data'!$D$2:$KZ$2,0)),0)</f>
        <v>0</v>
      </c>
      <c r="D26" s="34">
        <f>_xlfn.IFNA(INDEX('Raw Data'!$D$3:$KZ$42,MATCH(Nexgen!$B26,'Raw Data'!$B$3:$B$42,0),MATCH(Nexgen!D$5,'Raw Data'!$D$2:$KZ$2,0)),0)</f>
        <v>0</v>
      </c>
      <c r="E26" s="34">
        <f>_xlfn.IFNA(INDEX('Raw Data'!$D$3:$KZ$42,MATCH(Nexgen!$B26,'Raw Data'!$B$3:$B$42,0),MATCH(Nexgen!E$5,'Raw Data'!$D$2:$KZ$2,0)),0)</f>
        <v>0</v>
      </c>
      <c r="F26" s="51">
        <f t="shared" si="0"/>
        <v>0</v>
      </c>
    </row>
    <row r="27" spans="2:8" x14ac:dyDescent="0.35">
      <c r="B27" s="23">
        <v>44835</v>
      </c>
      <c r="C27" s="34">
        <f>_xlfn.IFNA(INDEX('Raw Data'!$D$3:$KZ$42,MATCH(Nexgen!$B27,'Raw Data'!$B$3:$B$42,0),MATCH(Nexgen!C$5,'Raw Data'!$D$2:$KZ$2,0)),0)</f>
        <v>0</v>
      </c>
      <c r="D27" s="34">
        <f>_xlfn.IFNA(INDEX('Raw Data'!$D$3:$KZ$42,MATCH(Nexgen!$B27,'Raw Data'!$B$3:$B$42,0),MATCH(Nexgen!D$5,'Raw Data'!$D$2:$KZ$2,0)),0)</f>
        <v>0</v>
      </c>
      <c r="E27" s="34">
        <f>_xlfn.IFNA(INDEX('Raw Data'!$D$3:$KZ$42,MATCH(Nexgen!$B27,'Raw Data'!$B$3:$B$42,0),MATCH(Nexgen!E$5,'Raw Data'!$D$2:$KZ$2,0)),0)</f>
        <v>0</v>
      </c>
      <c r="F27" s="51">
        <f t="shared" si="0"/>
        <v>0</v>
      </c>
    </row>
    <row r="28" spans="2:8" x14ac:dyDescent="0.35">
      <c r="B28" s="23">
        <v>44866</v>
      </c>
      <c r="C28" s="34">
        <f>_xlfn.IFNA(INDEX('Raw Data'!$D$3:$KZ$42,MATCH(Nexgen!$B28,'Raw Data'!$B$3:$B$42,0),MATCH(Nexgen!C$5,'Raw Data'!$D$2:$KZ$2,0)),0)</f>
        <v>0</v>
      </c>
      <c r="D28" s="34">
        <f>_xlfn.IFNA(INDEX('Raw Data'!$D$3:$KZ$42,MATCH(Nexgen!$B28,'Raw Data'!$B$3:$B$42,0),MATCH(Nexgen!D$5,'Raw Data'!$D$2:$KZ$2,0)),0)</f>
        <v>0</v>
      </c>
      <c r="E28" s="34">
        <f>_xlfn.IFNA(INDEX('Raw Data'!$D$3:$KZ$42,MATCH(Nexgen!$B28,'Raw Data'!$B$3:$B$42,0),MATCH(Nexgen!E$5,'Raw Data'!$D$2:$KZ$2,0)),0)</f>
        <v>0</v>
      </c>
      <c r="F28" s="51">
        <f t="shared" si="0"/>
        <v>0</v>
      </c>
    </row>
    <row r="29" spans="2:8" x14ac:dyDescent="0.35">
      <c r="B29" s="23">
        <v>44896</v>
      </c>
      <c r="C29" s="34">
        <f>_xlfn.IFNA(INDEX('Raw Data'!$D$3:$KZ$42,MATCH(Nexgen!$B29,'Raw Data'!$B$3:$B$42,0),MATCH(Nexgen!C$5,'Raw Data'!$D$2:$KZ$2,0)),0)</f>
        <v>0</v>
      </c>
      <c r="D29" s="34">
        <f>_xlfn.IFNA(INDEX('Raw Data'!$D$3:$KZ$42,MATCH(Nexgen!$B29,'Raw Data'!$B$3:$B$42,0),MATCH(Nexgen!D$5,'Raw Data'!$D$2:$KZ$2,0)),0)</f>
        <v>0</v>
      </c>
      <c r="E29" s="34">
        <f>_xlfn.IFNA(INDEX('Raw Data'!$D$3:$KZ$42,MATCH(Nexgen!$B29,'Raw Data'!$B$3:$B$42,0),MATCH(Nexgen!E$5,'Raw Data'!$D$2:$KZ$2,0)),0)</f>
        <v>0</v>
      </c>
      <c r="F29" s="51">
        <f t="shared" si="0"/>
        <v>0</v>
      </c>
    </row>
    <row r="30" spans="2:8" x14ac:dyDescent="0.35">
      <c r="B30" s="23">
        <v>44927</v>
      </c>
      <c r="C30" s="34">
        <f>_xlfn.IFNA(INDEX('Raw Data'!$D$3:$KZ$42,MATCH(Nexgen!$B30,'Raw Data'!$B$3:$B$42,0),MATCH(Nexgen!C$5,'Raw Data'!$D$2:$KZ$2,0)),0)</f>
        <v>0</v>
      </c>
      <c r="D30" s="34">
        <f>_xlfn.IFNA(INDEX('Raw Data'!$D$3:$KZ$42,MATCH(Nexgen!$B30,'Raw Data'!$B$3:$B$42,0),MATCH(Nexgen!D$5,'Raw Data'!$D$2:$KZ$2,0)),0)</f>
        <v>0</v>
      </c>
      <c r="E30" s="34">
        <f>_xlfn.IFNA(INDEX('Raw Data'!$D$3:$KZ$42,MATCH(Nexgen!$B30,'Raw Data'!$B$3:$B$42,0),MATCH(Nexgen!E$5,'Raw Data'!$D$2:$KZ$2,0)),0)</f>
        <v>0</v>
      </c>
      <c r="F30" s="51">
        <f t="shared" si="0"/>
        <v>0</v>
      </c>
    </row>
    <row r="31" spans="2:8" ht="15.5" x14ac:dyDescent="0.35">
      <c r="H31" s="38" t="s">
        <v>51</v>
      </c>
    </row>
    <row r="32" spans="2:8" x14ac:dyDescent="0.35">
      <c r="H32" s="79" t="s">
        <v>315</v>
      </c>
    </row>
    <row r="33" spans="2:8" x14ac:dyDescent="0.35">
      <c r="H33" s="79"/>
    </row>
    <row r="35" spans="2:8" x14ac:dyDescent="0.35">
      <c r="B35" s="55"/>
      <c r="C35" s="212" t="s">
        <v>177</v>
      </c>
      <c r="D35" s="213"/>
      <c r="E35" s="213"/>
      <c r="F35" s="214"/>
    </row>
    <row r="36" spans="2:8" x14ac:dyDescent="0.35">
      <c r="B36" s="31" t="s">
        <v>293</v>
      </c>
      <c r="C36" s="60">
        <f>IFERROR(AVERAGE(C9:C20),"-")</f>
        <v>15104.333333333334</v>
      </c>
      <c r="D36" s="60">
        <f t="shared" ref="D36:F36" si="1">IFERROR(AVERAGE(D9:D20),"-")</f>
        <v>360.66666666666669</v>
      </c>
      <c r="E36" s="60">
        <f t="shared" si="1"/>
        <v>126.91666666666667</v>
      </c>
      <c r="F36" s="72">
        <f t="shared" si="1"/>
        <v>0.66878105855607028</v>
      </c>
    </row>
    <row r="37" spans="2:8" x14ac:dyDescent="0.35">
      <c r="B37" s="31" t="s">
        <v>316</v>
      </c>
      <c r="C37" s="42">
        <f>IFERROR(AVERAGE(C18:C29),"-")</f>
        <v>0</v>
      </c>
      <c r="D37" s="42">
        <f t="shared" ref="D37:F37" si="2">IFERROR(AVERAGE(D18:D29),"-")</f>
        <v>0</v>
      </c>
      <c r="E37" s="42">
        <f t="shared" si="2"/>
        <v>0</v>
      </c>
      <c r="F37" s="73">
        <f t="shared" si="2"/>
        <v>0</v>
      </c>
    </row>
    <row r="38" spans="2:8" x14ac:dyDescent="0.35">
      <c r="B38" s="31" t="s">
        <v>178</v>
      </c>
      <c r="C38" s="59">
        <f>IFERROR(C37/C36-1,"-")</f>
        <v>-1</v>
      </c>
      <c r="D38" s="59">
        <f t="shared" ref="D38:F38" si="3">IFERROR(D37/D36-1,"-")</f>
        <v>-1</v>
      </c>
      <c r="E38" s="59">
        <f t="shared" si="3"/>
        <v>-1</v>
      </c>
      <c r="F38" s="59">
        <f t="shared" si="3"/>
        <v>-1</v>
      </c>
    </row>
    <row r="43" spans="2:8" x14ac:dyDescent="0.35">
      <c r="B43" s="71" t="s">
        <v>204</v>
      </c>
      <c r="C43" s="71" t="s">
        <v>205</v>
      </c>
      <c r="D43" s="71" t="s">
        <v>291</v>
      </c>
      <c r="E43" s="71" t="s">
        <v>208</v>
      </c>
      <c r="F43" s="71" t="s">
        <v>292</v>
      </c>
    </row>
    <row r="44" spans="2:8" x14ac:dyDescent="0.35">
      <c r="B44" s="31" t="str">
        <f>UPPER(B2)</f>
        <v>NEXGEN</v>
      </c>
      <c r="C44" s="31" t="str" cm="1">
        <f t="array" ref="C44">IFERROR(_xlfn.UNIQUE(_xlfn._xlws.FILTER('NPP Spends'!$D$3:$D$80,--ISNUMBER(SEARCH(Nexgen!$B44,'NPP Spends'!$C$3:$C$80)))),"-")</f>
        <v>EMAIL</v>
      </c>
      <c r="D44" s="31" t="str" cm="1">
        <f t="array" ref="D44:D46">IFERROR(_xlfn.UNIQUE(_xlfn._xlws.FILTER('NPP Spends'!$L$3:$L$80,--ISNUMBER(SEARCH(Nexgen!$B44,'NPP Spends'!$C$3:$C$80)))),"-")</f>
        <v>Jul2021</v>
      </c>
      <c r="E44" s="42" cm="1">
        <f t="array" ref="E44:E46">IFERROR(_xlfn._xlws.FILTER('NPP Spends'!$G$3:$G$80,--ISNUMBER(SEARCH(Nexgen!$B44,'NPP Spends'!$C$3:$C$80))),"-")</f>
        <v>22118</v>
      </c>
      <c r="F44" s="74" cm="1">
        <f t="array" ref="F44:F46">IFERROR(_xlfn._xlws.FILTER('NPP Spends'!$H$3:$H$80,--ISNUMBER(SEARCH(Nexgen!$B44,'NPP Spends'!$C$3:$C$80))),"-")</f>
        <v>31265</v>
      </c>
    </row>
    <row r="45" spans="2:8" x14ac:dyDescent="0.35">
      <c r="B45" s="31"/>
      <c r="C45" s="31"/>
      <c r="D45" s="31" t="str">
        <v>Aug2021</v>
      </c>
      <c r="E45" s="42">
        <v>0</v>
      </c>
      <c r="F45" s="31">
        <v>0</v>
      </c>
    </row>
    <row r="46" spans="2:8" x14ac:dyDescent="0.35">
      <c r="B46" s="31"/>
      <c r="C46" s="31"/>
      <c r="D46" s="31" t="str">
        <v>Sep2021</v>
      </c>
      <c r="E46" s="42">
        <v>0</v>
      </c>
      <c r="F46" s="31">
        <v>0</v>
      </c>
    </row>
    <row r="47" spans="2:8" x14ac:dyDescent="0.35">
      <c r="B47" s="31"/>
      <c r="C47" s="31"/>
      <c r="D47" s="31"/>
      <c r="E47" s="31"/>
      <c r="F47" s="31"/>
    </row>
    <row r="48" spans="2:8" x14ac:dyDescent="0.35">
      <c r="B48" s="31"/>
      <c r="C48" s="31"/>
      <c r="D48" s="31"/>
      <c r="E48" s="31"/>
      <c r="F48" s="31"/>
    </row>
    <row r="49" spans="2:6" x14ac:dyDescent="0.35">
      <c r="B49" s="31"/>
      <c r="C49" s="31"/>
      <c r="D49" s="31"/>
      <c r="E49" s="31"/>
      <c r="F49" s="31"/>
    </row>
    <row r="50" spans="2:6" x14ac:dyDescent="0.35">
      <c r="B50" s="31"/>
      <c r="C50" s="31"/>
      <c r="D50" s="31"/>
      <c r="E50" s="31"/>
      <c r="F50" s="31"/>
    </row>
    <row r="51" spans="2:6" x14ac:dyDescent="0.35">
      <c r="B51" s="31"/>
      <c r="C51" s="31"/>
      <c r="D51" s="31"/>
      <c r="E51" s="31"/>
      <c r="F51" s="31"/>
    </row>
    <row r="52" spans="2:6" x14ac:dyDescent="0.35">
      <c r="B52" s="31"/>
      <c r="C52" s="31"/>
      <c r="D52" s="31"/>
      <c r="E52" s="31"/>
      <c r="F52" s="31"/>
    </row>
    <row r="53" spans="2:6" x14ac:dyDescent="0.35">
      <c r="B53" s="31"/>
      <c r="C53" s="31"/>
      <c r="D53" s="31"/>
      <c r="E53" s="31"/>
      <c r="F53" s="31"/>
    </row>
    <row r="54" spans="2:6" x14ac:dyDescent="0.35">
      <c r="B54" s="31"/>
      <c r="C54" s="31"/>
      <c r="D54" s="31"/>
      <c r="E54" s="31"/>
      <c r="F54" s="31"/>
    </row>
    <row r="55" spans="2:6" x14ac:dyDescent="0.35">
      <c r="B55" s="31"/>
      <c r="C55" s="31"/>
      <c r="D55" s="31"/>
      <c r="E55" s="31"/>
      <c r="F55" s="31"/>
    </row>
    <row r="56" spans="2:6" x14ac:dyDescent="0.35">
      <c r="B56" s="31"/>
      <c r="C56" s="31"/>
      <c r="D56" s="31"/>
      <c r="E56" s="31"/>
      <c r="F56" s="31"/>
    </row>
    <row r="57" spans="2:6" x14ac:dyDescent="0.35">
      <c r="B57" s="31"/>
      <c r="C57" s="31"/>
      <c r="D57" s="31"/>
      <c r="E57" s="31"/>
      <c r="F57" s="31"/>
    </row>
    <row r="58" spans="2:6" x14ac:dyDescent="0.35">
      <c r="B58" s="31"/>
      <c r="C58" s="31"/>
      <c r="D58" s="31"/>
      <c r="E58" s="31"/>
      <c r="F58" s="31"/>
    </row>
    <row r="59" spans="2:6" x14ac:dyDescent="0.35">
      <c r="B59" s="31"/>
      <c r="C59" s="31"/>
      <c r="D59" s="31"/>
      <c r="E59" s="31"/>
      <c r="F59" s="31"/>
    </row>
    <row r="60" spans="2:6" x14ac:dyDescent="0.35">
      <c r="B60" s="49"/>
      <c r="C60" s="49"/>
      <c r="D60" s="49"/>
      <c r="E60" s="49"/>
      <c r="F60" s="49"/>
    </row>
    <row r="61" spans="2:6" x14ac:dyDescent="0.35">
      <c r="B61" s="49"/>
      <c r="C61" s="49"/>
      <c r="D61" s="49"/>
      <c r="E61" s="49"/>
      <c r="F61" s="49"/>
    </row>
    <row r="62" spans="2:6" x14ac:dyDescent="0.35">
      <c r="B62" s="49"/>
      <c r="C62" s="49"/>
      <c r="D62" s="49"/>
      <c r="E62" s="49"/>
      <c r="F62" s="49"/>
    </row>
    <row r="63" spans="2:6" x14ac:dyDescent="0.35">
      <c r="B63" s="49"/>
      <c r="C63" s="49"/>
      <c r="D63" s="49"/>
      <c r="E63" s="49"/>
      <c r="F63" s="49"/>
    </row>
    <row r="64" spans="2:6" x14ac:dyDescent="0.35">
      <c r="B64" s="49"/>
      <c r="C64" s="49"/>
      <c r="D64" s="49"/>
      <c r="E64" s="49"/>
      <c r="F64" s="49"/>
    </row>
    <row r="65" spans="2:6" x14ac:dyDescent="0.35">
      <c r="B65" s="49"/>
      <c r="C65" s="49"/>
      <c r="D65" s="49"/>
      <c r="E65" s="49"/>
      <c r="F65" s="49"/>
    </row>
  </sheetData>
  <mergeCells count="2">
    <mergeCell ref="B2:F2"/>
    <mergeCell ref="C35:F35"/>
  </mergeCells>
  <hyperlinks>
    <hyperlink ref="A1" location="Index!A1" display="Home" xr:uid="{E2D0146B-AB2C-4761-85D4-D6C1279A558A}"/>
  </hyperlinks>
  <pageMargins left="0.7" right="0.7" top="0.75" bottom="0.75" header="0.3" footer="0.3"/>
  <pageSetup paperSize="9" orientation="portrait" r:id="rId1"/>
  <headerFooter>
    <oddHeader>&amp;L&amp;"Calibri"&amp;12&amp;K8E6A00Confidential&amp;1#</oddHead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522531A-9F26-4BD9-BB72-C54A9441F345}">
          <x14:formula1>
            <xm:f>Control!$C$4:$C$305</xm:f>
          </x14:formula1>
          <xm:sqref>C6:E6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13B8C2-1A5B-4457-9C0D-206301E54800}">
  <sheetPr codeName="Sheet13"/>
  <dimension ref="B2:U21"/>
  <sheetViews>
    <sheetView showGridLines="0" workbookViewId="0">
      <selection activeCell="A4" sqref="A4"/>
    </sheetView>
  </sheetViews>
  <sheetFormatPr defaultRowHeight="14.5" x14ac:dyDescent="0.35"/>
  <cols>
    <col min="3" max="3" width="20.7265625" bestFit="1" customWidth="1"/>
    <col min="4" max="4" width="13.54296875" bestFit="1" customWidth="1"/>
    <col min="5" max="5" width="17" bestFit="1" customWidth="1"/>
    <col min="6" max="6" width="14.1796875" bestFit="1" customWidth="1"/>
    <col min="7" max="7" width="12.7265625" bestFit="1" customWidth="1"/>
    <col min="8" max="8" width="20.7265625" bestFit="1" customWidth="1"/>
    <col min="9" max="9" width="14.7265625" bestFit="1" customWidth="1"/>
    <col min="10" max="10" width="13.7265625" bestFit="1" customWidth="1"/>
    <col min="11" max="11" width="14.26953125" bestFit="1" customWidth="1"/>
    <col min="12" max="12" width="13.7265625" bestFit="1" customWidth="1"/>
    <col min="13" max="13" width="13.54296875" bestFit="1" customWidth="1"/>
    <col min="14" max="14" width="14" bestFit="1" customWidth="1"/>
    <col min="15" max="15" width="13.7265625" bestFit="1" customWidth="1"/>
    <col min="16" max="17" width="14.7265625" bestFit="1" customWidth="1"/>
    <col min="18" max="18" width="14.54296875" bestFit="1" customWidth="1"/>
    <col min="19" max="19" width="13.7265625" bestFit="1" customWidth="1"/>
    <col min="20" max="20" width="20.7265625" bestFit="1" customWidth="1"/>
    <col min="21" max="21" width="14.81640625" bestFit="1" customWidth="1"/>
  </cols>
  <sheetData>
    <row r="2" spans="2:21" x14ac:dyDescent="0.35">
      <c r="D2" cm="1">
        <f t="array" ref="D2:U3">TRANSPOSE(B4:C21)</f>
        <v>1</v>
      </c>
      <c r="E2">
        <v>2</v>
      </c>
      <c r="F2">
        <v>3</v>
      </c>
      <c r="G2">
        <v>4</v>
      </c>
      <c r="H2">
        <v>5</v>
      </c>
      <c r="I2">
        <v>6</v>
      </c>
      <c r="J2">
        <v>7</v>
      </c>
      <c r="K2">
        <v>8</v>
      </c>
      <c r="L2">
        <v>9</v>
      </c>
      <c r="M2">
        <v>10</v>
      </c>
      <c r="N2">
        <v>11</v>
      </c>
      <c r="O2">
        <v>12</v>
      </c>
      <c r="P2">
        <v>13</v>
      </c>
      <c r="Q2">
        <v>14</v>
      </c>
      <c r="R2">
        <v>15</v>
      </c>
      <c r="S2">
        <v>16</v>
      </c>
      <c r="T2">
        <v>17</v>
      </c>
      <c r="U2">
        <v>18</v>
      </c>
    </row>
    <row r="3" spans="2:21" x14ac:dyDescent="0.35">
      <c r="C3" s="17" t="s">
        <v>48</v>
      </c>
      <c r="D3" s="17" t="str">
        <v>hcp_grail_nrx</v>
      </c>
      <c r="E3" s="17" t="str">
        <v>hcp_grail_nrx_co</v>
      </c>
      <c r="F3" s="17" t="str">
        <v>hcc_disp_imp</v>
      </c>
      <c r="G3" s="17" t="str">
        <v>hcc_olv_imp</v>
      </c>
      <c r="H3" s="17" t="str">
        <v>hcc_osrch_sessions</v>
      </c>
      <c r="I3" s="17" t="str">
        <v>hcc_psrch_clk</v>
      </c>
      <c r="J3" s="17" t="str">
        <v>hcc_soc_imp</v>
      </c>
      <c r="K3" s="17" t="str">
        <v>hcp_alert_eng</v>
      </c>
      <c r="L3" s="17" t="str">
        <v>hcp_ban_eng</v>
      </c>
      <c r="M3" s="17" t="str">
        <v>hcp_edtl_eng</v>
      </c>
      <c r="N3" s="17" t="str">
        <v>hcp_eml_clkd</v>
      </c>
      <c r="O3" s="17" t="str">
        <v>hcp_eml_eng</v>
      </c>
      <c r="P3" s="17" t="str">
        <v>hcp_fmail_eng</v>
      </c>
      <c r="Q3" s="17" t="str">
        <v>hcp_grail_sdot</v>
      </c>
      <c r="R3" s="17" t="str">
        <v>hcp_grail_vnrx</v>
      </c>
      <c r="S3" s="17" t="str">
        <v>hcp_npp_eng</v>
      </c>
      <c r="T3" s="17" t="str">
        <v>hcp_osrch_sessions</v>
      </c>
      <c r="U3" s="17" t="str">
        <v>hcp_rdtl_totdet</v>
      </c>
    </row>
    <row r="4" spans="2:21" x14ac:dyDescent="0.35">
      <c r="B4">
        <v>1</v>
      </c>
      <c r="C4" s="17" t="s">
        <v>25</v>
      </c>
      <c r="D4" s="18">
        <v>1</v>
      </c>
      <c r="E4" s="18">
        <v>0.96195616549999996</v>
      </c>
      <c r="F4" s="18">
        <v>0.39020762460000002</v>
      </c>
      <c r="G4" s="18">
        <v>8.9407987499999994E-2</v>
      </c>
      <c r="H4" s="18">
        <v>0.89313406780000004</v>
      </c>
      <c r="I4" s="18">
        <v>0.68729342579999997</v>
      </c>
      <c r="J4" s="18">
        <v>0.53467596539999995</v>
      </c>
      <c r="K4" s="18">
        <v>0.76073161680000001</v>
      </c>
      <c r="L4" s="18">
        <v>0.40823344239999998</v>
      </c>
      <c r="M4" s="18">
        <v>0.17356000490000001</v>
      </c>
      <c r="N4" s="18">
        <v>0.61186185979999996</v>
      </c>
      <c r="O4" s="18">
        <v>0.78297947830000003</v>
      </c>
      <c r="P4" s="18">
        <v>0.80027810539999999</v>
      </c>
      <c r="Q4" s="18">
        <v>0.76365204499999995</v>
      </c>
      <c r="R4" s="18">
        <v>0.6427452334</v>
      </c>
      <c r="S4" s="18">
        <v>0.84551966209999996</v>
      </c>
      <c r="T4" s="18">
        <v>0.8614701897</v>
      </c>
      <c r="U4" s="18">
        <v>0.80056001610000005</v>
      </c>
    </row>
    <row r="5" spans="2:21" x14ac:dyDescent="0.35">
      <c r="B5">
        <v>2</v>
      </c>
      <c r="C5" s="17" t="s">
        <v>46</v>
      </c>
      <c r="D5" s="18">
        <v>0.96195616549999996</v>
      </c>
      <c r="E5" s="18">
        <v>1</v>
      </c>
      <c r="F5" s="18">
        <v>0.39460157899999998</v>
      </c>
      <c r="G5" s="18">
        <v>8.3187368900000003E-2</v>
      </c>
      <c r="H5" s="18">
        <v>0.86936464000000002</v>
      </c>
      <c r="I5" s="18">
        <v>0.5992666405</v>
      </c>
      <c r="J5" s="18">
        <v>0.56720835160000005</v>
      </c>
      <c r="K5" s="18">
        <v>0.79832341500000004</v>
      </c>
      <c r="L5" s="18">
        <v>0.4231019681</v>
      </c>
      <c r="M5" s="18">
        <v>0.17526680889999999</v>
      </c>
      <c r="N5" s="18">
        <v>0.60706525749999996</v>
      </c>
      <c r="O5" s="18">
        <v>0.77919383529999997</v>
      </c>
      <c r="P5" s="18">
        <v>0.78016656819999997</v>
      </c>
      <c r="Q5" s="18">
        <v>0.74711071529999995</v>
      </c>
      <c r="R5" s="18">
        <v>0.62055628470000002</v>
      </c>
      <c r="S5" s="18">
        <v>0.85016818400000005</v>
      </c>
      <c r="T5" s="18">
        <v>0.82261328560000002</v>
      </c>
      <c r="U5" s="18">
        <v>0.81927632120000005</v>
      </c>
    </row>
    <row r="6" spans="2:21" x14ac:dyDescent="0.35">
      <c r="B6">
        <v>3</v>
      </c>
      <c r="C6" s="17" t="s">
        <v>4</v>
      </c>
      <c r="D6" s="18">
        <v>0.39020762460000002</v>
      </c>
      <c r="E6" s="18">
        <v>0.39460157899999998</v>
      </c>
      <c r="F6" s="18">
        <v>1</v>
      </c>
      <c r="G6" s="18">
        <v>-3.4856459999999998E-3</v>
      </c>
      <c r="H6" s="18">
        <v>0.3871690176</v>
      </c>
      <c r="I6" s="18">
        <v>0.71168266199999997</v>
      </c>
      <c r="J6" s="18">
        <v>0.42583229779999998</v>
      </c>
      <c r="K6" s="18">
        <v>0.39523702449999998</v>
      </c>
      <c r="L6" s="18">
        <v>-5.054351E-2</v>
      </c>
      <c r="M6" s="18">
        <v>7.3039920000000003E-4</v>
      </c>
      <c r="N6" s="18">
        <v>0.1363966331</v>
      </c>
      <c r="O6" s="18">
        <v>0.16638056070000001</v>
      </c>
      <c r="P6" s="18">
        <v>0.28403375339999998</v>
      </c>
      <c r="Q6" s="18">
        <v>0.26743448710000001</v>
      </c>
      <c r="R6" s="18">
        <v>0.27855940470000001</v>
      </c>
      <c r="S6" s="18">
        <v>0.26259244250000002</v>
      </c>
      <c r="T6" s="18">
        <v>0.38243117630000001</v>
      </c>
      <c r="U6" s="18">
        <v>0.29305927479999999</v>
      </c>
    </row>
    <row r="7" spans="2:21" x14ac:dyDescent="0.35">
      <c r="B7">
        <v>4</v>
      </c>
      <c r="C7" s="17" t="s">
        <v>11</v>
      </c>
      <c r="D7" s="18">
        <v>8.9407987499999994E-2</v>
      </c>
      <c r="E7" s="18">
        <v>8.3187368900000003E-2</v>
      </c>
      <c r="F7" s="18">
        <v>-3.4856459999999998E-3</v>
      </c>
      <c r="G7" s="18">
        <v>1</v>
      </c>
      <c r="H7" s="18">
        <v>6.9559308E-2</v>
      </c>
      <c r="I7" s="18">
        <v>7.4482714000000005E-2</v>
      </c>
      <c r="J7" s="18">
        <v>-7.7267029999999997E-3</v>
      </c>
      <c r="K7" s="18">
        <v>3.5022314899999997E-2</v>
      </c>
      <c r="L7" s="18">
        <v>-4.4127250000000002E-3</v>
      </c>
      <c r="M7" s="18">
        <v>-1.247675E-3</v>
      </c>
      <c r="N7" s="18">
        <v>6.4122686100000006E-2</v>
      </c>
      <c r="O7" s="18">
        <v>4.80536856E-2</v>
      </c>
      <c r="P7" s="18">
        <v>0.15793680260000001</v>
      </c>
      <c r="Q7" s="18">
        <v>7.84449859E-2</v>
      </c>
      <c r="R7" s="18">
        <v>6.0911040200000002E-2</v>
      </c>
      <c r="S7" s="18">
        <v>6.7735751799999994E-2</v>
      </c>
      <c r="T7" s="18">
        <v>7.5613210700000003E-2</v>
      </c>
      <c r="U7" s="18">
        <v>2.9049621599999999E-2</v>
      </c>
    </row>
    <row r="8" spans="2:21" x14ac:dyDescent="0.35">
      <c r="B8">
        <v>5</v>
      </c>
      <c r="C8" s="17" t="s">
        <v>13</v>
      </c>
      <c r="D8" s="18">
        <v>0.89313406780000004</v>
      </c>
      <c r="E8" s="18">
        <v>0.86936464000000002</v>
      </c>
      <c r="F8" s="18">
        <v>0.3871690176</v>
      </c>
      <c r="G8" s="18">
        <v>6.9559308E-2</v>
      </c>
      <c r="H8" s="18">
        <v>1</v>
      </c>
      <c r="I8" s="18">
        <v>0.67646472369999999</v>
      </c>
      <c r="J8" s="18">
        <v>0.54610987109999998</v>
      </c>
      <c r="K8" s="18">
        <v>0.72112938829999995</v>
      </c>
      <c r="L8" s="18">
        <v>0.32024336440000001</v>
      </c>
      <c r="M8" s="18">
        <v>0.15917378469999999</v>
      </c>
      <c r="N8" s="18">
        <v>0.54904678870000001</v>
      </c>
      <c r="O8" s="18">
        <v>0.71081063629999997</v>
      </c>
      <c r="P8" s="18">
        <v>0.72148220789999995</v>
      </c>
      <c r="Q8" s="18">
        <v>0.71491762940000003</v>
      </c>
      <c r="R8" s="18">
        <v>0.62463235510000004</v>
      </c>
      <c r="S8" s="18">
        <v>0.77438345620000004</v>
      </c>
      <c r="T8" s="18">
        <v>0.8935663841</v>
      </c>
      <c r="U8" s="18">
        <v>0.69608199240000002</v>
      </c>
    </row>
    <row r="9" spans="2:21" x14ac:dyDescent="0.35">
      <c r="B9">
        <v>6</v>
      </c>
      <c r="C9" s="17" t="s">
        <v>9</v>
      </c>
      <c r="D9" s="18">
        <v>0.68729342579999997</v>
      </c>
      <c r="E9" s="18">
        <v>0.5992666405</v>
      </c>
      <c r="F9" s="18">
        <v>0.71168266199999997</v>
      </c>
      <c r="G9" s="18">
        <v>7.4482714000000005E-2</v>
      </c>
      <c r="H9" s="18">
        <v>0.67646472369999999</v>
      </c>
      <c r="I9" s="18">
        <v>1</v>
      </c>
      <c r="J9" s="18">
        <v>0.44802120280000002</v>
      </c>
      <c r="K9" s="18">
        <v>0.53479183399999997</v>
      </c>
      <c r="L9" s="18">
        <v>1.6623149100000002E-2</v>
      </c>
      <c r="M9" s="18">
        <v>0.22099945709999999</v>
      </c>
      <c r="N9" s="18">
        <v>0.3617007854</v>
      </c>
      <c r="O9" s="18">
        <v>0.47733163249999999</v>
      </c>
      <c r="P9" s="18">
        <v>0.58067034920000005</v>
      </c>
      <c r="Q9" s="18">
        <v>0.48648529899999998</v>
      </c>
      <c r="R9" s="18">
        <v>0.45604041229999998</v>
      </c>
      <c r="S9" s="18">
        <v>0.54846143169999995</v>
      </c>
      <c r="T9" s="18">
        <v>0.6829928354</v>
      </c>
      <c r="U9" s="18">
        <v>0.42794099569999999</v>
      </c>
    </row>
    <row r="10" spans="2:21" x14ac:dyDescent="0.35">
      <c r="B10">
        <v>7</v>
      </c>
      <c r="C10" s="17" t="s">
        <v>23</v>
      </c>
      <c r="D10" s="18">
        <v>0.53467596539999995</v>
      </c>
      <c r="E10" s="18">
        <v>0.56720835160000005</v>
      </c>
      <c r="F10" s="18">
        <v>0.42583229779999998</v>
      </c>
      <c r="G10" s="18">
        <v>-7.7267029999999997E-3</v>
      </c>
      <c r="H10" s="18">
        <v>0.54610987109999998</v>
      </c>
      <c r="I10" s="18">
        <v>0.44802120280000002</v>
      </c>
      <c r="J10" s="18">
        <v>1</v>
      </c>
      <c r="K10" s="18">
        <v>0.59041725310000004</v>
      </c>
      <c r="L10" s="18">
        <v>0.1831344926</v>
      </c>
      <c r="M10" s="18">
        <v>-4.4387435000000003E-2</v>
      </c>
      <c r="N10" s="18">
        <v>0.39071769480000001</v>
      </c>
      <c r="O10" s="18">
        <v>0.43319544570000001</v>
      </c>
      <c r="P10" s="18">
        <v>0.480528073</v>
      </c>
      <c r="Q10" s="18">
        <v>0.41781929639999998</v>
      </c>
      <c r="R10" s="18">
        <v>0.32850820759999999</v>
      </c>
      <c r="S10" s="18">
        <v>0.52062297339999997</v>
      </c>
      <c r="T10" s="18">
        <v>0.44357422559999998</v>
      </c>
      <c r="U10" s="18">
        <v>0.47806988929999999</v>
      </c>
    </row>
    <row r="11" spans="2:21" x14ac:dyDescent="0.35">
      <c r="B11">
        <v>8</v>
      </c>
      <c r="C11" s="17" t="s">
        <v>44</v>
      </c>
      <c r="D11" s="18">
        <v>0.76073161680000001</v>
      </c>
      <c r="E11" s="18">
        <v>0.79832341500000004</v>
      </c>
      <c r="F11" s="18">
        <v>0.39523702449999998</v>
      </c>
      <c r="G11" s="18">
        <v>3.5022314899999997E-2</v>
      </c>
      <c r="H11" s="18">
        <v>0.72112938829999995</v>
      </c>
      <c r="I11" s="18">
        <v>0.53479183399999997</v>
      </c>
      <c r="J11" s="18">
        <v>0.59041725310000004</v>
      </c>
      <c r="K11" s="18">
        <v>1</v>
      </c>
      <c r="L11" s="18">
        <v>0.43207959200000001</v>
      </c>
      <c r="M11" s="18">
        <v>0.20860495300000001</v>
      </c>
      <c r="N11" s="18">
        <v>0.67260740969999999</v>
      </c>
      <c r="O11" s="18">
        <v>0.79899493990000003</v>
      </c>
      <c r="P11" s="18">
        <v>0.68624860649999997</v>
      </c>
      <c r="Q11" s="18">
        <v>0.59128482589999998</v>
      </c>
      <c r="R11" s="18">
        <v>0.45985193499999999</v>
      </c>
      <c r="S11" s="18">
        <v>0.90149595520000003</v>
      </c>
      <c r="T11" s="18">
        <v>0.72669222330000005</v>
      </c>
      <c r="U11" s="18">
        <v>0.67659187389999997</v>
      </c>
    </row>
    <row r="12" spans="2:21" x14ac:dyDescent="0.35">
      <c r="B12">
        <v>9</v>
      </c>
      <c r="C12" s="17" t="s">
        <v>45</v>
      </c>
      <c r="D12" s="18">
        <v>0.40823344239999998</v>
      </c>
      <c r="E12" s="18">
        <v>0.4231019681</v>
      </c>
      <c r="F12" s="18">
        <v>-5.054351E-2</v>
      </c>
      <c r="G12" s="18">
        <v>-4.4127250000000002E-3</v>
      </c>
      <c r="H12" s="18">
        <v>0.32024336440000001</v>
      </c>
      <c r="I12" s="18">
        <v>1.6623149100000002E-2</v>
      </c>
      <c r="J12" s="18">
        <v>0.1831344926</v>
      </c>
      <c r="K12" s="18">
        <v>0.43207959200000001</v>
      </c>
      <c r="L12" s="18">
        <v>1</v>
      </c>
      <c r="M12" s="18">
        <v>-2.3048702000000001E-2</v>
      </c>
      <c r="N12" s="18">
        <v>0.3955215547</v>
      </c>
      <c r="O12" s="18">
        <v>0.49598500099999998</v>
      </c>
      <c r="P12" s="18">
        <v>0.2491139369</v>
      </c>
      <c r="Q12" s="18">
        <v>0.30131437630000002</v>
      </c>
      <c r="R12" s="18">
        <v>0.19647168200000001</v>
      </c>
      <c r="S12" s="18">
        <v>0.48625677</v>
      </c>
      <c r="T12" s="18">
        <v>0.33222430780000001</v>
      </c>
      <c r="U12" s="18">
        <v>0.40413233609999999</v>
      </c>
    </row>
    <row r="13" spans="2:21" x14ac:dyDescent="0.35">
      <c r="B13">
        <v>10</v>
      </c>
      <c r="C13" s="17" t="s">
        <v>47</v>
      </c>
      <c r="D13" s="18">
        <v>0.17356000490000001</v>
      </c>
      <c r="E13" s="18">
        <v>0.17526680889999999</v>
      </c>
      <c r="F13" s="18">
        <v>7.3039920000000003E-4</v>
      </c>
      <c r="G13" s="18">
        <v>-1.247675E-3</v>
      </c>
      <c r="H13" s="18">
        <v>0.15917378469999999</v>
      </c>
      <c r="I13" s="18">
        <v>0.22099945709999999</v>
      </c>
      <c r="J13" s="18">
        <v>-4.4387435000000003E-2</v>
      </c>
      <c r="K13" s="18">
        <v>0.20860495300000001</v>
      </c>
      <c r="L13" s="18">
        <v>-2.3048702000000001E-2</v>
      </c>
      <c r="M13" s="18">
        <v>1</v>
      </c>
      <c r="N13" s="18">
        <v>0.13977993320000001</v>
      </c>
      <c r="O13" s="18">
        <v>0.21776239980000001</v>
      </c>
      <c r="P13" s="18">
        <v>0.20222087089999999</v>
      </c>
      <c r="Q13" s="18">
        <v>9.5791922599999996E-2</v>
      </c>
      <c r="R13" s="18">
        <v>0.1044274245</v>
      </c>
      <c r="S13" s="18">
        <v>0.2297424267</v>
      </c>
      <c r="T13" s="18">
        <v>0.18866739799999999</v>
      </c>
      <c r="U13" s="18">
        <v>0.1112441413</v>
      </c>
    </row>
    <row r="14" spans="2:21" x14ac:dyDescent="0.35">
      <c r="B14">
        <v>11</v>
      </c>
      <c r="C14" s="17" t="s">
        <v>43</v>
      </c>
      <c r="D14" s="18">
        <v>0.61186185979999996</v>
      </c>
      <c r="E14" s="18">
        <v>0.60706525749999996</v>
      </c>
      <c r="F14" s="18">
        <v>0.1363966331</v>
      </c>
      <c r="G14" s="18">
        <v>6.4122686100000006E-2</v>
      </c>
      <c r="H14" s="18">
        <v>0.54904678870000001</v>
      </c>
      <c r="I14" s="18">
        <v>0.3617007854</v>
      </c>
      <c r="J14" s="18">
        <v>0.39071769480000001</v>
      </c>
      <c r="K14" s="18">
        <v>0.67260740969999999</v>
      </c>
      <c r="L14" s="18">
        <v>0.3955215547</v>
      </c>
      <c r="M14" s="18">
        <v>0.13977993320000001</v>
      </c>
      <c r="N14" s="18">
        <v>1</v>
      </c>
      <c r="O14" s="18">
        <v>0.81977279810000003</v>
      </c>
      <c r="P14" s="18">
        <v>0.49275461180000002</v>
      </c>
      <c r="Q14" s="18">
        <v>0.51708191910000001</v>
      </c>
      <c r="R14" s="18">
        <v>0.3850103903</v>
      </c>
      <c r="S14" s="18">
        <v>0.78865341570000003</v>
      </c>
      <c r="T14" s="18">
        <v>0.57967272700000005</v>
      </c>
      <c r="U14" s="18">
        <v>0.53699192839999998</v>
      </c>
    </row>
    <row r="15" spans="2:21" x14ac:dyDescent="0.35">
      <c r="B15">
        <v>12</v>
      </c>
      <c r="C15" s="17" t="s">
        <v>41</v>
      </c>
      <c r="D15" s="18">
        <v>0.78297947830000003</v>
      </c>
      <c r="E15" s="18">
        <v>0.77919383529999997</v>
      </c>
      <c r="F15" s="18">
        <v>0.16638056070000001</v>
      </c>
      <c r="G15" s="18">
        <v>4.80536856E-2</v>
      </c>
      <c r="H15" s="18">
        <v>0.71081063629999997</v>
      </c>
      <c r="I15" s="18">
        <v>0.47733163249999999</v>
      </c>
      <c r="J15" s="18">
        <v>0.43319544570000001</v>
      </c>
      <c r="K15" s="18">
        <v>0.79899493990000003</v>
      </c>
      <c r="L15" s="18">
        <v>0.49598500099999998</v>
      </c>
      <c r="M15" s="18">
        <v>0.21776239980000001</v>
      </c>
      <c r="N15" s="18">
        <v>0.81977279810000003</v>
      </c>
      <c r="O15" s="18">
        <v>1</v>
      </c>
      <c r="P15" s="18">
        <v>0.6758611631</v>
      </c>
      <c r="Q15" s="18">
        <v>0.60783275309999996</v>
      </c>
      <c r="R15" s="18">
        <v>0.45297706100000001</v>
      </c>
      <c r="S15" s="18">
        <v>0.96975643730000005</v>
      </c>
      <c r="T15" s="18">
        <v>0.72368540989999997</v>
      </c>
      <c r="U15" s="18">
        <v>0.68591253289999998</v>
      </c>
    </row>
    <row r="16" spans="2:21" x14ac:dyDescent="0.35">
      <c r="B16">
        <v>13</v>
      </c>
      <c r="C16" s="17" t="s">
        <v>42</v>
      </c>
      <c r="D16" s="18">
        <v>0.80027810539999999</v>
      </c>
      <c r="E16" s="18">
        <v>0.78016656819999997</v>
      </c>
      <c r="F16" s="18">
        <v>0.28403375339999998</v>
      </c>
      <c r="G16" s="18">
        <v>0.15793680260000001</v>
      </c>
      <c r="H16" s="18">
        <v>0.72148220789999995</v>
      </c>
      <c r="I16" s="18">
        <v>0.58067034920000005</v>
      </c>
      <c r="J16" s="18">
        <v>0.480528073</v>
      </c>
      <c r="K16" s="18">
        <v>0.68624860649999997</v>
      </c>
      <c r="L16" s="18">
        <v>0.2491139369</v>
      </c>
      <c r="M16" s="18">
        <v>0.20222087089999999</v>
      </c>
      <c r="N16" s="18">
        <v>0.49275461180000002</v>
      </c>
      <c r="O16" s="18">
        <v>0.6758611631</v>
      </c>
      <c r="P16" s="18">
        <v>1</v>
      </c>
      <c r="Q16" s="18">
        <v>0.65896566670000001</v>
      </c>
      <c r="R16" s="18">
        <v>0.46080096710000001</v>
      </c>
      <c r="S16" s="18">
        <v>0.79200563300000004</v>
      </c>
      <c r="T16" s="18">
        <v>0.72722361430000004</v>
      </c>
      <c r="U16" s="18">
        <v>0.77478360049999995</v>
      </c>
    </row>
    <row r="17" spans="2:21" x14ac:dyDescent="0.35">
      <c r="B17">
        <v>14</v>
      </c>
      <c r="C17" s="17" t="s">
        <v>26</v>
      </c>
      <c r="D17" s="18">
        <v>0.76365204499999995</v>
      </c>
      <c r="E17" s="18">
        <v>0.74711071529999995</v>
      </c>
      <c r="F17" s="18">
        <v>0.26743448710000001</v>
      </c>
      <c r="G17" s="18">
        <v>7.84449859E-2</v>
      </c>
      <c r="H17" s="18">
        <v>0.71491762940000003</v>
      </c>
      <c r="I17" s="18">
        <v>0.48648529899999998</v>
      </c>
      <c r="J17" s="18">
        <v>0.41781929639999998</v>
      </c>
      <c r="K17" s="18">
        <v>0.59128482589999998</v>
      </c>
      <c r="L17" s="18">
        <v>0.30131437630000002</v>
      </c>
      <c r="M17" s="18">
        <v>9.5791922599999996E-2</v>
      </c>
      <c r="N17" s="18">
        <v>0.51708191910000001</v>
      </c>
      <c r="O17" s="18">
        <v>0.60783275309999996</v>
      </c>
      <c r="P17" s="18">
        <v>0.65896566670000001</v>
      </c>
      <c r="Q17" s="18">
        <v>1</v>
      </c>
      <c r="R17" s="18">
        <v>0.45200088729999999</v>
      </c>
      <c r="S17" s="18">
        <v>0.66307249999999995</v>
      </c>
      <c r="T17" s="18">
        <v>0.67649002499999999</v>
      </c>
      <c r="U17" s="18">
        <v>0.76151012480000002</v>
      </c>
    </row>
    <row r="18" spans="2:21" x14ac:dyDescent="0.35">
      <c r="B18">
        <v>15</v>
      </c>
      <c r="C18" s="17" t="s">
        <v>28</v>
      </c>
      <c r="D18" s="18">
        <v>0.6427452334</v>
      </c>
      <c r="E18" s="18">
        <v>0.62055628470000002</v>
      </c>
      <c r="F18" s="18">
        <v>0.27855940470000001</v>
      </c>
      <c r="G18" s="18">
        <v>6.0911040200000002E-2</v>
      </c>
      <c r="H18" s="18">
        <v>0.62463235510000004</v>
      </c>
      <c r="I18" s="18">
        <v>0.45604041229999998</v>
      </c>
      <c r="J18" s="18">
        <v>0.32850820759999999</v>
      </c>
      <c r="K18" s="18">
        <v>0.45985193499999999</v>
      </c>
      <c r="L18" s="18">
        <v>0.19647168200000001</v>
      </c>
      <c r="M18" s="18">
        <v>0.1044274245</v>
      </c>
      <c r="N18" s="18">
        <v>0.3850103903</v>
      </c>
      <c r="O18" s="18">
        <v>0.45297706100000001</v>
      </c>
      <c r="P18" s="18">
        <v>0.46080096710000001</v>
      </c>
      <c r="Q18" s="18">
        <v>0.45200088729999999</v>
      </c>
      <c r="R18" s="18">
        <v>1</v>
      </c>
      <c r="S18" s="18">
        <v>0.49364867410000002</v>
      </c>
      <c r="T18" s="18">
        <v>0.56975019689999995</v>
      </c>
      <c r="U18" s="18">
        <v>0.5158102363</v>
      </c>
    </row>
    <row r="19" spans="2:21" x14ac:dyDescent="0.35">
      <c r="B19">
        <v>16</v>
      </c>
      <c r="C19" s="17" t="s">
        <v>14</v>
      </c>
      <c r="D19" s="18">
        <v>0.84551966209999996</v>
      </c>
      <c r="E19" s="18">
        <v>0.85016818400000005</v>
      </c>
      <c r="F19" s="18">
        <v>0.26259244250000002</v>
      </c>
      <c r="G19" s="18">
        <v>6.7735751799999994E-2</v>
      </c>
      <c r="H19" s="18">
        <v>0.77438345620000004</v>
      </c>
      <c r="I19" s="18">
        <v>0.54846143169999995</v>
      </c>
      <c r="J19" s="18">
        <v>0.52062297339999997</v>
      </c>
      <c r="K19" s="18">
        <v>0.90149595520000003</v>
      </c>
      <c r="L19" s="18">
        <v>0.48625677</v>
      </c>
      <c r="M19" s="18">
        <v>0.2297424267</v>
      </c>
      <c r="N19" s="18">
        <v>0.78865341570000003</v>
      </c>
      <c r="O19" s="18">
        <v>0.96975643730000005</v>
      </c>
      <c r="P19" s="18">
        <v>0.79200563300000004</v>
      </c>
      <c r="Q19" s="18">
        <v>0.66307249999999995</v>
      </c>
      <c r="R19" s="18">
        <v>0.49364867410000002</v>
      </c>
      <c r="S19" s="18">
        <v>1</v>
      </c>
      <c r="T19" s="18">
        <v>0.78514377830000004</v>
      </c>
      <c r="U19" s="18">
        <v>0.7573552429</v>
      </c>
    </row>
    <row r="20" spans="2:21" x14ac:dyDescent="0.35">
      <c r="B20">
        <v>17</v>
      </c>
      <c r="C20" s="17" t="s">
        <v>10</v>
      </c>
      <c r="D20" s="18">
        <v>0.8614701897</v>
      </c>
      <c r="E20" s="18">
        <v>0.82261328560000002</v>
      </c>
      <c r="F20" s="18">
        <v>0.38243117630000001</v>
      </c>
      <c r="G20" s="18">
        <v>7.5613210700000003E-2</v>
      </c>
      <c r="H20" s="18">
        <v>0.8935663841</v>
      </c>
      <c r="I20" s="18">
        <v>0.6829928354</v>
      </c>
      <c r="J20" s="18">
        <v>0.44357422559999998</v>
      </c>
      <c r="K20" s="18">
        <v>0.72669222330000005</v>
      </c>
      <c r="L20" s="18">
        <v>0.33222430780000001</v>
      </c>
      <c r="M20" s="18">
        <v>0.18866739799999999</v>
      </c>
      <c r="N20" s="18">
        <v>0.57967272700000005</v>
      </c>
      <c r="O20" s="18">
        <v>0.72368540989999997</v>
      </c>
      <c r="P20" s="18">
        <v>0.72722361430000004</v>
      </c>
      <c r="Q20" s="18">
        <v>0.67649002499999999</v>
      </c>
      <c r="R20" s="18">
        <v>0.56975019689999995</v>
      </c>
      <c r="S20" s="18">
        <v>0.78514377830000004</v>
      </c>
      <c r="T20" s="18">
        <v>1</v>
      </c>
      <c r="U20" s="18">
        <v>0.67941530859999999</v>
      </c>
    </row>
    <row r="21" spans="2:21" x14ac:dyDescent="0.35">
      <c r="B21">
        <v>18</v>
      </c>
      <c r="C21" s="17" t="s">
        <v>12</v>
      </c>
      <c r="D21" s="18">
        <v>0.80056001610000005</v>
      </c>
      <c r="E21" s="18">
        <v>0.81927632120000005</v>
      </c>
      <c r="F21" s="18">
        <v>0.29305927479999999</v>
      </c>
      <c r="G21" s="18">
        <v>2.9049621599999999E-2</v>
      </c>
      <c r="H21" s="18">
        <v>0.69608199240000002</v>
      </c>
      <c r="I21" s="18">
        <v>0.42794099569999999</v>
      </c>
      <c r="J21" s="18">
        <v>0.47806988929999999</v>
      </c>
      <c r="K21" s="18">
        <v>0.67659187389999997</v>
      </c>
      <c r="L21" s="18">
        <v>0.40413233609999999</v>
      </c>
      <c r="M21" s="18">
        <v>0.1112441413</v>
      </c>
      <c r="N21" s="18">
        <v>0.53699192839999998</v>
      </c>
      <c r="O21" s="18">
        <v>0.68591253289999998</v>
      </c>
      <c r="P21" s="18">
        <v>0.77478360049999995</v>
      </c>
      <c r="Q21" s="18">
        <v>0.76151012480000002</v>
      </c>
      <c r="R21" s="18">
        <v>0.5158102363</v>
      </c>
      <c r="S21" s="18">
        <v>0.7573552429</v>
      </c>
      <c r="T21" s="18">
        <v>0.67941530859999999</v>
      </c>
      <c r="U21" s="18">
        <v>1</v>
      </c>
    </row>
  </sheetData>
  <conditionalFormatting sqref="D4:T20">
    <cfRule type="cellIs" dxfId="11" priority="7" operator="lessThan">
      <formula>-0.475</formula>
    </cfRule>
    <cfRule type="cellIs" dxfId="10" priority="8" operator="greaterThan">
      <formula>0.475</formula>
    </cfRule>
  </conditionalFormatting>
  <conditionalFormatting sqref="D21:T21">
    <cfRule type="cellIs" dxfId="9" priority="5" operator="lessThan">
      <formula>-0.475</formula>
    </cfRule>
    <cfRule type="cellIs" dxfId="8" priority="6" operator="greaterThan">
      <formula>0.475</formula>
    </cfRule>
  </conditionalFormatting>
  <conditionalFormatting sqref="U4:U20">
    <cfRule type="cellIs" dxfId="7" priority="3" operator="lessThan">
      <formula>-0.475</formula>
    </cfRule>
    <cfRule type="cellIs" dxfId="6" priority="4" operator="greaterThan">
      <formula>0.475</formula>
    </cfRule>
  </conditionalFormatting>
  <conditionalFormatting sqref="U21">
    <cfRule type="cellIs" dxfId="5" priority="1" operator="lessThan">
      <formula>-0.475</formula>
    </cfRule>
    <cfRule type="cellIs" dxfId="4" priority="2" operator="greaterThan">
      <formula>0.475</formula>
    </cfRule>
  </conditionalFormatting>
  <pageMargins left="0.7" right="0.7" top="0.75" bottom="0.75" header="0.3" footer="0.3"/>
  <pageSetup paperSize="9" orientation="portrait" r:id="rId1"/>
  <headerFooter>
    <oddHeader>&amp;L&amp;"Calibri"&amp;12&amp;K8E6A00Confidential&amp;1#</oddHead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5AEDEA-71C5-4FC6-9954-DE0CEC143E08}">
  <sheetPr codeName="Sheet14"/>
  <dimension ref="A1:J30"/>
  <sheetViews>
    <sheetView showGridLines="0" workbookViewId="0">
      <selection activeCell="D8" sqref="D8"/>
    </sheetView>
  </sheetViews>
  <sheetFormatPr defaultRowHeight="14.5" x14ac:dyDescent="0.35"/>
  <cols>
    <col min="4" max="6" width="14.7265625" bestFit="1" customWidth="1"/>
    <col min="7" max="7" width="16.26953125" bestFit="1" customWidth="1"/>
    <col min="8" max="8" width="13.7265625" bestFit="1" customWidth="1"/>
    <col min="9" max="9" width="16.26953125" bestFit="1" customWidth="1"/>
    <col min="10" max="10" width="14.7265625" bestFit="1" customWidth="1"/>
  </cols>
  <sheetData>
    <row r="1" spans="1:10" x14ac:dyDescent="0.35">
      <c r="A1" s="2" t="s">
        <v>35</v>
      </c>
      <c r="B1" s="3" t="s">
        <v>36</v>
      </c>
      <c r="C1" s="4" t="s">
        <v>37</v>
      </c>
      <c r="D1" s="13" t="s">
        <v>8</v>
      </c>
      <c r="E1" s="13" t="s">
        <v>33</v>
      </c>
      <c r="F1" s="13" t="s">
        <v>38</v>
      </c>
      <c r="G1" s="13" t="s">
        <v>32</v>
      </c>
      <c r="H1" s="13" t="s">
        <v>34</v>
      </c>
      <c r="I1" s="13" t="s">
        <v>39</v>
      </c>
      <c r="J1" s="13" t="s">
        <v>40</v>
      </c>
    </row>
    <row r="2" spans="1:10" x14ac:dyDescent="0.35">
      <c r="A2" s="5">
        <v>0</v>
      </c>
      <c r="B2" s="11">
        <v>0</v>
      </c>
      <c r="C2" s="12">
        <v>0</v>
      </c>
      <c r="D2" s="15">
        <v>466610</v>
      </c>
      <c r="E2" s="15">
        <v>0</v>
      </c>
      <c r="F2" s="15">
        <v>0</v>
      </c>
      <c r="G2" s="15">
        <v>0</v>
      </c>
      <c r="H2" s="15">
        <v>0</v>
      </c>
      <c r="I2" s="15">
        <v>0</v>
      </c>
      <c r="J2" s="15">
        <v>0</v>
      </c>
    </row>
    <row r="3" spans="1:10" x14ac:dyDescent="0.35">
      <c r="A3" s="5">
        <v>0</v>
      </c>
      <c r="B3" s="11">
        <v>0</v>
      </c>
      <c r="C3" s="12">
        <v>1</v>
      </c>
      <c r="D3" s="15">
        <v>52218</v>
      </c>
      <c r="E3" s="15">
        <v>0</v>
      </c>
      <c r="F3" s="15">
        <v>0</v>
      </c>
      <c r="G3" s="15">
        <v>0</v>
      </c>
      <c r="H3" s="15">
        <v>0</v>
      </c>
      <c r="I3" s="15">
        <v>2109940</v>
      </c>
      <c r="J3" s="15">
        <v>119976</v>
      </c>
    </row>
    <row r="4" spans="1:10" x14ac:dyDescent="0.35">
      <c r="A4" s="5">
        <v>0</v>
      </c>
      <c r="B4" s="11">
        <v>1</v>
      </c>
      <c r="C4" s="12">
        <v>0</v>
      </c>
      <c r="D4" s="15">
        <v>9534</v>
      </c>
      <c r="E4" s="15">
        <v>0</v>
      </c>
      <c r="F4" s="15">
        <v>22631</v>
      </c>
      <c r="G4" s="15">
        <v>148245</v>
      </c>
      <c r="H4" s="15">
        <v>344.75999999999971</v>
      </c>
      <c r="I4" s="15">
        <v>0</v>
      </c>
      <c r="J4" s="15">
        <v>0</v>
      </c>
    </row>
    <row r="5" spans="1:10" x14ac:dyDescent="0.35">
      <c r="A5" s="5">
        <v>0</v>
      </c>
      <c r="B5" s="11">
        <v>1</v>
      </c>
      <c r="C5" s="12">
        <v>1</v>
      </c>
      <c r="D5" s="15">
        <v>13244</v>
      </c>
      <c r="E5" s="15">
        <v>0</v>
      </c>
      <c r="F5" s="15">
        <v>65260</v>
      </c>
      <c r="G5" s="15">
        <v>418548</v>
      </c>
      <c r="H5" s="15">
        <v>1005.7619999999989</v>
      </c>
      <c r="I5" s="15">
        <v>659290</v>
      </c>
      <c r="J5" s="15">
        <v>39978</v>
      </c>
    </row>
    <row r="6" spans="1:10" x14ac:dyDescent="0.35">
      <c r="A6" s="5">
        <v>1</v>
      </c>
      <c r="B6" s="11">
        <v>0</v>
      </c>
      <c r="C6" s="12">
        <v>0</v>
      </c>
      <c r="D6" s="15">
        <v>12892</v>
      </c>
      <c r="E6" s="15">
        <v>40664.089999999946</v>
      </c>
      <c r="F6" s="15">
        <v>0</v>
      </c>
      <c r="G6" s="15">
        <v>0</v>
      </c>
      <c r="H6" s="15">
        <v>0</v>
      </c>
      <c r="I6" s="15">
        <v>0</v>
      </c>
      <c r="J6" s="15">
        <v>0</v>
      </c>
    </row>
    <row r="7" spans="1:10" x14ac:dyDescent="0.35">
      <c r="A7" s="5">
        <v>1</v>
      </c>
      <c r="B7" s="11">
        <v>0</v>
      </c>
      <c r="C7" s="12">
        <v>1</v>
      </c>
      <c r="D7" s="15">
        <v>31426</v>
      </c>
      <c r="E7" s="15">
        <v>158322.19299999948</v>
      </c>
      <c r="F7" s="15">
        <v>0</v>
      </c>
      <c r="G7" s="15">
        <v>0</v>
      </c>
      <c r="H7" s="15">
        <v>0</v>
      </c>
      <c r="I7" s="15">
        <v>1546277</v>
      </c>
      <c r="J7" s="15">
        <v>100720</v>
      </c>
    </row>
    <row r="8" spans="1:10" x14ac:dyDescent="0.35">
      <c r="A8" s="5">
        <v>1</v>
      </c>
      <c r="B8" s="11">
        <v>1</v>
      </c>
      <c r="C8" s="12">
        <v>0</v>
      </c>
      <c r="D8" s="15">
        <v>1853</v>
      </c>
      <c r="E8" s="15">
        <v>9210.396000000017</v>
      </c>
      <c r="F8" s="15">
        <v>6790</v>
      </c>
      <c r="G8" s="15">
        <v>32799</v>
      </c>
      <c r="H8" s="15">
        <v>602.08999999999935</v>
      </c>
      <c r="I8" s="15">
        <v>0</v>
      </c>
      <c r="J8" s="15">
        <v>0</v>
      </c>
    </row>
    <row r="9" spans="1:10" x14ac:dyDescent="0.35">
      <c r="A9" s="5">
        <v>1</v>
      </c>
      <c r="B9" s="11">
        <v>1</v>
      </c>
      <c r="C9" s="12">
        <v>1</v>
      </c>
      <c r="D9" s="15">
        <v>25256</v>
      </c>
      <c r="E9" s="15">
        <v>278957.52800000197</v>
      </c>
      <c r="F9" s="15">
        <v>199954</v>
      </c>
      <c r="G9" s="15">
        <v>1974891</v>
      </c>
      <c r="H9" s="15">
        <v>10826.806000000011</v>
      </c>
      <c r="I9" s="15">
        <v>1539898</v>
      </c>
      <c r="J9" s="15">
        <v>115921</v>
      </c>
    </row>
    <row r="10" spans="1:10" x14ac:dyDescent="0.35">
      <c r="D10" s="15">
        <f>SUM(D3:D9)</f>
        <v>146423</v>
      </c>
      <c r="E10" s="15">
        <f>SUM(E2:E9)</f>
        <v>487154.20700000139</v>
      </c>
      <c r="F10" s="15">
        <f>SUM(F2:F9)</f>
        <v>294635</v>
      </c>
      <c r="G10" s="15"/>
      <c r="H10" s="15"/>
      <c r="I10" s="15"/>
      <c r="J10" s="15"/>
    </row>
    <row r="11" spans="1:10" x14ac:dyDescent="0.35">
      <c r="D11" s="14">
        <f>D10*25</f>
        <v>3660575</v>
      </c>
    </row>
    <row r="14" spans="1:10" x14ac:dyDescent="0.35">
      <c r="A14" s="2" t="s">
        <v>35</v>
      </c>
      <c r="B14" s="3" t="s">
        <v>36</v>
      </c>
      <c r="C14" s="4" t="s">
        <v>37</v>
      </c>
      <c r="D14" s="8" t="s">
        <v>8</v>
      </c>
      <c r="E14" s="8" t="s">
        <v>33</v>
      </c>
      <c r="F14" s="8" t="s">
        <v>38</v>
      </c>
      <c r="G14" s="8" t="s">
        <v>32</v>
      </c>
      <c r="H14" s="8" t="s">
        <v>34</v>
      </c>
      <c r="I14" s="8" t="s">
        <v>39</v>
      </c>
      <c r="J14" s="8" t="s">
        <v>40</v>
      </c>
    </row>
    <row r="15" spans="1:10" x14ac:dyDescent="0.35">
      <c r="A15" s="5">
        <v>0</v>
      </c>
      <c r="B15" s="6">
        <v>0</v>
      </c>
      <c r="C15" s="7">
        <v>0</v>
      </c>
      <c r="D15" s="16">
        <f>D2/SUM($D$2:$D$9)</f>
        <v>0.76114988915767989</v>
      </c>
      <c r="E15" s="9">
        <f t="shared" ref="E15:J15" si="0">E2/SUM(E$2:E$9)</f>
        <v>0</v>
      </c>
      <c r="F15" s="9">
        <f t="shared" si="0"/>
        <v>0</v>
      </c>
      <c r="G15" s="9">
        <f t="shared" si="0"/>
        <v>0</v>
      </c>
      <c r="H15" s="9">
        <f t="shared" si="0"/>
        <v>0</v>
      </c>
      <c r="I15" s="9">
        <f t="shared" si="0"/>
        <v>0</v>
      </c>
      <c r="J15" s="9">
        <f t="shared" si="0"/>
        <v>0</v>
      </c>
    </row>
    <row r="16" spans="1:10" x14ac:dyDescent="0.35">
      <c r="A16" s="5">
        <v>0</v>
      </c>
      <c r="B16" s="6">
        <v>0</v>
      </c>
      <c r="C16" s="7">
        <v>1</v>
      </c>
      <c r="D16" s="16">
        <f t="shared" ref="D16:D22" si="1">D3/SUM($D$2:$D$9)</f>
        <v>8.5179753781607193E-2</v>
      </c>
      <c r="E16" s="9">
        <f t="shared" ref="E16:E21" si="2">E3/SUM(E$2:E$9)</f>
        <v>0</v>
      </c>
      <c r="F16" s="9">
        <f t="shared" ref="F16:J16" si="3">F3/SUM(F$2:F$9)</f>
        <v>0</v>
      </c>
      <c r="G16" s="9">
        <f t="shared" si="3"/>
        <v>0</v>
      </c>
      <c r="H16" s="9">
        <f t="shared" si="3"/>
        <v>0</v>
      </c>
      <c r="I16" s="9">
        <f t="shared" si="3"/>
        <v>0.36034057422159527</v>
      </c>
      <c r="J16" s="9">
        <f t="shared" si="3"/>
        <v>0.31858096894541882</v>
      </c>
    </row>
    <row r="17" spans="1:10" x14ac:dyDescent="0.35">
      <c r="A17" s="5">
        <v>0</v>
      </c>
      <c r="B17" s="6">
        <v>1</v>
      </c>
      <c r="C17" s="7">
        <v>0</v>
      </c>
      <c r="D17" s="16">
        <f t="shared" si="1"/>
        <v>1.5552180714578171E-2</v>
      </c>
      <c r="E17" s="9">
        <f t="shared" si="2"/>
        <v>0</v>
      </c>
      <c r="F17" s="9">
        <f t="shared" ref="F17:J17" si="4">F4/SUM(F$2:F$9)</f>
        <v>7.6810290698661049E-2</v>
      </c>
      <c r="G17" s="9">
        <f t="shared" si="4"/>
        <v>5.7582434997628648E-2</v>
      </c>
      <c r="H17" s="9">
        <f t="shared" si="4"/>
        <v>2.697775438599782E-2</v>
      </c>
      <c r="I17" s="9">
        <f t="shared" si="4"/>
        <v>0</v>
      </c>
      <c r="J17" s="9">
        <f t="shared" si="4"/>
        <v>0</v>
      </c>
    </row>
    <row r="18" spans="1:10" x14ac:dyDescent="0.35">
      <c r="A18" s="5">
        <v>0</v>
      </c>
      <c r="B18" s="6">
        <v>1</v>
      </c>
      <c r="C18" s="7">
        <v>1</v>
      </c>
      <c r="D18" s="16">
        <f t="shared" si="1"/>
        <v>2.1604057204098311E-2</v>
      </c>
      <c r="E18" s="9">
        <f t="shared" si="2"/>
        <v>0</v>
      </c>
      <c r="F18" s="9">
        <f t="shared" ref="F18:J18" si="5">F5/SUM(F$2:F$9)</f>
        <v>0.22149439136558793</v>
      </c>
      <c r="G18" s="9">
        <f t="shared" si="5"/>
        <v>0.16257555400443507</v>
      </c>
      <c r="H18" s="9">
        <f t="shared" si="5"/>
        <v>7.8701706134035071E-2</v>
      </c>
      <c r="I18" s="9">
        <f t="shared" si="5"/>
        <v>0.11259511511159348</v>
      </c>
      <c r="J18" s="9">
        <f t="shared" si="5"/>
        <v>0.10615648110038636</v>
      </c>
    </row>
    <row r="19" spans="1:10" x14ac:dyDescent="0.35">
      <c r="A19" s="5">
        <v>1</v>
      </c>
      <c r="B19" s="6">
        <v>0</v>
      </c>
      <c r="C19" s="7">
        <v>0</v>
      </c>
      <c r="D19" s="16">
        <f t="shared" si="1"/>
        <v>2.1029862992693705E-2</v>
      </c>
      <c r="E19" s="9">
        <f t="shared" si="2"/>
        <v>8.347272673763409E-2</v>
      </c>
      <c r="F19" s="9">
        <f t="shared" ref="F19:J19" si="6">F6/SUM(F$2:F$9)</f>
        <v>0</v>
      </c>
      <c r="G19" s="9">
        <f t="shared" si="6"/>
        <v>0</v>
      </c>
      <c r="H19" s="9">
        <f t="shared" si="6"/>
        <v>0</v>
      </c>
      <c r="I19" s="9">
        <f t="shared" si="6"/>
        <v>0</v>
      </c>
      <c r="J19" s="9">
        <f t="shared" si="6"/>
        <v>0</v>
      </c>
    </row>
    <row r="20" spans="1:10" x14ac:dyDescent="0.35">
      <c r="A20" s="5">
        <v>1</v>
      </c>
      <c r="B20" s="6">
        <v>0</v>
      </c>
      <c r="C20" s="7">
        <v>1</v>
      </c>
      <c r="D20" s="16">
        <f t="shared" si="1"/>
        <v>5.126314570341238E-2</v>
      </c>
      <c r="E20" s="9">
        <f t="shared" si="2"/>
        <v>0.32499399722929834</v>
      </c>
      <c r="F20" s="9">
        <f t="shared" ref="F20:J20" si="7">F7/SUM(F$2:F$9)</f>
        <v>0</v>
      </c>
      <c r="G20" s="9">
        <f t="shared" si="7"/>
        <v>0</v>
      </c>
      <c r="H20" s="9">
        <f t="shared" si="7"/>
        <v>0</v>
      </c>
      <c r="I20" s="9">
        <f t="shared" si="7"/>
        <v>0.26407686573345479</v>
      </c>
      <c r="J20" s="9">
        <f t="shared" si="7"/>
        <v>0.26744911642480651</v>
      </c>
    </row>
    <row r="21" spans="1:10" x14ac:dyDescent="0.35">
      <c r="A21" s="5">
        <v>1</v>
      </c>
      <c r="B21" s="6">
        <v>1</v>
      </c>
      <c r="C21" s="7">
        <v>0</v>
      </c>
      <c r="D21" s="16">
        <f t="shared" si="1"/>
        <v>3.0226757776498168E-3</v>
      </c>
      <c r="E21" s="9">
        <f t="shared" si="2"/>
        <v>1.8906530761008067E-2</v>
      </c>
      <c r="F21" s="9">
        <f t="shared" ref="F21:J21" si="8">F8/SUM(F$2:F$9)</f>
        <v>2.30454630305293E-2</v>
      </c>
      <c r="G21" s="9">
        <f t="shared" si="8"/>
        <v>1.2740033630053101E-2</v>
      </c>
      <c r="H21" s="9">
        <f t="shared" si="8"/>
        <v>4.7114039152643644E-2</v>
      </c>
      <c r="I21" s="9">
        <f t="shared" si="8"/>
        <v>0</v>
      </c>
      <c r="J21" s="9">
        <f t="shared" si="8"/>
        <v>0</v>
      </c>
    </row>
    <row r="22" spans="1:10" x14ac:dyDescent="0.35">
      <c r="A22" s="5">
        <v>1</v>
      </c>
      <c r="B22" s="6">
        <v>1</v>
      </c>
      <c r="C22" s="7">
        <v>1</v>
      </c>
      <c r="D22" s="16">
        <f t="shared" si="1"/>
        <v>4.1198434668280499E-2</v>
      </c>
      <c r="E22" s="9">
        <f t="shared" ref="E22:J22" si="9">E9/SUM(E$2:E$9)</f>
        <v>0.57262674527205959</v>
      </c>
      <c r="F22" s="9">
        <f t="shared" si="9"/>
        <v>0.67864985490522167</v>
      </c>
      <c r="G22" s="9">
        <f t="shared" si="9"/>
        <v>0.76710197736788321</v>
      </c>
      <c r="H22" s="9">
        <f t="shared" si="9"/>
        <v>0.84720650032732348</v>
      </c>
      <c r="I22" s="9">
        <f t="shared" si="9"/>
        <v>0.26298744493335646</v>
      </c>
      <c r="J22" s="9">
        <f t="shared" si="9"/>
        <v>0.30781343352938834</v>
      </c>
    </row>
    <row r="24" spans="1:10" x14ac:dyDescent="0.35">
      <c r="D24" s="1"/>
    </row>
    <row r="25" spans="1:10" x14ac:dyDescent="0.35">
      <c r="D25" s="1"/>
    </row>
    <row r="26" spans="1:10" x14ac:dyDescent="0.35">
      <c r="D26" s="1"/>
    </row>
    <row r="27" spans="1:10" x14ac:dyDescent="0.35">
      <c r="D27" s="1"/>
    </row>
    <row r="28" spans="1:10" x14ac:dyDescent="0.35">
      <c r="D28" s="1"/>
    </row>
    <row r="29" spans="1:10" x14ac:dyDescent="0.35">
      <c r="D29" s="1"/>
    </row>
    <row r="30" spans="1:10" x14ac:dyDescent="0.35">
      <c r="D30" s="1"/>
    </row>
  </sheetData>
  <conditionalFormatting sqref="D2:D9">
    <cfRule type="cellIs" dxfId="3" priority="2" operator="greaterThan">
      <formula>76740</formula>
    </cfRule>
  </conditionalFormatting>
  <conditionalFormatting sqref="D15:D22">
    <cfRule type="cellIs" dxfId="2" priority="1" operator="greaterThan">
      <formula>0.2</formula>
    </cfRule>
  </conditionalFormatting>
  <pageMargins left="0.7" right="0.7" top="0.75" bottom="0.75" header="0.3" footer="0.3"/>
  <pageSetup paperSize="9" orientation="portrait" r:id="rId1"/>
  <headerFooter>
    <oddHeader>&amp;L&amp;"Calibri"&amp;12&amp;K8E6A00Confidential&amp;1#</oddHead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2F712-E956-421E-8DE3-C2CA2FAFCE2F}">
  <sheetPr codeName="Sheet17">
    <tabColor theme="9"/>
  </sheetPr>
  <dimension ref="B2:T33"/>
  <sheetViews>
    <sheetView showGridLines="0" topLeftCell="D2" zoomScale="85" zoomScaleNormal="85" workbookViewId="0">
      <selection activeCell="E13" sqref="E13"/>
    </sheetView>
  </sheetViews>
  <sheetFormatPr defaultRowHeight="14.5" x14ac:dyDescent="0.35"/>
  <cols>
    <col min="4" max="4" width="10.1796875" customWidth="1"/>
    <col min="5" max="7" width="14.7265625" bestFit="1" customWidth="1"/>
    <col min="8" max="8" width="16.26953125" bestFit="1" customWidth="1"/>
    <col min="9" max="9" width="13.7265625" bestFit="1" customWidth="1"/>
    <col min="10" max="10" width="16.26953125" bestFit="1" customWidth="1"/>
    <col min="11" max="11" width="14.7265625" bestFit="1" customWidth="1"/>
    <col min="12" max="12" width="12" customWidth="1"/>
    <col min="13" max="13" width="12.90625" customWidth="1"/>
  </cols>
  <sheetData>
    <row r="2" spans="2:20" ht="30" customHeight="1" x14ac:dyDescent="0.35">
      <c r="B2" s="215" t="s">
        <v>372</v>
      </c>
      <c r="C2" s="215"/>
      <c r="D2" s="215"/>
      <c r="E2" s="215"/>
      <c r="F2" s="215"/>
      <c r="G2" s="215"/>
      <c r="H2" s="215"/>
      <c r="I2" s="215"/>
      <c r="J2" s="215"/>
      <c r="K2" s="215"/>
      <c r="L2" s="215"/>
      <c r="M2" s="215"/>
      <c r="N2" s="215"/>
      <c r="O2" s="215"/>
      <c r="P2" s="215"/>
      <c r="Q2" s="215"/>
      <c r="R2" s="215"/>
      <c r="S2" s="215"/>
      <c r="T2" s="215"/>
    </row>
    <row r="3" spans="2:20" ht="15" thickBot="1" x14ac:dyDescent="0.4"/>
    <row r="4" spans="2:20" ht="15" thickBot="1" x14ac:dyDescent="0.4">
      <c r="B4" s="136" t="s">
        <v>35</v>
      </c>
      <c r="C4" s="137" t="s">
        <v>36</v>
      </c>
      <c r="D4" s="138" t="s">
        <v>37</v>
      </c>
      <c r="E4" s="139" t="s">
        <v>8</v>
      </c>
      <c r="F4" s="140" t="s">
        <v>33</v>
      </c>
      <c r="G4" s="140" t="s">
        <v>38</v>
      </c>
      <c r="H4" s="140" t="s">
        <v>32</v>
      </c>
      <c r="I4" s="140" t="s">
        <v>34</v>
      </c>
      <c r="J4" s="140" t="s">
        <v>39</v>
      </c>
      <c r="K4" s="140" t="s">
        <v>40</v>
      </c>
      <c r="L4" s="140" t="s">
        <v>373</v>
      </c>
      <c r="M4" s="141" t="s">
        <v>374</v>
      </c>
    </row>
    <row r="5" spans="2:20" x14ac:dyDescent="0.35">
      <c r="B5" s="142">
        <v>0</v>
      </c>
      <c r="C5" s="143">
        <v>0</v>
      </c>
      <c r="D5" s="144">
        <v>0</v>
      </c>
      <c r="E5" s="145">
        <v>466949</v>
      </c>
      <c r="F5" s="146">
        <v>0</v>
      </c>
      <c r="G5" s="146">
        <v>0</v>
      </c>
      <c r="H5" s="146">
        <v>0</v>
      </c>
      <c r="I5" s="146">
        <v>0</v>
      </c>
      <c r="J5" s="146">
        <v>0</v>
      </c>
      <c r="K5" s="146">
        <v>0</v>
      </c>
      <c r="L5" s="147">
        <v>0</v>
      </c>
      <c r="M5" s="148">
        <f t="shared" ref="M5:M12" si="0">SUM($G$5:$I$5,L5)</f>
        <v>0</v>
      </c>
    </row>
    <row r="6" spans="2:20" x14ac:dyDescent="0.35">
      <c r="B6" s="149">
        <v>0</v>
      </c>
      <c r="C6" s="150">
        <v>0</v>
      </c>
      <c r="D6" s="151">
        <v>1</v>
      </c>
      <c r="E6" s="152">
        <v>45341</v>
      </c>
      <c r="F6" s="153">
        <v>0</v>
      </c>
      <c r="G6" s="153">
        <v>0</v>
      </c>
      <c r="H6" s="153">
        <v>0</v>
      </c>
      <c r="I6" s="153">
        <v>0</v>
      </c>
      <c r="J6" s="153">
        <v>1705380</v>
      </c>
      <c r="K6" s="153">
        <v>131203</v>
      </c>
      <c r="L6" s="154">
        <v>0</v>
      </c>
      <c r="M6" s="155">
        <f t="shared" si="0"/>
        <v>0</v>
      </c>
    </row>
    <row r="7" spans="2:20" x14ac:dyDescent="0.35">
      <c r="B7" s="149">
        <v>0</v>
      </c>
      <c r="C7" s="150">
        <v>1</v>
      </c>
      <c r="D7" s="151">
        <v>0</v>
      </c>
      <c r="E7" s="152">
        <v>38726</v>
      </c>
      <c r="F7" s="153">
        <v>0</v>
      </c>
      <c r="G7" s="153">
        <v>28204</v>
      </c>
      <c r="H7" s="153">
        <v>156312</v>
      </c>
      <c r="I7" s="153">
        <v>395.9079999999999</v>
      </c>
      <c r="J7" s="153">
        <v>0</v>
      </c>
      <c r="K7" s="153">
        <v>0</v>
      </c>
      <c r="L7" s="154">
        <v>514029</v>
      </c>
      <c r="M7" s="155">
        <f t="shared" si="0"/>
        <v>514029</v>
      </c>
    </row>
    <row r="8" spans="2:20" x14ac:dyDescent="0.35">
      <c r="B8" s="149">
        <v>0</v>
      </c>
      <c r="C8" s="150">
        <v>1</v>
      </c>
      <c r="D8" s="151">
        <v>1</v>
      </c>
      <c r="E8" s="152">
        <v>21165</v>
      </c>
      <c r="F8" s="153">
        <v>0</v>
      </c>
      <c r="G8" s="153">
        <v>66951</v>
      </c>
      <c r="H8" s="153">
        <v>364542</v>
      </c>
      <c r="I8" s="153">
        <v>780.87199999999928</v>
      </c>
      <c r="J8" s="153">
        <v>1010242</v>
      </c>
      <c r="K8" s="153">
        <v>78783</v>
      </c>
      <c r="L8" s="154">
        <v>276270</v>
      </c>
      <c r="M8" s="155">
        <f t="shared" si="0"/>
        <v>276270</v>
      </c>
    </row>
    <row r="9" spans="2:20" x14ac:dyDescent="0.35">
      <c r="B9" s="149">
        <v>1</v>
      </c>
      <c r="C9" s="150">
        <v>0</v>
      </c>
      <c r="D9" s="151">
        <v>0</v>
      </c>
      <c r="E9" s="152">
        <v>16934</v>
      </c>
      <c r="F9" s="153">
        <v>52726.781999999374</v>
      </c>
      <c r="G9" s="153">
        <v>0</v>
      </c>
      <c r="H9" s="153">
        <v>0</v>
      </c>
      <c r="I9" s="153">
        <v>0</v>
      </c>
      <c r="J9" s="153">
        <v>0</v>
      </c>
      <c r="K9" s="153">
        <v>0</v>
      </c>
      <c r="L9" s="154">
        <v>0</v>
      </c>
      <c r="M9" s="155">
        <f t="shared" si="0"/>
        <v>0</v>
      </c>
    </row>
    <row r="10" spans="2:20" x14ac:dyDescent="0.35">
      <c r="B10" s="149">
        <v>1</v>
      </c>
      <c r="C10" s="150">
        <v>0</v>
      </c>
      <c r="D10" s="151">
        <v>1</v>
      </c>
      <c r="E10" s="152">
        <v>22767</v>
      </c>
      <c r="F10" s="153">
        <v>110117.69199999876</v>
      </c>
      <c r="G10" s="153">
        <v>0</v>
      </c>
      <c r="H10" s="153">
        <v>0</v>
      </c>
      <c r="I10" s="153">
        <v>0</v>
      </c>
      <c r="J10" s="153">
        <v>968709</v>
      </c>
      <c r="K10" s="153">
        <v>88988</v>
      </c>
      <c r="L10" s="154">
        <v>0</v>
      </c>
      <c r="M10" s="155">
        <f t="shared" si="0"/>
        <v>0</v>
      </c>
    </row>
    <row r="11" spans="2:20" x14ac:dyDescent="0.35">
      <c r="B11" s="149">
        <v>1</v>
      </c>
      <c r="C11" s="150">
        <v>1</v>
      </c>
      <c r="D11" s="151">
        <v>0</v>
      </c>
      <c r="E11" s="152">
        <v>4367</v>
      </c>
      <c r="F11" s="153">
        <v>19659.347000000053</v>
      </c>
      <c r="G11" s="153">
        <v>14050</v>
      </c>
      <c r="H11" s="153">
        <v>61518</v>
      </c>
      <c r="I11" s="153">
        <v>907.51499999999987</v>
      </c>
      <c r="J11" s="153">
        <v>0</v>
      </c>
      <c r="K11" s="153">
        <v>0</v>
      </c>
      <c r="L11" s="154">
        <v>28621</v>
      </c>
      <c r="M11" s="155">
        <f t="shared" si="0"/>
        <v>28621</v>
      </c>
    </row>
    <row r="12" spans="2:20" ht="15" thickBot="1" x14ac:dyDescent="0.4">
      <c r="B12" s="156">
        <v>1</v>
      </c>
      <c r="C12" s="157">
        <v>1</v>
      </c>
      <c r="D12" s="158">
        <v>1</v>
      </c>
      <c r="E12" s="159">
        <v>29103</v>
      </c>
      <c r="F12" s="160">
        <v>311459.53999999969</v>
      </c>
      <c r="G12" s="160">
        <v>236449</v>
      </c>
      <c r="H12" s="160">
        <v>1945353</v>
      </c>
      <c r="I12" s="160">
        <v>9108.0310000000463</v>
      </c>
      <c r="J12" s="160">
        <v>1703867</v>
      </c>
      <c r="K12" s="160">
        <v>175353</v>
      </c>
      <c r="L12" s="161">
        <v>400567</v>
      </c>
      <c r="M12" s="162">
        <f t="shared" si="0"/>
        <v>400567</v>
      </c>
    </row>
    <row r="13" spans="2:20" x14ac:dyDescent="0.35">
      <c r="E13" s="163">
        <f>SUM(E6:E12)</f>
        <v>178403</v>
      </c>
      <c r="F13" s="163">
        <f t="shared" ref="F13:L13" si="1">SUM(F6:F12)</f>
        <v>493963.36099999788</v>
      </c>
      <c r="G13" s="163">
        <f t="shared" si="1"/>
        <v>345654</v>
      </c>
      <c r="H13" s="163">
        <f t="shared" si="1"/>
        <v>2527725</v>
      </c>
      <c r="I13" s="163">
        <f t="shared" si="1"/>
        <v>11192.326000000045</v>
      </c>
      <c r="J13" s="163">
        <f t="shared" si="1"/>
        <v>5388198</v>
      </c>
      <c r="K13" s="163">
        <f t="shared" si="1"/>
        <v>474327</v>
      </c>
      <c r="L13" s="163">
        <f t="shared" si="1"/>
        <v>1219487</v>
      </c>
      <c r="M13" s="163">
        <f>SUM(M6:M12)</f>
        <v>1219487</v>
      </c>
    </row>
    <row r="14" spans="2:20" x14ac:dyDescent="0.35">
      <c r="E14" s="164"/>
      <c r="F14" s="165"/>
      <c r="G14" s="166"/>
      <c r="H14" s="165"/>
      <c r="I14" s="165"/>
      <c r="J14" s="165"/>
      <c r="K14" s="165"/>
      <c r="L14" s="165"/>
    </row>
    <row r="15" spans="2:20" x14ac:dyDescent="0.35">
      <c r="E15" s="165"/>
      <c r="F15" s="165"/>
      <c r="G15" s="165"/>
      <c r="H15" s="165"/>
      <c r="I15" s="165"/>
      <c r="J15" s="165"/>
      <c r="K15" s="165"/>
      <c r="L15" s="165"/>
    </row>
    <row r="16" spans="2:20" x14ac:dyDescent="0.35">
      <c r="E16" s="165"/>
      <c r="F16" s="165"/>
      <c r="G16" s="165"/>
      <c r="H16" s="165"/>
      <c r="I16" s="165"/>
      <c r="J16" s="165"/>
      <c r="K16" s="165"/>
      <c r="L16" s="165"/>
    </row>
    <row r="20" spans="2:13" ht="15" thickBot="1" x14ac:dyDescent="0.4"/>
    <row r="21" spans="2:13" ht="15" thickBot="1" x14ac:dyDescent="0.4">
      <c r="B21" s="136" t="str">
        <f t="shared" ref="B21:D21" si="2">B4</f>
        <v>ind_sales</v>
      </c>
      <c r="C21" s="137" t="str">
        <f t="shared" si="2"/>
        <v>ind_pp</v>
      </c>
      <c r="D21" s="138" t="str">
        <f t="shared" si="2"/>
        <v>ind_mcm</v>
      </c>
      <c r="E21" s="167" t="str">
        <f>"% "&amp;E4</f>
        <v>% HCP</v>
      </c>
      <c r="F21" s="168" t="str">
        <f t="shared" ref="F21:M21" si="3">"% "&amp;F4</f>
        <v>% NRX</v>
      </c>
      <c r="G21" s="168" t="str">
        <f t="shared" si="3"/>
        <v>% DETAILS</v>
      </c>
      <c r="H21" s="168" t="str">
        <f t="shared" si="3"/>
        <v>% SAMPLES</v>
      </c>
      <c r="I21" s="168" t="str">
        <f t="shared" si="3"/>
        <v>% VOUCHERS</v>
      </c>
      <c r="J21" s="168" t="str">
        <f t="shared" si="3"/>
        <v>% MCM_DEL</v>
      </c>
      <c r="K21" s="168" t="str">
        <f t="shared" si="3"/>
        <v>% MCM_ENG</v>
      </c>
      <c r="L21" s="140" t="str">
        <f t="shared" si="3"/>
        <v>% POC</v>
      </c>
      <c r="M21" s="169" t="str">
        <f t="shared" si="3"/>
        <v>% PP</v>
      </c>
    </row>
    <row r="22" spans="2:13" x14ac:dyDescent="0.35">
      <c r="B22" s="142">
        <v>0</v>
      </c>
      <c r="C22" s="143">
        <v>0</v>
      </c>
      <c r="D22" s="144">
        <v>0</v>
      </c>
      <c r="E22" s="170">
        <f t="shared" ref="E22:E29" si="4">E5/SUM($E$5:$E$12)</f>
        <v>0.72355706653113339</v>
      </c>
      <c r="F22" s="171">
        <f t="shared" ref="F22:L29" si="5">F5/SUM(F$5:F$12)</f>
        <v>0</v>
      </c>
      <c r="G22" s="171">
        <f t="shared" si="5"/>
        <v>0</v>
      </c>
      <c r="H22" s="171">
        <f t="shared" si="5"/>
        <v>0</v>
      </c>
      <c r="I22" s="171">
        <f t="shared" si="5"/>
        <v>0</v>
      </c>
      <c r="J22" s="171">
        <f t="shared" si="5"/>
        <v>0</v>
      </c>
      <c r="K22" s="171">
        <f t="shared" si="5"/>
        <v>0</v>
      </c>
      <c r="L22" s="172">
        <f t="shared" si="5"/>
        <v>0</v>
      </c>
      <c r="M22" s="173">
        <f t="shared" ref="M22:M29" si="6">M5/SUM(M$5:M$12)</f>
        <v>0</v>
      </c>
    </row>
    <row r="23" spans="2:13" x14ac:dyDescent="0.35">
      <c r="B23" s="149">
        <v>0</v>
      </c>
      <c r="C23" s="150">
        <v>0</v>
      </c>
      <c r="D23" s="151">
        <v>1</v>
      </c>
      <c r="E23" s="174">
        <f t="shared" si="4"/>
        <v>7.0257781799700006E-2</v>
      </c>
      <c r="F23" s="175">
        <f t="shared" si="5"/>
        <v>0</v>
      </c>
      <c r="G23" s="175">
        <f t="shared" si="5"/>
        <v>0</v>
      </c>
      <c r="H23" s="175">
        <f t="shared" si="5"/>
        <v>0</v>
      </c>
      <c r="I23" s="175">
        <f t="shared" si="5"/>
        <v>0</v>
      </c>
      <c r="J23" s="175">
        <f t="shared" si="5"/>
        <v>0.31650284566380077</v>
      </c>
      <c r="K23" s="175">
        <f t="shared" si="5"/>
        <v>0.276608753033245</v>
      </c>
      <c r="L23" s="176">
        <f t="shared" si="5"/>
        <v>0</v>
      </c>
      <c r="M23" s="177">
        <f t="shared" si="6"/>
        <v>0</v>
      </c>
    </row>
    <row r="24" spans="2:13" x14ac:dyDescent="0.35">
      <c r="B24" s="149">
        <v>0</v>
      </c>
      <c r="C24" s="150">
        <v>1</v>
      </c>
      <c r="D24" s="151">
        <v>0</v>
      </c>
      <c r="E24" s="174">
        <f t="shared" si="4"/>
        <v>6.000756176474234E-2</v>
      </c>
      <c r="F24" s="175">
        <f t="shared" si="5"/>
        <v>0</v>
      </c>
      <c r="G24" s="175">
        <f t="shared" si="5"/>
        <v>8.1596046913965992E-2</v>
      </c>
      <c r="H24" s="175">
        <f t="shared" si="5"/>
        <v>6.1839005429783697E-2</v>
      </c>
      <c r="I24" s="175">
        <f t="shared" si="5"/>
        <v>3.5373165506437029E-2</v>
      </c>
      <c r="J24" s="175">
        <f t="shared" si="5"/>
        <v>0</v>
      </c>
      <c r="K24" s="175">
        <f t="shared" si="5"/>
        <v>0</v>
      </c>
      <c r="L24" s="176">
        <f t="shared" si="5"/>
        <v>0.42151248844801131</v>
      </c>
      <c r="M24" s="177">
        <f t="shared" si="6"/>
        <v>0.42151248844801131</v>
      </c>
    </row>
    <row r="25" spans="2:13" x14ac:dyDescent="0.35">
      <c r="B25" s="149">
        <v>0</v>
      </c>
      <c r="C25" s="150">
        <v>1</v>
      </c>
      <c r="D25" s="151">
        <v>1</v>
      </c>
      <c r="E25" s="174">
        <f t="shared" si="4"/>
        <v>3.2796055485998336E-2</v>
      </c>
      <c r="F25" s="175">
        <f t="shared" si="5"/>
        <v>0</v>
      </c>
      <c r="G25" s="175">
        <f t="shared" si="5"/>
        <v>0.19369369369369369</v>
      </c>
      <c r="H25" s="175">
        <f t="shared" si="5"/>
        <v>0.1442174287155446</v>
      </c>
      <c r="I25" s="175">
        <f t="shared" si="5"/>
        <v>6.9768518179330746E-2</v>
      </c>
      <c r="J25" s="175">
        <f t="shared" si="5"/>
        <v>0.18749162521496054</v>
      </c>
      <c r="K25" s="175">
        <f t="shared" si="5"/>
        <v>0.16609427673313978</v>
      </c>
      <c r="L25" s="176">
        <f t="shared" si="5"/>
        <v>0.22654608044202193</v>
      </c>
      <c r="M25" s="177">
        <f t="shared" si="6"/>
        <v>0.22654608044202193</v>
      </c>
    </row>
    <row r="26" spans="2:13" x14ac:dyDescent="0.35">
      <c r="B26" s="149">
        <v>1</v>
      </c>
      <c r="C26" s="150">
        <v>0</v>
      </c>
      <c r="D26" s="151">
        <v>0</v>
      </c>
      <c r="E26" s="174">
        <f t="shared" si="4"/>
        <v>2.6239943472709467E-2</v>
      </c>
      <c r="F26" s="175">
        <f t="shared" si="5"/>
        <v>0.10674229338236202</v>
      </c>
      <c r="G26" s="175">
        <f t="shared" si="5"/>
        <v>0</v>
      </c>
      <c r="H26" s="175">
        <f t="shared" si="5"/>
        <v>0</v>
      </c>
      <c r="I26" s="175">
        <f t="shared" si="5"/>
        <v>0</v>
      </c>
      <c r="J26" s="175">
        <f t="shared" si="5"/>
        <v>0</v>
      </c>
      <c r="K26" s="175">
        <f t="shared" si="5"/>
        <v>0</v>
      </c>
      <c r="L26" s="176">
        <f t="shared" si="5"/>
        <v>0</v>
      </c>
      <c r="M26" s="177">
        <f t="shared" si="6"/>
        <v>0</v>
      </c>
    </row>
    <row r="27" spans="2:13" x14ac:dyDescent="0.35">
      <c r="B27" s="149">
        <v>1</v>
      </c>
      <c r="C27" s="150">
        <v>0</v>
      </c>
      <c r="D27" s="151">
        <v>1</v>
      </c>
      <c r="E27" s="174">
        <f t="shared" si="4"/>
        <v>3.5278421698545913E-2</v>
      </c>
      <c r="F27" s="175">
        <f t="shared" si="5"/>
        <v>0.222926841733914</v>
      </c>
      <c r="G27" s="175">
        <f t="shared" si="5"/>
        <v>0</v>
      </c>
      <c r="H27" s="175">
        <f t="shared" si="5"/>
        <v>0</v>
      </c>
      <c r="I27" s="175">
        <f t="shared" si="5"/>
        <v>0</v>
      </c>
      <c r="J27" s="175">
        <f t="shared" si="5"/>
        <v>0.17978348234419003</v>
      </c>
      <c r="K27" s="175">
        <f t="shared" si="5"/>
        <v>0.1876089701830172</v>
      </c>
      <c r="L27" s="176">
        <f t="shared" si="5"/>
        <v>0</v>
      </c>
      <c r="M27" s="177">
        <f t="shared" si="6"/>
        <v>0</v>
      </c>
    </row>
    <row r="28" spans="2:13" x14ac:dyDescent="0.35">
      <c r="B28" s="149">
        <v>1</v>
      </c>
      <c r="C28" s="150">
        <v>1</v>
      </c>
      <c r="D28" s="151">
        <v>0</v>
      </c>
      <c r="E28" s="174">
        <f t="shared" si="4"/>
        <v>6.7668497192229973E-3</v>
      </c>
      <c r="F28" s="175">
        <f t="shared" si="5"/>
        <v>3.9799200815625144E-2</v>
      </c>
      <c r="G28" s="175">
        <f t="shared" si="5"/>
        <v>4.0647584000185158E-2</v>
      </c>
      <c r="H28" s="175">
        <f t="shared" si="5"/>
        <v>2.4337299350206214E-2</v>
      </c>
      <c r="I28" s="175">
        <f t="shared" si="5"/>
        <v>8.1083681801262422E-2</v>
      </c>
      <c r="J28" s="175">
        <f t="shared" si="5"/>
        <v>0</v>
      </c>
      <c r="K28" s="175">
        <f t="shared" si="5"/>
        <v>0</v>
      </c>
      <c r="L28" s="176">
        <f t="shared" si="5"/>
        <v>2.3469704884102906E-2</v>
      </c>
      <c r="M28" s="177">
        <f t="shared" si="6"/>
        <v>2.3469704884102906E-2</v>
      </c>
    </row>
    <row r="29" spans="2:13" ht="15" thickBot="1" x14ac:dyDescent="0.4">
      <c r="B29" s="156">
        <v>1</v>
      </c>
      <c r="C29" s="157">
        <v>1</v>
      </c>
      <c r="D29" s="158">
        <v>1</v>
      </c>
      <c r="E29" s="178">
        <f t="shared" si="4"/>
        <v>4.5096319527947536E-2</v>
      </c>
      <c r="F29" s="179">
        <f t="shared" si="5"/>
        <v>0.6305316640680988</v>
      </c>
      <c r="G29" s="179">
        <f t="shared" si="5"/>
        <v>0.68406267539215515</v>
      </c>
      <c r="H29" s="179">
        <f t="shared" si="5"/>
        <v>0.76960626650446551</v>
      </c>
      <c r="I29" s="179">
        <f t="shared" si="5"/>
        <v>0.81377463451296983</v>
      </c>
      <c r="J29" s="179">
        <f t="shared" si="5"/>
        <v>0.31622204677704863</v>
      </c>
      <c r="K29" s="179">
        <f t="shared" si="5"/>
        <v>0.36968800005059799</v>
      </c>
      <c r="L29" s="180">
        <f t="shared" si="5"/>
        <v>0.32847172622586385</v>
      </c>
      <c r="M29" s="181">
        <f t="shared" si="6"/>
        <v>0.32847172622586385</v>
      </c>
    </row>
    <row r="30" spans="2:13" x14ac:dyDescent="0.35">
      <c r="E30" s="1"/>
    </row>
    <row r="31" spans="2:13" x14ac:dyDescent="0.35">
      <c r="E31" s="1"/>
    </row>
    <row r="32" spans="2:13" x14ac:dyDescent="0.35">
      <c r="E32" s="1"/>
    </row>
    <row r="33" spans="5:5" x14ac:dyDescent="0.35">
      <c r="E33" s="1"/>
    </row>
  </sheetData>
  <mergeCells count="1">
    <mergeCell ref="B2:T2"/>
  </mergeCells>
  <conditionalFormatting sqref="E5:E12">
    <cfRule type="cellIs" dxfId="1" priority="2" operator="greaterThan">
      <formula>76740</formula>
    </cfRule>
  </conditionalFormatting>
  <conditionalFormatting sqref="E22:E29">
    <cfRule type="cellIs" dxfId="0" priority="1" operator="greaterThan">
      <formula>0.2</formula>
    </cfRule>
  </conditionalFormatting>
  <pageMargins left="0.7" right="0.7" top="0.75" bottom="0.75" header="0.3" footer="0.3"/>
  <pageSetup paperSize="9" orientation="portrait" r:id="rId1"/>
  <headerFooter>
    <oddHeader>&amp;L&amp;"Calibri"&amp;12&amp;K8E6A00Confidential&amp;1#</oddHead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55026-31A9-4C9B-8867-802CB334E3F6}">
  <sheetPr codeName="Sheet18">
    <tabColor rgb="FF00B0F0"/>
  </sheetPr>
  <dimension ref="B1:S12"/>
  <sheetViews>
    <sheetView zoomScale="70" zoomScaleNormal="70" workbookViewId="0">
      <selection activeCell="J25" sqref="J25"/>
    </sheetView>
  </sheetViews>
  <sheetFormatPr defaultRowHeight="14.5" x14ac:dyDescent="0.35"/>
  <cols>
    <col min="1" max="1" width="8.7265625" style="10"/>
    <col min="2" max="2" width="13.08984375" style="10" bestFit="1" customWidth="1"/>
    <col min="3" max="3" width="12.81640625" style="10" customWidth="1"/>
    <col min="4" max="4" width="26.7265625" style="10" customWidth="1"/>
    <col min="5" max="5" width="18.90625" style="10" customWidth="1"/>
    <col min="6" max="6" width="22.6328125" style="10" customWidth="1"/>
    <col min="7" max="8" width="15.26953125" style="10" customWidth="1"/>
    <col min="9" max="9" width="14.90625" style="10" customWidth="1"/>
    <col min="10" max="10" width="12.1796875" style="10" customWidth="1"/>
    <col min="11" max="11" width="12.90625" style="10" customWidth="1"/>
    <col min="12" max="12" width="19.6328125" style="10" customWidth="1"/>
    <col min="13" max="13" width="14.26953125" style="10" bestFit="1" customWidth="1"/>
    <col min="14" max="14" width="13.81640625" style="10" customWidth="1"/>
    <col min="15" max="15" width="10.1796875" style="10" bestFit="1" customWidth="1"/>
    <col min="16" max="16" width="14.1796875" style="10" customWidth="1"/>
    <col min="17" max="17" width="23.6328125" style="10" customWidth="1"/>
    <col min="18" max="18" width="28" style="10" bestFit="1" customWidth="1"/>
    <col min="19" max="19" width="23.453125" style="10" customWidth="1"/>
    <col min="20" max="16384" width="8.7265625" style="10"/>
  </cols>
  <sheetData>
    <row r="1" spans="2:19" ht="28.5" customHeight="1" thickBot="1" x14ac:dyDescent="0.4">
      <c r="S1" s="182" t="s">
        <v>380</v>
      </c>
    </row>
    <row r="2" spans="2:19" ht="31" customHeight="1" thickBot="1" x14ac:dyDescent="0.4">
      <c r="B2" s="114" t="s">
        <v>203</v>
      </c>
      <c r="C2" s="115" t="s">
        <v>328</v>
      </c>
      <c r="D2" s="115" t="s">
        <v>329</v>
      </c>
      <c r="E2" s="115" t="s">
        <v>330</v>
      </c>
      <c r="F2" s="115" t="s">
        <v>331</v>
      </c>
      <c r="G2" s="115" t="s">
        <v>332</v>
      </c>
      <c r="H2" s="115" t="s">
        <v>333</v>
      </c>
      <c r="I2" s="115" t="s">
        <v>334</v>
      </c>
      <c r="J2" s="115" t="s">
        <v>335</v>
      </c>
      <c r="K2" s="115" t="s">
        <v>336</v>
      </c>
      <c r="L2" s="115" t="s">
        <v>337</v>
      </c>
      <c r="M2" s="116" t="s">
        <v>338</v>
      </c>
      <c r="N2" s="116">
        <v>2021</v>
      </c>
      <c r="O2" s="116">
        <v>2022</v>
      </c>
      <c r="P2" s="116">
        <v>2023</v>
      </c>
      <c r="Q2" s="117" t="s">
        <v>339</v>
      </c>
      <c r="R2" s="127" t="s">
        <v>340</v>
      </c>
      <c r="S2" s="135" t="s">
        <v>371</v>
      </c>
    </row>
    <row r="3" spans="2:19" ht="27.5" customHeight="1" x14ac:dyDescent="0.35">
      <c r="B3" s="118" t="s">
        <v>214</v>
      </c>
      <c r="C3" s="108" t="s">
        <v>341</v>
      </c>
      <c r="D3" s="108" t="s">
        <v>342</v>
      </c>
      <c r="E3" s="109" t="s">
        <v>343</v>
      </c>
      <c r="F3" s="108" t="s">
        <v>341</v>
      </c>
      <c r="G3" s="110">
        <v>44256</v>
      </c>
      <c r="H3" s="110">
        <v>44620</v>
      </c>
      <c r="I3" s="109">
        <v>12</v>
      </c>
      <c r="J3" s="108" t="s">
        <v>341</v>
      </c>
      <c r="K3" s="111">
        <v>5100</v>
      </c>
      <c r="L3" s="108" t="s">
        <v>341</v>
      </c>
      <c r="M3" s="112">
        <v>989382</v>
      </c>
      <c r="N3" s="112">
        <v>989382</v>
      </c>
      <c r="O3" s="112">
        <v>0</v>
      </c>
      <c r="P3" s="112">
        <v>0</v>
      </c>
      <c r="Q3" s="113">
        <v>44484</v>
      </c>
      <c r="R3" s="128" t="s">
        <v>341</v>
      </c>
      <c r="S3" s="131">
        <f>M3/12*2</f>
        <v>164897</v>
      </c>
    </row>
    <row r="4" spans="2:19" x14ac:dyDescent="0.35">
      <c r="B4" s="119" t="s">
        <v>214</v>
      </c>
      <c r="C4" s="101" t="s">
        <v>341</v>
      </c>
      <c r="D4" s="101" t="s">
        <v>342</v>
      </c>
      <c r="E4" s="102" t="s">
        <v>343</v>
      </c>
      <c r="F4" s="101" t="s">
        <v>341</v>
      </c>
      <c r="G4" s="103">
        <v>44621</v>
      </c>
      <c r="H4" s="103">
        <v>44985</v>
      </c>
      <c r="I4" s="102">
        <v>12</v>
      </c>
      <c r="J4" s="101" t="s">
        <v>341</v>
      </c>
      <c r="K4" s="104">
        <v>5227</v>
      </c>
      <c r="L4" s="101" t="s">
        <v>341</v>
      </c>
      <c r="M4" s="105">
        <v>1039011</v>
      </c>
      <c r="N4" s="105">
        <v>0</v>
      </c>
      <c r="O4" s="105">
        <v>1039011</v>
      </c>
      <c r="P4" s="105">
        <v>0</v>
      </c>
      <c r="Q4" s="106">
        <v>44851</v>
      </c>
      <c r="R4" s="129" t="s">
        <v>344</v>
      </c>
      <c r="S4" s="131">
        <f>M4/12*10</f>
        <v>865842.5</v>
      </c>
    </row>
    <row r="5" spans="2:19" ht="29" x14ac:dyDescent="0.35">
      <c r="B5" s="119" t="s">
        <v>214</v>
      </c>
      <c r="C5" s="101" t="s">
        <v>341</v>
      </c>
      <c r="D5" s="101" t="s">
        <v>342</v>
      </c>
      <c r="E5" s="102" t="s">
        <v>345</v>
      </c>
      <c r="F5" s="101" t="s">
        <v>341</v>
      </c>
      <c r="G5" s="103">
        <v>44866</v>
      </c>
      <c r="H5" s="103">
        <v>44985</v>
      </c>
      <c r="I5" s="102">
        <v>4</v>
      </c>
      <c r="J5" s="101" t="s">
        <v>341</v>
      </c>
      <c r="K5" s="104">
        <v>1470</v>
      </c>
      <c r="L5" s="101"/>
      <c r="M5" s="105">
        <v>97373</v>
      </c>
      <c r="N5" s="105">
        <v>0</v>
      </c>
      <c r="O5" s="105">
        <v>97373</v>
      </c>
      <c r="P5" s="105">
        <v>0</v>
      </c>
      <c r="Q5" s="101"/>
      <c r="R5" s="129" t="s">
        <v>346</v>
      </c>
      <c r="S5" s="132">
        <f>O5/4*2</f>
        <v>48686.5</v>
      </c>
    </row>
    <row r="6" spans="2:19" x14ac:dyDescent="0.35">
      <c r="B6" s="119" t="s">
        <v>214</v>
      </c>
      <c r="C6" s="101" t="s">
        <v>341</v>
      </c>
      <c r="D6" s="101" t="s">
        <v>342</v>
      </c>
      <c r="E6" s="102" t="s">
        <v>347</v>
      </c>
      <c r="F6" s="101" t="s">
        <v>341</v>
      </c>
      <c r="G6" s="103">
        <v>44562</v>
      </c>
      <c r="H6" s="103">
        <v>44926</v>
      </c>
      <c r="I6" s="102">
        <v>12</v>
      </c>
      <c r="J6" s="107">
        <v>11645</v>
      </c>
      <c r="K6" s="101" t="s">
        <v>341</v>
      </c>
      <c r="L6" s="101" t="s">
        <v>341</v>
      </c>
      <c r="M6" s="105">
        <v>944642</v>
      </c>
      <c r="N6" s="105">
        <v>0</v>
      </c>
      <c r="O6" s="105">
        <v>944642</v>
      </c>
      <c r="P6" s="105">
        <v>0</v>
      </c>
      <c r="Q6" s="106">
        <v>44851</v>
      </c>
      <c r="R6" s="129" t="s">
        <v>348</v>
      </c>
      <c r="S6" s="131">
        <f>O6</f>
        <v>944642</v>
      </c>
    </row>
    <row r="7" spans="2:19" ht="29" x14ac:dyDescent="0.35">
      <c r="B7" s="119" t="s">
        <v>214</v>
      </c>
      <c r="C7" s="101" t="s">
        <v>341</v>
      </c>
      <c r="D7" s="101" t="s">
        <v>342</v>
      </c>
      <c r="E7" s="102" t="s">
        <v>349</v>
      </c>
      <c r="F7" s="101" t="s">
        <v>341</v>
      </c>
      <c r="G7" s="103">
        <v>44835</v>
      </c>
      <c r="H7" s="103">
        <v>44985</v>
      </c>
      <c r="I7" s="102">
        <v>5</v>
      </c>
      <c r="J7" s="107">
        <v>4309</v>
      </c>
      <c r="K7" s="104">
        <v>1092</v>
      </c>
      <c r="L7" s="101" t="s">
        <v>341</v>
      </c>
      <c r="M7" s="105">
        <v>195236</v>
      </c>
      <c r="N7" s="105">
        <v>0</v>
      </c>
      <c r="O7" s="105">
        <v>195236</v>
      </c>
      <c r="P7" s="105">
        <v>0</v>
      </c>
      <c r="Q7" s="106">
        <v>44851</v>
      </c>
      <c r="R7" s="129" t="s">
        <v>350</v>
      </c>
      <c r="S7" s="132">
        <f>O7/5*3</f>
        <v>117141.59999999999</v>
      </c>
    </row>
    <row r="8" spans="2:19" x14ac:dyDescent="0.35">
      <c r="B8" s="119" t="s">
        <v>214</v>
      </c>
      <c r="C8" s="101" t="s">
        <v>341</v>
      </c>
      <c r="D8" s="101" t="s">
        <v>351</v>
      </c>
      <c r="E8" s="102" t="s">
        <v>352</v>
      </c>
      <c r="F8" s="101" t="s">
        <v>341</v>
      </c>
      <c r="G8" s="103">
        <v>44621</v>
      </c>
      <c r="H8" s="103">
        <v>44985</v>
      </c>
      <c r="I8" s="102">
        <v>12</v>
      </c>
      <c r="J8" s="107">
        <v>15598</v>
      </c>
      <c r="K8" s="107">
        <v>13489</v>
      </c>
      <c r="L8" s="101" t="s">
        <v>341</v>
      </c>
      <c r="M8" s="105">
        <v>607005</v>
      </c>
      <c r="N8" s="105">
        <v>0</v>
      </c>
      <c r="O8" s="105">
        <v>607005</v>
      </c>
      <c r="P8" s="105">
        <v>0</v>
      </c>
      <c r="Q8" s="106">
        <v>44880</v>
      </c>
      <c r="R8" s="129" t="s">
        <v>353</v>
      </c>
      <c r="S8" s="131">
        <f>SUM(S3:S7)</f>
        <v>2141209.6000000001</v>
      </c>
    </row>
    <row r="9" spans="2:19" x14ac:dyDescent="0.35">
      <c r="B9" s="119" t="s">
        <v>214</v>
      </c>
      <c r="C9" s="101" t="s">
        <v>341</v>
      </c>
      <c r="D9" s="101" t="s">
        <v>354</v>
      </c>
      <c r="E9" s="102" t="s">
        <v>355</v>
      </c>
      <c r="F9" s="101" t="s">
        <v>341</v>
      </c>
      <c r="G9" s="103">
        <v>44743</v>
      </c>
      <c r="H9" s="103">
        <v>45016</v>
      </c>
      <c r="I9" s="102">
        <v>9</v>
      </c>
      <c r="J9" s="101" t="s">
        <v>341</v>
      </c>
      <c r="K9" s="107">
        <v>7770</v>
      </c>
      <c r="L9" s="101" t="s">
        <v>341</v>
      </c>
      <c r="M9" s="105">
        <v>734332</v>
      </c>
      <c r="N9" s="105">
        <v>0</v>
      </c>
      <c r="O9" s="105">
        <v>734332</v>
      </c>
      <c r="P9" s="105">
        <v>0</v>
      </c>
      <c r="Q9" s="106">
        <v>44941</v>
      </c>
      <c r="R9" s="129" t="s">
        <v>356</v>
      </c>
      <c r="S9" s="133"/>
    </row>
    <row r="10" spans="2:19" ht="29" x14ac:dyDescent="0.35">
      <c r="B10" s="119" t="s">
        <v>214</v>
      </c>
      <c r="C10" s="101" t="s">
        <v>341</v>
      </c>
      <c r="D10" s="101" t="s">
        <v>354</v>
      </c>
      <c r="E10" s="102" t="s">
        <v>357</v>
      </c>
      <c r="F10" s="101" t="s">
        <v>341</v>
      </c>
      <c r="G10" s="103">
        <v>44562</v>
      </c>
      <c r="H10" s="103">
        <v>45016</v>
      </c>
      <c r="I10" s="102">
        <v>3</v>
      </c>
      <c r="J10" s="101" t="s">
        <v>341</v>
      </c>
      <c r="K10" s="107">
        <v>8000</v>
      </c>
      <c r="L10" s="101" t="s">
        <v>341</v>
      </c>
      <c r="M10" s="105">
        <v>350000</v>
      </c>
      <c r="N10" s="105">
        <v>0</v>
      </c>
      <c r="O10" s="105">
        <v>350000</v>
      </c>
      <c r="P10" s="105">
        <v>0</v>
      </c>
      <c r="Q10" s="106">
        <v>44941</v>
      </c>
      <c r="R10" s="129" t="s">
        <v>358</v>
      </c>
      <c r="S10" s="133"/>
    </row>
    <row r="11" spans="2:19" ht="43.5" x14ac:dyDescent="0.35">
      <c r="B11" s="119" t="s">
        <v>214</v>
      </c>
      <c r="C11" s="101" t="s">
        <v>341</v>
      </c>
      <c r="D11" s="101" t="s">
        <v>359</v>
      </c>
      <c r="E11" s="102" t="s">
        <v>360</v>
      </c>
      <c r="F11" s="101" t="s">
        <v>341</v>
      </c>
      <c r="G11" s="103">
        <v>44562</v>
      </c>
      <c r="H11" s="103">
        <v>44926</v>
      </c>
      <c r="I11" s="102">
        <v>12</v>
      </c>
      <c r="J11" s="101" t="s">
        <v>341</v>
      </c>
      <c r="K11" s="101" t="s">
        <v>341</v>
      </c>
      <c r="L11" s="107">
        <v>1335016</v>
      </c>
      <c r="M11" s="105">
        <v>875010</v>
      </c>
      <c r="N11" s="105">
        <v>0</v>
      </c>
      <c r="O11" s="105">
        <v>875010</v>
      </c>
      <c r="P11" s="105">
        <v>0</v>
      </c>
      <c r="Q11" s="106">
        <v>44851</v>
      </c>
      <c r="R11" s="129" t="s">
        <v>361</v>
      </c>
      <c r="S11" s="133"/>
    </row>
    <row r="12" spans="2:19" ht="44" thickBot="1" x14ac:dyDescent="0.4">
      <c r="B12" s="120" t="s">
        <v>214</v>
      </c>
      <c r="C12" s="121" t="s">
        <v>341</v>
      </c>
      <c r="D12" s="121" t="s">
        <v>359</v>
      </c>
      <c r="E12" s="122" t="s">
        <v>362</v>
      </c>
      <c r="F12" s="121" t="s">
        <v>341</v>
      </c>
      <c r="G12" s="123">
        <v>44562</v>
      </c>
      <c r="H12" s="123">
        <v>44926</v>
      </c>
      <c r="I12" s="122">
        <v>12</v>
      </c>
      <c r="J12" s="121" t="s">
        <v>341</v>
      </c>
      <c r="K12" s="121" t="s">
        <v>341</v>
      </c>
      <c r="L12" s="124">
        <v>160000</v>
      </c>
      <c r="M12" s="125">
        <v>102000</v>
      </c>
      <c r="N12" s="125">
        <v>0</v>
      </c>
      <c r="O12" s="125">
        <v>102000</v>
      </c>
      <c r="P12" s="125">
        <v>0</v>
      </c>
      <c r="Q12" s="126">
        <v>44851</v>
      </c>
      <c r="R12" s="130" t="s">
        <v>363</v>
      </c>
      <c r="S12" s="134"/>
    </row>
  </sheetData>
  <pageMargins left="0.7" right="0.7" top="0.75" bottom="0.75" header="0.3" footer="0.3"/>
  <pageSetup paperSize="9" orientation="portrait" r:id="rId1"/>
  <headerFooter>
    <oddHeader>&amp;L&amp;"Calibri"&amp;12&amp;K8E6A00Confidential&amp;1#</oddHead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B0422-0598-471F-937C-2A1CEA9774AF}">
  <sheetPr codeName="Sheet16">
    <tabColor rgb="FF00B0F0"/>
  </sheetPr>
  <dimension ref="B1:P80"/>
  <sheetViews>
    <sheetView topLeftCell="I1" zoomScale="70" zoomScaleNormal="70" workbookViewId="0">
      <selection activeCell="P7" sqref="P7"/>
    </sheetView>
  </sheetViews>
  <sheetFormatPr defaultRowHeight="14.5" x14ac:dyDescent="0.35"/>
  <cols>
    <col min="1" max="1" width="4.453125" style="10" customWidth="1"/>
    <col min="2" max="2" width="16.453125" style="10" bestFit="1" customWidth="1"/>
    <col min="3" max="3" width="17.81640625" style="10" bestFit="1" customWidth="1"/>
    <col min="4" max="4" width="24.6328125" style="10" bestFit="1" customWidth="1"/>
    <col min="5" max="5" width="20.1796875" style="10" bestFit="1" customWidth="1"/>
    <col min="6" max="6" width="25.08984375" style="10" bestFit="1" customWidth="1"/>
    <col min="7" max="8" width="43.6328125" style="10" bestFit="1" customWidth="1"/>
    <col min="9" max="9" width="108" style="10" bestFit="1" customWidth="1"/>
    <col min="10" max="10" width="45.90625" style="10" bestFit="1" customWidth="1"/>
    <col min="11" max="11" width="11.81640625" style="10" bestFit="1" customWidth="1"/>
    <col min="12" max="12" width="19.6328125" style="10" bestFit="1" customWidth="1"/>
    <col min="13" max="14" width="8.7265625" style="10"/>
    <col min="15" max="15" width="12.1796875" style="10" customWidth="1"/>
    <col min="16" max="16" width="14.7265625" style="10" customWidth="1"/>
    <col min="17" max="16384" width="8.7265625" style="10"/>
  </cols>
  <sheetData>
    <row r="1" spans="2:16" ht="15" thickBot="1" x14ac:dyDescent="0.4"/>
    <row r="2" spans="2:16" ht="15" thickBot="1" x14ac:dyDescent="0.4">
      <c r="B2" s="75" t="s">
        <v>203</v>
      </c>
      <c r="C2" s="76" t="s">
        <v>204</v>
      </c>
      <c r="D2" s="76" t="s">
        <v>205</v>
      </c>
      <c r="E2" s="76" t="s">
        <v>206</v>
      </c>
      <c r="F2" s="76" t="s">
        <v>207</v>
      </c>
      <c r="G2" s="76" t="s">
        <v>208</v>
      </c>
      <c r="H2" s="76" t="s">
        <v>209</v>
      </c>
      <c r="I2" s="76" t="s">
        <v>210</v>
      </c>
      <c r="J2" s="76" t="s">
        <v>211</v>
      </c>
      <c r="K2" s="76" t="s">
        <v>212</v>
      </c>
      <c r="L2" s="77" t="s">
        <v>213</v>
      </c>
      <c r="O2" s="92" t="s">
        <v>204</v>
      </c>
      <c r="P2" s="92" t="s">
        <v>205</v>
      </c>
    </row>
    <row r="3" spans="2:16" x14ac:dyDescent="0.35">
      <c r="B3" s="69" t="s">
        <v>214</v>
      </c>
      <c r="C3" s="61" t="s">
        <v>215</v>
      </c>
      <c r="D3" s="61" t="s">
        <v>216</v>
      </c>
      <c r="E3" s="61">
        <v>7</v>
      </c>
      <c r="F3" s="61" t="s">
        <v>217</v>
      </c>
      <c r="G3" s="61">
        <v>1787716</v>
      </c>
      <c r="H3" s="89">
        <v>22796.52</v>
      </c>
      <c r="I3" s="61" t="s">
        <v>218</v>
      </c>
      <c r="J3" s="61"/>
      <c r="K3" s="61" t="s">
        <v>219</v>
      </c>
      <c r="L3" s="70" t="s">
        <v>220</v>
      </c>
      <c r="O3" s="93" t="s">
        <v>215</v>
      </c>
      <c r="P3" s="93" t="s">
        <v>216</v>
      </c>
    </row>
    <row r="4" spans="2:16" x14ac:dyDescent="0.35">
      <c r="B4" s="64" t="s">
        <v>214</v>
      </c>
      <c r="C4" s="31" t="s">
        <v>215</v>
      </c>
      <c r="D4" s="31" t="s">
        <v>216</v>
      </c>
      <c r="E4" s="31">
        <v>8</v>
      </c>
      <c r="F4" s="31" t="s">
        <v>221</v>
      </c>
      <c r="G4" s="31">
        <v>1716717</v>
      </c>
      <c r="H4" s="90">
        <v>21021.56</v>
      </c>
      <c r="I4" s="31" t="s">
        <v>218</v>
      </c>
      <c r="J4" s="31"/>
      <c r="K4" s="31" t="s">
        <v>219</v>
      </c>
      <c r="L4" s="65" t="s">
        <v>222</v>
      </c>
      <c r="O4" s="93" t="s">
        <v>225</v>
      </c>
      <c r="P4" s="93" t="s">
        <v>226</v>
      </c>
    </row>
    <row r="5" spans="2:16" x14ac:dyDescent="0.35">
      <c r="B5" s="64" t="s">
        <v>214</v>
      </c>
      <c r="C5" s="31" t="s">
        <v>215</v>
      </c>
      <c r="D5" s="31" t="s">
        <v>216</v>
      </c>
      <c r="E5" s="31">
        <v>9</v>
      </c>
      <c r="F5" s="31" t="s">
        <v>223</v>
      </c>
      <c r="G5" s="31">
        <v>1954882</v>
      </c>
      <c r="H5" s="90">
        <v>48872.05</v>
      </c>
      <c r="I5" s="31" t="s">
        <v>218</v>
      </c>
      <c r="J5" s="31"/>
      <c r="K5" s="31" t="s">
        <v>219</v>
      </c>
      <c r="L5" s="65" t="s">
        <v>224</v>
      </c>
      <c r="O5" s="93" t="s">
        <v>231</v>
      </c>
      <c r="P5" s="93" t="s">
        <v>226</v>
      </c>
    </row>
    <row r="6" spans="2:16" x14ac:dyDescent="0.35">
      <c r="B6" s="64" t="s">
        <v>214</v>
      </c>
      <c r="C6" s="31" t="s">
        <v>225</v>
      </c>
      <c r="D6" s="31" t="s">
        <v>226</v>
      </c>
      <c r="E6" s="31">
        <v>7</v>
      </c>
      <c r="F6" s="31" t="s">
        <v>217</v>
      </c>
      <c r="G6" s="31">
        <v>1191</v>
      </c>
      <c r="H6" s="90">
        <v>72750</v>
      </c>
      <c r="I6" s="31" t="s">
        <v>227</v>
      </c>
      <c r="J6" s="31" t="s">
        <v>228</v>
      </c>
      <c r="K6" s="31" t="s">
        <v>219</v>
      </c>
      <c r="L6" s="65" t="s">
        <v>220</v>
      </c>
      <c r="O6" s="93" t="s">
        <v>233</v>
      </c>
      <c r="P6" s="93" t="s">
        <v>226</v>
      </c>
    </row>
    <row r="7" spans="2:16" x14ac:dyDescent="0.35">
      <c r="B7" s="64" t="s">
        <v>214</v>
      </c>
      <c r="C7" s="31" t="s">
        <v>225</v>
      </c>
      <c r="D7" s="31" t="s">
        <v>226</v>
      </c>
      <c r="E7" s="31">
        <v>8</v>
      </c>
      <c r="F7" s="31" t="s">
        <v>221</v>
      </c>
      <c r="G7" s="31">
        <v>0</v>
      </c>
      <c r="H7" s="90">
        <v>0</v>
      </c>
      <c r="I7" s="31"/>
      <c r="J7" s="31" t="s">
        <v>229</v>
      </c>
      <c r="K7" s="31" t="s">
        <v>219</v>
      </c>
      <c r="L7" s="65" t="s">
        <v>222</v>
      </c>
      <c r="O7" s="93" t="s">
        <v>234</v>
      </c>
      <c r="P7" s="93" t="s">
        <v>235</v>
      </c>
    </row>
    <row r="8" spans="2:16" x14ac:dyDescent="0.35">
      <c r="B8" s="64" t="s">
        <v>214</v>
      </c>
      <c r="C8" s="31" t="s">
        <v>225</v>
      </c>
      <c r="D8" s="31" t="s">
        <v>226</v>
      </c>
      <c r="E8" s="31">
        <v>9</v>
      </c>
      <c r="F8" s="31" t="s">
        <v>223</v>
      </c>
      <c r="G8" s="31">
        <v>1767</v>
      </c>
      <c r="H8" s="90">
        <v>105000</v>
      </c>
      <c r="I8" s="31" t="s">
        <v>227</v>
      </c>
      <c r="J8" s="31" t="s">
        <v>230</v>
      </c>
      <c r="K8" s="31" t="s">
        <v>219</v>
      </c>
      <c r="L8" s="65" t="s">
        <v>224</v>
      </c>
      <c r="O8" s="93" t="s">
        <v>198</v>
      </c>
      <c r="P8" s="93" t="s">
        <v>235</v>
      </c>
    </row>
    <row r="9" spans="2:16" x14ac:dyDescent="0.35">
      <c r="B9" s="64" t="s">
        <v>214</v>
      </c>
      <c r="C9" s="31" t="s">
        <v>231</v>
      </c>
      <c r="D9" s="31" t="s">
        <v>226</v>
      </c>
      <c r="E9" s="31">
        <v>7</v>
      </c>
      <c r="F9" s="31" t="s">
        <v>217</v>
      </c>
      <c r="G9" s="31">
        <v>51</v>
      </c>
      <c r="H9" s="90">
        <v>4335</v>
      </c>
      <c r="I9" s="31"/>
      <c r="J9" s="31"/>
      <c r="K9" s="31" t="s">
        <v>219</v>
      </c>
      <c r="L9" s="65" t="s">
        <v>220</v>
      </c>
    </row>
    <row r="10" spans="2:16" x14ac:dyDescent="0.35">
      <c r="B10" s="64" t="s">
        <v>214</v>
      </c>
      <c r="C10" s="31" t="s">
        <v>231</v>
      </c>
      <c r="D10" s="31" t="s">
        <v>226</v>
      </c>
      <c r="E10" s="31">
        <v>8</v>
      </c>
      <c r="F10" s="31" t="s">
        <v>221</v>
      </c>
      <c r="G10" s="31">
        <v>913</v>
      </c>
      <c r="H10" s="90">
        <v>77605</v>
      </c>
      <c r="I10" s="31"/>
      <c r="J10" s="31"/>
      <c r="K10" s="31" t="s">
        <v>219</v>
      </c>
      <c r="L10" s="65" t="s">
        <v>222</v>
      </c>
    </row>
    <row r="11" spans="2:16" x14ac:dyDescent="0.35">
      <c r="B11" s="64" t="s">
        <v>214</v>
      </c>
      <c r="C11" s="31" t="s">
        <v>231</v>
      </c>
      <c r="D11" s="31" t="s">
        <v>226</v>
      </c>
      <c r="E11" s="31">
        <v>9</v>
      </c>
      <c r="F11" s="31" t="s">
        <v>223</v>
      </c>
      <c r="G11" s="31">
        <v>0</v>
      </c>
      <c r="H11" s="90">
        <v>0</v>
      </c>
      <c r="I11" s="31" t="s">
        <v>232</v>
      </c>
      <c r="J11" s="31"/>
      <c r="K11" s="31" t="s">
        <v>219</v>
      </c>
      <c r="L11" s="65" t="s">
        <v>224</v>
      </c>
    </row>
    <row r="12" spans="2:16" x14ac:dyDescent="0.35">
      <c r="B12" s="64" t="s">
        <v>214</v>
      </c>
      <c r="C12" s="31" t="s">
        <v>233</v>
      </c>
      <c r="D12" s="31" t="s">
        <v>226</v>
      </c>
      <c r="E12" s="31">
        <v>7</v>
      </c>
      <c r="F12" s="31" t="s">
        <v>217</v>
      </c>
      <c r="G12" s="31">
        <v>3376</v>
      </c>
      <c r="H12" s="90">
        <v>111408</v>
      </c>
      <c r="I12" s="31"/>
      <c r="J12" s="31"/>
      <c r="K12" s="31" t="s">
        <v>219</v>
      </c>
      <c r="L12" s="65" t="s">
        <v>220</v>
      </c>
    </row>
    <row r="13" spans="2:16" x14ac:dyDescent="0.35">
      <c r="B13" s="64" t="s">
        <v>214</v>
      </c>
      <c r="C13" s="31" t="s">
        <v>233</v>
      </c>
      <c r="D13" s="31" t="s">
        <v>226</v>
      </c>
      <c r="E13" s="31">
        <v>8</v>
      </c>
      <c r="F13" s="31" t="s">
        <v>221</v>
      </c>
      <c r="G13" s="31">
        <v>6006</v>
      </c>
      <c r="H13" s="90">
        <v>186186</v>
      </c>
      <c r="I13" s="31"/>
      <c r="J13" s="31"/>
      <c r="K13" s="31" t="s">
        <v>219</v>
      </c>
      <c r="L13" s="65" t="s">
        <v>222</v>
      </c>
    </row>
    <row r="14" spans="2:16" x14ac:dyDescent="0.35">
      <c r="B14" s="64" t="s">
        <v>214</v>
      </c>
      <c r="C14" s="31" t="s">
        <v>233</v>
      </c>
      <c r="D14" s="31" t="s">
        <v>226</v>
      </c>
      <c r="E14" s="31">
        <v>9</v>
      </c>
      <c r="F14" s="31" t="s">
        <v>223</v>
      </c>
      <c r="G14" s="31">
        <v>3740</v>
      </c>
      <c r="H14" s="90">
        <v>115940</v>
      </c>
      <c r="I14" s="31"/>
      <c r="J14" s="31"/>
      <c r="K14" s="31" t="s">
        <v>219</v>
      </c>
      <c r="L14" s="65" t="s">
        <v>224</v>
      </c>
    </row>
    <row r="15" spans="2:16" x14ac:dyDescent="0.35">
      <c r="B15" s="64" t="s">
        <v>214</v>
      </c>
      <c r="C15" s="31" t="s">
        <v>234</v>
      </c>
      <c r="D15" s="31" t="s">
        <v>235</v>
      </c>
      <c r="E15" s="31">
        <v>7</v>
      </c>
      <c r="F15" s="31" t="s">
        <v>217</v>
      </c>
      <c r="G15" s="31">
        <v>22118</v>
      </c>
      <c r="H15" s="90">
        <v>31265</v>
      </c>
      <c r="I15" s="31" t="s">
        <v>236</v>
      </c>
      <c r="J15" s="31" t="s">
        <v>237</v>
      </c>
      <c r="K15" s="31" t="s">
        <v>219</v>
      </c>
      <c r="L15" s="65" t="s">
        <v>220</v>
      </c>
    </row>
    <row r="16" spans="2:16" x14ac:dyDescent="0.35">
      <c r="B16" s="64" t="s">
        <v>214</v>
      </c>
      <c r="C16" s="31" t="s">
        <v>234</v>
      </c>
      <c r="D16" s="31" t="s">
        <v>235</v>
      </c>
      <c r="E16" s="31">
        <v>8</v>
      </c>
      <c r="F16" s="31" t="s">
        <v>221</v>
      </c>
      <c r="G16" s="31">
        <v>0</v>
      </c>
      <c r="H16" s="90">
        <v>0</v>
      </c>
      <c r="I16" s="31" t="s">
        <v>238</v>
      </c>
      <c r="J16" s="31"/>
      <c r="K16" s="31" t="s">
        <v>219</v>
      </c>
      <c r="L16" s="65" t="s">
        <v>222</v>
      </c>
    </row>
    <row r="17" spans="2:12" x14ac:dyDescent="0.35">
      <c r="B17" s="64" t="s">
        <v>214</v>
      </c>
      <c r="C17" s="31" t="s">
        <v>234</v>
      </c>
      <c r="D17" s="31" t="s">
        <v>235</v>
      </c>
      <c r="E17" s="31">
        <v>9</v>
      </c>
      <c r="F17" s="31" t="s">
        <v>223</v>
      </c>
      <c r="G17" s="31">
        <v>0</v>
      </c>
      <c r="H17" s="90">
        <v>0</v>
      </c>
      <c r="I17" s="31" t="s">
        <v>238</v>
      </c>
      <c r="J17" s="31"/>
      <c r="K17" s="31" t="s">
        <v>219</v>
      </c>
      <c r="L17" s="65" t="s">
        <v>224</v>
      </c>
    </row>
    <row r="18" spans="2:12" x14ac:dyDescent="0.35">
      <c r="B18" s="64" t="s">
        <v>214</v>
      </c>
      <c r="C18" s="31" t="s">
        <v>215</v>
      </c>
      <c r="D18" s="31" t="s">
        <v>216</v>
      </c>
      <c r="E18" s="31">
        <v>10</v>
      </c>
      <c r="F18" s="31" t="s">
        <v>239</v>
      </c>
      <c r="G18" s="31">
        <v>572655</v>
      </c>
      <c r="H18" s="90">
        <v>13625.85</v>
      </c>
      <c r="I18" s="31"/>
      <c r="J18" s="31"/>
      <c r="K18" s="31" t="s">
        <v>240</v>
      </c>
      <c r="L18" s="65" t="s">
        <v>241</v>
      </c>
    </row>
    <row r="19" spans="2:12" x14ac:dyDescent="0.35">
      <c r="B19" s="64" t="s">
        <v>214</v>
      </c>
      <c r="C19" s="31" t="s">
        <v>215</v>
      </c>
      <c r="D19" s="31" t="s">
        <v>216</v>
      </c>
      <c r="E19" s="31">
        <v>11</v>
      </c>
      <c r="F19" s="31" t="s">
        <v>242</v>
      </c>
      <c r="G19" s="31">
        <v>842114</v>
      </c>
      <c r="H19" s="90">
        <v>27623.759999999998</v>
      </c>
      <c r="I19" s="31"/>
      <c r="J19" s="31"/>
      <c r="K19" s="31" t="s">
        <v>240</v>
      </c>
      <c r="L19" s="65" t="s">
        <v>243</v>
      </c>
    </row>
    <row r="20" spans="2:12" x14ac:dyDescent="0.35">
      <c r="B20" s="64" t="s">
        <v>214</v>
      </c>
      <c r="C20" s="31" t="s">
        <v>215</v>
      </c>
      <c r="D20" s="31" t="s">
        <v>216</v>
      </c>
      <c r="E20" s="31">
        <v>12</v>
      </c>
      <c r="F20" s="31" t="s">
        <v>244</v>
      </c>
      <c r="G20" s="31">
        <v>2197267</v>
      </c>
      <c r="H20" s="90">
        <v>78282.679999999993</v>
      </c>
      <c r="I20" s="31"/>
      <c r="J20" s="31"/>
      <c r="K20" s="31" t="s">
        <v>240</v>
      </c>
      <c r="L20" s="65" t="s">
        <v>245</v>
      </c>
    </row>
    <row r="21" spans="2:12" x14ac:dyDescent="0.35">
      <c r="B21" s="64" t="s">
        <v>214</v>
      </c>
      <c r="C21" s="31" t="s">
        <v>225</v>
      </c>
      <c r="D21" s="31" t="s">
        <v>226</v>
      </c>
      <c r="E21" s="31">
        <v>10</v>
      </c>
      <c r="F21" s="31" t="s">
        <v>239</v>
      </c>
      <c r="G21" s="31">
        <v>1259</v>
      </c>
      <c r="H21" s="90">
        <v>90000</v>
      </c>
      <c r="I21" s="31" t="s">
        <v>227</v>
      </c>
      <c r="J21" s="31" t="s">
        <v>246</v>
      </c>
      <c r="K21" s="31" t="s">
        <v>240</v>
      </c>
      <c r="L21" s="65" t="s">
        <v>241</v>
      </c>
    </row>
    <row r="22" spans="2:12" x14ac:dyDescent="0.35">
      <c r="B22" s="64" t="s">
        <v>214</v>
      </c>
      <c r="C22" s="31" t="s">
        <v>225</v>
      </c>
      <c r="D22" s="31" t="s">
        <v>226</v>
      </c>
      <c r="E22" s="31">
        <v>11</v>
      </c>
      <c r="F22" s="31" t="s">
        <v>242</v>
      </c>
      <c r="G22" s="31">
        <v>0</v>
      </c>
      <c r="H22" s="90">
        <v>0</v>
      </c>
      <c r="I22" s="31"/>
      <c r="J22" s="31"/>
      <c r="K22" s="31" t="s">
        <v>240</v>
      </c>
      <c r="L22" s="65" t="s">
        <v>243</v>
      </c>
    </row>
    <row r="23" spans="2:12" x14ac:dyDescent="0.35">
      <c r="B23" s="64" t="s">
        <v>214</v>
      </c>
      <c r="C23" s="31" t="s">
        <v>225</v>
      </c>
      <c r="D23" s="31" t="s">
        <v>226</v>
      </c>
      <c r="E23" s="31">
        <v>12</v>
      </c>
      <c r="F23" s="31" t="s">
        <v>244</v>
      </c>
      <c r="G23" s="31">
        <v>2082</v>
      </c>
      <c r="H23" s="90">
        <v>138825</v>
      </c>
      <c r="I23" s="31" t="s">
        <v>227</v>
      </c>
      <c r="J23" s="31" t="s">
        <v>247</v>
      </c>
      <c r="K23" s="31" t="s">
        <v>240</v>
      </c>
      <c r="L23" s="65" t="s">
        <v>245</v>
      </c>
    </row>
    <row r="24" spans="2:12" x14ac:dyDescent="0.35">
      <c r="B24" s="64" t="s">
        <v>214</v>
      </c>
      <c r="C24" s="31" t="s">
        <v>233</v>
      </c>
      <c r="D24" s="31" t="s">
        <v>226</v>
      </c>
      <c r="E24" s="31">
        <v>10</v>
      </c>
      <c r="F24" s="31" t="s">
        <v>239</v>
      </c>
      <c r="G24" s="31">
        <v>1123</v>
      </c>
      <c r="H24" s="90">
        <v>37059</v>
      </c>
      <c r="I24" s="31"/>
      <c r="J24" s="31"/>
      <c r="K24" s="31" t="s">
        <v>240</v>
      </c>
      <c r="L24" s="65" t="s">
        <v>241</v>
      </c>
    </row>
    <row r="25" spans="2:12" x14ac:dyDescent="0.35">
      <c r="B25" s="64" t="s">
        <v>214</v>
      </c>
      <c r="C25" s="31" t="s">
        <v>233</v>
      </c>
      <c r="D25" s="31" t="s">
        <v>226</v>
      </c>
      <c r="E25" s="31">
        <v>11</v>
      </c>
      <c r="F25" s="31" t="s">
        <v>242</v>
      </c>
      <c r="G25" s="31">
        <v>1761</v>
      </c>
      <c r="H25" s="90">
        <v>42264</v>
      </c>
      <c r="I25" s="31"/>
      <c r="J25" s="31"/>
      <c r="K25" s="31" t="s">
        <v>240</v>
      </c>
      <c r="L25" s="65" t="s">
        <v>243</v>
      </c>
    </row>
    <row r="26" spans="2:12" x14ac:dyDescent="0.35">
      <c r="B26" s="64" t="s">
        <v>214</v>
      </c>
      <c r="C26" s="31" t="s">
        <v>233</v>
      </c>
      <c r="D26" s="31" t="s">
        <v>226</v>
      </c>
      <c r="E26" s="31">
        <v>12</v>
      </c>
      <c r="F26" s="31" t="s">
        <v>244</v>
      </c>
      <c r="G26" s="31">
        <v>2746</v>
      </c>
      <c r="H26" s="90">
        <v>65904</v>
      </c>
      <c r="I26" s="31"/>
      <c r="J26" s="31"/>
      <c r="K26" s="31" t="s">
        <v>240</v>
      </c>
      <c r="L26" s="65" t="s">
        <v>245</v>
      </c>
    </row>
    <row r="27" spans="2:12" x14ac:dyDescent="0.35">
      <c r="B27" s="64" t="s">
        <v>214</v>
      </c>
      <c r="C27" s="31" t="s">
        <v>198</v>
      </c>
      <c r="D27" s="31" t="s">
        <v>235</v>
      </c>
      <c r="E27" s="31">
        <v>10</v>
      </c>
      <c r="F27" s="31" t="s">
        <v>239</v>
      </c>
      <c r="G27" s="31"/>
      <c r="H27" s="90"/>
      <c r="I27" s="31"/>
      <c r="J27" s="31"/>
      <c r="K27" s="31" t="s">
        <v>240</v>
      </c>
      <c r="L27" s="65" t="s">
        <v>241</v>
      </c>
    </row>
    <row r="28" spans="2:12" x14ac:dyDescent="0.35">
      <c r="B28" s="64" t="s">
        <v>214</v>
      </c>
      <c r="C28" s="31" t="s">
        <v>198</v>
      </c>
      <c r="D28" s="31" t="s">
        <v>235</v>
      </c>
      <c r="E28" s="31">
        <v>11</v>
      </c>
      <c r="F28" s="31" t="s">
        <v>242</v>
      </c>
      <c r="G28" s="31"/>
      <c r="H28" s="90"/>
      <c r="I28" s="31"/>
      <c r="J28" s="31"/>
      <c r="K28" s="31" t="s">
        <v>240</v>
      </c>
      <c r="L28" s="65" t="s">
        <v>243</v>
      </c>
    </row>
    <row r="29" spans="2:12" x14ac:dyDescent="0.35">
      <c r="B29" s="64" t="s">
        <v>214</v>
      </c>
      <c r="C29" s="31" t="s">
        <v>198</v>
      </c>
      <c r="D29" s="31" t="s">
        <v>235</v>
      </c>
      <c r="E29" s="31">
        <v>12</v>
      </c>
      <c r="F29" s="31" t="s">
        <v>244</v>
      </c>
      <c r="G29" s="31"/>
      <c r="H29" s="90"/>
      <c r="I29" s="31"/>
      <c r="J29" s="31"/>
      <c r="K29" s="31" t="s">
        <v>240</v>
      </c>
      <c r="L29" s="65" t="s">
        <v>245</v>
      </c>
    </row>
    <row r="30" spans="2:12" x14ac:dyDescent="0.35">
      <c r="B30" s="64" t="s">
        <v>214</v>
      </c>
      <c r="C30" s="31" t="s">
        <v>215</v>
      </c>
      <c r="D30" s="31" t="s">
        <v>216</v>
      </c>
      <c r="E30" s="31">
        <v>1</v>
      </c>
      <c r="F30" s="31" t="s">
        <v>248</v>
      </c>
      <c r="G30" s="31">
        <v>126491</v>
      </c>
      <c r="H30" s="90">
        <v>2975.67</v>
      </c>
      <c r="I30" s="31"/>
      <c r="J30" s="31" t="s">
        <v>249</v>
      </c>
      <c r="K30" s="31" t="s">
        <v>250</v>
      </c>
      <c r="L30" s="65" t="s">
        <v>251</v>
      </c>
    </row>
    <row r="31" spans="2:12" x14ac:dyDescent="0.35">
      <c r="B31" s="64" t="s">
        <v>214</v>
      </c>
      <c r="C31" s="31" t="s">
        <v>215</v>
      </c>
      <c r="D31" s="31" t="s">
        <v>216</v>
      </c>
      <c r="E31" s="31">
        <v>2</v>
      </c>
      <c r="F31" s="31" t="s">
        <v>252</v>
      </c>
      <c r="G31" s="31">
        <v>124198</v>
      </c>
      <c r="H31" s="90">
        <v>2975.67</v>
      </c>
      <c r="I31" s="31"/>
      <c r="J31" s="31" t="s">
        <v>249</v>
      </c>
      <c r="K31" s="31" t="s">
        <v>250</v>
      </c>
      <c r="L31" s="65" t="s">
        <v>253</v>
      </c>
    </row>
    <row r="32" spans="2:12" x14ac:dyDescent="0.35">
      <c r="B32" s="64" t="s">
        <v>214</v>
      </c>
      <c r="C32" s="31" t="s">
        <v>215</v>
      </c>
      <c r="D32" s="31" t="s">
        <v>216</v>
      </c>
      <c r="E32" s="31">
        <v>3</v>
      </c>
      <c r="F32" s="31" t="s">
        <v>254</v>
      </c>
      <c r="G32" s="31">
        <v>123934</v>
      </c>
      <c r="H32" s="90">
        <v>2975.67</v>
      </c>
      <c r="I32" s="31"/>
      <c r="J32" s="31" t="s">
        <v>249</v>
      </c>
      <c r="K32" s="31" t="s">
        <v>250</v>
      </c>
      <c r="L32" s="65" t="s">
        <v>255</v>
      </c>
    </row>
    <row r="33" spans="2:12" x14ac:dyDescent="0.35">
      <c r="B33" s="64" t="s">
        <v>214</v>
      </c>
      <c r="C33" s="31" t="s">
        <v>225</v>
      </c>
      <c r="D33" s="31" t="s">
        <v>226</v>
      </c>
      <c r="E33" s="31">
        <v>1</v>
      </c>
      <c r="F33" s="31" t="s">
        <v>248</v>
      </c>
      <c r="G33" s="31">
        <v>1146</v>
      </c>
      <c r="H33" s="90">
        <v>113454</v>
      </c>
      <c r="I33" s="31" t="s">
        <v>256</v>
      </c>
      <c r="J33" s="31" t="s">
        <v>257</v>
      </c>
      <c r="K33" s="31" t="s">
        <v>250</v>
      </c>
      <c r="L33" s="65" t="s">
        <v>251</v>
      </c>
    </row>
    <row r="34" spans="2:12" x14ac:dyDescent="0.35">
      <c r="B34" s="64" t="s">
        <v>214</v>
      </c>
      <c r="C34" s="31" t="s">
        <v>225</v>
      </c>
      <c r="D34" s="31" t="s">
        <v>226</v>
      </c>
      <c r="E34" s="31">
        <v>2</v>
      </c>
      <c r="F34" s="31" t="s">
        <v>252</v>
      </c>
      <c r="G34" s="31">
        <v>5</v>
      </c>
      <c r="H34" s="90">
        <v>495</v>
      </c>
      <c r="I34" s="31" t="s">
        <v>256</v>
      </c>
      <c r="J34" s="31" t="s">
        <v>257</v>
      </c>
      <c r="K34" s="31" t="s">
        <v>250</v>
      </c>
      <c r="L34" s="65" t="s">
        <v>253</v>
      </c>
    </row>
    <row r="35" spans="2:12" x14ac:dyDescent="0.35">
      <c r="B35" s="64" t="s">
        <v>214</v>
      </c>
      <c r="C35" s="31" t="s">
        <v>233</v>
      </c>
      <c r="D35" s="31" t="s">
        <v>226</v>
      </c>
      <c r="E35" s="31">
        <v>1</v>
      </c>
      <c r="F35" s="31" t="s">
        <v>248</v>
      </c>
      <c r="G35" s="31">
        <v>4179</v>
      </c>
      <c r="H35" s="90">
        <v>122862.59999999999</v>
      </c>
      <c r="I35" s="31"/>
      <c r="J35" s="31" t="s">
        <v>258</v>
      </c>
      <c r="K35" s="31" t="s">
        <v>250</v>
      </c>
      <c r="L35" s="65" t="s">
        <v>251</v>
      </c>
    </row>
    <row r="36" spans="2:12" x14ac:dyDescent="0.35">
      <c r="B36" s="64" t="s">
        <v>214</v>
      </c>
      <c r="C36" s="31" t="s">
        <v>233</v>
      </c>
      <c r="D36" s="31" t="s">
        <v>226</v>
      </c>
      <c r="E36" s="31">
        <v>2</v>
      </c>
      <c r="F36" s="31" t="s">
        <v>252</v>
      </c>
      <c r="G36" s="31">
        <v>40</v>
      </c>
      <c r="H36" s="90">
        <v>1176</v>
      </c>
      <c r="I36" s="31"/>
      <c r="J36" s="31" t="s">
        <v>258</v>
      </c>
      <c r="K36" s="31" t="s">
        <v>250</v>
      </c>
      <c r="L36" s="65" t="s">
        <v>253</v>
      </c>
    </row>
    <row r="37" spans="2:12" x14ac:dyDescent="0.35">
      <c r="B37" s="64" t="s">
        <v>214</v>
      </c>
      <c r="C37" s="31" t="s">
        <v>198</v>
      </c>
      <c r="D37" s="31" t="s">
        <v>235</v>
      </c>
      <c r="E37" s="31">
        <v>1</v>
      </c>
      <c r="F37" s="31" t="s">
        <v>248</v>
      </c>
      <c r="G37" s="31"/>
      <c r="H37" s="90"/>
      <c r="I37" s="31" t="s">
        <v>259</v>
      </c>
      <c r="J37" s="31"/>
      <c r="K37" s="31" t="s">
        <v>250</v>
      </c>
      <c r="L37" s="65" t="s">
        <v>251</v>
      </c>
    </row>
    <row r="38" spans="2:12" x14ac:dyDescent="0.35">
      <c r="B38" s="64" t="s">
        <v>214</v>
      </c>
      <c r="C38" s="31" t="s">
        <v>198</v>
      </c>
      <c r="D38" s="31" t="s">
        <v>235</v>
      </c>
      <c r="E38" s="31">
        <v>2</v>
      </c>
      <c r="F38" s="31" t="s">
        <v>252</v>
      </c>
      <c r="G38" s="31"/>
      <c r="H38" s="90"/>
      <c r="I38" s="31" t="s">
        <v>259</v>
      </c>
      <c r="J38" s="31"/>
      <c r="K38" s="31" t="s">
        <v>250</v>
      </c>
      <c r="L38" s="65" t="s">
        <v>253</v>
      </c>
    </row>
    <row r="39" spans="2:12" x14ac:dyDescent="0.35">
      <c r="B39" s="64" t="s">
        <v>214</v>
      </c>
      <c r="C39" s="31" t="s">
        <v>198</v>
      </c>
      <c r="D39" s="31" t="s">
        <v>235</v>
      </c>
      <c r="E39" s="31">
        <v>3</v>
      </c>
      <c r="F39" s="31" t="s">
        <v>254</v>
      </c>
      <c r="G39" s="31"/>
      <c r="H39" s="90"/>
      <c r="I39" s="31" t="s">
        <v>259</v>
      </c>
      <c r="J39" s="31"/>
      <c r="K39" s="31" t="s">
        <v>250</v>
      </c>
      <c r="L39" s="65" t="s">
        <v>255</v>
      </c>
    </row>
    <row r="40" spans="2:12" x14ac:dyDescent="0.35">
      <c r="B40" s="64" t="s">
        <v>214</v>
      </c>
      <c r="C40" s="31" t="s">
        <v>231</v>
      </c>
      <c r="D40" s="31" t="s">
        <v>226</v>
      </c>
      <c r="E40" s="31">
        <v>2</v>
      </c>
      <c r="F40" s="31" t="s">
        <v>252</v>
      </c>
      <c r="G40" s="31">
        <v>356</v>
      </c>
      <c r="H40" s="90">
        <v>30260</v>
      </c>
      <c r="I40" s="31" t="s">
        <v>260</v>
      </c>
      <c r="J40" s="31" t="s">
        <v>261</v>
      </c>
      <c r="K40" s="31" t="s">
        <v>250</v>
      </c>
      <c r="L40" s="65" t="s">
        <v>253</v>
      </c>
    </row>
    <row r="41" spans="2:12" x14ac:dyDescent="0.35">
      <c r="B41" s="64" t="s">
        <v>214</v>
      </c>
      <c r="C41" s="31" t="s">
        <v>231</v>
      </c>
      <c r="D41" s="31" t="s">
        <v>226</v>
      </c>
      <c r="E41" s="31">
        <v>3</v>
      </c>
      <c r="F41" s="31" t="s">
        <v>254</v>
      </c>
      <c r="G41" s="31">
        <v>319</v>
      </c>
      <c r="H41" s="90">
        <v>27115</v>
      </c>
      <c r="I41" s="31" t="s">
        <v>260</v>
      </c>
      <c r="J41" s="31" t="s">
        <v>261</v>
      </c>
      <c r="K41" s="31" t="s">
        <v>250</v>
      </c>
      <c r="L41" s="65" t="s">
        <v>255</v>
      </c>
    </row>
    <row r="42" spans="2:12" x14ac:dyDescent="0.35">
      <c r="B42" s="64" t="s">
        <v>214</v>
      </c>
      <c r="C42" s="31" t="s">
        <v>215</v>
      </c>
      <c r="D42" s="31" t="s">
        <v>216</v>
      </c>
      <c r="E42" s="31">
        <v>4</v>
      </c>
      <c r="F42" s="31" t="s">
        <v>262</v>
      </c>
      <c r="G42" s="31">
        <v>118763</v>
      </c>
      <c r="H42" s="90">
        <v>2969.08</v>
      </c>
      <c r="I42" s="31"/>
      <c r="J42" s="31" t="s">
        <v>249</v>
      </c>
      <c r="K42" s="31" t="s">
        <v>263</v>
      </c>
      <c r="L42" s="65" t="s">
        <v>264</v>
      </c>
    </row>
    <row r="43" spans="2:12" x14ac:dyDescent="0.35">
      <c r="B43" s="64" t="s">
        <v>214</v>
      </c>
      <c r="C43" s="31" t="s">
        <v>215</v>
      </c>
      <c r="D43" s="31" t="s">
        <v>216</v>
      </c>
      <c r="E43" s="31">
        <v>5</v>
      </c>
      <c r="F43" s="31" t="s">
        <v>265</v>
      </c>
      <c r="G43" s="31">
        <v>122608</v>
      </c>
      <c r="H43" s="90">
        <v>2982.26</v>
      </c>
      <c r="I43" s="31"/>
      <c r="J43" s="31" t="s">
        <v>249</v>
      </c>
      <c r="K43" s="31" t="s">
        <v>263</v>
      </c>
      <c r="L43" s="65" t="s">
        <v>266</v>
      </c>
    </row>
    <row r="44" spans="2:12" x14ac:dyDescent="0.35">
      <c r="B44" s="64" t="s">
        <v>214</v>
      </c>
      <c r="C44" s="31" t="s">
        <v>215</v>
      </c>
      <c r="D44" s="31" t="s">
        <v>216</v>
      </c>
      <c r="E44" s="31">
        <v>6</v>
      </c>
      <c r="F44" s="31" t="s">
        <v>267</v>
      </c>
      <c r="G44" s="31" t="s">
        <v>268</v>
      </c>
      <c r="H44" s="90">
        <v>2975.67</v>
      </c>
      <c r="I44" s="31"/>
      <c r="J44" s="31" t="s">
        <v>249</v>
      </c>
      <c r="K44" s="31" t="s">
        <v>263</v>
      </c>
      <c r="L44" s="65" t="s">
        <v>269</v>
      </c>
    </row>
    <row r="45" spans="2:12" x14ac:dyDescent="0.35">
      <c r="B45" s="64" t="s">
        <v>214</v>
      </c>
      <c r="C45" s="31" t="s">
        <v>225</v>
      </c>
      <c r="D45" s="31" t="s">
        <v>226</v>
      </c>
      <c r="E45" s="31">
        <v>4</v>
      </c>
      <c r="F45" s="31" t="s">
        <v>262</v>
      </c>
      <c r="G45" s="31">
        <v>379</v>
      </c>
      <c r="H45" s="90">
        <v>37521</v>
      </c>
      <c r="I45" s="31"/>
      <c r="J45" s="31" t="s">
        <v>270</v>
      </c>
      <c r="K45" s="31" t="s">
        <v>263</v>
      </c>
      <c r="L45" s="65" t="s">
        <v>264</v>
      </c>
    </row>
    <row r="46" spans="2:12" x14ac:dyDescent="0.35">
      <c r="B46" s="64" t="s">
        <v>214</v>
      </c>
      <c r="C46" s="31" t="s">
        <v>225</v>
      </c>
      <c r="D46" s="31" t="s">
        <v>226</v>
      </c>
      <c r="E46" s="31">
        <v>5</v>
      </c>
      <c r="F46" s="31" t="s">
        <v>265</v>
      </c>
      <c r="G46" s="31">
        <v>37</v>
      </c>
      <c r="H46" s="90">
        <v>3663</v>
      </c>
      <c r="I46" s="31" t="s">
        <v>271</v>
      </c>
      <c r="J46" s="31" t="s">
        <v>270</v>
      </c>
      <c r="K46" s="31" t="s">
        <v>263</v>
      </c>
      <c r="L46" s="65" t="s">
        <v>266</v>
      </c>
    </row>
    <row r="47" spans="2:12" x14ac:dyDescent="0.35">
      <c r="B47" s="64" t="s">
        <v>214</v>
      </c>
      <c r="C47" s="31" t="s">
        <v>231</v>
      </c>
      <c r="D47" s="31" t="s">
        <v>226</v>
      </c>
      <c r="E47" s="31">
        <v>5</v>
      </c>
      <c r="F47" s="31" t="s">
        <v>265</v>
      </c>
      <c r="G47" s="31">
        <v>446</v>
      </c>
      <c r="H47" s="90">
        <v>37910</v>
      </c>
      <c r="I47" s="31" t="s">
        <v>272</v>
      </c>
      <c r="J47" s="31" t="s">
        <v>273</v>
      </c>
      <c r="K47" s="31" t="s">
        <v>263</v>
      </c>
      <c r="L47" s="65" t="s">
        <v>266</v>
      </c>
    </row>
    <row r="48" spans="2:12" x14ac:dyDescent="0.35">
      <c r="B48" s="64" t="s">
        <v>214</v>
      </c>
      <c r="C48" s="31" t="s">
        <v>231</v>
      </c>
      <c r="D48" s="31" t="s">
        <v>226</v>
      </c>
      <c r="E48" s="31">
        <v>6</v>
      </c>
      <c r="F48" s="31" t="s">
        <v>267</v>
      </c>
      <c r="G48" s="31" t="s">
        <v>274</v>
      </c>
      <c r="H48" s="90" t="s">
        <v>274</v>
      </c>
      <c r="I48" s="31" t="s">
        <v>275</v>
      </c>
      <c r="J48" s="31" t="s">
        <v>276</v>
      </c>
      <c r="K48" s="31" t="s">
        <v>263</v>
      </c>
      <c r="L48" s="65" t="s">
        <v>269</v>
      </c>
    </row>
    <row r="49" spans="2:12" x14ac:dyDescent="0.35">
      <c r="B49" s="64" t="s">
        <v>214</v>
      </c>
      <c r="C49" s="31" t="s">
        <v>233</v>
      </c>
      <c r="D49" s="31" t="s">
        <v>226</v>
      </c>
      <c r="E49" s="31">
        <v>4</v>
      </c>
      <c r="F49" s="31" t="s">
        <v>262</v>
      </c>
      <c r="G49" s="31">
        <v>3018</v>
      </c>
      <c r="H49" s="90">
        <v>88729</v>
      </c>
      <c r="I49" s="31"/>
      <c r="J49" s="31"/>
      <c r="K49" s="31" t="s">
        <v>263</v>
      </c>
      <c r="L49" s="65" t="s">
        <v>264</v>
      </c>
    </row>
    <row r="50" spans="2:12" x14ac:dyDescent="0.35">
      <c r="B50" s="64" t="s">
        <v>214</v>
      </c>
      <c r="C50" s="31" t="s">
        <v>233</v>
      </c>
      <c r="D50" s="31" t="s">
        <v>226</v>
      </c>
      <c r="E50" s="31">
        <v>5</v>
      </c>
      <c r="F50" s="31" t="s">
        <v>265</v>
      </c>
      <c r="G50" s="31">
        <v>721</v>
      </c>
      <c r="H50" s="90">
        <v>21197</v>
      </c>
      <c r="I50" s="31"/>
      <c r="J50" s="31"/>
      <c r="K50" s="31" t="s">
        <v>263</v>
      </c>
      <c r="L50" s="65" t="s">
        <v>266</v>
      </c>
    </row>
    <row r="51" spans="2:12" x14ac:dyDescent="0.35">
      <c r="B51" s="64" t="s">
        <v>214</v>
      </c>
      <c r="C51" s="31" t="s">
        <v>233</v>
      </c>
      <c r="D51" s="31" t="s">
        <v>226</v>
      </c>
      <c r="E51" s="31">
        <v>6</v>
      </c>
      <c r="F51" s="31" t="s">
        <v>267</v>
      </c>
      <c r="G51" s="31">
        <v>152</v>
      </c>
      <c r="H51" s="90">
        <v>4469</v>
      </c>
      <c r="I51" s="31"/>
      <c r="J51" s="31"/>
      <c r="K51" s="31" t="s">
        <v>263</v>
      </c>
      <c r="L51" s="65" t="s">
        <v>269</v>
      </c>
    </row>
    <row r="52" spans="2:12" x14ac:dyDescent="0.35">
      <c r="B52" s="64" t="s">
        <v>214</v>
      </c>
      <c r="C52" s="31" t="s">
        <v>198</v>
      </c>
      <c r="D52" s="31" t="s">
        <v>235</v>
      </c>
      <c r="E52" s="31">
        <v>4</v>
      </c>
      <c r="F52" s="31" t="s">
        <v>262</v>
      </c>
      <c r="G52" s="31" t="s">
        <v>277</v>
      </c>
      <c r="H52" s="90" t="s">
        <v>277</v>
      </c>
      <c r="I52" s="31" t="s">
        <v>277</v>
      </c>
      <c r="J52" s="31" t="s">
        <v>277</v>
      </c>
      <c r="K52" s="31" t="s">
        <v>263</v>
      </c>
      <c r="L52" s="65" t="s">
        <v>264</v>
      </c>
    </row>
    <row r="53" spans="2:12" x14ac:dyDescent="0.35">
      <c r="B53" s="64" t="s">
        <v>214</v>
      </c>
      <c r="C53" s="31" t="s">
        <v>198</v>
      </c>
      <c r="D53" s="31" t="s">
        <v>235</v>
      </c>
      <c r="E53" s="31">
        <v>5</v>
      </c>
      <c r="F53" s="31" t="s">
        <v>265</v>
      </c>
      <c r="G53" s="31" t="s">
        <v>277</v>
      </c>
      <c r="H53" s="90" t="s">
        <v>277</v>
      </c>
      <c r="I53" s="31" t="s">
        <v>277</v>
      </c>
      <c r="J53" s="31" t="s">
        <v>277</v>
      </c>
      <c r="K53" s="31" t="s">
        <v>263</v>
      </c>
      <c r="L53" s="65" t="s">
        <v>266</v>
      </c>
    </row>
    <row r="54" spans="2:12" x14ac:dyDescent="0.35">
      <c r="B54" s="64" t="s">
        <v>214</v>
      </c>
      <c r="C54" s="31" t="s">
        <v>198</v>
      </c>
      <c r="D54" s="31" t="s">
        <v>235</v>
      </c>
      <c r="E54" s="31">
        <v>6</v>
      </c>
      <c r="F54" s="31" t="s">
        <v>267</v>
      </c>
      <c r="G54" s="31" t="s">
        <v>277</v>
      </c>
      <c r="H54" s="90" t="s">
        <v>277</v>
      </c>
      <c r="I54" s="31" t="s">
        <v>277</v>
      </c>
      <c r="J54" s="31" t="s">
        <v>277</v>
      </c>
      <c r="K54" s="31" t="s">
        <v>263</v>
      </c>
      <c r="L54" s="65" t="s">
        <v>269</v>
      </c>
    </row>
    <row r="55" spans="2:12" x14ac:dyDescent="0.35">
      <c r="B55" s="64" t="s">
        <v>214</v>
      </c>
      <c r="C55" s="31" t="s">
        <v>215</v>
      </c>
      <c r="D55" s="31" t="s">
        <v>216</v>
      </c>
      <c r="E55" s="31">
        <v>7</v>
      </c>
      <c r="F55" s="31" t="s">
        <v>217</v>
      </c>
      <c r="G55" s="31"/>
      <c r="H55" s="90">
        <v>2907.15</v>
      </c>
      <c r="I55" s="31"/>
      <c r="J55" s="31"/>
      <c r="K55" s="31" t="s">
        <v>278</v>
      </c>
      <c r="L55" s="65" t="s">
        <v>279</v>
      </c>
    </row>
    <row r="56" spans="2:12" x14ac:dyDescent="0.35">
      <c r="B56" s="64" t="s">
        <v>214</v>
      </c>
      <c r="C56" s="31" t="s">
        <v>215</v>
      </c>
      <c r="D56" s="31" t="s">
        <v>216</v>
      </c>
      <c r="E56" s="31">
        <v>8</v>
      </c>
      <c r="F56" s="31" t="s">
        <v>221</v>
      </c>
      <c r="G56" s="31"/>
      <c r="H56" s="90">
        <v>3044.19</v>
      </c>
      <c r="I56" s="31"/>
      <c r="J56" s="31"/>
      <c r="K56" s="31" t="s">
        <v>278</v>
      </c>
      <c r="L56" s="65" t="s">
        <v>280</v>
      </c>
    </row>
    <row r="57" spans="2:12" x14ac:dyDescent="0.35">
      <c r="B57" s="64" t="s">
        <v>214</v>
      </c>
      <c r="C57" s="31" t="s">
        <v>215</v>
      </c>
      <c r="D57" s="31" t="s">
        <v>216</v>
      </c>
      <c r="E57" s="31">
        <v>9</v>
      </c>
      <c r="F57" s="31" t="s">
        <v>223</v>
      </c>
      <c r="G57" s="31"/>
      <c r="H57" s="90">
        <v>2975.67</v>
      </c>
      <c r="I57" s="31"/>
      <c r="J57" s="31"/>
      <c r="K57" s="31" t="s">
        <v>278</v>
      </c>
      <c r="L57" s="65" t="s">
        <v>281</v>
      </c>
    </row>
    <row r="58" spans="2:12" x14ac:dyDescent="0.35">
      <c r="B58" s="64" t="s">
        <v>214</v>
      </c>
      <c r="C58" s="31" t="s">
        <v>225</v>
      </c>
      <c r="D58" s="31" t="s">
        <v>226</v>
      </c>
      <c r="E58" s="31">
        <v>7</v>
      </c>
      <c r="F58" s="31" t="s">
        <v>217</v>
      </c>
      <c r="G58" s="31"/>
      <c r="H58" s="90">
        <v>40858.76</v>
      </c>
      <c r="I58" s="31"/>
      <c r="J58" s="31"/>
      <c r="K58" s="31" t="s">
        <v>278</v>
      </c>
      <c r="L58" s="65" t="s">
        <v>279</v>
      </c>
    </row>
    <row r="59" spans="2:12" x14ac:dyDescent="0.35">
      <c r="B59" s="64" t="s">
        <v>214</v>
      </c>
      <c r="C59" s="31" t="s">
        <v>225</v>
      </c>
      <c r="D59" s="31" t="s">
        <v>226</v>
      </c>
      <c r="E59" s="31">
        <v>8</v>
      </c>
      <c r="F59" s="31" t="s">
        <v>221</v>
      </c>
      <c r="G59" s="31"/>
      <c r="H59" s="90">
        <v>24225.99</v>
      </c>
      <c r="I59" s="31"/>
      <c r="J59" s="31"/>
      <c r="K59" s="31" t="s">
        <v>278</v>
      </c>
      <c r="L59" s="65" t="s">
        <v>280</v>
      </c>
    </row>
    <row r="60" spans="2:12" x14ac:dyDescent="0.35">
      <c r="B60" s="64" t="s">
        <v>214</v>
      </c>
      <c r="C60" s="31" t="s">
        <v>225</v>
      </c>
      <c r="D60" s="31" t="s">
        <v>226</v>
      </c>
      <c r="E60" s="31">
        <v>9</v>
      </c>
      <c r="F60" s="31" t="s">
        <v>223</v>
      </c>
      <c r="G60" s="31"/>
      <c r="H60" s="90">
        <v>14915.25</v>
      </c>
      <c r="I60" s="31" t="s">
        <v>282</v>
      </c>
      <c r="J60" s="31"/>
      <c r="K60" s="31" t="s">
        <v>278</v>
      </c>
      <c r="L60" s="65" t="s">
        <v>281</v>
      </c>
    </row>
    <row r="61" spans="2:12" x14ac:dyDescent="0.35">
      <c r="B61" s="64" t="s">
        <v>214</v>
      </c>
      <c r="C61" s="31" t="s">
        <v>231</v>
      </c>
      <c r="D61" s="31" t="s">
        <v>226</v>
      </c>
      <c r="E61" s="31">
        <v>8</v>
      </c>
      <c r="F61" s="31" t="s">
        <v>221</v>
      </c>
      <c r="G61" s="31"/>
      <c r="H61" s="90">
        <v>36465</v>
      </c>
      <c r="I61" s="31" t="s">
        <v>283</v>
      </c>
      <c r="J61" s="31"/>
      <c r="K61" s="31" t="s">
        <v>278</v>
      </c>
      <c r="L61" s="65" t="s">
        <v>280</v>
      </c>
    </row>
    <row r="62" spans="2:12" x14ac:dyDescent="0.35">
      <c r="B62" s="64" t="s">
        <v>214</v>
      </c>
      <c r="C62" s="31" t="s">
        <v>231</v>
      </c>
      <c r="D62" s="31" t="s">
        <v>226</v>
      </c>
      <c r="E62" s="31">
        <v>9</v>
      </c>
      <c r="F62" s="31" t="s">
        <v>223</v>
      </c>
      <c r="G62" s="31"/>
      <c r="H62" s="90"/>
      <c r="I62" s="31" t="s">
        <v>284</v>
      </c>
      <c r="J62" s="31"/>
      <c r="K62" s="31" t="s">
        <v>278</v>
      </c>
      <c r="L62" s="65" t="s">
        <v>281</v>
      </c>
    </row>
    <row r="63" spans="2:12" x14ac:dyDescent="0.35">
      <c r="B63" s="64" t="s">
        <v>214</v>
      </c>
      <c r="C63" s="31" t="s">
        <v>233</v>
      </c>
      <c r="D63" s="31" t="s">
        <v>226</v>
      </c>
      <c r="E63" s="31">
        <v>7</v>
      </c>
      <c r="F63" s="31" t="s">
        <v>217</v>
      </c>
      <c r="G63" s="31"/>
      <c r="H63" s="90">
        <v>35221</v>
      </c>
      <c r="I63" s="31"/>
      <c r="J63" s="31"/>
      <c r="K63" s="31" t="s">
        <v>278</v>
      </c>
      <c r="L63" s="65" t="s">
        <v>279</v>
      </c>
    </row>
    <row r="64" spans="2:12" x14ac:dyDescent="0.35">
      <c r="B64" s="64" t="s">
        <v>214</v>
      </c>
      <c r="C64" s="31" t="s">
        <v>233</v>
      </c>
      <c r="D64" s="31" t="s">
        <v>226</v>
      </c>
      <c r="E64" s="31">
        <v>8</v>
      </c>
      <c r="F64" s="31" t="s">
        <v>221</v>
      </c>
      <c r="G64" s="31"/>
      <c r="H64" s="90">
        <v>9643</v>
      </c>
      <c r="I64" s="31"/>
      <c r="J64" s="31"/>
      <c r="K64" s="31" t="s">
        <v>278</v>
      </c>
      <c r="L64" s="65" t="s">
        <v>280</v>
      </c>
    </row>
    <row r="65" spans="2:12" x14ac:dyDescent="0.35">
      <c r="B65" s="64" t="s">
        <v>214</v>
      </c>
      <c r="C65" s="31" t="s">
        <v>233</v>
      </c>
      <c r="D65" s="31" t="s">
        <v>226</v>
      </c>
      <c r="E65" s="31">
        <v>9</v>
      </c>
      <c r="F65" s="31" t="s">
        <v>223</v>
      </c>
      <c r="G65" s="31"/>
      <c r="H65" s="90">
        <v>47363</v>
      </c>
      <c r="I65" s="31"/>
      <c r="J65" s="31"/>
      <c r="K65" s="31" t="s">
        <v>278</v>
      </c>
      <c r="L65" s="65" t="s">
        <v>281</v>
      </c>
    </row>
    <row r="66" spans="2:12" x14ac:dyDescent="0.35">
      <c r="B66" s="64" t="s">
        <v>214</v>
      </c>
      <c r="C66" s="31" t="s">
        <v>198</v>
      </c>
      <c r="D66" s="31" t="s">
        <v>235</v>
      </c>
      <c r="E66" s="31">
        <v>7</v>
      </c>
      <c r="F66" s="31" t="s">
        <v>217</v>
      </c>
      <c r="G66" s="31"/>
      <c r="H66" s="90" t="s">
        <v>274</v>
      </c>
      <c r="I66" s="31" t="s">
        <v>277</v>
      </c>
      <c r="J66" s="31"/>
      <c r="K66" s="31" t="s">
        <v>278</v>
      </c>
      <c r="L66" s="65" t="s">
        <v>279</v>
      </c>
    </row>
    <row r="67" spans="2:12" x14ac:dyDescent="0.35">
      <c r="B67" s="64" t="s">
        <v>214</v>
      </c>
      <c r="C67" s="31" t="s">
        <v>198</v>
      </c>
      <c r="D67" s="31" t="s">
        <v>235</v>
      </c>
      <c r="E67" s="31">
        <v>8</v>
      </c>
      <c r="F67" s="31" t="s">
        <v>221</v>
      </c>
      <c r="G67" s="31"/>
      <c r="H67" s="90" t="s">
        <v>274</v>
      </c>
      <c r="I67" s="31" t="s">
        <v>277</v>
      </c>
      <c r="J67" s="31"/>
      <c r="K67" s="31" t="s">
        <v>278</v>
      </c>
      <c r="L67" s="65" t="s">
        <v>280</v>
      </c>
    </row>
    <row r="68" spans="2:12" x14ac:dyDescent="0.35">
      <c r="B68" s="64" t="s">
        <v>214</v>
      </c>
      <c r="C68" s="31" t="s">
        <v>198</v>
      </c>
      <c r="D68" s="31" t="s">
        <v>235</v>
      </c>
      <c r="E68" s="31">
        <v>9</v>
      </c>
      <c r="F68" s="31" t="s">
        <v>223</v>
      </c>
      <c r="G68" s="31"/>
      <c r="H68" s="90" t="s">
        <v>274</v>
      </c>
      <c r="I68" s="31" t="s">
        <v>277</v>
      </c>
      <c r="J68" s="31"/>
      <c r="K68" s="31" t="s">
        <v>278</v>
      </c>
      <c r="L68" s="65" t="s">
        <v>281</v>
      </c>
    </row>
    <row r="69" spans="2:12" x14ac:dyDescent="0.35">
      <c r="B69" s="64" t="s">
        <v>214</v>
      </c>
      <c r="C69" s="31" t="s">
        <v>215</v>
      </c>
      <c r="D69" s="31" t="s">
        <v>216</v>
      </c>
      <c r="E69" s="31">
        <v>10</v>
      </c>
      <c r="F69" s="31" t="s">
        <v>239</v>
      </c>
      <c r="G69" s="31"/>
      <c r="H69" s="90">
        <v>2975.67</v>
      </c>
      <c r="I69" s="31"/>
      <c r="J69" s="31"/>
      <c r="K69" s="31" t="s">
        <v>285</v>
      </c>
      <c r="L69" s="65" t="s">
        <v>286</v>
      </c>
    </row>
    <row r="70" spans="2:12" x14ac:dyDescent="0.35">
      <c r="B70" s="64" t="s">
        <v>214</v>
      </c>
      <c r="C70" s="31" t="s">
        <v>215</v>
      </c>
      <c r="D70" s="31" t="s">
        <v>216</v>
      </c>
      <c r="E70" s="31">
        <v>11</v>
      </c>
      <c r="F70" s="31" t="s">
        <v>242</v>
      </c>
      <c r="G70" s="31"/>
      <c r="H70" s="90">
        <v>2975.67</v>
      </c>
      <c r="I70" s="31"/>
      <c r="J70" s="31"/>
      <c r="K70" s="31" t="s">
        <v>285</v>
      </c>
      <c r="L70" s="65" t="s">
        <v>287</v>
      </c>
    </row>
    <row r="71" spans="2:12" x14ac:dyDescent="0.35">
      <c r="B71" s="64" t="s">
        <v>214</v>
      </c>
      <c r="C71" s="31" t="s">
        <v>215</v>
      </c>
      <c r="D71" s="31" t="s">
        <v>216</v>
      </c>
      <c r="E71" s="31">
        <v>12</v>
      </c>
      <c r="F71" s="31" t="s">
        <v>244</v>
      </c>
      <c r="G71" s="31"/>
      <c r="H71" s="90">
        <v>2975.63</v>
      </c>
      <c r="I71" s="31"/>
      <c r="J71" s="31"/>
      <c r="K71" s="31" t="s">
        <v>285</v>
      </c>
      <c r="L71" s="65" t="s">
        <v>288</v>
      </c>
    </row>
    <row r="72" spans="2:12" x14ac:dyDescent="0.35">
      <c r="B72" s="64" t="s">
        <v>214</v>
      </c>
      <c r="C72" s="31" t="s">
        <v>225</v>
      </c>
      <c r="D72" s="31" t="s">
        <v>226</v>
      </c>
      <c r="E72" s="31">
        <v>10</v>
      </c>
      <c r="F72" s="31" t="s">
        <v>239</v>
      </c>
      <c r="G72" s="31"/>
      <c r="H72" s="90">
        <v>46691.333899745114</v>
      </c>
      <c r="I72" s="31" t="s">
        <v>289</v>
      </c>
      <c r="J72" s="31"/>
      <c r="K72" s="31" t="s">
        <v>285</v>
      </c>
      <c r="L72" s="65" t="s">
        <v>286</v>
      </c>
    </row>
    <row r="73" spans="2:12" x14ac:dyDescent="0.35">
      <c r="B73" s="64" t="s">
        <v>214</v>
      </c>
      <c r="C73" s="31" t="s">
        <v>225</v>
      </c>
      <c r="D73" s="31" t="s">
        <v>226</v>
      </c>
      <c r="E73" s="31">
        <v>11</v>
      </c>
      <c r="F73" s="31" t="s">
        <v>242</v>
      </c>
      <c r="G73" s="31"/>
      <c r="H73" s="90">
        <v>39379.2948173322</v>
      </c>
      <c r="I73" s="31" t="s">
        <v>289</v>
      </c>
      <c r="J73" s="31"/>
      <c r="K73" s="31" t="s">
        <v>285</v>
      </c>
      <c r="L73" s="65" t="s">
        <v>287</v>
      </c>
    </row>
    <row r="74" spans="2:12" x14ac:dyDescent="0.35">
      <c r="B74" s="64" t="s">
        <v>214</v>
      </c>
      <c r="C74" s="31" t="s">
        <v>225</v>
      </c>
      <c r="D74" s="31" t="s">
        <v>226</v>
      </c>
      <c r="E74" s="31">
        <v>12</v>
      </c>
      <c r="F74" s="31" t="s">
        <v>244</v>
      </c>
      <c r="G74" s="31"/>
      <c r="H74" s="90">
        <v>8985.8793542905696</v>
      </c>
      <c r="I74" s="31" t="s">
        <v>289</v>
      </c>
      <c r="J74" s="31"/>
      <c r="K74" s="31" t="s">
        <v>285</v>
      </c>
      <c r="L74" s="65" t="s">
        <v>288</v>
      </c>
    </row>
    <row r="75" spans="2:12" x14ac:dyDescent="0.35">
      <c r="B75" s="64" t="s">
        <v>214</v>
      </c>
      <c r="C75" s="31" t="s">
        <v>231</v>
      </c>
      <c r="D75" s="31" t="s">
        <v>226</v>
      </c>
      <c r="E75" s="31">
        <v>10</v>
      </c>
      <c r="F75" s="31" t="s">
        <v>239</v>
      </c>
      <c r="G75" s="31"/>
      <c r="H75" s="90">
        <v>34765</v>
      </c>
      <c r="I75" s="31" t="s">
        <v>290</v>
      </c>
      <c r="J75" s="31"/>
      <c r="K75" s="31" t="s">
        <v>285</v>
      </c>
      <c r="L75" s="65" t="s">
        <v>286</v>
      </c>
    </row>
    <row r="76" spans="2:12" x14ac:dyDescent="0.35">
      <c r="B76" s="64" t="s">
        <v>214</v>
      </c>
      <c r="C76" s="31" t="s">
        <v>231</v>
      </c>
      <c r="D76" s="31" t="s">
        <v>226</v>
      </c>
      <c r="E76" s="31">
        <v>11</v>
      </c>
      <c r="F76" s="31" t="s">
        <v>242</v>
      </c>
      <c r="G76" s="31"/>
      <c r="H76" s="90">
        <v>36975</v>
      </c>
      <c r="I76" s="31" t="s">
        <v>290</v>
      </c>
      <c r="J76" s="31"/>
      <c r="K76" s="31" t="s">
        <v>285</v>
      </c>
      <c r="L76" s="65" t="s">
        <v>287</v>
      </c>
    </row>
    <row r="77" spans="2:12" x14ac:dyDescent="0.35">
      <c r="B77" s="64" t="s">
        <v>214</v>
      </c>
      <c r="C77" s="31" t="s">
        <v>231</v>
      </c>
      <c r="D77" s="31" t="s">
        <v>226</v>
      </c>
      <c r="E77" s="31">
        <v>12</v>
      </c>
      <c r="F77" s="31" t="s">
        <v>244</v>
      </c>
      <c r="G77" s="31"/>
      <c r="H77" s="90">
        <v>52445</v>
      </c>
      <c r="I77" s="31" t="s">
        <v>290</v>
      </c>
      <c r="J77" s="31"/>
      <c r="K77" s="31" t="s">
        <v>285</v>
      </c>
      <c r="L77" s="65" t="s">
        <v>288</v>
      </c>
    </row>
    <row r="78" spans="2:12" x14ac:dyDescent="0.35">
      <c r="B78" s="64" t="s">
        <v>214</v>
      </c>
      <c r="C78" s="31" t="s">
        <v>233</v>
      </c>
      <c r="D78" s="31" t="s">
        <v>226</v>
      </c>
      <c r="E78" s="31">
        <v>10</v>
      </c>
      <c r="F78" s="31" t="s">
        <v>239</v>
      </c>
      <c r="G78" s="31"/>
      <c r="H78" s="90">
        <v>58506</v>
      </c>
      <c r="I78" s="31"/>
      <c r="J78" s="31"/>
      <c r="K78" s="31" t="s">
        <v>285</v>
      </c>
      <c r="L78" s="65" t="s">
        <v>286</v>
      </c>
    </row>
    <row r="79" spans="2:12" x14ac:dyDescent="0.35">
      <c r="B79" s="64" t="s">
        <v>214</v>
      </c>
      <c r="C79" s="31" t="s">
        <v>233</v>
      </c>
      <c r="D79" s="31" t="s">
        <v>226</v>
      </c>
      <c r="E79" s="31">
        <v>11</v>
      </c>
      <c r="F79" s="31" t="s">
        <v>242</v>
      </c>
      <c r="G79" s="31"/>
      <c r="H79" s="90">
        <v>80908.08</v>
      </c>
      <c r="I79" s="31"/>
      <c r="J79" s="31"/>
      <c r="K79" s="31" t="s">
        <v>285</v>
      </c>
      <c r="L79" s="65" t="s">
        <v>287</v>
      </c>
    </row>
    <row r="80" spans="2:12" ht="15" thickBot="1" x14ac:dyDescent="0.4">
      <c r="B80" s="66" t="s">
        <v>214</v>
      </c>
      <c r="C80" s="67" t="s">
        <v>233</v>
      </c>
      <c r="D80" s="67" t="s">
        <v>226</v>
      </c>
      <c r="E80" s="67">
        <v>12</v>
      </c>
      <c r="F80" s="67" t="s">
        <v>244</v>
      </c>
      <c r="G80" s="67"/>
      <c r="H80" s="91">
        <v>13435.8</v>
      </c>
      <c r="I80" s="67"/>
      <c r="J80" s="67"/>
      <c r="K80" s="67" t="s">
        <v>285</v>
      </c>
      <c r="L80" s="68" t="s">
        <v>288</v>
      </c>
    </row>
  </sheetData>
  <autoFilter ref="B2:L80" xr:uid="{A76B0422-0598-471F-937C-2A1CEA9774AF}"/>
  <pageMargins left="0.7" right="0.7" top="0.75" bottom="0.75" header="0.3" footer="0.3"/>
  <pageSetup paperSize="9" orientation="portrait" r:id="rId1"/>
  <headerFooter>
    <oddHeader>&amp;L&amp;"Calibri"&amp;12&amp;K8E6A00Confidential&amp;1#</oddHead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E3F90-88BB-45FD-BB99-FB653E003DF3}">
  <sheetPr codeName="Sheet15">
    <tabColor theme="7" tint="0.39997558519241921"/>
  </sheetPr>
  <dimension ref="A1:KZ42"/>
  <sheetViews>
    <sheetView topLeftCell="V1" zoomScaleNormal="100" workbookViewId="0">
      <selection activeCell="D2" sqref="D2:AG2"/>
    </sheetView>
  </sheetViews>
  <sheetFormatPr defaultRowHeight="14.5" x14ac:dyDescent="0.35"/>
  <cols>
    <col min="1" max="1" width="8.7265625" style="10"/>
    <col min="2" max="2" width="7.7265625" style="10" bestFit="1" customWidth="1"/>
    <col min="3" max="3" width="8.453125" style="10" bestFit="1" customWidth="1"/>
    <col min="4" max="5" width="19" style="10" bestFit="1" customWidth="1"/>
    <col min="6" max="6" width="14.26953125" style="10" bestFit="1" customWidth="1"/>
    <col min="7" max="7" width="15.90625" style="10" bestFit="1" customWidth="1"/>
    <col min="8" max="8" width="15.453125" style="10" bestFit="1" customWidth="1"/>
    <col min="9" max="9" width="14.1796875" style="10" bestFit="1" customWidth="1"/>
    <col min="10" max="10" width="15.1796875" style="10" bestFit="1" customWidth="1"/>
    <col min="11" max="11" width="13.7265625" style="10" bestFit="1" customWidth="1"/>
    <col min="12" max="12" width="15.1796875" style="10" bestFit="1" customWidth="1"/>
    <col min="13" max="13" width="14.7265625" style="10" bestFit="1" customWidth="1"/>
    <col min="14" max="14" width="15.6328125" style="10" bestFit="1" customWidth="1"/>
    <col min="15" max="15" width="14.1796875" style="10" bestFit="1" customWidth="1"/>
    <col min="16" max="16" width="14.26953125" style="10" bestFit="1" customWidth="1"/>
    <col min="17" max="17" width="15.1796875" style="10" bestFit="1" customWidth="1"/>
    <col min="18" max="18" width="14.90625" style="10" bestFit="1" customWidth="1"/>
    <col min="19" max="19" width="16.6328125" style="10" bestFit="1" customWidth="1"/>
    <col min="20" max="20" width="14.90625" style="10" bestFit="1" customWidth="1"/>
    <col min="21" max="21" width="15" style="10" bestFit="1" customWidth="1"/>
    <col min="22" max="22" width="14.7265625" style="10" bestFit="1" customWidth="1"/>
    <col min="23" max="23" width="13.26953125" style="10" bestFit="1" customWidth="1"/>
    <col min="24" max="24" width="13.36328125" style="10" bestFit="1" customWidth="1"/>
    <col min="25" max="25" width="14.26953125" style="10" bestFit="1" customWidth="1"/>
    <col min="26" max="26" width="14" style="10" bestFit="1" customWidth="1"/>
    <col min="27" max="27" width="15.7265625" style="10" bestFit="1" customWidth="1"/>
    <col min="28" max="28" width="14" style="10" bestFit="1" customWidth="1"/>
    <col min="29" max="29" width="14.08984375" style="10" bestFit="1" customWidth="1"/>
    <col min="30" max="30" width="15.36328125" style="10" bestFit="1" customWidth="1"/>
    <col min="31" max="31" width="13.90625" style="10" bestFit="1" customWidth="1"/>
    <col min="32" max="32" width="14" style="10" bestFit="1" customWidth="1"/>
    <col min="33" max="33" width="14.90625" style="10" bestFit="1" customWidth="1"/>
    <col min="34" max="34" width="14.6328125" style="10" bestFit="1" customWidth="1"/>
    <col min="35" max="35" width="16.36328125" style="10" bestFit="1" customWidth="1"/>
    <col min="36" max="36" width="14.6328125" style="10" bestFit="1" customWidth="1"/>
    <col min="37" max="37" width="14.7265625" style="10" bestFit="1" customWidth="1"/>
    <col min="38" max="38" width="19.81640625" style="10" bestFit="1" customWidth="1"/>
    <col min="39" max="40" width="19.08984375" style="10" bestFit="1" customWidth="1"/>
    <col min="41" max="41" width="18.90625" style="10" bestFit="1" customWidth="1"/>
    <col min="42" max="42" width="20.26953125" style="10" bestFit="1" customWidth="1"/>
    <col min="43" max="43" width="18.90625" style="10" bestFit="1" customWidth="1"/>
    <col min="44" max="45" width="18.1796875" style="10" bestFit="1" customWidth="1"/>
    <col min="46" max="46" width="18" style="10" bestFit="1" customWidth="1"/>
    <col min="47" max="47" width="19.36328125" style="10" bestFit="1" customWidth="1"/>
    <col min="48" max="48" width="19.54296875" style="10" bestFit="1" customWidth="1"/>
    <col min="49" max="50" width="18.81640625" style="10" bestFit="1" customWidth="1"/>
    <col min="51" max="51" width="18.6328125" style="10" bestFit="1" customWidth="1"/>
    <col min="52" max="52" width="20" style="10" bestFit="1" customWidth="1"/>
    <col min="53" max="53" width="15.08984375" style="10" bestFit="1" customWidth="1"/>
    <col min="54" max="55" width="14.36328125" style="10" bestFit="1" customWidth="1"/>
    <col min="56" max="56" width="14.1796875" style="10" bestFit="1" customWidth="1"/>
    <col min="57" max="57" width="15.54296875" style="10" bestFit="1" customWidth="1"/>
    <col min="58" max="58" width="14.1796875" style="10" bestFit="1" customWidth="1"/>
    <col min="59" max="60" width="13.453125" style="10" bestFit="1" customWidth="1"/>
    <col min="61" max="61" width="13.26953125" style="10" bestFit="1" customWidth="1"/>
    <col min="62" max="62" width="14.6328125" style="10" bestFit="1" customWidth="1"/>
    <col min="63" max="63" width="14.81640625" style="10" bestFit="1" customWidth="1"/>
    <col min="64" max="65" width="14.08984375" style="10" bestFit="1" customWidth="1"/>
    <col min="66" max="66" width="13.90625" style="10" bestFit="1" customWidth="1"/>
    <col min="67" max="67" width="15.26953125" style="10" bestFit="1" customWidth="1"/>
    <col min="68" max="68" width="19.6328125" style="10" bestFit="1" customWidth="1"/>
    <col min="69" max="69" width="19.7265625" style="10" bestFit="1" customWidth="1"/>
    <col min="70" max="70" width="20.6328125" style="10" bestFit="1" customWidth="1"/>
    <col min="71" max="71" width="22.1796875" style="10" bestFit="1" customWidth="1"/>
    <col min="72" max="72" width="20.36328125" style="10" bestFit="1" customWidth="1"/>
    <col min="73" max="73" width="18.90625" style="10" bestFit="1" customWidth="1"/>
    <col min="74" max="74" width="19" style="10" bestFit="1" customWidth="1"/>
    <col min="75" max="75" width="19.453125" style="10" bestFit="1" customWidth="1"/>
    <col min="76" max="76" width="19.54296875" style="10" bestFit="1" customWidth="1"/>
    <col min="77" max="77" width="20.81640625" style="10" bestFit="1" customWidth="1"/>
    <col min="78" max="78" width="18.7265625" style="10" bestFit="1" customWidth="1"/>
    <col min="79" max="79" width="18.81640625" style="10" bestFit="1" customWidth="1"/>
    <col min="80" max="80" width="19.7265625" style="10" bestFit="1" customWidth="1"/>
    <col min="81" max="81" width="21.1796875" style="10" bestFit="1" customWidth="1"/>
    <col min="82" max="82" width="19.453125" style="10" bestFit="1" customWidth="1"/>
    <col min="83" max="83" width="18" style="10" bestFit="1" customWidth="1"/>
    <col min="84" max="84" width="18.08984375" style="10" bestFit="1" customWidth="1"/>
    <col min="85" max="85" width="18.54296875" style="10" bestFit="1" customWidth="1"/>
    <col min="86" max="86" width="18.6328125" style="10" bestFit="1" customWidth="1"/>
    <col min="87" max="87" width="19.90625" style="10" bestFit="1" customWidth="1"/>
    <col min="88" max="88" width="19.36328125" style="10" bestFit="1" customWidth="1"/>
    <col min="89" max="89" width="19.453125" style="10" bestFit="1" customWidth="1"/>
    <col min="90" max="90" width="20.36328125" style="10" bestFit="1" customWidth="1"/>
    <col min="91" max="91" width="21.90625" style="10" bestFit="1" customWidth="1"/>
    <col min="92" max="92" width="20.08984375" style="10" bestFit="1" customWidth="1"/>
    <col min="93" max="93" width="18.6328125" style="10" bestFit="1" customWidth="1"/>
    <col min="94" max="94" width="18.7265625" style="10" bestFit="1" customWidth="1"/>
    <col min="95" max="95" width="19.1796875" style="10" bestFit="1" customWidth="1"/>
    <col min="96" max="96" width="19.26953125" style="10" bestFit="1" customWidth="1"/>
    <col min="97" max="97" width="20.54296875" style="10" bestFit="1" customWidth="1"/>
    <col min="98" max="98" width="12.6328125" style="10" bestFit="1" customWidth="1"/>
    <col min="99" max="99" width="13.81640625" style="10" bestFit="1" customWidth="1"/>
    <col min="100" max="100" width="13.453125" style="10" bestFit="1" customWidth="1"/>
    <col min="101" max="101" width="15.90625" style="10" bestFit="1" customWidth="1"/>
    <col min="102" max="102" width="18.7265625" style="10" bestFit="1" customWidth="1"/>
    <col min="103" max="103" width="14" style="10" bestFit="1" customWidth="1"/>
    <col min="104" max="104" width="20" style="10" bestFit="1" customWidth="1"/>
    <col min="105" max="105" width="20.453125" style="10" bestFit="1" customWidth="1"/>
    <col min="106" max="106" width="20.90625" style="10" bestFit="1" customWidth="1"/>
    <col min="107" max="107" width="21.453125" style="10" bestFit="1" customWidth="1"/>
    <col min="108" max="108" width="16.90625" style="10" bestFit="1" customWidth="1"/>
    <col min="109" max="109" width="17.90625" style="10" bestFit="1" customWidth="1"/>
    <col min="110" max="110" width="12.1796875" style="10" bestFit="1" customWidth="1"/>
    <col min="111" max="111" width="13.08984375" style="10" bestFit="1" customWidth="1"/>
    <col min="112" max="112" width="15.26953125" style="10" bestFit="1" customWidth="1"/>
    <col min="113" max="113" width="15.7265625" style="10" bestFit="1" customWidth="1"/>
    <col min="114" max="114" width="16.1796875" style="10" bestFit="1" customWidth="1"/>
    <col min="115" max="115" width="16.6328125" style="10" bestFit="1" customWidth="1"/>
    <col min="116" max="116" width="19.26953125" style="10" bestFit="1" customWidth="1"/>
    <col min="117" max="117" width="17.7265625" style="10" bestFit="1" customWidth="1"/>
    <col min="118" max="118" width="12.90625" style="10" bestFit="1" customWidth="1"/>
    <col min="119" max="119" width="24.81640625" style="10" bestFit="1" customWidth="1"/>
    <col min="120" max="120" width="24.08984375" style="10" bestFit="1" customWidth="1"/>
    <col min="121" max="121" width="18.90625" style="10" bestFit="1" customWidth="1"/>
    <col min="122" max="122" width="14.1796875" style="10" bestFit="1" customWidth="1"/>
    <col min="123" max="123" width="20.08984375" style="10" bestFit="1" customWidth="1"/>
    <col min="124" max="124" width="19.36328125" style="10" bestFit="1" customWidth="1"/>
    <col min="125" max="125" width="22.1796875" style="10" bestFit="1" customWidth="1"/>
    <col min="126" max="126" width="17.453125" style="10" bestFit="1" customWidth="1"/>
    <col min="127" max="127" width="8" style="10" bestFit="1" customWidth="1"/>
    <col min="128" max="128" width="8.26953125" style="10" bestFit="1" customWidth="1"/>
    <col min="129" max="129" width="8.36328125" style="10" bestFit="1" customWidth="1"/>
    <col min="130" max="130" width="10.7265625" style="10" bestFit="1" customWidth="1"/>
    <col min="131" max="131" width="12.81640625" style="10" bestFit="1" customWidth="1"/>
    <col min="132" max="16384" width="8.7265625" style="10"/>
  </cols>
  <sheetData>
    <row r="1" spans="1:312" x14ac:dyDescent="0.35">
      <c r="A1" s="53" t="s">
        <v>30</v>
      </c>
      <c r="C1" s="50" t="s">
        <v>170</v>
      </c>
      <c r="D1" s="94"/>
    </row>
    <row r="2" spans="1:312" ht="15.5" x14ac:dyDescent="0.35">
      <c r="B2" s="39" t="s">
        <v>3</v>
      </c>
      <c r="C2" s="20" t="s">
        <v>2</v>
      </c>
      <c r="D2" s="20" t="s">
        <v>13</v>
      </c>
      <c r="E2" s="20" t="s">
        <v>128</v>
      </c>
      <c r="F2" s="20" t="s">
        <v>5</v>
      </c>
      <c r="G2" s="20" t="s">
        <v>56</v>
      </c>
      <c r="H2" s="20" t="s">
        <v>57</v>
      </c>
      <c r="I2" s="20" t="s">
        <v>25</v>
      </c>
      <c r="J2" s="20" t="s">
        <v>26</v>
      </c>
      <c r="K2" s="20" t="s">
        <v>27</v>
      </c>
      <c r="L2" s="20" t="s">
        <v>28</v>
      </c>
      <c r="M2" s="20" t="s">
        <v>29</v>
      </c>
      <c r="N2" s="20" t="s">
        <v>58</v>
      </c>
      <c r="O2" s="20" t="s">
        <v>59</v>
      </c>
      <c r="P2" s="20" t="s">
        <v>60</v>
      </c>
      <c r="Q2" s="20" t="s">
        <v>61</v>
      </c>
      <c r="R2" s="20" t="s">
        <v>62</v>
      </c>
      <c r="S2" s="20" t="s">
        <v>63</v>
      </c>
      <c r="T2" s="20" t="s">
        <v>64</v>
      </c>
      <c r="U2" s="20" t="s">
        <v>65</v>
      </c>
      <c r="V2" s="20" t="s">
        <v>66</v>
      </c>
      <c r="W2" s="20" t="s">
        <v>67</v>
      </c>
      <c r="X2" s="20" t="s">
        <v>68</v>
      </c>
      <c r="Y2" s="20" t="s">
        <v>69</v>
      </c>
      <c r="Z2" s="20" t="s">
        <v>70</v>
      </c>
      <c r="AA2" s="20" t="s">
        <v>71</v>
      </c>
      <c r="AB2" s="20" t="s">
        <v>72</v>
      </c>
      <c r="AC2" s="20" t="s">
        <v>73</v>
      </c>
      <c r="AD2" s="20" t="s">
        <v>15</v>
      </c>
      <c r="AE2" s="20" t="s">
        <v>16</v>
      </c>
      <c r="AF2" s="20" t="s">
        <v>17</v>
      </c>
      <c r="AG2" s="20" t="s">
        <v>18</v>
      </c>
      <c r="AH2" s="20" t="s">
        <v>19</v>
      </c>
      <c r="AI2" s="20" t="s">
        <v>20</v>
      </c>
      <c r="AJ2" s="20" t="s">
        <v>21</v>
      </c>
      <c r="AK2" s="20" t="s">
        <v>22</v>
      </c>
      <c r="AL2" s="20" t="s">
        <v>74</v>
      </c>
      <c r="AM2" s="20" t="s">
        <v>75</v>
      </c>
      <c r="AN2" s="20" t="s">
        <v>76</v>
      </c>
      <c r="AO2" s="20" t="s">
        <v>77</v>
      </c>
      <c r="AP2" s="20" t="s">
        <v>78</v>
      </c>
      <c r="AQ2" s="20" t="s">
        <v>79</v>
      </c>
      <c r="AR2" s="20" t="s">
        <v>80</v>
      </c>
      <c r="AS2" s="20" t="s">
        <v>81</v>
      </c>
      <c r="AT2" s="20" t="s">
        <v>82</v>
      </c>
      <c r="AU2" s="20" t="s">
        <v>83</v>
      </c>
      <c r="AV2" s="20" t="s">
        <v>84</v>
      </c>
      <c r="AW2" s="20" t="s">
        <v>85</v>
      </c>
      <c r="AX2" s="20" t="s">
        <v>86</v>
      </c>
      <c r="AY2" s="20" t="s">
        <v>87</v>
      </c>
      <c r="AZ2" s="20" t="s">
        <v>88</v>
      </c>
      <c r="BA2" s="20" t="s">
        <v>89</v>
      </c>
      <c r="BB2" s="20" t="s">
        <v>90</v>
      </c>
      <c r="BC2" s="20" t="s">
        <v>91</v>
      </c>
      <c r="BD2" s="20" t="s">
        <v>43</v>
      </c>
      <c r="BE2" s="20" t="s">
        <v>92</v>
      </c>
      <c r="BF2" s="20" t="s">
        <v>93</v>
      </c>
      <c r="BG2" s="20" t="s">
        <v>94</v>
      </c>
      <c r="BH2" s="20" t="s">
        <v>95</v>
      </c>
      <c r="BI2" s="20" t="s">
        <v>96</v>
      </c>
      <c r="BJ2" s="20" t="s">
        <v>97</v>
      </c>
      <c r="BK2" s="20" t="s">
        <v>44</v>
      </c>
      <c r="BL2" s="20" t="s">
        <v>45</v>
      </c>
      <c r="BM2" s="20" t="s">
        <v>47</v>
      </c>
      <c r="BN2" s="20" t="s">
        <v>41</v>
      </c>
      <c r="BO2" s="20" t="s">
        <v>42</v>
      </c>
      <c r="BP2" s="20" t="s">
        <v>98</v>
      </c>
      <c r="BQ2" s="20" t="s">
        <v>99</v>
      </c>
      <c r="BR2" s="20" t="s">
        <v>100</v>
      </c>
      <c r="BS2" s="20" t="s">
        <v>101</v>
      </c>
      <c r="BT2" s="20" t="s">
        <v>102</v>
      </c>
      <c r="BU2" s="20" t="s">
        <v>103</v>
      </c>
      <c r="BV2" s="20" t="s">
        <v>104</v>
      </c>
      <c r="BW2" s="20" t="s">
        <v>105</v>
      </c>
      <c r="BX2" s="20" t="s">
        <v>106</v>
      </c>
      <c r="BY2" s="20" t="s">
        <v>107</v>
      </c>
      <c r="BZ2" s="20" t="s">
        <v>108</v>
      </c>
      <c r="CA2" s="20" t="s">
        <v>109</v>
      </c>
      <c r="CB2" s="20" t="s">
        <v>110</v>
      </c>
      <c r="CC2" s="20" t="s">
        <v>111</v>
      </c>
      <c r="CD2" s="20" t="s">
        <v>112</v>
      </c>
      <c r="CE2" s="20" t="s">
        <v>113</v>
      </c>
      <c r="CF2" s="20" t="s">
        <v>114</v>
      </c>
      <c r="CG2" s="20" t="s">
        <v>115</v>
      </c>
      <c r="CH2" s="20" t="s">
        <v>116</v>
      </c>
      <c r="CI2" s="20" t="s">
        <v>117</v>
      </c>
      <c r="CJ2" s="20" t="s">
        <v>118</v>
      </c>
      <c r="CK2" s="20" t="s">
        <v>119</v>
      </c>
      <c r="CL2" s="20" t="s">
        <v>120</v>
      </c>
      <c r="CM2" s="20" t="s">
        <v>121</v>
      </c>
      <c r="CN2" s="20" t="s">
        <v>122</v>
      </c>
      <c r="CO2" s="20" t="s">
        <v>123</v>
      </c>
      <c r="CP2" s="20" t="s">
        <v>124</v>
      </c>
      <c r="CQ2" s="20" t="s">
        <v>125</v>
      </c>
      <c r="CR2" s="20" t="s">
        <v>126</v>
      </c>
      <c r="CS2" s="20" t="s">
        <v>127</v>
      </c>
      <c r="CT2" s="20" t="s">
        <v>53</v>
      </c>
      <c r="CU2" s="20" t="s">
        <v>54</v>
      </c>
      <c r="CV2" s="20" t="s">
        <v>55</v>
      </c>
      <c r="CW2" s="20" t="s">
        <v>12</v>
      </c>
      <c r="CX2" s="20" t="s">
        <v>129</v>
      </c>
      <c r="CY2" s="20" t="s">
        <v>4</v>
      </c>
      <c r="CZ2" s="20" t="s">
        <v>130</v>
      </c>
      <c r="DA2" s="20" t="s">
        <v>131</v>
      </c>
      <c r="DB2" s="20" t="s">
        <v>132</v>
      </c>
      <c r="DC2" s="20" t="s">
        <v>133</v>
      </c>
      <c r="DD2" s="20" t="s">
        <v>134</v>
      </c>
      <c r="DE2" s="20" t="s">
        <v>135</v>
      </c>
      <c r="DF2" s="20" t="s">
        <v>136</v>
      </c>
      <c r="DG2" s="20" t="s">
        <v>23</v>
      </c>
      <c r="DH2" s="20" t="s">
        <v>137</v>
      </c>
      <c r="DI2" s="20" t="s">
        <v>138</v>
      </c>
      <c r="DJ2" s="20" t="s">
        <v>139</v>
      </c>
      <c r="DK2" s="20" t="s">
        <v>140</v>
      </c>
      <c r="DL2" s="20" t="s">
        <v>10</v>
      </c>
      <c r="DM2" s="20" t="s">
        <v>141</v>
      </c>
      <c r="DN2" s="20" t="s">
        <v>11</v>
      </c>
      <c r="DO2" s="20" t="s">
        <v>142</v>
      </c>
      <c r="DP2" s="20" t="s">
        <v>143</v>
      </c>
      <c r="DQ2" s="20" t="s">
        <v>144</v>
      </c>
      <c r="DR2" s="20" t="s">
        <v>9</v>
      </c>
      <c r="DS2" s="20" t="s">
        <v>145</v>
      </c>
      <c r="DT2" s="20" t="s">
        <v>146</v>
      </c>
      <c r="DU2" s="20" t="s">
        <v>147</v>
      </c>
      <c r="DV2" s="20" t="s">
        <v>24</v>
      </c>
      <c r="DW2" s="20" t="s">
        <v>364</v>
      </c>
      <c r="DX2" s="20" t="s">
        <v>365</v>
      </c>
      <c r="DY2" s="20" t="s">
        <v>366</v>
      </c>
      <c r="DZ2" s="20" t="s">
        <v>367</v>
      </c>
      <c r="EA2" s="20" t="s">
        <v>376</v>
      </c>
      <c r="EB2" s="20"/>
      <c r="EC2" s="20"/>
      <c r="ED2" s="20"/>
      <c r="EE2" s="20"/>
      <c r="EF2" s="20"/>
      <c r="EG2" s="20"/>
      <c r="EH2" s="20"/>
      <c r="EI2" s="20"/>
      <c r="EJ2" s="20"/>
      <c r="EK2" s="20"/>
      <c r="EL2" s="20"/>
      <c r="EM2" s="20"/>
      <c r="EN2" s="20"/>
      <c r="EO2" s="20"/>
      <c r="EP2" s="20"/>
      <c r="EQ2" s="20"/>
      <c r="ER2" s="20"/>
      <c r="ES2" s="20"/>
      <c r="ET2" s="20"/>
      <c r="EU2" s="20"/>
      <c r="EV2" s="20"/>
      <c r="EW2" s="20"/>
      <c r="EX2" s="20"/>
      <c r="EY2" s="20"/>
      <c r="EZ2" s="20"/>
      <c r="FA2" s="20"/>
      <c r="FB2" s="20"/>
      <c r="FC2" s="20"/>
      <c r="FD2" s="20"/>
      <c r="FE2" s="20"/>
      <c r="FF2" s="20"/>
      <c r="FG2" s="20"/>
      <c r="FH2" s="20"/>
      <c r="FI2" s="20"/>
      <c r="FJ2" s="20"/>
      <c r="FK2" s="20"/>
      <c r="FL2" s="20"/>
      <c r="FM2" s="20"/>
      <c r="FN2" s="20"/>
      <c r="FO2" s="20"/>
      <c r="FP2" s="20"/>
      <c r="FQ2" s="20"/>
      <c r="FR2" s="20"/>
      <c r="FS2" s="20"/>
      <c r="FT2" s="20"/>
      <c r="FU2" s="20"/>
      <c r="FV2" s="20"/>
      <c r="FW2" s="20"/>
      <c r="FX2" s="20"/>
      <c r="FY2" s="20"/>
      <c r="FZ2" s="20"/>
      <c r="GA2" s="20"/>
      <c r="GB2" s="20"/>
      <c r="GC2" s="20"/>
      <c r="GD2" s="20"/>
      <c r="GE2" s="20"/>
      <c r="GF2" s="20"/>
      <c r="GG2" s="20"/>
      <c r="GH2" s="20"/>
      <c r="GI2" s="20"/>
      <c r="GJ2" s="20"/>
      <c r="GK2" s="20"/>
      <c r="GL2" s="20"/>
      <c r="GM2" s="20"/>
      <c r="GN2" s="20"/>
      <c r="GO2" s="20"/>
      <c r="GP2" s="20"/>
      <c r="GQ2" s="20"/>
      <c r="GR2" s="20"/>
      <c r="GS2" s="20"/>
      <c r="GT2" s="20"/>
      <c r="GU2" s="20"/>
      <c r="GV2" s="20"/>
      <c r="GW2" s="20"/>
      <c r="GX2" s="20"/>
      <c r="GY2" s="20"/>
      <c r="GZ2" s="20"/>
      <c r="HA2" s="20"/>
      <c r="HB2" s="20"/>
      <c r="HC2" s="20"/>
      <c r="HD2" s="20"/>
      <c r="HE2" s="20"/>
      <c r="HF2" s="20"/>
      <c r="HG2" s="20"/>
      <c r="HH2" s="20"/>
      <c r="HI2" s="20"/>
      <c r="HJ2" s="20"/>
      <c r="HK2" s="20"/>
      <c r="HL2" s="20"/>
      <c r="HM2" s="20"/>
      <c r="HN2" s="20"/>
      <c r="HO2" s="20"/>
      <c r="HP2" s="20"/>
      <c r="HQ2" s="20"/>
      <c r="HR2" s="20"/>
      <c r="HS2" s="20"/>
      <c r="HT2" s="20"/>
      <c r="HU2" s="20"/>
      <c r="HV2" s="20"/>
      <c r="HW2" s="20"/>
      <c r="HX2" s="20"/>
      <c r="HY2" s="20"/>
      <c r="HZ2" s="20"/>
      <c r="IA2" s="20"/>
      <c r="IB2" s="20"/>
      <c r="IC2" s="20"/>
      <c r="ID2" s="20"/>
      <c r="IE2" s="20"/>
      <c r="IF2" s="20"/>
      <c r="IG2" s="20"/>
      <c r="IH2" s="20"/>
      <c r="II2" s="20"/>
      <c r="IJ2" s="20"/>
      <c r="IK2" s="20"/>
      <c r="IL2" s="20"/>
      <c r="IM2" s="20"/>
      <c r="IN2" s="20"/>
      <c r="IO2" s="20"/>
      <c r="IP2" s="20"/>
      <c r="IQ2" s="20"/>
      <c r="IR2" s="20"/>
      <c r="IS2" s="20"/>
      <c r="IT2" s="20"/>
      <c r="IU2" s="20"/>
      <c r="IV2" s="20"/>
      <c r="IW2" s="20"/>
      <c r="IX2" s="20"/>
      <c r="IY2" s="20"/>
      <c r="IZ2" s="20"/>
      <c r="JA2" s="20"/>
      <c r="JB2" s="20"/>
      <c r="JC2" s="20"/>
      <c r="JD2" s="20"/>
      <c r="JE2" s="20"/>
      <c r="JF2" s="20"/>
      <c r="JG2" s="20"/>
      <c r="JH2" s="20"/>
      <c r="JI2" s="20"/>
      <c r="JJ2" s="20"/>
      <c r="JK2" s="20"/>
      <c r="JL2" s="20"/>
      <c r="JM2" s="20"/>
      <c r="JN2" s="20"/>
      <c r="JO2" s="20"/>
      <c r="JP2" s="20"/>
      <c r="JQ2" s="20"/>
      <c r="JR2" s="20"/>
      <c r="JS2" s="20"/>
      <c r="JT2" s="20"/>
      <c r="JU2" s="20"/>
      <c r="JV2" s="20"/>
      <c r="JW2" s="20"/>
      <c r="JX2" s="20"/>
      <c r="JY2" s="20"/>
      <c r="JZ2" s="20"/>
      <c r="KA2" s="20"/>
      <c r="KB2" s="20"/>
      <c r="KC2" s="20"/>
      <c r="KD2" s="20"/>
      <c r="KE2" s="20"/>
      <c r="KF2" s="20"/>
      <c r="KG2" s="20"/>
      <c r="KH2" s="20"/>
      <c r="KI2" s="20"/>
      <c r="KJ2" s="20"/>
      <c r="KK2" s="20"/>
      <c r="KL2" s="20"/>
      <c r="KM2" s="20"/>
      <c r="KN2" s="20"/>
      <c r="KO2" s="20"/>
      <c r="KP2" s="20"/>
      <c r="KQ2" s="20"/>
      <c r="KR2" s="20"/>
      <c r="KS2" s="20"/>
      <c r="KT2" s="20"/>
      <c r="KU2" s="20"/>
      <c r="KV2" s="20"/>
      <c r="KW2" s="20"/>
      <c r="KX2" s="20"/>
      <c r="KY2" s="20"/>
      <c r="KZ2" s="20"/>
    </row>
    <row r="3" spans="1:312" ht="15.5" x14ac:dyDescent="0.35">
      <c r="B3" s="40">
        <f>IFERROR(DATE(LEFT(C3,4),RIGHT(C3,2),1),"-")</f>
        <v>43800</v>
      </c>
      <c r="C3" s="19">
        <v>201912</v>
      </c>
      <c r="D3" s="41">
        <v>5405</v>
      </c>
      <c r="E3" s="41">
        <v>0</v>
      </c>
      <c r="F3" s="41">
        <v>0</v>
      </c>
      <c r="G3" s="41">
        <v>0</v>
      </c>
      <c r="H3" s="41">
        <v>0</v>
      </c>
      <c r="I3" s="41">
        <v>0</v>
      </c>
      <c r="J3" s="41">
        <v>0</v>
      </c>
      <c r="K3" s="41">
        <v>0</v>
      </c>
      <c r="L3" s="41">
        <v>0</v>
      </c>
      <c r="M3" s="41">
        <v>0</v>
      </c>
      <c r="N3" s="41">
        <v>0</v>
      </c>
      <c r="O3" s="41">
        <v>0</v>
      </c>
      <c r="P3" s="41">
        <v>0</v>
      </c>
      <c r="Q3" s="41">
        <v>0</v>
      </c>
      <c r="R3" s="41">
        <v>0</v>
      </c>
      <c r="S3" s="41">
        <v>0</v>
      </c>
      <c r="T3" s="41">
        <v>0</v>
      </c>
      <c r="U3" s="41">
        <v>0</v>
      </c>
      <c r="V3" s="41">
        <v>0</v>
      </c>
      <c r="W3" s="41">
        <v>0</v>
      </c>
      <c r="X3" s="41">
        <v>0</v>
      </c>
      <c r="Y3" s="41">
        <v>0</v>
      </c>
      <c r="Z3" s="41">
        <v>0</v>
      </c>
      <c r="AA3" s="41">
        <v>0</v>
      </c>
      <c r="AB3" s="41">
        <v>0</v>
      </c>
      <c r="AC3" s="41">
        <v>0</v>
      </c>
      <c r="AD3" s="41">
        <v>0</v>
      </c>
      <c r="AE3" s="41">
        <v>0</v>
      </c>
      <c r="AF3" s="41">
        <v>0</v>
      </c>
      <c r="AG3" s="41">
        <v>0</v>
      </c>
      <c r="AH3" s="41">
        <v>0</v>
      </c>
      <c r="AI3" s="41">
        <v>0</v>
      </c>
      <c r="AJ3" s="41">
        <v>0</v>
      </c>
      <c r="AK3" s="41">
        <v>0</v>
      </c>
      <c r="AL3" s="41">
        <v>0</v>
      </c>
      <c r="AM3" s="41">
        <v>0</v>
      </c>
      <c r="AN3" s="41">
        <v>0</v>
      </c>
      <c r="AO3" s="41">
        <v>0</v>
      </c>
      <c r="AP3" s="41">
        <v>0</v>
      </c>
      <c r="AQ3" s="41">
        <v>0</v>
      </c>
      <c r="AR3" s="41">
        <v>0</v>
      </c>
      <c r="AS3" s="41">
        <v>0</v>
      </c>
      <c r="AT3" s="41">
        <v>0</v>
      </c>
      <c r="AU3" s="41">
        <v>0</v>
      </c>
      <c r="AV3" s="41">
        <v>0</v>
      </c>
      <c r="AW3" s="41">
        <v>0</v>
      </c>
      <c r="AX3" s="41">
        <v>0</v>
      </c>
      <c r="AY3" s="41">
        <v>0</v>
      </c>
      <c r="AZ3" s="41">
        <v>0</v>
      </c>
      <c r="BA3" s="41">
        <v>0</v>
      </c>
      <c r="BB3" s="41">
        <v>0</v>
      </c>
      <c r="BC3" s="41">
        <v>0</v>
      </c>
      <c r="BD3" s="41">
        <v>0</v>
      </c>
      <c r="BE3" s="41">
        <v>0</v>
      </c>
      <c r="BF3" s="41">
        <v>0</v>
      </c>
      <c r="BG3" s="41">
        <v>0</v>
      </c>
      <c r="BH3" s="41">
        <v>0</v>
      </c>
      <c r="BI3" s="41">
        <v>0</v>
      </c>
      <c r="BJ3" s="41">
        <v>0</v>
      </c>
      <c r="BK3" s="41">
        <v>0</v>
      </c>
      <c r="BL3" s="41">
        <v>0</v>
      </c>
      <c r="BM3" s="41">
        <v>0</v>
      </c>
      <c r="BN3" s="41">
        <v>0</v>
      </c>
      <c r="BO3" s="41">
        <v>0</v>
      </c>
      <c r="BP3" s="41">
        <v>0</v>
      </c>
      <c r="BQ3" s="41">
        <v>0</v>
      </c>
      <c r="BR3" s="41">
        <v>0</v>
      </c>
      <c r="BS3" s="41">
        <v>0</v>
      </c>
      <c r="BT3" s="41">
        <v>0</v>
      </c>
      <c r="BU3" s="41">
        <v>0</v>
      </c>
      <c r="BV3" s="41">
        <v>0</v>
      </c>
      <c r="BW3" s="41">
        <v>0</v>
      </c>
      <c r="BX3" s="41">
        <v>0</v>
      </c>
      <c r="BY3" s="41">
        <v>0</v>
      </c>
      <c r="BZ3" s="41">
        <v>0</v>
      </c>
      <c r="CA3" s="41">
        <v>0</v>
      </c>
      <c r="CB3" s="41">
        <v>0</v>
      </c>
      <c r="CC3" s="41">
        <v>0</v>
      </c>
      <c r="CD3" s="41">
        <v>0</v>
      </c>
      <c r="CE3" s="41">
        <v>0</v>
      </c>
      <c r="CF3" s="41">
        <v>0</v>
      </c>
      <c r="CG3" s="41">
        <v>0</v>
      </c>
      <c r="CH3" s="41">
        <v>0</v>
      </c>
      <c r="CI3" s="41">
        <v>0</v>
      </c>
      <c r="CJ3" s="41">
        <v>0</v>
      </c>
      <c r="CK3" s="41">
        <v>0</v>
      </c>
      <c r="CL3" s="41">
        <v>0</v>
      </c>
      <c r="CM3" s="41">
        <v>0</v>
      </c>
      <c r="CN3" s="41">
        <v>0</v>
      </c>
      <c r="CO3" s="41">
        <v>0</v>
      </c>
      <c r="CP3" s="41">
        <v>0</v>
      </c>
      <c r="CQ3" s="41">
        <v>0</v>
      </c>
      <c r="CR3" s="41">
        <v>0</v>
      </c>
      <c r="CS3" s="41">
        <v>0</v>
      </c>
      <c r="CT3" s="41">
        <v>0</v>
      </c>
      <c r="CU3" s="41">
        <v>0</v>
      </c>
      <c r="CV3" s="41">
        <v>0</v>
      </c>
      <c r="CW3" s="41">
        <v>0</v>
      </c>
      <c r="CX3" s="41">
        <v>43855662</v>
      </c>
      <c r="CY3" s="41">
        <v>43855662</v>
      </c>
      <c r="CZ3" s="41">
        <v>65872</v>
      </c>
      <c r="DA3" s="41">
        <v>0</v>
      </c>
      <c r="DB3" s="41">
        <v>25234154</v>
      </c>
      <c r="DC3" s="41">
        <v>0</v>
      </c>
      <c r="DD3" s="41">
        <v>65872</v>
      </c>
      <c r="DE3" s="41">
        <v>25234154</v>
      </c>
      <c r="DF3" s="41">
        <v>65872</v>
      </c>
      <c r="DG3" s="41">
        <v>25234154</v>
      </c>
      <c r="DH3" s="41">
        <v>65872</v>
      </c>
      <c r="DI3" s="41">
        <v>0</v>
      </c>
      <c r="DJ3" s="41">
        <v>25234154</v>
      </c>
      <c r="DK3" s="41">
        <v>0</v>
      </c>
      <c r="DL3" s="41">
        <v>766</v>
      </c>
      <c r="DM3" s="41">
        <v>17820983</v>
      </c>
      <c r="DN3" s="41">
        <v>17820983</v>
      </c>
      <c r="DO3" s="41">
        <v>43920</v>
      </c>
      <c r="DP3" s="41">
        <v>47598</v>
      </c>
      <c r="DQ3" s="41">
        <v>91518</v>
      </c>
      <c r="DR3" s="41">
        <v>91518</v>
      </c>
      <c r="DS3" s="41">
        <v>43920</v>
      </c>
      <c r="DT3" s="41">
        <v>47598</v>
      </c>
      <c r="DU3" s="41">
        <v>0</v>
      </c>
      <c r="DV3" s="41">
        <v>0</v>
      </c>
      <c r="DW3" s="41">
        <v>0</v>
      </c>
      <c r="DX3" s="41">
        <v>0</v>
      </c>
      <c r="DY3" s="41">
        <v>0</v>
      </c>
      <c r="DZ3" s="41">
        <v>0</v>
      </c>
      <c r="EA3" s="41">
        <v>0</v>
      </c>
      <c r="EB3" s="41"/>
      <c r="EC3" s="41"/>
      <c r="ED3" s="41"/>
      <c r="EE3" s="41"/>
      <c r="EF3" s="41"/>
      <c r="EG3" s="41"/>
      <c r="EH3" s="41"/>
      <c r="EI3" s="41"/>
      <c r="EJ3" s="41"/>
      <c r="EK3" s="41"/>
      <c r="EL3" s="41"/>
      <c r="EM3" s="41"/>
      <c r="EN3" s="41"/>
      <c r="EO3" s="41"/>
      <c r="EP3" s="41"/>
      <c r="EQ3" s="41"/>
      <c r="ER3" s="41"/>
      <c r="ES3" s="41"/>
      <c r="ET3" s="41"/>
      <c r="EU3" s="41"/>
      <c r="EV3" s="41"/>
      <c r="EW3" s="41"/>
      <c r="EX3" s="41"/>
      <c r="EY3" s="41"/>
      <c r="EZ3" s="41"/>
      <c r="FA3" s="41"/>
      <c r="FB3" s="41"/>
      <c r="FC3" s="41"/>
      <c r="FD3" s="41"/>
      <c r="FE3" s="41"/>
      <c r="FF3" s="41"/>
      <c r="FG3" s="41"/>
      <c r="FH3" s="41"/>
      <c r="FI3" s="41"/>
      <c r="FJ3" s="41"/>
      <c r="FK3" s="41"/>
      <c r="FL3" s="41"/>
      <c r="FM3" s="41"/>
      <c r="FN3" s="41"/>
      <c r="FO3" s="41"/>
      <c r="FP3" s="41"/>
      <c r="FQ3" s="41"/>
      <c r="FR3" s="41"/>
      <c r="FS3" s="41"/>
      <c r="FT3" s="41"/>
      <c r="FU3" s="41"/>
      <c r="FV3" s="41"/>
      <c r="FW3" s="41"/>
      <c r="FX3" s="41"/>
      <c r="FY3" s="41"/>
      <c r="FZ3" s="41"/>
      <c r="GA3" s="41"/>
      <c r="GB3" s="41"/>
      <c r="GC3" s="41"/>
      <c r="GD3" s="41"/>
      <c r="GE3" s="41"/>
      <c r="GF3" s="41"/>
      <c r="GG3" s="41"/>
      <c r="GH3" s="41"/>
      <c r="GI3" s="41"/>
      <c r="GJ3" s="41"/>
      <c r="GK3" s="41"/>
      <c r="GL3" s="41"/>
      <c r="GM3" s="41"/>
      <c r="GN3" s="41"/>
      <c r="GO3" s="41"/>
      <c r="GP3" s="41"/>
      <c r="GQ3" s="41"/>
      <c r="GR3" s="41"/>
      <c r="GS3" s="41"/>
      <c r="GT3" s="41"/>
      <c r="GU3" s="41"/>
      <c r="GV3" s="41"/>
      <c r="GW3" s="41"/>
      <c r="GX3" s="41"/>
      <c r="GY3" s="41"/>
      <c r="GZ3" s="41"/>
      <c r="HA3" s="41"/>
      <c r="HB3" s="41"/>
      <c r="HC3" s="41"/>
      <c r="HD3" s="41"/>
      <c r="HE3" s="41"/>
      <c r="HF3" s="41"/>
      <c r="HG3" s="41"/>
      <c r="HH3" s="41"/>
      <c r="HI3" s="41"/>
      <c r="HJ3" s="41"/>
      <c r="HK3" s="41"/>
      <c r="HL3" s="41"/>
      <c r="HM3" s="41"/>
      <c r="HN3" s="41"/>
      <c r="HO3" s="41"/>
      <c r="HP3" s="41"/>
      <c r="HQ3" s="41"/>
      <c r="HR3" s="41"/>
      <c r="HS3" s="41"/>
      <c r="HT3" s="41"/>
      <c r="HU3" s="41"/>
      <c r="HV3" s="41"/>
      <c r="HW3" s="41"/>
      <c r="HX3" s="41"/>
      <c r="HY3" s="41"/>
      <c r="HZ3" s="41"/>
      <c r="IA3" s="41"/>
      <c r="IB3" s="41"/>
      <c r="IC3" s="41"/>
      <c r="ID3" s="41"/>
      <c r="IE3" s="41"/>
      <c r="IF3" s="41"/>
      <c r="IG3" s="41"/>
      <c r="IH3" s="41"/>
      <c r="II3" s="41"/>
      <c r="IJ3" s="41"/>
      <c r="IK3" s="41"/>
      <c r="IL3" s="41"/>
      <c r="IM3" s="41"/>
      <c r="IN3" s="41"/>
      <c r="IO3" s="41"/>
      <c r="IP3" s="41"/>
      <c r="IQ3" s="41"/>
      <c r="IR3" s="41"/>
      <c r="IS3" s="41"/>
      <c r="IT3" s="41"/>
      <c r="IU3" s="41"/>
      <c r="IV3" s="41"/>
      <c r="IW3" s="41"/>
      <c r="IX3" s="41"/>
      <c r="IY3" s="41"/>
      <c r="IZ3" s="41"/>
      <c r="JA3" s="41"/>
      <c r="JB3" s="41"/>
      <c r="JC3" s="41"/>
      <c r="JD3" s="41"/>
      <c r="JE3" s="41"/>
      <c r="JF3" s="41"/>
      <c r="JG3" s="41"/>
      <c r="JH3" s="41"/>
      <c r="JI3" s="41"/>
      <c r="JJ3" s="41"/>
      <c r="JK3" s="41"/>
      <c r="JL3" s="41"/>
      <c r="JM3" s="41"/>
      <c r="JN3" s="41"/>
      <c r="JO3" s="41"/>
      <c r="JP3" s="41"/>
      <c r="JQ3" s="41"/>
      <c r="JR3" s="41"/>
      <c r="JS3" s="41"/>
      <c r="JT3" s="41"/>
      <c r="JU3" s="41"/>
      <c r="JV3" s="41"/>
      <c r="JW3" s="41"/>
      <c r="JX3" s="41"/>
      <c r="JY3" s="41"/>
      <c r="JZ3" s="41"/>
      <c r="KA3" s="41"/>
      <c r="KB3" s="41"/>
      <c r="KC3" s="41"/>
      <c r="KD3" s="41"/>
      <c r="KE3" s="41"/>
      <c r="KF3" s="41"/>
      <c r="KG3" s="41"/>
      <c r="KH3" s="41"/>
      <c r="KI3" s="41"/>
      <c r="KJ3" s="41"/>
      <c r="KK3" s="41"/>
      <c r="KL3" s="41"/>
      <c r="KM3" s="41"/>
      <c r="KN3" s="41"/>
      <c r="KO3" s="41"/>
      <c r="KP3" s="41"/>
      <c r="KQ3" s="41"/>
      <c r="KR3" s="41"/>
      <c r="KS3" s="41"/>
      <c r="KT3" s="41"/>
      <c r="KU3" s="41"/>
      <c r="KV3" s="41"/>
      <c r="KW3" s="41"/>
      <c r="KX3" s="41"/>
      <c r="KY3" s="41"/>
      <c r="KZ3" s="41"/>
    </row>
    <row r="4" spans="1:312" ht="15.5" x14ac:dyDescent="0.35">
      <c r="B4" s="40">
        <f t="shared" ref="B4:B42" si="0">IFERROR(DATE(LEFT(C4,4),RIGHT(C4,2),1),"-")</f>
        <v>43831</v>
      </c>
      <c r="C4" s="19">
        <v>202001</v>
      </c>
      <c r="D4" s="41">
        <v>6518</v>
      </c>
      <c r="E4" s="41">
        <v>0</v>
      </c>
      <c r="F4" s="41">
        <v>0</v>
      </c>
      <c r="G4" s="41">
        <v>0</v>
      </c>
      <c r="H4" s="41">
        <v>0</v>
      </c>
      <c r="I4" s="41">
        <v>0</v>
      </c>
      <c r="J4" s="41">
        <v>0</v>
      </c>
      <c r="K4" s="41">
        <v>0</v>
      </c>
      <c r="L4" s="41">
        <v>0</v>
      </c>
      <c r="M4" s="41">
        <v>0</v>
      </c>
      <c r="N4" s="41">
        <v>0</v>
      </c>
      <c r="O4" s="41">
        <v>0</v>
      </c>
      <c r="P4" s="41">
        <v>0</v>
      </c>
      <c r="Q4" s="41">
        <v>0</v>
      </c>
      <c r="R4" s="41">
        <v>0</v>
      </c>
      <c r="S4" s="41">
        <v>0</v>
      </c>
      <c r="T4" s="41">
        <v>0</v>
      </c>
      <c r="U4" s="41">
        <v>0</v>
      </c>
      <c r="V4" s="41">
        <v>0</v>
      </c>
      <c r="W4" s="41">
        <v>0</v>
      </c>
      <c r="X4" s="41">
        <v>0</v>
      </c>
      <c r="Y4" s="41">
        <v>0</v>
      </c>
      <c r="Z4" s="41">
        <v>0</v>
      </c>
      <c r="AA4" s="41">
        <v>0</v>
      </c>
      <c r="AB4" s="41">
        <v>0</v>
      </c>
      <c r="AC4" s="41">
        <v>0</v>
      </c>
      <c r="AD4" s="41">
        <v>0</v>
      </c>
      <c r="AE4" s="41">
        <v>0</v>
      </c>
      <c r="AF4" s="41">
        <v>0</v>
      </c>
      <c r="AG4" s="41">
        <v>0</v>
      </c>
      <c r="AH4" s="41">
        <v>0</v>
      </c>
      <c r="AI4" s="41">
        <v>0</v>
      </c>
      <c r="AJ4" s="41">
        <v>0</v>
      </c>
      <c r="AK4" s="41">
        <v>0</v>
      </c>
      <c r="AL4" s="41">
        <v>0</v>
      </c>
      <c r="AM4" s="41">
        <v>0</v>
      </c>
      <c r="AN4" s="41">
        <v>0</v>
      </c>
      <c r="AO4" s="41">
        <v>0</v>
      </c>
      <c r="AP4" s="41">
        <v>0</v>
      </c>
      <c r="AQ4" s="41">
        <v>0</v>
      </c>
      <c r="AR4" s="41">
        <v>0</v>
      </c>
      <c r="AS4" s="41">
        <v>0</v>
      </c>
      <c r="AT4" s="41">
        <v>0</v>
      </c>
      <c r="AU4" s="41">
        <v>0</v>
      </c>
      <c r="AV4" s="41">
        <v>0</v>
      </c>
      <c r="AW4" s="41">
        <v>0</v>
      </c>
      <c r="AX4" s="41">
        <v>0</v>
      </c>
      <c r="AY4" s="41">
        <v>0</v>
      </c>
      <c r="AZ4" s="41">
        <v>0</v>
      </c>
      <c r="BA4" s="41">
        <v>0</v>
      </c>
      <c r="BB4" s="41">
        <v>0</v>
      </c>
      <c r="BC4" s="41">
        <v>0</v>
      </c>
      <c r="BD4" s="41">
        <v>0</v>
      </c>
      <c r="BE4" s="41">
        <v>0</v>
      </c>
      <c r="BF4" s="41">
        <v>0</v>
      </c>
      <c r="BG4" s="41">
        <v>0</v>
      </c>
      <c r="BH4" s="41">
        <v>0</v>
      </c>
      <c r="BI4" s="41">
        <v>0</v>
      </c>
      <c r="BJ4" s="41">
        <v>0</v>
      </c>
      <c r="BK4" s="41">
        <v>0</v>
      </c>
      <c r="BL4" s="41">
        <v>0</v>
      </c>
      <c r="BM4" s="41">
        <v>0</v>
      </c>
      <c r="BN4" s="41">
        <v>0</v>
      </c>
      <c r="BO4" s="41">
        <v>0</v>
      </c>
      <c r="BP4" s="41">
        <v>0</v>
      </c>
      <c r="BQ4" s="41">
        <v>0</v>
      </c>
      <c r="BR4" s="41">
        <v>0</v>
      </c>
      <c r="BS4" s="41">
        <v>0</v>
      </c>
      <c r="BT4" s="41">
        <v>0</v>
      </c>
      <c r="BU4" s="41">
        <v>0</v>
      </c>
      <c r="BV4" s="41">
        <v>0</v>
      </c>
      <c r="BW4" s="41">
        <v>0</v>
      </c>
      <c r="BX4" s="41">
        <v>0</v>
      </c>
      <c r="BY4" s="41">
        <v>0</v>
      </c>
      <c r="BZ4" s="41">
        <v>0</v>
      </c>
      <c r="CA4" s="41">
        <v>0</v>
      </c>
      <c r="CB4" s="41">
        <v>0</v>
      </c>
      <c r="CC4" s="41">
        <v>0</v>
      </c>
      <c r="CD4" s="41">
        <v>0</v>
      </c>
      <c r="CE4" s="41">
        <v>0</v>
      </c>
      <c r="CF4" s="41">
        <v>0</v>
      </c>
      <c r="CG4" s="41">
        <v>0</v>
      </c>
      <c r="CH4" s="41">
        <v>0</v>
      </c>
      <c r="CI4" s="41">
        <v>0</v>
      </c>
      <c r="CJ4" s="41">
        <v>0</v>
      </c>
      <c r="CK4" s="41">
        <v>0</v>
      </c>
      <c r="CL4" s="41">
        <v>0</v>
      </c>
      <c r="CM4" s="41">
        <v>0</v>
      </c>
      <c r="CN4" s="41">
        <v>0</v>
      </c>
      <c r="CO4" s="41">
        <v>0</v>
      </c>
      <c r="CP4" s="41">
        <v>0</v>
      </c>
      <c r="CQ4" s="41">
        <v>0</v>
      </c>
      <c r="CR4" s="41">
        <v>0</v>
      </c>
      <c r="CS4" s="41">
        <v>0</v>
      </c>
      <c r="CT4" s="41">
        <v>0</v>
      </c>
      <c r="CU4" s="41">
        <v>0</v>
      </c>
      <c r="CV4" s="41">
        <v>0</v>
      </c>
      <c r="CW4" s="41">
        <v>0</v>
      </c>
      <c r="CX4" s="41">
        <v>83298</v>
      </c>
      <c r="CY4" s="41">
        <v>83298</v>
      </c>
      <c r="CZ4" s="41">
        <v>78700</v>
      </c>
      <c r="DA4" s="41">
        <v>0</v>
      </c>
      <c r="DB4" s="41">
        <v>22577904</v>
      </c>
      <c r="DC4" s="41">
        <v>0</v>
      </c>
      <c r="DD4" s="41">
        <v>78700</v>
      </c>
      <c r="DE4" s="41">
        <v>22577904</v>
      </c>
      <c r="DF4" s="41">
        <v>78700</v>
      </c>
      <c r="DG4" s="41">
        <v>22577904</v>
      </c>
      <c r="DH4" s="41">
        <v>78700</v>
      </c>
      <c r="DI4" s="41">
        <v>0</v>
      </c>
      <c r="DJ4" s="41">
        <v>22577904</v>
      </c>
      <c r="DK4" s="41">
        <v>0</v>
      </c>
      <c r="DL4" s="41">
        <v>986</v>
      </c>
      <c r="DM4" s="41">
        <v>78918</v>
      </c>
      <c r="DN4" s="41">
        <v>78918</v>
      </c>
      <c r="DO4" s="41">
        <v>56000</v>
      </c>
      <c r="DP4" s="41">
        <v>37871</v>
      </c>
      <c r="DQ4" s="41">
        <v>93871</v>
      </c>
      <c r="DR4" s="41">
        <v>93871</v>
      </c>
      <c r="DS4" s="41">
        <v>56000</v>
      </c>
      <c r="DT4" s="41">
        <v>37871</v>
      </c>
      <c r="DU4" s="41">
        <v>0</v>
      </c>
      <c r="DV4" s="41">
        <v>0</v>
      </c>
      <c r="DW4" s="41">
        <v>0</v>
      </c>
      <c r="DX4" s="41">
        <v>0</v>
      </c>
      <c r="DY4" s="41">
        <v>0</v>
      </c>
      <c r="DZ4" s="41">
        <v>0</v>
      </c>
      <c r="EA4" s="41">
        <v>0</v>
      </c>
      <c r="EB4" s="41"/>
      <c r="EC4" s="41"/>
      <c r="ED4" s="41"/>
      <c r="EE4" s="41"/>
      <c r="EF4" s="41"/>
      <c r="EG4" s="41"/>
      <c r="EH4" s="41"/>
      <c r="EI4" s="41"/>
      <c r="EJ4" s="41"/>
      <c r="EK4" s="41"/>
      <c r="EL4" s="41"/>
      <c r="EM4" s="41"/>
      <c r="EN4" s="41"/>
      <c r="EO4" s="41"/>
      <c r="EP4" s="41"/>
      <c r="EQ4" s="41"/>
      <c r="ER4" s="41"/>
      <c r="ES4" s="41"/>
      <c r="ET4" s="41"/>
      <c r="EU4" s="41"/>
      <c r="EV4" s="41"/>
      <c r="EW4" s="41"/>
      <c r="EX4" s="41"/>
      <c r="EY4" s="41"/>
      <c r="EZ4" s="41"/>
      <c r="FA4" s="41"/>
      <c r="FB4" s="41"/>
      <c r="FC4" s="41"/>
      <c r="FD4" s="41"/>
      <c r="FE4" s="41"/>
      <c r="FF4" s="41"/>
      <c r="FG4" s="41"/>
      <c r="FH4" s="41"/>
      <c r="FI4" s="41"/>
      <c r="FJ4" s="41"/>
      <c r="FK4" s="41"/>
      <c r="FL4" s="41"/>
      <c r="FM4" s="41"/>
      <c r="FN4" s="41"/>
      <c r="FO4" s="41"/>
      <c r="FP4" s="41"/>
      <c r="FQ4" s="41"/>
      <c r="FR4" s="41"/>
      <c r="FS4" s="41"/>
      <c r="FT4" s="41"/>
      <c r="FU4" s="41"/>
      <c r="FV4" s="41"/>
      <c r="FW4" s="41"/>
      <c r="FX4" s="41"/>
      <c r="FY4" s="41"/>
      <c r="FZ4" s="41"/>
      <c r="GA4" s="41"/>
      <c r="GB4" s="41"/>
      <c r="GC4" s="41"/>
      <c r="GD4" s="41"/>
      <c r="GE4" s="41"/>
      <c r="GF4" s="41"/>
      <c r="GG4" s="41"/>
      <c r="GH4" s="41"/>
      <c r="GI4" s="41"/>
      <c r="GJ4" s="41"/>
      <c r="GK4" s="41"/>
      <c r="GL4" s="41"/>
      <c r="GM4" s="41"/>
      <c r="GN4" s="41"/>
      <c r="GO4" s="41"/>
      <c r="GP4" s="41"/>
      <c r="GQ4" s="41"/>
      <c r="GR4" s="41"/>
      <c r="GS4" s="41"/>
      <c r="GT4" s="41"/>
      <c r="GU4" s="41"/>
      <c r="GV4" s="41"/>
      <c r="GW4" s="41"/>
      <c r="GX4" s="41"/>
      <c r="GY4" s="41"/>
      <c r="GZ4" s="41"/>
      <c r="HA4" s="41"/>
      <c r="HB4" s="41"/>
      <c r="HC4" s="41"/>
      <c r="HD4" s="41"/>
      <c r="HE4" s="41"/>
      <c r="HF4" s="41"/>
      <c r="HG4" s="41"/>
      <c r="HH4" s="41"/>
      <c r="HI4" s="41"/>
      <c r="HJ4" s="41"/>
      <c r="HK4" s="41"/>
      <c r="HL4" s="41"/>
      <c r="HM4" s="41"/>
      <c r="HN4" s="41"/>
      <c r="HO4" s="41"/>
      <c r="HP4" s="41"/>
      <c r="HQ4" s="41"/>
      <c r="HR4" s="41"/>
      <c r="HS4" s="41"/>
      <c r="HT4" s="41"/>
      <c r="HU4" s="41"/>
      <c r="HV4" s="41"/>
      <c r="HW4" s="41"/>
      <c r="HX4" s="41"/>
      <c r="HY4" s="41"/>
      <c r="HZ4" s="41"/>
      <c r="IA4" s="41"/>
      <c r="IB4" s="41"/>
      <c r="IC4" s="41"/>
      <c r="ID4" s="41"/>
      <c r="IE4" s="41"/>
      <c r="IF4" s="41"/>
      <c r="IG4" s="41"/>
      <c r="IH4" s="41"/>
      <c r="II4" s="41"/>
      <c r="IJ4" s="41"/>
      <c r="IK4" s="41"/>
      <c r="IL4" s="41"/>
      <c r="IM4" s="41"/>
      <c r="IN4" s="41"/>
      <c r="IO4" s="41"/>
      <c r="IP4" s="41"/>
      <c r="IQ4" s="41"/>
      <c r="IR4" s="41"/>
      <c r="IS4" s="41"/>
      <c r="IT4" s="41"/>
      <c r="IU4" s="41"/>
      <c r="IV4" s="41"/>
      <c r="IW4" s="41"/>
      <c r="IX4" s="41"/>
      <c r="IY4" s="41"/>
      <c r="IZ4" s="41"/>
      <c r="JA4" s="41"/>
      <c r="JB4" s="41"/>
      <c r="JC4" s="41"/>
      <c r="JD4" s="41"/>
      <c r="JE4" s="41"/>
      <c r="JF4" s="41"/>
      <c r="JG4" s="41"/>
      <c r="JH4" s="41"/>
      <c r="JI4" s="41"/>
      <c r="JJ4" s="41"/>
      <c r="JK4" s="41"/>
      <c r="JL4" s="41"/>
      <c r="JM4" s="41"/>
      <c r="JN4" s="41"/>
      <c r="JO4" s="41"/>
      <c r="JP4" s="41"/>
      <c r="JQ4" s="41"/>
      <c r="JR4" s="41"/>
      <c r="JS4" s="41"/>
      <c r="JT4" s="41"/>
      <c r="JU4" s="41"/>
      <c r="JV4" s="41"/>
      <c r="JW4" s="41"/>
      <c r="JX4" s="41"/>
      <c r="JY4" s="41"/>
      <c r="JZ4" s="41"/>
      <c r="KA4" s="41"/>
      <c r="KB4" s="41"/>
      <c r="KC4" s="41"/>
      <c r="KD4" s="41"/>
      <c r="KE4" s="41"/>
      <c r="KF4" s="41"/>
      <c r="KG4" s="41"/>
      <c r="KH4" s="41"/>
      <c r="KI4" s="41"/>
      <c r="KJ4" s="41"/>
      <c r="KK4" s="41"/>
      <c r="KL4" s="41"/>
      <c r="KM4" s="41"/>
      <c r="KN4" s="41"/>
      <c r="KO4" s="41"/>
      <c r="KP4" s="41"/>
      <c r="KQ4" s="41"/>
      <c r="KR4" s="41"/>
      <c r="KS4" s="41"/>
      <c r="KT4" s="41"/>
      <c r="KU4" s="41"/>
      <c r="KV4" s="41"/>
      <c r="KW4" s="41"/>
      <c r="KX4" s="41"/>
      <c r="KY4" s="41"/>
      <c r="KZ4" s="41"/>
    </row>
    <row r="5" spans="1:312" ht="15.5" x14ac:dyDescent="0.35">
      <c r="B5" s="40">
        <f t="shared" si="0"/>
        <v>43862</v>
      </c>
      <c r="C5" s="19">
        <v>202002</v>
      </c>
      <c r="D5" s="41">
        <v>5356</v>
      </c>
      <c r="E5" s="41">
        <v>0</v>
      </c>
      <c r="F5" s="41">
        <v>0</v>
      </c>
      <c r="G5" s="41">
        <v>0</v>
      </c>
      <c r="H5" s="41">
        <v>0</v>
      </c>
      <c r="I5" s="41">
        <v>0</v>
      </c>
      <c r="J5" s="41">
        <v>0</v>
      </c>
      <c r="K5" s="41">
        <v>0</v>
      </c>
      <c r="L5" s="41">
        <v>0</v>
      </c>
      <c r="M5" s="41">
        <v>0</v>
      </c>
      <c r="N5" s="41">
        <v>0</v>
      </c>
      <c r="O5" s="41">
        <v>0</v>
      </c>
      <c r="P5" s="41">
        <v>0</v>
      </c>
      <c r="Q5" s="41">
        <v>0</v>
      </c>
      <c r="R5" s="41">
        <v>70</v>
      </c>
      <c r="S5" s="41">
        <v>0</v>
      </c>
      <c r="T5" s="41">
        <v>0</v>
      </c>
      <c r="U5" s="41">
        <v>2596</v>
      </c>
      <c r="V5" s="41">
        <v>0</v>
      </c>
      <c r="W5" s="41">
        <v>0</v>
      </c>
      <c r="X5" s="41">
        <v>0</v>
      </c>
      <c r="Y5" s="41">
        <v>0</v>
      </c>
      <c r="Z5" s="41">
        <v>11132</v>
      </c>
      <c r="AA5" s="41">
        <v>0</v>
      </c>
      <c r="AB5" s="41">
        <v>0</v>
      </c>
      <c r="AC5" s="41">
        <v>178709</v>
      </c>
      <c r="AD5" s="41">
        <v>0</v>
      </c>
      <c r="AE5" s="41">
        <v>0</v>
      </c>
      <c r="AF5" s="41">
        <v>0</v>
      </c>
      <c r="AG5" s="41">
        <v>0</v>
      </c>
      <c r="AH5" s="41">
        <v>2121</v>
      </c>
      <c r="AI5" s="41">
        <v>0</v>
      </c>
      <c r="AJ5" s="41">
        <v>0</v>
      </c>
      <c r="AK5" s="41">
        <v>9748</v>
      </c>
      <c r="AL5" s="41">
        <v>0</v>
      </c>
      <c r="AM5" s="41">
        <v>0</v>
      </c>
      <c r="AN5" s="41">
        <v>0</v>
      </c>
      <c r="AO5" s="41">
        <v>2596</v>
      </c>
      <c r="AP5" s="41">
        <v>70</v>
      </c>
      <c r="AQ5" s="41">
        <v>0</v>
      </c>
      <c r="AR5" s="41">
        <v>0</v>
      </c>
      <c r="AS5" s="41">
        <v>0</v>
      </c>
      <c r="AT5" s="41">
        <v>178709</v>
      </c>
      <c r="AU5" s="41">
        <v>11132</v>
      </c>
      <c r="AV5" s="41">
        <v>0</v>
      </c>
      <c r="AW5" s="41">
        <v>0</v>
      </c>
      <c r="AX5" s="41">
        <v>0</v>
      </c>
      <c r="AY5" s="41">
        <v>9748</v>
      </c>
      <c r="AZ5" s="41">
        <v>2121</v>
      </c>
      <c r="BA5" s="41">
        <v>0</v>
      </c>
      <c r="BB5" s="41">
        <v>0</v>
      </c>
      <c r="BC5" s="41">
        <v>0</v>
      </c>
      <c r="BD5" s="41">
        <v>2596</v>
      </c>
      <c r="BE5" s="41">
        <v>70</v>
      </c>
      <c r="BF5" s="41">
        <v>0</v>
      </c>
      <c r="BG5" s="41">
        <v>0</v>
      </c>
      <c r="BH5" s="41">
        <v>0</v>
      </c>
      <c r="BI5" s="41">
        <v>178709</v>
      </c>
      <c r="BJ5" s="41">
        <v>11132</v>
      </c>
      <c r="BK5" s="41">
        <v>0</v>
      </c>
      <c r="BL5" s="41">
        <v>0</v>
      </c>
      <c r="BM5" s="41">
        <v>0</v>
      </c>
      <c r="BN5" s="41">
        <v>9748</v>
      </c>
      <c r="BO5" s="41">
        <v>2121</v>
      </c>
      <c r="BP5" s="41">
        <v>0</v>
      </c>
      <c r="BQ5" s="41">
        <v>0</v>
      </c>
      <c r="BR5" s="41">
        <v>0</v>
      </c>
      <c r="BS5" s="41">
        <v>0</v>
      </c>
      <c r="BT5" s="41">
        <v>0</v>
      </c>
      <c r="BU5" s="41">
        <v>0</v>
      </c>
      <c r="BV5" s="41">
        <v>0</v>
      </c>
      <c r="BW5" s="41">
        <v>0</v>
      </c>
      <c r="BX5" s="41">
        <v>2596</v>
      </c>
      <c r="BY5" s="41">
        <v>70</v>
      </c>
      <c r="BZ5" s="41">
        <v>0</v>
      </c>
      <c r="CA5" s="41">
        <v>0</v>
      </c>
      <c r="CB5" s="41">
        <v>0</v>
      </c>
      <c r="CC5" s="41">
        <v>0</v>
      </c>
      <c r="CD5" s="41">
        <v>0</v>
      </c>
      <c r="CE5" s="41">
        <v>0</v>
      </c>
      <c r="CF5" s="41">
        <v>0</v>
      </c>
      <c r="CG5" s="41">
        <v>0</v>
      </c>
      <c r="CH5" s="41">
        <v>178709</v>
      </c>
      <c r="CI5" s="41">
        <v>11132</v>
      </c>
      <c r="CJ5" s="41">
        <v>0</v>
      </c>
      <c r="CK5" s="41">
        <v>0</v>
      </c>
      <c r="CL5" s="41">
        <v>0</v>
      </c>
      <c r="CM5" s="41">
        <v>0</v>
      </c>
      <c r="CN5" s="41">
        <v>0</v>
      </c>
      <c r="CO5" s="41">
        <v>0</v>
      </c>
      <c r="CP5" s="41">
        <v>0</v>
      </c>
      <c r="CQ5" s="41">
        <v>0</v>
      </c>
      <c r="CR5" s="41">
        <v>9748</v>
      </c>
      <c r="CS5" s="41">
        <v>2121</v>
      </c>
      <c r="CT5" s="41">
        <v>0</v>
      </c>
      <c r="CU5" s="41">
        <v>0</v>
      </c>
      <c r="CV5" s="41">
        <v>0</v>
      </c>
      <c r="CW5" s="41">
        <v>0</v>
      </c>
      <c r="CX5" s="41">
        <v>66</v>
      </c>
      <c r="CY5" s="41">
        <v>66</v>
      </c>
      <c r="CZ5" s="41">
        <v>83979</v>
      </c>
      <c r="DA5" s="41">
        <v>0</v>
      </c>
      <c r="DB5" s="41">
        <v>25933271</v>
      </c>
      <c r="DC5" s="41">
        <v>0</v>
      </c>
      <c r="DD5" s="41">
        <v>83979</v>
      </c>
      <c r="DE5" s="41">
        <v>25933271</v>
      </c>
      <c r="DF5" s="41">
        <v>83979</v>
      </c>
      <c r="DG5" s="41">
        <v>25933271</v>
      </c>
      <c r="DH5" s="41">
        <v>83979</v>
      </c>
      <c r="DI5" s="41">
        <v>0</v>
      </c>
      <c r="DJ5" s="41">
        <v>25933271</v>
      </c>
      <c r="DK5" s="41">
        <v>0</v>
      </c>
      <c r="DL5" s="41">
        <v>850</v>
      </c>
      <c r="DM5" s="41">
        <v>8</v>
      </c>
      <c r="DN5" s="41">
        <v>8</v>
      </c>
      <c r="DO5" s="41">
        <v>57686</v>
      </c>
      <c r="DP5" s="41">
        <v>34040</v>
      </c>
      <c r="DQ5" s="41">
        <v>91726</v>
      </c>
      <c r="DR5" s="41">
        <v>91726</v>
      </c>
      <c r="DS5" s="41">
        <v>57686</v>
      </c>
      <c r="DT5" s="41">
        <v>34040</v>
      </c>
      <c r="DU5" s="41">
        <v>0</v>
      </c>
      <c r="DV5" s="41">
        <v>0</v>
      </c>
      <c r="DW5" s="41">
        <v>0</v>
      </c>
      <c r="DX5" s="41">
        <v>0</v>
      </c>
      <c r="DY5" s="41">
        <v>0</v>
      </c>
      <c r="DZ5" s="41">
        <v>0</v>
      </c>
      <c r="EA5" s="41">
        <v>0</v>
      </c>
      <c r="EB5" s="41"/>
      <c r="EC5" s="41"/>
      <c r="ED5" s="41"/>
      <c r="EE5" s="41"/>
      <c r="EF5" s="41"/>
      <c r="EG5" s="41"/>
      <c r="EH5" s="41"/>
      <c r="EI5" s="41"/>
      <c r="EJ5" s="41"/>
      <c r="EK5" s="41"/>
      <c r="EL5" s="41"/>
      <c r="EM5" s="41"/>
      <c r="EN5" s="41"/>
      <c r="EO5" s="41"/>
      <c r="EP5" s="41"/>
      <c r="EQ5" s="41"/>
      <c r="ER5" s="41"/>
      <c r="ES5" s="41"/>
      <c r="ET5" s="41"/>
      <c r="EU5" s="41"/>
      <c r="EV5" s="41"/>
      <c r="EW5" s="41"/>
      <c r="EX5" s="41"/>
      <c r="EY5" s="41"/>
      <c r="EZ5" s="41"/>
      <c r="FA5" s="41"/>
      <c r="FB5" s="41"/>
      <c r="FC5" s="41"/>
      <c r="FD5" s="41"/>
      <c r="FE5" s="41"/>
      <c r="FF5" s="41"/>
      <c r="FG5" s="41"/>
      <c r="FH5" s="41"/>
      <c r="FI5" s="41"/>
      <c r="FJ5" s="41"/>
      <c r="FK5" s="41"/>
      <c r="FL5" s="41"/>
      <c r="FM5" s="41"/>
      <c r="FN5" s="41"/>
      <c r="FO5" s="41"/>
      <c r="FP5" s="41"/>
      <c r="FQ5" s="41"/>
      <c r="FR5" s="41"/>
      <c r="FS5" s="41"/>
      <c r="FT5" s="41"/>
      <c r="FU5" s="41"/>
      <c r="FV5" s="41"/>
      <c r="FW5" s="41"/>
      <c r="FX5" s="41"/>
      <c r="FY5" s="41"/>
      <c r="FZ5" s="41"/>
      <c r="GA5" s="41"/>
      <c r="GB5" s="41"/>
      <c r="GC5" s="41"/>
      <c r="GD5" s="41"/>
      <c r="GE5" s="41"/>
      <c r="GF5" s="41"/>
      <c r="GG5" s="41"/>
      <c r="GH5" s="41"/>
      <c r="GI5" s="41"/>
      <c r="GJ5" s="41"/>
      <c r="GK5" s="41"/>
      <c r="GL5" s="41"/>
      <c r="GM5" s="41"/>
      <c r="GN5" s="41"/>
      <c r="GO5" s="41"/>
      <c r="GP5" s="41"/>
      <c r="GQ5" s="41"/>
      <c r="GR5" s="41"/>
      <c r="GS5" s="41"/>
      <c r="GT5" s="41"/>
      <c r="GU5" s="41"/>
      <c r="GV5" s="41"/>
      <c r="GW5" s="41"/>
      <c r="GX5" s="41"/>
      <c r="GY5" s="41"/>
      <c r="GZ5" s="41"/>
      <c r="HA5" s="41"/>
      <c r="HB5" s="41"/>
      <c r="HC5" s="41"/>
      <c r="HD5" s="41"/>
      <c r="HE5" s="41"/>
      <c r="HF5" s="41"/>
      <c r="HG5" s="41"/>
      <c r="HH5" s="41"/>
      <c r="HI5" s="41"/>
      <c r="HJ5" s="41"/>
      <c r="HK5" s="41"/>
      <c r="HL5" s="41"/>
      <c r="HM5" s="41"/>
      <c r="HN5" s="41"/>
      <c r="HO5" s="41"/>
      <c r="HP5" s="41"/>
      <c r="HQ5" s="41"/>
      <c r="HR5" s="41"/>
      <c r="HS5" s="41"/>
      <c r="HT5" s="41"/>
      <c r="HU5" s="41"/>
      <c r="HV5" s="41"/>
      <c r="HW5" s="41"/>
      <c r="HX5" s="41"/>
      <c r="HY5" s="41"/>
      <c r="HZ5" s="41"/>
      <c r="IA5" s="41"/>
      <c r="IB5" s="41"/>
      <c r="IC5" s="41"/>
      <c r="ID5" s="41"/>
      <c r="IE5" s="41"/>
      <c r="IF5" s="41"/>
      <c r="IG5" s="41"/>
      <c r="IH5" s="41"/>
      <c r="II5" s="41"/>
      <c r="IJ5" s="41"/>
      <c r="IK5" s="41"/>
      <c r="IL5" s="41"/>
      <c r="IM5" s="41"/>
      <c r="IN5" s="41"/>
      <c r="IO5" s="41"/>
      <c r="IP5" s="41"/>
      <c r="IQ5" s="41"/>
      <c r="IR5" s="41"/>
      <c r="IS5" s="41"/>
      <c r="IT5" s="41"/>
      <c r="IU5" s="41"/>
      <c r="IV5" s="41"/>
      <c r="IW5" s="41"/>
      <c r="IX5" s="41"/>
      <c r="IY5" s="41"/>
      <c r="IZ5" s="41"/>
      <c r="JA5" s="41"/>
      <c r="JB5" s="41"/>
      <c r="JC5" s="41"/>
      <c r="JD5" s="41"/>
      <c r="JE5" s="41"/>
      <c r="JF5" s="41"/>
      <c r="JG5" s="41"/>
      <c r="JH5" s="41"/>
      <c r="JI5" s="41"/>
      <c r="JJ5" s="41"/>
      <c r="JK5" s="41"/>
      <c r="JL5" s="41"/>
      <c r="JM5" s="41"/>
      <c r="JN5" s="41"/>
      <c r="JO5" s="41"/>
      <c r="JP5" s="41"/>
      <c r="JQ5" s="41"/>
      <c r="JR5" s="41"/>
      <c r="JS5" s="41"/>
      <c r="JT5" s="41"/>
      <c r="JU5" s="41"/>
      <c r="JV5" s="41"/>
      <c r="JW5" s="41"/>
      <c r="JX5" s="41"/>
      <c r="JY5" s="41"/>
      <c r="JZ5" s="41"/>
      <c r="KA5" s="41"/>
      <c r="KB5" s="41"/>
      <c r="KC5" s="41"/>
      <c r="KD5" s="41"/>
      <c r="KE5" s="41"/>
      <c r="KF5" s="41"/>
      <c r="KG5" s="41"/>
      <c r="KH5" s="41"/>
      <c r="KI5" s="41"/>
      <c r="KJ5" s="41"/>
      <c r="KK5" s="41"/>
      <c r="KL5" s="41"/>
      <c r="KM5" s="41"/>
      <c r="KN5" s="41"/>
      <c r="KO5" s="41"/>
      <c r="KP5" s="41"/>
      <c r="KQ5" s="41"/>
      <c r="KR5" s="41"/>
      <c r="KS5" s="41"/>
      <c r="KT5" s="41"/>
      <c r="KU5" s="41"/>
      <c r="KV5" s="41"/>
      <c r="KW5" s="41"/>
      <c r="KX5" s="41"/>
      <c r="KY5" s="41"/>
      <c r="KZ5" s="41"/>
    </row>
    <row r="6" spans="1:312" ht="15.5" x14ac:dyDescent="0.35">
      <c r="B6" s="40">
        <f t="shared" si="0"/>
        <v>43891</v>
      </c>
      <c r="C6" s="19">
        <v>202003</v>
      </c>
      <c r="D6" s="41">
        <v>4587</v>
      </c>
      <c r="E6" s="41">
        <v>0</v>
      </c>
      <c r="F6" s="41">
        <v>0</v>
      </c>
      <c r="G6" s="41">
        <v>0</v>
      </c>
      <c r="H6" s="41">
        <v>0</v>
      </c>
      <c r="I6" s="41">
        <v>0</v>
      </c>
      <c r="J6" s="41">
        <v>0</v>
      </c>
      <c r="K6" s="41">
        <v>0</v>
      </c>
      <c r="L6" s="41">
        <v>0</v>
      </c>
      <c r="M6" s="41">
        <v>0</v>
      </c>
      <c r="N6" s="41">
        <v>0</v>
      </c>
      <c r="O6" s="41">
        <v>0</v>
      </c>
      <c r="P6" s="41">
        <v>0</v>
      </c>
      <c r="Q6" s="41">
        <v>0</v>
      </c>
      <c r="R6" s="41">
        <v>65</v>
      </c>
      <c r="S6" s="41">
        <v>0</v>
      </c>
      <c r="T6" s="41">
        <v>0</v>
      </c>
      <c r="U6" s="41">
        <v>1895</v>
      </c>
      <c r="V6" s="41">
        <v>0</v>
      </c>
      <c r="W6" s="41">
        <v>0</v>
      </c>
      <c r="X6" s="41">
        <v>0</v>
      </c>
      <c r="Y6" s="41">
        <v>0</v>
      </c>
      <c r="Z6" s="41">
        <v>10924</v>
      </c>
      <c r="AA6" s="41">
        <v>0</v>
      </c>
      <c r="AB6" s="41">
        <v>0</v>
      </c>
      <c r="AC6" s="41">
        <v>126315</v>
      </c>
      <c r="AD6" s="41">
        <v>0</v>
      </c>
      <c r="AE6" s="41">
        <v>0</v>
      </c>
      <c r="AF6" s="41">
        <v>0</v>
      </c>
      <c r="AG6" s="41">
        <v>0</v>
      </c>
      <c r="AH6" s="41">
        <v>2285</v>
      </c>
      <c r="AI6" s="41">
        <v>0</v>
      </c>
      <c r="AJ6" s="41">
        <v>0</v>
      </c>
      <c r="AK6" s="41">
        <v>6462</v>
      </c>
      <c r="AL6" s="41">
        <v>0</v>
      </c>
      <c r="AM6" s="41">
        <v>0</v>
      </c>
      <c r="AN6" s="41">
        <v>0</v>
      </c>
      <c r="AO6" s="41">
        <v>1895</v>
      </c>
      <c r="AP6" s="41">
        <v>65</v>
      </c>
      <c r="AQ6" s="41">
        <v>0</v>
      </c>
      <c r="AR6" s="41">
        <v>0</v>
      </c>
      <c r="AS6" s="41">
        <v>0</v>
      </c>
      <c r="AT6" s="41">
        <v>126315</v>
      </c>
      <c r="AU6" s="41">
        <v>10924</v>
      </c>
      <c r="AV6" s="41">
        <v>0</v>
      </c>
      <c r="AW6" s="41">
        <v>0</v>
      </c>
      <c r="AX6" s="41">
        <v>0</v>
      </c>
      <c r="AY6" s="41">
        <v>6462</v>
      </c>
      <c r="AZ6" s="41">
        <v>2285</v>
      </c>
      <c r="BA6" s="41">
        <v>0</v>
      </c>
      <c r="BB6" s="41">
        <v>0</v>
      </c>
      <c r="BC6" s="41">
        <v>0</v>
      </c>
      <c r="BD6" s="41">
        <v>1895</v>
      </c>
      <c r="BE6" s="41">
        <v>65</v>
      </c>
      <c r="BF6" s="41">
        <v>0</v>
      </c>
      <c r="BG6" s="41">
        <v>0</v>
      </c>
      <c r="BH6" s="41">
        <v>0</v>
      </c>
      <c r="BI6" s="41">
        <v>126315</v>
      </c>
      <c r="BJ6" s="41">
        <v>10924</v>
      </c>
      <c r="BK6" s="41">
        <v>0</v>
      </c>
      <c r="BL6" s="41">
        <v>0</v>
      </c>
      <c r="BM6" s="41">
        <v>0</v>
      </c>
      <c r="BN6" s="41">
        <v>6462</v>
      </c>
      <c r="BO6" s="41">
        <v>2285</v>
      </c>
      <c r="BP6" s="41">
        <v>0</v>
      </c>
      <c r="BQ6" s="41">
        <v>0</v>
      </c>
      <c r="BR6" s="41">
        <v>0</v>
      </c>
      <c r="BS6" s="41">
        <v>0</v>
      </c>
      <c r="BT6" s="41">
        <v>0</v>
      </c>
      <c r="BU6" s="41">
        <v>0</v>
      </c>
      <c r="BV6" s="41">
        <v>0</v>
      </c>
      <c r="BW6" s="41">
        <v>0</v>
      </c>
      <c r="BX6" s="41">
        <v>1895</v>
      </c>
      <c r="BY6" s="41">
        <v>65</v>
      </c>
      <c r="BZ6" s="41">
        <v>0</v>
      </c>
      <c r="CA6" s="41">
        <v>0</v>
      </c>
      <c r="CB6" s="41">
        <v>0</v>
      </c>
      <c r="CC6" s="41">
        <v>0</v>
      </c>
      <c r="CD6" s="41">
        <v>0</v>
      </c>
      <c r="CE6" s="41">
        <v>0</v>
      </c>
      <c r="CF6" s="41">
        <v>0</v>
      </c>
      <c r="CG6" s="41">
        <v>0</v>
      </c>
      <c r="CH6" s="41">
        <v>126315</v>
      </c>
      <c r="CI6" s="41">
        <v>10924</v>
      </c>
      <c r="CJ6" s="41">
        <v>0</v>
      </c>
      <c r="CK6" s="41">
        <v>0</v>
      </c>
      <c r="CL6" s="41">
        <v>0</v>
      </c>
      <c r="CM6" s="41">
        <v>0</v>
      </c>
      <c r="CN6" s="41">
        <v>0</v>
      </c>
      <c r="CO6" s="41">
        <v>0</v>
      </c>
      <c r="CP6" s="41">
        <v>0</v>
      </c>
      <c r="CQ6" s="41">
        <v>0</v>
      </c>
      <c r="CR6" s="41">
        <v>6462</v>
      </c>
      <c r="CS6" s="41">
        <v>2285</v>
      </c>
      <c r="CT6" s="41">
        <v>0</v>
      </c>
      <c r="CU6" s="41">
        <v>0</v>
      </c>
      <c r="CV6" s="41">
        <v>0</v>
      </c>
      <c r="CW6" s="41">
        <v>0</v>
      </c>
      <c r="CX6" s="41">
        <v>42</v>
      </c>
      <c r="CY6" s="41">
        <v>42</v>
      </c>
      <c r="CZ6" s="41">
        <v>99554</v>
      </c>
      <c r="DA6" s="41">
        <v>0</v>
      </c>
      <c r="DB6" s="41">
        <v>23984959</v>
      </c>
      <c r="DC6" s="41">
        <v>0</v>
      </c>
      <c r="DD6" s="41">
        <v>99554</v>
      </c>
      <c r="DE6" s="41">
        <v>23984959</v>
      </c>
      <c r="DF6" s="41">
        <v>99554</v>
      </c>
      <c r="DG6" s="41">
        <v>23984959</v>
      </c>
      <c r="DH6" s="41">
        <v>99554</v>
      </c>
      <c r="DI6" s="41">
        <v>0</v>
      </c>
      <c r="DJ6" s="41">
        <v>23984959</v>
      </c>
      <c r="DK6" s="41">
        <v>0</v>
      </c>
      <c r="DL6" s="41">
        <v>837</v>
      </c>
      <c r="DM6" s="41">
        <v>1</v>
      </c>
      <c r="DN6" s="41">
        <v>1</v>
      </c>
      <c r="DO6" s="41">
        <v>47889</v>
      </c>
      <c r="DP6" s="41">
        <v>24873</v>
      </c>
      <c r="DQ6" s="41">
        <v>72762</v>
      </c>
      <c r="DR6" s="41">
        <v>72762</v>
      </c>
      <c r="DS6" s="41">
        <v>47889</v>
      </c>
      <c r="DT6" s="41">
        <v>24873</v>
      </c>
      <c r="DU6" s="41">
        <v>0</v>
      </c>
      <c r="DV6" s="41">
        <v>0</v>
      </c>
      <c r="DW6" s="41">
        <v>0</v>
      </c>
      <c r="DX6" s="41">
        <v>0</v>
      </c>
      <c r="DY6" s="41">
        <v>0</v>
      </c>
      <c r="DZ6" s="41">
        <v>0</v>
      </c>
      <c r="EA6" s="41">
        <v>0</v>
      </c>
      <c r="EB6" s="41"/>
      <c r="EC6" s="41"/>
      <c r="ED6" s="41"/>
      <c r="EE6" s="41"/>
      <c r="EF6" s="41"/>
      <c r="EG6" s="41"/>
      <c r="EH6" s="41"/>
      <c r="EI6" s="41"/>
      <c r="EJ6" s="41"/>
      <c r="EK6" s="41"/>
      <c r="EL6" s="41"/>
      <c r="EM6" s="41"/>
      <c r="EN6" s="41"/>
      <c r="EO6" s="41"/>
      <c r="EP6" s="41"/>
      <c r="EQ6" s="41"/>
      <c r="ER6" s="41"/>
      <c r="ES6" s="41"/>
      <c r="ET6" s="41"/>
      <c r="EU6" s="41"/>
      <c r="EV6" s="41"/>
      <c r="EW6" s="41"/>
      <c r="EX6" s="41"/>
      <c r="EY6" s="41"/>
      <c r="EZ6" s="41"/>
      <c r="FA6" s="41"/>
      <c r="FB6" s="41"/>
      <c r="FC6" s="41"/>
      <c r="FD6" s="41"/>
      <c r="FE6" s="41"/>
      <c r="FF6" s="41"/>
      <c r="FG6" s="41"/>
      <c r="FH6" s="41"/>
      <c r="FI6" s="41"/>
      <c r="FJ6" s="41"/>
      <c r="FK6" s="41"/>
      <c r="FL6" s="41"/>
      <c r="FM6" s="41"/>
      <c r="FN6" s="41"/>
      <c r="FO6" s="41"/>
      <c r="FP6" s="41"/>
      <c r="FQ6" s="41"/>
      <c r="FR6" s="41"/>
      <c r="FS6" s="41"/>
      <c r="FT6" s="41"/>
      <c r="FU6" s="41"/>
      <c r="FV6" s="41"/>
      <c r="FW6" s="41"/>
      <c r="FX6" s="41"/>
      <c r="FY6" s="41"/>
      <c r="FZ6" s="41"/>
      <c r="GA6" s="41"/>
      <c r="GB6" s="41"/>
      <c r="GC6" s="41"/>
      <c r="GD6" s="41"/>
      <c r="GE6" s="41"/>
      <c r="GF6" s="41"/>
      <c r="GG6" s="41"/>
      <c r="GH6" s="41"/>
      <c r="GI6" s="41"/>
      <c r="GJ6" s="41"/>
      <c r="GK6" s="41"/>
      <c r="GL6" s="41"/>
      <c r="GM6" s="41"/>
      <c r="GN6" s="41"/>
      <c r="GO6" s="41"/>
      <c r="GP6" s="41"/>
      <c r="GQ6" s="41"/>
      <c r="GR6" s="41"/>
      <c r="GS6" s="41"/>
      <c r="GT6" s="41"/>
      <c r="GU6" s="41"/>
      <c r="GV6" s="41"/>
      <c r="GW6" s="41"/>
      <c r="GX6" s="41"/>
      <c r="GY6" s="41"/>
      <c r="GZ6" s="41"/>
      <c r="HA6" s="41"/>
      <c r="HB6" s="41"/>
      <c r="HC6" s="41"/>
      <c r="HD6" s="41"/>
      <c r="HE6" s="41"/>
      <c r="HF6" s="41"/>
      <c r="HG6" s="41"/>
      <c r="HH6" s="41"/>
      <c r="HI6" s="41"/>
      <c r="HJ6" s="41"/>
      <c r="HK6" s="41"/>
      <c r="HL6" s="41"/>
      <c r="HM6" s="41"/>
      <c r="HN6" s="41"/>
      <c r="HO6" s="41"/>
      <c r="HP6" s="41"/>
      <c r="HQ6" s="41"/>
      <c r="HR6" s="41"/>
      <c r="HS6" s="41"/>
      <c r="HT6" s="41"/>
      <c r="HU6" s="41"/>
      <c r="HV6" s="41"/>
      <c r="HW6" s="41"/>
      <c r="HX6" s="41"/>
      <c r="HY6" s="41"/>
      <c r="HZ6" s="41"/>
      <c r="IA6" s="41"/>
      <c r="IB6" s="41"/>
      <c r="IC6" s="41"/>
      <c r="ID6" s="41"/>
      <c r="IE6" s="41"/>
      <c r="IF6" s="41"/>
      <c r="IG6" s="41"/>
      <c r="IH6" s="41"/>
      <c r="II6" s="41"/>
      <c r="IJ6" s="41"/>
      <c r="IK6" s="41"/>
      <c r="IL6" s="41"/>
      <c r="IM6" s="41"/>
      <c r="IN6" s="41"/>
      <c r="IO6" s="41"/>
      <c r="IP6" s="41"/>
      <c r="IQ6" s="41"/>
      <c r="IR6" s="41"/>
      <c r="IS6" s="41"/>
      <c r="IT6" s="41"/>
      <c r="IU6" s="41"/>
      <c r="IV6" s="41"/>
      <c r="IW6" s="41"/>
      <c r="IX6" s="41"/>
      <c r="IY6" s="41"/>
      <c r="IZ6" s="41"/>
      <c r="JA6" s="41"/>
      <c r="JB6" s="41"/>
      <c r="JC6" s="41"/>
      <c r="JD6" s="41"/>
      <c r="JE6" s="41"/>
      <c r="JF6" s="41"/>
      <c r="JG6" s="41"/>
      <c r="JH6" s="41"/>
      <c r="JI6" s="41"/>
      <c r="JJ6" s="41"/>
      <c r="JK6" s="41"/>
      <c r="JL6" s="41"/>
      <c r="JM6" s="41"/>
      <c r="JN6" s="41"/>
      <c r="JO6" s="41"/>
      <c r="JP6" s="41"/>
      <c r="JQ6" s="41"/>
      <c r="JR6" s="41"/>
      <c r="JS6" s="41"/>
      <c r="JT6" s="41"/>
      <c r="JU6" s="41"/>
      <c r="JV6" s="41"/>
      <c r="JW6" s="41"/>
      <c r="JX6" s="41"/>
      <c r="JY6" s="41"/>
      <c r="JZ6" s="41"/>
      <c r="KA6" s="41"/>
      <c r="KB6" s="41"/>
      <c r="KC6" s="41"/>
      <c r="KD6" s="41"/>
      <c r="KE6" s="41"/>
      <c r="KF6" s="41"/>
      <c r="KG6" s="41"/>
      <c r="KH6" s="41"/>
      <c r="KI6" s="41"/>
      <c r="KJ6" s="41"/>
      <c r="KK6" s="41"/>
      <c r="KL6" s="41"/>
      <c r="KM6" s="41"/>
      <c r="KN6" s="41"/>
      <c r="KO6" s="41"/>
      <c r="KP6" s="41"/>
      <c r="KQ6" s="41"/>
      <c r="KR6" s="41"/>
      <c r="KS6" s="41"/>
      <c r="KT6" s="41"/>
      <c r="KU6" s="41"/>
      <c r="KV6" s="41"/>
      <c r="KW6" s="41"/>
      <c r="KX6" s="41"/>
      <c r="KY6" s="41"/>
      <c r="KZ6" s="41"/>
    </row>
    <row r="7" spans="1:312" ht="15.5" x14ac:dyDescent="0.35">
      <c r="B7" s="40">
        <f t="shared" si="0"/>
        <v>43922</v>
      </c>
      <c r="C7" s="19">
        <v>202004</v>
      </c>
      <c r="D7" s="41">
        <v>4130</v>
      </c>
      <c r="E7" s="41">
        <v>0</v>
      </c>
      <c r="F7" s="41">
        <v>0</v>
      </c>
      <c r="G7" s="41">
        <v>0</v>
      </c>
      <c r="H7" s="41">
        <v>0</v>
      </c>
      <c r="I7" s="41">
        <v>0</v>
      </c>
      <c r="J7" s="41">
        <v>0</v>
      </c>
      <c r="K7" s="41">
        <v>0</v>
      </c>
      <c r="L7" s="41">
        <v>0</v>
      </c>
      <c r="M7" s="41">
        <v>0</v>
      </c>
      <c r="N7" s="41">
        <v>0</v>
      </c>
      <c r="O7" s="41">
        <v>4</v>
      </c>
      <c r="P7" s="41">
        <v>0</v>
      </c>
      <c r="Q7" s="41">
        <v>0</v>
      </c>
      <c r="R7" s="41">
        <v>39</v>
      </c>
      <c r="S7" s="41">
        <v>0</v>
      </c>
      <c r="T7" s="41">
        <v>0</v>
      </c>
      <c r="U7" s="41">
        <v>1633</v>
      </c>
      <c r="V7" s="41">
        <v>0</v>
      </c>
      <c r="W7" s="41">
        <v>840</v>
      </c>
      <c r="X7" s="41">
        <v>0</v>
      </c>
      <c r="Y7" s="41">
        <v>962</v>
      </c>
      <c r="Z7" s="41">
        <v>7231</v>
      </c>
      <c r="AA7" s="41">
        <v>0</v>
      </c>
      <c r="AB7" s="41">
        <v>0</v>
      </c>
      <c r="AC7" s="41">
        <v>66847</v>
      </c>
      <c r="AD7" s="41">
        <v>0</v>
      </c>
      <c r="AE7" s="41">
        <v>4</v>
      </c>
      <c r="AF7" s="41">
        <v>0</v>
      </c>
      <c r="AG7" s="41">
        <v>122</v>
      </c>
      <c r="AH7" s="41">
        <v>1815</v>
      </c>
      <c r="AI7" s="41">
        <v>0</v>
      </c>
      <c r="AJ7" s="41">
        <v>0</v>
      </c>
      <c r="AK7" s="41">
        <v>6252</v>
      </c>
      <c r="AL7" s="41">
        <v>0</v>
      </c>
      <c r="AM7" s="41">
        <v>4</v>
      </c>
      <c r="AN7" s="41">
        <v>0</v>
      </c>
      <c r="AO7" s="41">
        <v>1633</v>
      </c>
      <c r="AP7" s="41">
        <v>39</v>
      </c>
      <c r="AQ7" s="41">
        <v>962</v>
      </c>
      <c r="AR7" s="41">
        <v>840</v>
      </c>
      <c r="AS7" s="41">
        <v>0</v>
      </c>
      <c r="AT7" s="41">
        <v>66847</v>
      </c>
      <c r="AU7" s="41">
        <v>7231</v>
      </c>
      <c r="AV7" s="41">
        <v>122</v>
      </c>
      <c r="AW7" s="41">
        <v>4</v>
      </c>
      <c r="AX7" s="41">
        <v>0</v>
      </c>
      <c r="AY7" s="41">
        <v>6252</v>
      </c>
      <c r="AZ7" s="41">
        <v>1815</v>
      </c>
      <c r="BA7" s="41">
        <v>0</v>
      </c>
      <c r="BB7" s="41">
        <v>4</v>
      </c>
      <c r="BC7" s="41">
        <v>0</v>
      </c>
      <c r="BD7" s="41">
        <v>1633</v>
      </c>
      <c r="BE7" s="41">
        <v>39</v>
      </c>
      <c r="BF7" s="41">
        <v>962</v>
      </c>
      <c r="BG7" s="41">
        <v>840</v>
      </c>
      <c r="BH7" s="41">
        <v>0</v>
      </c>
      <c r="BI7" s="41">
        <v>66847</v>
      </c>
      <c r="BJ7" s="41">
        <v>7231</v>
      </c>
      <c r="BK7" s="41">
        <v>122</v>
      </c>
      <c r="BL7" s="41">
        <v>4</v>
      </c>
      <c r="BM7" s="41">
        <v>0</v>
      </c>
      <c r="BN7" s="41">
        <v>6252</v>
      </c>
      <c r="BO7" s="41">
        <v>1815</v>
      </c>
      <c r="BP7" s="41">
        <v>0</v>
      </c>
      <c r="BQ7" s="41">
        <v>0</v>
      </c>
      <c r="BR7" s="41">
        <v>0</v>
      </c>
      <c r="BS7" s="41">
        <v>0</v>
      </c>
      <c r="BT7" s="41">
        <v>0</v>
      </c>
      <c r="BU7" s="41">
        <v>4</v>
      </c>
      <c r="BV7" s="41">
        <v>0</v>
      </c>
      <c r="BW7" s="41">
        <v>0</v>
      </c>
      <c r="BX7" s="41">
        <v>1633</v>
      </c>
      <c r="BY7" s="41">
        <v>39</v>
      </c>
      <c r="BZ7" s="41">
        <v>0</v>
      </c>
      <c r="CA7" s="41">
        <v>0</v>
      </c>
      <c r="CB7" s="41">
        <v>962</v>
      </c>
      <c r="CC7" s="41">
        <v>0</v>
      </c>
      <c r="CD7" s="41">
        <v>0</v>
      </c>
      <c r="CE7" s="41">
        <v>840</v>
      </c>
      <c r="CF7" s="41">
        <v>0</v>
      </c>
      <c r="CG7" s="41">
        <v>0</v>
      </c>
      <c r="CH7" s="41">
        <v>66847</v>
      </c>
      <c r="CI7" s="41">
        <v>7231</v>
      </c>
      <c r="CJ7" s="41">
        <v>0</v>
      </c>
      <c r="CK7" s="41">
        <v>0</v>
      </c>
      <c r="CL7" s="41">
        <v>122</v>
      </c>
      <c r="CM7" s="41">
        <v>0</v>
      </c>
      <c r="CN7" s="41">
        <v>0</v>
      </c>
      <c r="CO7" s="41">
        <v>4</v>
      </c>
      <c r="CP7" s="41">
        <v>0</v>
      </c>
      <c r="CQ7" s="41">
        <v>0</v>
      </c>
      <c r="CR7" s="41">
        <v>6252</v>
      </c>
      <c r="CS7" s="41">
        <v>1815</v>
      </c>
      <c r="CT7" s="41">
        <v>0</v>
      </c>
      <c r="CU7" s="41">
        <v>0</v>
      </c>
      <c r="CV7" s="41">
        <v>0</v>
      </c>
      <c r="CW7" s="41">
        <v>0</v>
      </c>
      <c r="CX7" s="41">
        <v>12</v>
      </c>
      <c r="CY7" s="41">
        <v>12</v>
      </c>
      <c r="CZ7" s="41">
        <v>0</v>
      </c>
      <c r="DA7" s="41">
        <v>0</v>
      </c>
      <c r="DB7" s="41">
        <v>0</v>
      </c>
      <c r="DC7" s="41">
        <v>0</v>
      </c>
      <c r="DD7" s="41">
        <v>0</v>
      </c>
      <c r="DE7" s="41">
        <v>0</v>
      </c>
      <c r="DF7" s="41">
        <v>0</v>
      </c>
      <c r="DG7" s="41">
        <v>0</v>
      </c>
      <c r="DH7" s="41">
        <v>0</v>
      </c>
      <c r="DI7" s="41">
        <v>0</v>
      </c>
      <c r="DJ7" s="41">
        <v>0</v>
      </c>
      <c r="DK7" s="41">
        <v>0</v>
      </c>
      <c r="DL7" s="41">
        <v>842</v>
      </c>
      <c r="DM7" s="41">
        <v>0</v>
      </c>
      <c r="DN7" s="41">
        <v>0</v>
      </c>
      <c r="DO7" s="41">
        <v>66241</v>
      </c>
      <c r="DP7" s="41">
        <v>26754</v>
      </c>
      <c r="DQ7" s="41">
        <v>92995</v>
      </c>
      <c r="DR7" s="41">
        <v>92995</v>
      </c>
      <c r="DS7" s="41">
        <v>66241</v>
      </c>
      <c r="DT7" s="41">
        <v>26754</v>
      </c>
      <c r="DU7" s="41">
        <v>0</v>
      </c>
      <c r="DV7" s="41">
        <v>0</v>
      </c>
      <c r="DW7" s="41">
        <v>0</v>
      </c>
      <c r="DX7" s="41">
        <v>0</v>
      </c>
      <c r="DY7" s="41">
        <v>0</v>
      </c>
      <c r="DZ7" s="41">
        <v>0</v>
      </c>
      <c r="EA7" s="41">
        <v>0</v>
      </c>
      <c r="EB7" s="41"/>
      <c r="EC7" s="41"/>
      <c r="ED7" s="41"/>
      <c r="EE7" s="41"/>
      <c r="EF7" s="41"/>
      <c r="EG7" s="41"/>
      <c r="EH7" s="41"/>
      <c r="EI7" s="41"/>
      <c r="EJ7" s="41"/>
      <c r="EK7" s="41"/>
      <c r="EL7" s="41"/>
      <c r="EM7" s="41"/>
      <c r="EN7" s="41"/>
      <c r="EO7" s="41"/>
      <c r="EP7" s="41"/>
      <c r="EQ7" s="41"/>
      <c r="ER7" s="41"/>
      <c r="ES7" s="41"/>
      <c r="ET7" s="41"/>
      <c r="EU7" s="41"/>
      <c r="EV7" s="41"/>
      <c r="EW7" s="41"/>
      <c r="EX7" s="41"/>
      <c r="EY7" s="41"/>
      <c r="EZ7" s="41"/>
      <c r="FA7" s="41"/>
      <c r="FB7" s="41"/>
      <c r="FC7" s="41"/>
      <c r="FD7" s="41"/>
      <c r="FE7" s="41"/>
      <c r="FF7" s="41"/>
      <c r="FG7" s="41"/>
      <c r="FH7" s="41"/>
      <c r="FI7" s="41"/>
      <c r="FJ7" s="41"/>
      <c r="FK7" s="41"/>
      <c r="FL7" s="41"/>
      <c r="FM7" s="41"/>
      <c r="FN7" s="41"/>
      <c r="FO7" s="41"/>
      <c r="FP7" s="41"/>
      <c r="FQ7" s="41"/>
      <c r="FR7" s="41"/>
      <c r="FS7" s="41"/>
      <c r="FT7" s="41"/>
      <c r="FU7" s="41"/>
      <c r="FV7" s="41"/>
      <c r="FW7" s="41"/>
      <c r="FX7" s="41"/>
      <c r="FY7" s="41"/>
      <c r="FZ7" s="41"/>
      <c r="GA7" s="41"/>
      <c r="GB7" s="41"/>
      <c r="GC7" s="41"/>
      <c r="GD7" s="41"/>
      <c r="GE7" s="41"/>
      <c r="GF7" s="41"/>
      <c r="GG7" s="41"/>
      <c r="GH7" s="41"/>
      <c r="GI7" s="41"/>
      <c r="GJ7" s="41"/>
      <c r="GK7" s="41"/>
      <c r="GL7" s="41"/>
      <c r="GM7" s="41"/>
      <c r="GN7" s="41"/>
      <c r="GO7" s="41"/>
      <c r="GP7" s="41"/>
      <c r="GQ7" s="41"/>
      <c r="GR7" s="41"/>
      <c r="GS7" s="41"/>
      <c r="GT7" s="41"/>
      <c r="GU7" s="41"/>
      <c r="GV7" s="41"/>
      <c r="GW7" s="41"/>
      <c r="GX7" s="41"/>
      <c r="GY7" s="41"/>
      <c r="GZ7" s="41"/>
      <c r="HA7" s="41"/>
      <c r="HB7" s="41"/>
      <c r="HC7" s="41"/>
      <c r="HD7" s="41"/>
      <c r="HE7" s="41"/>
      <c r="HF7" s="41"/>
      <c r="HG7" s="41"/>
      <c r="HH7" s="41"/>
      <c r="HI7" s="41"/>
      <c r="HJ7" s="41"/>
      <c r="HK7" s="41"/>
      <c r="HL7" s="41"/>
      <c r="HM7" s="41"/>
      <c r="HN7" s="41"/>
      <c r="HO7" s="41"/>
      <c r="HP7" s="41"/>
      <c r="HQ7" s="41"/>
      <c r="HR7" s="41"/>
      <c r="HS7" s="41"/>
      <c r="HT7" s="41"/>
      <c r="HU7" s="41"/>
      <c r="HV7" s="41"/>
      <c r="HW7" s="41"/>
      <c r="HX7" s="41"/>
      <c r="HY7" s="41"/>
      <c r="HZ7" s="41"/>
      <c r="IA7" s="41"/>
      <c r="IB7" s="41"/>
      <c r="IC7" s="41"/>
      <c r="ID7" s="41"/>
      <c r="IE7" s="41"/>
      <c r="IF7" s="41"/>
      <c r="IG7" s="41"/>
      <c r="IH7" s="41"/>
      <c r="II7" s="41"/>
      <c r="IJ7" s="41"/>
      <c r="IK7" s="41"/>
      <c r="IL7" s="41"/>
      <c r="IM7" s="41"/>
      <c r="IN7" s="41"/>
      <c r="IO7" s="41"/>
      <c r="IP7" s="41"/>
      <c r="IQ7" s="41"/>
      <c r="IR7" s="41"/>
      <c r="IS7" s="41"/>
      <c r="IT7" s="41"/>
      <c r="IU7" s="41"/>
      <c r="IV7" s="41"/>
      <c r="IW7" s="41"/>
      <c r="IX7" s="41"/>
      <c r="IY7" s="41"/>
      <c r="IZ7" s="41"/>
      <c r="JA7" s="41"/>
      <c r="JB7" s="41"/>
      <c r="JC7" s="41"/>
      <c r="JD7" s="41"/>
      <c r="JE7" s="41"/>
      <c r="JF7" s="41"/>
      <c r="JG7" s="41"/>
      <c r="JH7" s="41"/>
      <c r="JI7" s="41"/>
      <c r="JJ7" s="41"/>
      <c r="JK7" s="41"/>
      <c r="JL7" s="41"/>
      <c r="JM7" s="41"/>
      <c r="JN7" s="41"/>
      <c r="JO7" s="41"/>
      <c r="JP7" s="41"/>
      <c r="JQ7" s="41"/>
      <c r="JR7" s="41"/>
      <c r="JS7" s="41"/>
      <c r="JT7" s="41"/>
      <c r="JU7" s="41"/>
      <c r="JV7" s="41"/>
      <c r="JW7" s="41"/>
      <c r="JX7" s="41"/>
      <c r="JY7" s="41"/>
      <c r="JZ7" s="41"/>
      <c r="KA7" s="41"/>
      <c r="KB7" s="41"/>
      <c r="KC7" s="41"/>
      <c r="KD7" s="41"/>
      <c r="KE7" s="41"/>
      <c r="KF7" s="41"/>
      <c r="KG7" s="41"/>
      <c r="KH7" s="41"/>
      <c r="KI7" s="41"/>
      <c r="KJ7" s="41"/>
      <c r="KK7" s="41"/>
      <c r="KL7" s="41"/>
      <c r="KM7" s="41"/>
      <c r="KN7" s="41"/>
      <c r="KO7" s="41"/>
      <c r="KP7" s="41"/>
      <c r="KQ7" s="41"/>
      <c r="KR7" s="41"/>
      <c r="KS7" s="41"/>
      <c r="KT7" s="41"/>
      <c r="KU7" s="41"/>
      <c r="KV7" s="41"/>
      <c r="KW7" s="41"/>
      <c r="KX7" s="41"/>
      <c r="KY7" s="41"/>
      <c r="KZ7" s="41"/>
    </row>
    <row r="8" spans="1:312" ht="15.5" x14ac:dyDescent="0.35">
      <c r="B8" s="40">
        <f t="shared" si="0"/>
        <v>43952</v>
      </c>
      <c r="C8" s="19">
        <v>202005</v>
      </c>
      <c r="D8" s="41">
        <v>4651</v>
      </c>
      <c r="E8" s="41">
        <v>0</v>
      </c>
      <c r="F8" s="41">
        <v>0</v>
      </c>
      <c r="G8" s="41">
        <v>0</v>
      </c>
      <c r="H8" s="41">
        <v>0</v>
      </c>
      <c r="I8" s="41">
        <v>0</v>
      </c>
      <c r="J8" s="41">
        <v>0</v>
      </c>
      <c r="K8" s="41">
        <v>0</v>
      </c>
      <c r="L8" s="41">
        <v>0</v>
      </c>
      <c r="M8" s="41">
        <v>0</v>
      </c>
      <c r="N8" s="41">
        <v>0</v>
      </c>
      <c r="O8" s="41">
        <v>3</v>
      </c>
      <c r="P8" s="41">
        <v>0</v>
      </c>
      <c r="Q8" s="41">
        <v>0</v>
      </c>
      <c r="R8" s="41">
        <v>76</v>
      </c>
      <c r="S8" s="41">
        <v>17</v>
      </c>
      <c r="T8" s="41">
        <v>0</v>
      </c>
      <c r="U8" s="41">
        <v>2399</v>
      </c>
      <c r="V8" s="41">
        <v>0</v>
      </c>
      <c r="W8" s="41">
        <v>560</v>
      </c>
      <c r="X8" s="41">
        <v>0</v>
      </c>
      <c r="Y8" s="41">
        <v>7921</v>
      </c>
      <c r="Z8" s="41">
        <v>7941</v>
      </c>
      <c r="AA8" s="41">
        <v>4644</v>
      </c>
      <c r="AB8" s="41">
        <v>0</v>
      </c>
      <c r="AC8" s="41">
        <v>193659</v>
      </c>
      <c r="AD8" s="41">
        <v>0</v>
      </c>
      <c r="AE8" s="41">
        <v>3</v>
      </c>
      <c r="AF8" s="41">
        <v>0</v>
      </c>
      <c r="AG8" s="41">
        <v>706</v>
      </c>
      <c r="AH8" s="41">
        <v>1655</v>
      </c>
      <c r="AI8" s="41">
        <v>2518</v>
      </c>
      <c r="AJ8" s="41">
        <v>0</v>
      </c>
      <c r="AK8" s="41">
        <v>9999</v>
      </c>
      <c r="AL8" s="41">
        <v>17</v>
      </c>
      <c r="AM8" s="41">
        <v>3</v>
      </c>
      <c r="AN8" s="41">
        <v>0</v>
      </c>
      <c r="AO8" s="41">
        <v>2399</v>
      </c>
      <c r="AP8" s="41">
        <v>76</v>
      </c>
      <c r="AQ8" s="41">
        <v>12565</v>
      </c>
      <c r="AR8" s="41">
        <v>560</v>
      </c>
      <c r="AS8" s="41">
        <v>0</v>
      </c>
      <c r="AT8" s="41">
        <v>193659</v>
      </c>
      <c r="AU8" s="41">
        <v>7941</v>
      </c>
      <c r="AV8" s="41">
        <v>3224</v>
      </c>
      <c r="AW8" s="41">
        <v>3</v>
      </c>
      <c r="AX8" s="41">
        <v>0</v>
      </c>
      <c r="AY8" s="41">
        <v>9999</v>
      </c>
      <c r="AZ8" s="41">
        <v>1655</v>
      </c>
      <c r="BA8" s="41">
        <v>17</v>
      </c>
      <c r="BB8" s="41">
        <v>3</v>
      </c>
      <c r="BC8" s="41">
        <v>0</v>
      </c>
      <c r="BD8" s="41">
        <v>2399</v>
      </c>
      <c r="BE8" s="41">
        <v>76</v>
      </c>
      <c r="BF8" s="41">
        <v>12565</v>
      </c>
      <c r="BG8" s="41">
        <v>560</v>
      </c>
      <c r="BH8" s="41">
        <v>0</v>
      </c>
      <c r="BI8" s="41">
        <v>193659</v>
      </c>
      <c r="BJ8" s="41">
        <v>7941</v>
      </c>
      <c r="BK8" s="41">
        <v>3224</v>
      </c>
      <c r="BL8" s="41">
        <v>3</v>
      </c>
      <c r="BM8" s="41">
        <v>0</v>
      </c>
      <c r="BN8" s="41">
        <v>9999</v>
      </c>
      <c r="BO8" s="41">
        <v>1655</v>
      </c>
      <c r="BP8" s="41">
        <v>0</v>
      </c>
      <c r="BQ8" s="41">
        <v>0</v>
      </c>
      <c r="BR8" s="41">
        <v>0</v>
      </c>
      <c r="BS8" s="41">
        <v>17</v>
      </c>
      <c r="BT8" s="41">
        <v>0</v>
      </c>
      <c r="BU8" s="41">
        <v>3</v>
      </c>
      <c r="BV8" s="41">
        <v>0</v>
      </c>
      <c r="BW8" s="41">
        <v>0</v>
      </c>
      <c r="BX8" s="41">
        <v>2399</v>
      </c>
      <c r="BY8" s="41">
        <v>76</v>
      </c>
      <c r="BZ8" s="41">
        <v>0</v>
      </c>
      <c r="CA8" s="41">
        <v>0</v>
      </c>
      <c r="CB8" s="41">
        <v>7921</v>
      </c>
      <c r="CC8" s="41">
        <v>4644</v>
      </c>
      <c r="CD8" s="41">
        <v>0</v>
      </c>
      <c r="CE8" s="41">
        <v>560</v>
      </c>
      <c r="CF8" s="41">
        <v>0</v>
      </c>
      <c r="CG8" s="41">
        <v>0</v>
      </c>
      <c r="CH8" s="41">
        <v>193659</v>
      </c>
      <c r="CI8" s="41">
        <v>7941</v>
      </c>
      <c r="CJ8" s="41">
        <v>0</v>
      </c>
      <c r="CK8" s="41">
        <v>0</v>
      </c>
      <c r="CL8" s="41">
        <v>706</v>
      </c>
      <c r="CM8" s="41">
        <v>2518</v>
      </c>
      <c r="CN8" s="41">
        <v>0</v>
      </c>
      <c r="CO8" s="41">
        <v>3</v>
      </c>
      <c r="CP8" s="41">
        <v>0</v>
      </c>
      <c r="CQ8" s="41">
        <v>0</v>
      </c>
      <c r="CR8" s="41">
        <v>9999</v>
      </c>
      <c r="CS8" s="41">
        <v>1655</v>
      </c>
      <c r="CT8" s="41">
        <v>0</v>
      </c>
      <c r="CU8" s="41">
        <v>0</v>
      </c>
      <c r="CV8" s="41">
        <v>0</v>
      </c>
      <c r="CW8" s="41">
        <v>0</v>
      </c>
      <c r="CX8" s="41">
        <v>5</v>
      </c>
      <c r="CY8" s="41">
        <v>5</v>
      </c>
      <c r="CZ8" s="41">
        <v>0</v>
      </c>
      <c r="DA8" s="41">
        <v>0</v>
      </c>
      <c r="DB8" s="41">
        <v>0</v>
      </c>
      <c r="DC8" s="41">
        <v>0</v>
      </c>
      <c r="DD8" s="41">
        <v>0</v>
      </c>
      <c r="DE8" s="41">
        <v>0</v>
      </c>
      <c r="DF8" s="41">
        <v>0</v>
      </c>
      <c r="DG8" s="41">
        <v>0</v>
      </c>
      <c r="DH8" s="41">
        <v>0</v>
      </c>
      <c r="DI8" s="41">
        <v>0</v>
      </c>
      <c r="DJ8" s="41">
        <v>0</v>
      </c>
      <c r="DK8" s="41">
        <v>0</v>
      </c>
      <c r="DL8" s="41">
        <v>808</v>
      </c>
      <c r="DM8" s="41">
        <v>0</v>
      </c>
      <c r="DN8" s="41">
        <v>0</v>
      </c>
      <c r="DO8" s="41">
        <v>37906</v>
      </c>
      <c r="DP8" s="41">
        <v>8164</v>
      </c>
      <c r="DQ8" s="41">
        <v>46070</v>
      </c>
      <c r="DR8" s="41">
        <v>46070</v>
      </c>
      <c r="DS8" s="41">
        <v>37906</v>
      </c>
      <c r="DT8" s="41">
        <v>8164</v>
      </c>
      <c r="DU8" s="41">
        <v>0</v>
      </c>
      <c r="DV8" s="41">
        <v>0</v>
      </c>
      <c r="DW8" s="41">
        <v>0</v>
      </c>
      <c r="DX8" s="41">
        <v>0</v>
      </c>
      <c r="DY8" s="41">
        <v>0</v>
      </c>
      <c r="DZ8" s="41">
        <v>0</v>
      </c>
      <c r="EA8" s="41">
        <v>0</v>
      </c>
      <c r="EB8" s="41"/>
      <c r="EC8" s="41"/>
      <c r="ED8" s="41"/>
      <c r="EE8" s="41"/>
      <c r="EF8" s="41"/>
      <c r="EG8" s="41"/>
      <c r="EH8" s="41"/>
      <c r="EI8" s="41"/>
      <c r="EJ8" s="41"/>
      <c r="EK8" s="41"/>
      <c r="EL8" s="41"/>
      <c r="EM8" s="41"/>
      <c r="EN8" s="41"/>
      <c r="EO8" s="41"/>
      <c r="EP8" s="41"/>
      <c r="EQ8" s="41"/>
      <c r="ER8" s="41"/>
      <c r="ES8" s="41"/>
      <c r="ET8" s="41"/>
      <c r="EU8" s="41"/>
      <c r="EV8" s="41"/>
      <c r="EW8" s="41"/>
      <c r="EX8" s="41"/>
      <c r="EY8" s="41"/>
      <c r="EZ8" s="41"/>
      <c r="FA8" s="41"/>
      <c r="FB8" s="41"/>
      <c r="FC8" s="41"/>
      <c r="FD8" s="41"/>
      <c r="FE8" s="41"/>
      <c r="FF8" s="41"/>
      <c r="FG8" s="41"/>
      <c r="FH8" s="41"/>
      <c r="FI8" s="41"/>
      <c r="FJ8" s="41"/>
      <c r="FK8" s="41"/>
      <c r="FL8" s="41"/>
      <c r="FM8" s="41"/>
      <c r="FN8" s="41"/>
      <c r="FO8" s="41"/>
      <c r="FP8" s="41"/>
      <c r="FQ8" s="41"/>
      <c r="FR8" s="41"/>
      <c r="FS8" s="41"/>
      <c r="FT8" s="41"/>
      <c r="FU8" s="41"/>
      <c r="FV8" s="41"/>
      <c r="FW8" s="41"/>
      <c r="FX8" s="41"/>
      <c r="FY8" s="41"/>
      <c r="FZ8" s="41"/>
      <c r="GA8" s="41"/>
      <c r="GB8" s="41"/>
      <c r="GC8" s="41"/>
      <c r="GD8" s="41"/>
      <c r="GE8" s="41"/>
      <c r="GF8" s="41"/>
      <c r="GG8" s="41"/>
      <c r="GH8" s="41"/>
      <c r="GI8" s="41"/>
      <c r="GJ8" s="41"/>
      <c r="GK8" s="41"/>
      <c r="GL8" s="41"/>
      <c r="GM8" s="41"/>
      <c r="GN8" s="41"/>
      <c r="GO8" s="41"/>
      <c r="GP8" s="41"/>
      <c r="GQ8" s="41"/>
      <c r="GR8" s="41"/>
      <c r="GS8" s="41"/>
      <c r="GT8" s="41"/>
      <c r="GU8" s="41"/>
      <c r="GV8" s="41"/>
      <c r="GW8" s="41"/>
      <c r="GX8" s="41"/>
      <c r="GY8" s="41"/>
      <c r="GZ8" s="41"/>
      <c r="HA8" s="41"/>
      <c r="HB8" s="41"/>
      <c r="HC8" s="41"/>
      <c r="HD8" s="41"/>
      <c r="HE8" s="41"/>
      <c r="HF8" s="41"/>
      <c r="HG8" s="41"/>
      <c r="HH8" s="41"/>
      <c r="HI8" s="41"/>
      <c r="HJ8" s="41"/>
      <c r="HK8" s="41"/>
      <c r="HL8" s="41"/>
      <c r="HM8" s="41"/>
      <c r="HN8" s="41"/>
      <c r="HO8" s="41"/>
      <c r="HP8" s="41"/>
      <c r="HQ8" s="41"/>
      <c r="HR8" s="41"/>
      <c r="HS8" s="41"/>
      <c r="HT8" s="41"/>
      <c r="HU8" s="41"/>
      <c r="HV8" s="41"/>
      <c r="HW8" s="41"/>
      <c r="HX8" s="41"/>
      <c r="HY8" s="41"/>
      <c r="HZ8" s="41"/>
      <c r="IA8" s="41"/>
      <c r="IB8" s="41"/>
      <c r="IC8" s="41"/>
      <c r="ID8" s="41"/>
      <c r="IE8" s="41"/>
      <c r="IF8" s="41"/>
      <c r="IG8" s="41"/>
      <c r="IH8" s="41"/>
      <c r="II8" s="41"/>
      <c r="IJ8" s="41"/>
      <c r="IK8" s="41"/>
      <c r="IL8" s="41"/>
      <c r="IM8" s="41"/>
      <c r="IN8" s="41"/>
      <c r="IO8" s="41"/>
      <c r="IP8" s="41"/>
      <c r="IQ8" s="41"/>
      <c r="IR8" s="41"/>
      <c r="IS8" s="41"/>
      <c r="IT8" s="41"/>
      <c r="IU8" s="41"/>
      <c r="IV8" s="41"/>
      <c r="IW8" s="41"/>
      <c r="IX8" s="41"/>
      <c r="IY8" s="41"/>
      <c r="IZ8" s="41"/>
      <c r="JA8" s="41"/>
      <c r="JB8" s="41"/>
      <c r="JC8" s="41"/>
      <c r="JD8" s="41"/>
      <c r="JE8" s="41"/>
      <c r="JF8" s="41"/>
      <c r="JG8" s="41"/>
      <c r="JH8" s="41"/>
      <c r="JI8" s="41"/>
      <c r="JJ8" s="41"/>
      <c r="JK8" s="41"/>
      <c r="JL8" s="41"/>
      <c r="JM8" s="41"/>
      <c r="JN8" s="41"/>
      <c r="JO8" s="41"/>
      <c r="JP8" s="41"/>
      <c r="JQ8" s="41"/>
      <c r="JR8" s="41"/>
      <c r="JS8" s="41"/>
      <c r="JT8" s="41"/>
      <c r="JU8" s="41"/>
      <c r="JV8" s="41"/>
      <c r="JW8" s="41"/>
      <c r="JX8" s="41"/>
      <c r="JY8" s="41"/>
      <c r="JZ8" s="41"/>
      <c r="KA8" s="41"/>
      <c r="KB8" s="41"/>
      <c r="KC8" s="41"/>
      <c r="KD8" s="41"/>
      <c r="KE8" s="41"/>
      <c r="KF8" s="41"/>
      <c r="KG8" s="41"/>
      <c r="KH8" s="41"/>
      <c r="KI8" s="41"/>
      <c r="KJ8" s="41"/>
      <c r="KK8" s="41"/>
      <c r="KL8" s="41"/>
      <c r="KM8" s="41"/>
      <c r="KN8" s="41"/>
      <c r="KO8" s="41"/>
      <c r="KP8" s="41"/>
      <c r="KQ8" s="41"/>
      <c r="KR8" s="41"/>
      <c r="KS8" s="41"/>
      <c r="KT8" s="41"/>
      <c r="KU8" s="41"/>
      <c r="KV8" s="41"/>
      <c r="KW8" s="41"/>
      <c r="KX8" s="41"/>
      <c r="KY8" s="41"/>
      <c r="KZ8" s="41"/>
    </row>
    <row r="9" spans="1:312" ht="15.5" x14ac:dyDescent="0.35">
      <c r="B9" s="40">
        <f t="shared" si="0"/>
        <v>43983</v>
      </c>
      <c r="C9" s="19">
        <v>202006</v>
      </c>
      <c r="D9" s="41">
        <v>4312</v>
      </c>
      <c r="E9" s="41">
        <v>0</v>
      </c>
      <c r="F9" s="41">
        <v>0</v>
      </c>
      <c r="G9" s="41">
        <v>0</v>
      </c>
      <c r="H9" s="41">
        <v>0</v>
      </c>
      <c r="I9" s="41">
        <v>0</v>
      </c>
      <c r="J9" s="41">
        <v>0</v>
      </c>
      <c r="K9" s="41">
        <v>0</v>
      </c>
      <c r="L9" s="41">
        <v>0</v>
      </c>
      <c r="M9" s="41">
        <v>0</v>
      </c>
      <c r="N9" s="41">
        <v>0</v>
      </c>
      <c r="O9" s="41">
        <v>9</v>
      </c>
      <c r="P9" s="41">
        <v>3</v>
      </c>
      <c r="Q9" s="41">
        <v>0</v>
      </c>
      <c r="R9" s="41">
        <v>100</v>
      </c>
      <c r="S9" s="41">
        <v>0</v>
      </c>
      <c r="T9" s="41">
        <v>0</v>
      </c>
      <c r="U9" s="41">
        <v>1991</v>
      </c>
      <c r="V9" s="41">
        <v>0</v>
      </c>
      <c r="W9" s="41">
        <v>3401</v>
      </c>
      <c r="X9" s="41">
        <v>1056</v>
      </c>
      <c r="Y9" s="41">
        <v>0</v>
      </c>
      <c r="Z9" s="41">
        <v>7914</v>
      </c>
      <c r="AA9" s="41">
        <v>836</v>
      </c>
      <c r="AB9" s="41">
        <v>0</v>
      </c>
      <c r="AC9" s="41">
        <v>145835</v>
      </c>
      <c r="AD9" s="41">
        <v>0</v>
      </c>
      <c r="AE9" s="41">
        <v>1808</v>
      </c>
      <c r="AF9" s="41">
        <v>529</v>
      </c>
      <c r="AG9" s="41">
        <v>0</v>
      </c>
      <c r="AH9" s="41">
        <v>1858</v>
      </c>
      <c r="AI9" s="41">
        <v>31</v>
      </c>
      <c r="AJ9" s="41">
        <v>0</v>
      </c>
      <c r="AK9" s="41">
        <v>8823</v>
      </c>
      <c r="AL9" s="41">
        <v>4</v>
      </c>
      <c r="AM9" s="41">
        <v>8</v>
      </c>
      <c r="AN9" s="41">
        <v>0</v>
      </c>
      <c r="AO9" s="41">
        <v>1991</v>
      </c>
      <c r="AP9" s="41">
        <v>100</v>
      </c>
      <c r="AQ9" s="41">
        <v>4014</v>
      </c>
      <c r="AR9" s="41">
        <v>1240</v>
      </c>
      <c r="AS9" s="41">
        <v>39</v>
      </c>
      <c r="AT9" s="41">
        <v>145835</v>
      </c>
      <c r="AU9" s="41">
        <v>7914</v>
      </c>
      <c r="AV9" s="41">
        <v>2341</v>
      </c>
      <c r="AW9" s="41">
        <v>8</v>
      </c>
      <c r="AX9" s="41">
        <v>19</v>
      </c>
      <c r="AY9" s="41">
        <v>8823</v>
      </c>
      <c r="AZ9" s="41">
        <v>1858</v>
      </c>
      <c r="BA9" s="41">
        <v>4</v>
      </c>
      <c r="BB9" s="41">
        <v>8</v>
      </c>
      <c r="BC9" s="41">
        <v>0</v>
      </c>
      <c r="BD9" s="41">
        <v>1991</v>
      </c>
      <c r="BE9" s="41">
        <v>100</v>
      </c>
      <c r="BF9" s="41">
        <v>4014</v>
      </c>
      <c r="BG9" s="41">
        <v>1240</v>
      </c>
      <c r="BH9" s="41">
        <v>39</v>
      </c>
      <c r="BI9" s="41">
        <v>145835</v>
      </c>
      <c r="BJ9" s="41">
        <v>7914</v>
      </c>
      <c r="BK9" s="41">
        <v>2341</v>
      </c>
      <c r="BL9" s="41">
        <v>8</v>
      </c>
      <c r="BM9" s="41">
        <v>19</v>
      </c>
      <c r="BN9" s="41">
        <v>8823</v>
      </c>
      <c r="BO9" s="41">
        <v>1858</v>
      </c>
      <c r="BP9" s="41">
        <v>1</v>
      </c>
      <c r="BQ9" s="41">
        <v>3</v>
      </c>
      <c r="BR9" s="41">
        <v>0</v>
      </c>
      <c r="BS9" s="41">
        <v>0</v>
      </c>
      <c r="BT9" s="41">
        <v>0</v>
      </c>
      <c r="BU9" s="41">
        <v>8</v>
      </c>
      <c r="BV9" s="41">
        <v>0</v>
      </c>
      <c r="BW9" s="41">
        <v>0</v>
      </c>
      <c r="BX9" s="41">
        <v>1991</v>
      </c>
      <c r="BY9" s="41">
        <v>100</v>
      </c>
      <c r="BZ9" s="41">
        <v>2161</v>
      </c>
      <c r="CA9" s="41">
        <v>1017</v>
      </c>
      <c r="CB9" s="41">
        <v>0</v>
      </c>
      <c r="CC9" s="41">
        <v>836</v>
      </c>
      <c r="CD9" s="41">
        <v>0</v>
      </c>
      <c r="CE9" s="41">
        <v>1240</v>
      </c>
      <c r="CF9" s="41">
        <v>39</v>
      </c>
      <c r="CG9" s="41">
        <v>0</v>
      </c>
      <c r="CH9" s="41">
        <v>145835</v>
      </c>
      <c r="CI9" s="41">
        <v>7914</v>
      </c>
      <c r="CJ9" s="41">
        <v>1800</v>
      </c>
      <c r="CK9" s="41">
        <v>510</v>
      </c>
      <c r="CL9" s="41">
        <v>0</v>
      </c>
      <c r="CM9" s="41">
        <v>31</v>
      </c>
      <c r="CN9" s="41">
        <v>0</v>
      </c>
      <c r="CO9" s="41">
        <v>8</v>
      </c>
      <c r="CP9" s="41">
        <v>19</v>
      </c>
      <c r="CQ9" s="41">
        <v>0</v>
      </c>
      <c r="CR9" s="41">
        <v>8823</v>
      </c>
      <c r="CS9" s="41">
        <v>1858</v>
      </c>
      <c r="CT9" s="41">
        <v>0</v>
      </c>
      <c r="CU9" s="41">
        <v>0</v>
      </c>
      <c r="CV9" s="41">
        <v>0</v>
      </c>
      <c r="CW9" s="41">
        <v>0</v>
      </c>
      <c r="CX9" s="41">
        <v>0</v>
      </c>
      <c r="CY9" s="41">
        <v>0</v>
      </c>
      <c r="CZ9" s="41">
        <v>0</v>
      </c>
      <c r="DA9" s="41">
        <v>0</v>
      </c>
      <c r="DB9" s="41">
        <v>0</v>
      </c>
      <c r="DC9" s="41">
        <v>0</v>
      </c>
      <c r="DD9" s="41">
        <v>0</v>
      </c>
      <c r="DE9" s="41">
        <v>0</v>
      </c>
      <c r="DF9" s="41">
        <v>0</v>
      </c>
      <c r="DG9" s="41">
        <v>0</v>
      </c>
      <c r="DH9" s="41">
        <v>0</v>
      </c>
      <c r="DI9" s="41">
        <v>0</v>
      </c>
      <c r="DJ9" s="41">
        <v>0</v>
      </c>
      <c r="DK9" s="41">
        <v>0</v>
      </c>
      <c r="DL9" s="41">
        <v>720</v>
      </c>
      <c r="DM9" s="41">
        <v>1</v>
      </c>
      <c r="DN9" s="41">
        <v>1</v>
      </c>
      <c r="DO9" s="41">
        <v>38494</v>
      </c>
      <c r="DP9" s="41">
        <v>9907</v>
      </c>
      <c r="DQ9" s="41">
        <v>48401</v>
      </c>
      <c r="DR9" s="41">
        <v>48401</v>
      </c>
      <c r="DS9" s="41">
        <v>38494</v>
      </c>
      <c r="DT9" s="41">
        <v>9907</v>
      </c>
      <c r="DU9" s="41">
        <v>0</v>
      </c>
      <c r="DV9" s="41">
        <v>0</v>
      </c>
      <c r="DW9" s="41">
        <v>0</v>
      </c>
      <c r="DX9" s="41">
        <v>0</v>
      </c>
      <c r="DY9" s="41">
        <v>0</v>
      </c>
      <c r="DZ9" s="41">
        <v>0</v>
      </c>
      <c r="EA9" s="41">
        <v>0</v>
      </c>
      <c r="EB9" s="41"/>
      <c r="EC9" s="41"/>
      <c r="ED9" s="41"/>
      <c r="EE9" s="41"/>
      <c r="EF9" s="41"/>
      <c r="EG9" s="41"/>
      <c r="EH9" s="41"/>
      <c r="EI9" s="41"/>
      <c r="EJ9" s="41"/>
      <c r="EK9" s="41"/>
      <c r="EL9" s="41"/>
      <c r="EM9" s="41"/>
      <c r="EN9" s="41"/>
      <c r="EO9" s="41"/>
      <c r="EP9" s="41"/>
      <c r="EQ9" s="41"/>
      <c r="ER9" s="41"/>
      <c r="ES9" s="41"/>
      <c r="ET9" s="41"/>
      <c r="EU9" s="41"/>
      <c r="EV9" s="41"/>
      <c r="EW9" s="41"/>
      <c r="EX9" s="41"/>
      <c r="EY9" s="41"/>
      <c r="EZ9" s="41"/>
      <c r="FA9" s="41"/>
      <c r="FB9" s="41"/>
      <c r="FC9" s="41"/>
      <c r="FD9" s="41"/>
      <c r="FE9" s="41"/>
      <c r="FF9" s="41"/>
      <c r="FG9" s="41"/>
      <c r="FH9" s="41"/>
      <c r="FI9" s="41"/>
      <c r="FJ9" s="41"/>
      <c r="FK9" s="41"/>
      <c r="FL9" s="41"/>
      <c r="FM9" s="41"/>
      <c r="FN9" s="41"/>
      <c r="FO9" s="41"/>
      <c r="FP9" s="41"/>
      <c r="FQ9" s="41"/>
      <c r="FR9" s="41"/>
      <c r="FS9" s="41"/>
      <c r="FT9" s="41"/>
      <c r="FU9" s="41"/>
      <c r="FV9" s="41"/>
      <c r="FW9" s="41"/>
      <c r="FX9" s="41"/>
      <c r="FY9" s="41"/>
      <c r="FZ9" s="41"/>
      <c r="GA9" s="41"/>
      <c r="GB9" s="41"/>
      <c r="GC9" s="41"/>
      <c r="GD9" s="41"/>
      <c r="GE9" s="41"/>
      <c r="GF9" s="41"/>
      <c r="GG9" s="41"/>
      <c r="GH9" s="41"/>
      <c r="GI9" s="41"/>
      <c r="GJ9" s="41"/>
      <c r="GK9" s="41"/>
      <c r="GL9" s="41"/>
      <c r="GM9" s="41"/>
      <c r="GN9" s="41"/>
      <c r="GO9" s="41"/>
      <c r="GP9" s="41"/>
      <c r="GQ9" s="41"/>
      <c r="GR9" s="41"/>
      <c r="GS9" s="41"/>
      <c r="GT9" s="41"/>
      <c r="GU9" s="41"/>
      <c r="GV9" s="41"/>
      <c r="GW9" s="41"/>
      <c r="GX9" s="41"/>
      <c r="GY9" s="41"/>
      <c r="GZ9" s="41"/>
      <c r="HA9" s="41"/>
      <c r="HB9" s="41"/>
      <c r="HC9" s="41"/>
      <c r="HD9" s="41"/>
      <c r="HE9" s="41"/>
      <c r="HF9" s="41"/>
      <c r="HG9" s="41"/>
      <c r="HH9" s="41"/>
      <c r="HI9" s="41"/>
      <c r="HJ9" s="41"/>
      <c r="HK9" s="41"/>
      <c r="HL9" s="41"/>
      <c r="HM9" s="41"/>
      <c r="HN9" s="41"/>
      <c r="HO9" s="41"/>
      <c r="HP9" s="41"/>
      <c r="HQ9" s="41"/>
      <c r="HR9" s="41"/>
      <c r="HS9" s="41"/>
      <c r="HT9" s="41"/>
      <c r="HU9" s="41"/>
      <c r="HV9" s="41"/>
      <c r="HW9" s="41"/>
      <c r="HX9" s="41"/>
      <c r="HY9" s="41"/>
      <c r="HZ9" s="41"/>
      <c r="IA9" s="41"/>
      <c r="IB9" s="41"/>
      <c r="IC9" s="41"/>
      <c r="ID9" s="41"/>
      <c r="IE9" s="41"/>
      <c r="IF9" s="41"/>
      <c r="IG9" s="41"/>
      <c r="IH9" s="41"/>
      <c r="II9" s="41"/>
      <c r="IJ9" s="41"/>
      <c r="IK9" s="41"/>
      <c r="IL9" s="41"/>
      <c r="IM9" s="41"/>
      <c r="IN9" s="41"/>
      <c r="IO9" s="41"/>
      <c r="IP9" s="41"/>
      <c r="IQ9" s="41"/>
      <c r="IR9" s="41"/>
      <c r="IS9" s="41"/>
      <c r="IT9" s="41"/>
      <c r="IU9" s="41"/>
      <c r="IV9" s="41"/>
      <c r="IW9" s="41"/>
      <c r="IX9" s="41"/>
      <c r="IY9" s="41"/>
      <c r="IZ9" s="41"/>
      <c r="JA9" s="41"/>
      <c r="JB9" s="41"/>
      <c r="JC9" s="41"/>
      <c r="JD9" s="41"/>
      <c r="JE9" s="41"/>
      <c r="JF9" s="41"/>
      <c r="JG9" s="41"/>
      <c r="JH9" s="41"/>
      <c r="JI9" s="41"/>
      <c r="JJ9" s="41"/>
      <c r="JK9" s="41"/>
      <c r="JL9" s="41"/>
      <c r="JM9" s="41"/>
      <c r="JN9" s="41"/>
      <c r="JO9" s="41"/>
      <c r="JP9" s="41"/>
      <c r="JQ9" s="41"/>
      <c r="JR9" s="41"/>
      <c r="JS9" s="41"/>
      <c r="JT9" s="41"/>
      <c r="JU9" s="41"/>
      <c r="JV9" s="41"/>
      <c r="JW9" s="41"/>
      <c r="JX9" s="41"/>
      <c r="JY9" s="41"/>
      <c r="JZ9" s="41"/>
      <c r="KA9" s="41"/>
      <c r="KB9" s="41"/>
      <c r="KC9" s="41"/>
      <c r="KD9" s="41"/>
      <c r="KE9" s="41"/>
      <c r="KF9" s="41"/>
      <c r="KG9" s="41"/>
      <c r="KH9" s="41"/>
      <c r="KI9" s="41"/>
      <c r="KJ9" s="41"/>
      <c r="KK9" s="41"/>
      <c r="KL9" s="41"/>
      <c r="KM9" s="41"/>
      <c r="KN9" s="41"/>
      <c r="KO9" s="41"/>
      <c r="KP9" s="41"/>
      <c r="KQ9" s="41"/>
      <c r="KR9" s="41"/>
      <c r="KS9" s="41"/>
      <c r="KT9" s="41"/>
      <c r="KU9" s="41"/>
      <c r="KV9" s="41"/>
      <c r="KW9" s="41"/>
      <c r="KX9" s="41"/>
      <c r="KY9" s="41"/>
      <c r="KZ9" s="41"/>
    </row>
    <row r="10" spans="1:312" ht="15.5" x14ac:dyDescent="0.35">
      <c r="B10" s="40">
        <f t="shared" si="0"/>
        <v>44013</v>
      </c>
      <c r="C10" s="19">
        <v>202007</v>
      </c>
      <c r="D10" s="41">
        <v>4364</v>
      </c>
      <c r="E10" s="41">
        <v>0</v>
      </c>
      <c r="F10" s="41">
        <v>0</v>
      </c>
      <c r="G10" s="41">
        <v>0</v>
      </c>
      <c r="H10" s="41">
        <v>0</v>
      </c>
      <c r="I10" s="41">
        <v>0</v>
      </c>
      <c r="J10" s="41">
        <v>0</v>
      </c>
      <c r="K10" s="41">
        <v>0</v>
      </c>
      <c r="L10" s="41">
        <v>0</v>
      </c>
      <c r="M10" s="41">
        <v>0</v>
      </c>
      <c r="N10" s="41">
        <v>0</v>
      </c>
      <c r="O10" s="41">
        <v>11</v>
      </c>
      <c r="P10" s="41">
        <v>18</v>
      </c>
      <c r="Q10" s="41">
        <v>0</v>
      </c>
      <c r="R10" s="41">
        <v>100</v>
      </c>
      <c r="S10" s="41">
        <v>1</v>
      </c>
      <c r="T10" s="41">
        <v>0</v>
      </c>
      <c r="U10" s="41">
        <v>4100</v>
      </c>
      <c r="V10" s="41">
        <v>0</v>
      </c>
      <c r="W10" s="41">
        <v>5448</v>
      </c>
      <c r="X10" s="41">
        <v>1868</v>
      </c>
      <c r="Y10" s="41">
        <v>0</v>
      </c>
      <c r="Z10" s="41">
        <v>10668</v>
      </c>
      <c r="AA10" s="41">
        <v>3711</v>
      </c>
      <c r="AB10" s="41">
        <v>0</v>
      </c>
      <c r="AC10" s="41">
        <v>446432</v>
      </c>
      <c r="AD10" s="41">
        <v>0</v>
      </c>
      <c r="AE10" s="41">
        <v>2436</v>
      </c>
      <c r="AF10" s="41">
        <v>942</v>
      </c>
      <c r="AG10" s="41">
        <v>0</v>
      </c>
      <c r="AH10" s="41">
        <v>2503</v>
      </c>
      <c r="AI10" s="41">
        <v>2423</v>
      </c>
      <c r="AJ10" s="41">
        <v>0</v>
      </c>
      <c r="AK10" s="41">
        <v>22614</v>
      </c>
      <c r="AL10" s="41">
        <v>26</v>
      </c>
      <c r="AM10" s="41">
        <v>4</v>
      </c>
      <c r="AN10" s="41">
        <v>0</v>
      </c>
      <c r="AO10" s="41">
        <v>4100</v>
      </c>
      <c r="AP10" s="41">
        <v>100</v>
      </c>
      <c r="AQ10" s="41">
        <v>10269</v>
      </c>
      <c r="AR10" s="41">
        <v>707</v>
      </c>
      <c r="AS10" s="41">
        <v>51</v>
      </c>
      <c r="AT10" s="41">
        <v>446432</v>
      </c>
      <c r="AU10" s="41">
        <v>10668</v>
      </c>
      <c r="AV10" s="41">
        <v>5772</v>
      </c>
      <c r="AW10" s="41">
        <v>4</v>
      </c>
      <c r="AX10" s="41">
        <v>25</v>
      </c>
      <c r="AY10" s="41">
        <v>22614</v>
      </c>
      <c r="AZ10" s="41">
        <v>2503</v>
      </c>
      <c r="BA10" s="41">
        <v>26</v>
      </c>
      <c r="BB10" s="41">
        <v>4</v>
      </c>
      <c r="BC10" s="41">
        <v>0</v>
      </c>
      <c r="BD10" s="41">
        <v>4100</v>
      </c>
      <c r="BE10" s="41">
        <v>100</v>
      </c>
      <c r="BF10" s="41">
        <v>10269</v>
      </c>
      <c r="BG10" s="41">
        <v>707</v>
      </c>
      <c r="BH10" s="41">
        <v>51</v>
      </c>
      <c r="BI10" s="41">
        <v>446432</v>
      </c>
      <c r="BJ10" s="41">
        <v>10668</v>
      </c>
      <c r="BK10" s="41">
        <v>5772</v>
      </c>
      <c r="BL10" s="41">
        <v>4</v>
      </c>
      <c r="BM10" s="41">
        <v>25</v>
      </c>
      <c r="BN10" s="41">
        <v>22614</v>
      </c>
      <c r="BO10" s="41">
        <v>2503</v>
      </c>
      <c r="BP10" s="41">
        <v>7</v>
      </c>
      <c r="BQ10" s="41">
        <v>18</v>
      </c>
      <c r="BR10" s="41">
        <v>0</v>
      </c>
      <c r="BS10" s="41">
        <v>1</v>
      </c>
      <c r="BT10" s="41">
        <v>0</v>
      </c>
      <c r="BU10" s="41">
        <v>4</v>
      </c>
      <c r="BV10" s="41">
        <v>0</v>
      </c>
      <c r="BW10" s="41">
        <v>0</v>
      </c>
      <c r="BX10" s="41">
        <v>4100</v>
      </c>
      <c r="BY10" s="41">
        <v>100</v>
      </c>
      <c r="BZ10" s="41">
        <v>4741</v>
      </c>
      <c r="CA10" s="41">
        <v>1817</v>
      </c>
      <c r="CB10" s="41">
        <v>0</v>
      </c>
      <c r="CC10" s="41">
        <v>3711</v>
      </c>
      <c r="CD10" s="41">
        <v>0</v>
      </c>
      <c r="CE10" s="41">
        <v>707</v>
      </c>
      <c r="CF10" s="41">
        <v>51</v>
      </c>
      <c r="CG10" s="41">
        <v>0</v>
      </c>
      <c r="CH10" s="41">
        <v>446432</v>
      </c>
      <c r="CI10" s="41">
        <v>10668</v>
      </c>
      <c r="CJ10" s="41">
        <v>2432</v>
      </c>
      <c r="CK10" s="41">
        <v>917</v>
      </c>
      <c r="CL10" s="41">
        <v>0</v>
      </c>
      <c r="CM10" s="41">
        <v>2423</v>
      </c>
      <c r="CN10" s="41">
        <v>0</v>
      </c>
      <c r="CO10" s="41">
        <v>4</v>
      </c>
      <c r="CP10" s="41">
        <v>25</v>
      </c>
      <c r="CQ10" s="41">
        <v>0</v>
      </c>
      <c r="CR10" s="41">
        <v>22614</v>
      </c>
      <c r="CS10" s="41">
        <v>2503</v>
      </c>
      <c r="CT10" s="41">
        <v>0</v>
      </c>
      <c r="CU10" s="41">
        <v>0</v>
      </c>
      <c r="CV10" s="41">
        <v>0</v>
      </c>
      <c r="CW10" s="41">
        <v>0</v>
      </c>
      <c r="CX10" s="41">
        <v>2</v>
      </c>
      <c r="CY10" s="41">
        <v>2</v>
      </c>
      <c r="CZ10" s="41">
        <v>0</v>
      </c>
      <c r="DA10" s="41">
        <v>0</v>
      </c>
      <c r="DB10" s="41">
        <v>0</v>
      </c>
      <c r="DC10" s="41">
        <v>0</v>
      </c>
      <c r="DD10" s="41">
        <v>0</v>
      </c>
      <c r="DE10" s="41">
        <v>0</v>
      </c>
      <c r="DF10" s="41">
        <v>0</v>
      </c>
      <c r="DG10" s="41">
        <v>0</v>
      </c>
      <c r="DH10" s="41">
        <v>0</v>
      </c>
      <c r="DI10" s="41">
        <v>0</v>
      </c>
      <c r="DJ10" s="41">
        <v>0</v>
      </c>
      <c r="DK10" s="41">
        <v>0</v>
      </c>
      <c r="DL10" s="41">
        <v>767</v>
      </c>
      <c r="DM10" s="41">
        <v>0</v>
      </c>
      <c r="DN10" s="41">
        <v>0</v>
      </c>
      <c r="DO10" s="41">
        <v>52018</v>
      </c>
      <c r="DP10" s="41">
        <v>28472</v>
      </c>
      <c r="DQ10" s="41">
        <v>80490</v>
      </c>
      <c r="DR10" s="41">
        <v>80490</v>
      </c>
      <c r="DS10" s="41">
        <v>52018</v>
      </c>
      <c r="DT10" s="41">
        <v>28472</v>
      </c>
      <c r="DU10" s="41">
        <v>0</v>
      </c>
      <c r="DV10" s="41">
        <v>0</v>
      </c>
      <c r="DW10" s="41">
        <v>0</v>
      </c>
      <c r="DX10" s="41">
        <v>0</v>
      </c>
      <c r="DY10" s="41">
        <v>0</v>
      </c>
      <c r="DZ10" s="41">
        <v>0</v>
      </c>
      <c r="EA10" s="41">
        <v>0</v>
      </c>
      <c r="EB10" s="41"/>
      <c r="EC10" s="41"/>
      <c r="ED10" s="41"/>
      <c r="EE10" s="41"/>
      <c r="EF10" s="41"/>
      <c r="EG10" s="41"/>
      <c r="EH10" s="41"/>
      <c r="EI10" s="41"/>
      <c r="EJ10" s="41"/>
      <c r="EK10" s="41"/>
      <c r="EL10" s="41"/>
      <c r="EM10" s="41"/>
      <c r="EN10" s="41"/>
      <c r="EO10" s="41"/>
      <c r="EP10" s="41"/>
      <c r="EQ10" s="41"/>
      <c r="ER10" s="41"/>
      <c r="ES10" s="41"/>
      <c r="ET10" s="41"/>
      <c r="EU10" s="41"/>
      <c r="EV10" s="41"/>
      <c r="EW10" s="41"/>
      <c r="EX10" s="41"/>
      <c r="EY10" s="41"/>
      <c r="EZ10" s="41"/>
      <c r="FA10" s="41"/>
      <c r="FB10" s="41"/>
      <c r="FC10" s="41"/>
      <c r="FD10" s="41"/>
      <c r="FE10" s="41"/>
      <c r="FF10" s="41"/>
      <c r="FG10" s="41"/>
      <c r="FH10" s="41"/>
      <c r="FI10" s="41"/>
      <c r="FJ10" s="41"/>
      <c r="FK10" s="41"/>
      <c r="FL10" s="41"/>
      <c r="FM10" s="41"/>
      <c r="FN10" s="41"/>
      <c r="FO10" s="41"/>
      <c r="FP10" s="41"/>
      <c r="FQ10" s="41"/>
      <c r="FR10" s="41"/>
      <c r="FS10" s="41"/>
      <c r="FT10" s="41"/>
      <c r="FU10" s="41"/>
      <c r="FV10" s="41"/>
      <c r="FW10" s="41"/>
      <c r="FX10" s="41"/>
      <c r="FY10" s="41"/>
      <c r="FZ10" s="41"/>
      <c r="GA10" s="41"/>
      <c r="GB10" s="41"/>
      <c r="GC10" s="41"/>
      <c r="GD10" s="41"/>
      <c r="GE10" s="41"/>
      <c r="GF10" s="41"/>
      <c r="GG10" s="41"/>
      <c r="GH10" s="41"/>
      <c r="GI10" s="41"/>
      <c r="GJ10" s="41"/>
      <c r="GK10" s="41"/>
      <c r="GL10" s="41"/>
      <c r="GM10" s="41"/>
      <c r="GN10" s="41"/>
      <c r="GO10" s="41"/>
      <c r="GP10" s="41"/>
      <c r="GQ10" s="41"/>
      <c r="GR10" s="41"/>
      <c r="GS10" s="41"/>
      <c r="GT10" s="41"/>
      <c r="GU10" s="41"/>
      <c r="GV10" s="41"/>
      <c r="GW10" s="41"/>
      <c r="GX10" s="41"/>
      <c r="GY10" s="41"/>
      <c r="GZ10" s="41"/>
      <c r="HA10" s="41"/>
      <c r="HB10" s="41"/>
      <c r="HC10" s="41"/>
      <c r="HD10" s="41"/>
      <c r="HE10" s="41"/>
      <c r="HF10" s="41"/>
      <c r="HG10" s="41"/>
      <c r="HH10" s="41"/>
      <c r="HI10" s="41"/>
      <c r="HJ10" s="41"/>
      <c r="HK10" s="41"/>
      <c r="HL10" s="41"/>
      <c r="HM10" s="41"/>
      <c r="HN10" s="41"/>
      <c r="HO10" s="41"/>
      <c r="HP10" s="41"/>
      <c r="HQ10" s="41"/>
      <c r="HR10" s="41"/>
      <c r="HS10" s="41"/>
      <c r="HT10" s="41"/>
      <c r="HU10" s="41"/>
      <c r="HV10" s="41"/>
      <c r="HW10" s="41"/>
      <c r="HX10" s="41"/>
      <c r="HY10" s="41"/>
      <c r="HZ10" s="41"/>
      <c r="IA10" s="41"/>
      <c r="IB10" s="41"/>
      <c r="IC10" s="41"/>
      <c r="ID10" s="41"/>
      <c r="IE10" s="41"/>
      <c r="IF10" s="41"/>
      <c r="IG10" s="41"/>
      <c r="IH10" s="41"/>
      <c r="II10" s="41"/>
      <c r="IJ10" s="41"/>
      <c r="IK10" s="41"/>
      <c r="IL10" s="41"/>
      <c r="IM10" s="41"/>
      <c r="IN10" s="41"/>
      <c r="IO10" s="41"/>
      <c r="IP10" s="41"/>
      <c r="IQ10" s="41"/>
      <c r="IR10" s="41"/>
      <c r="IS10" s="41"/>
      <c r="IT10" s="41"/>
      <c r="IU10" s="41"/>
      <c r="IV10" s="41"/>
      <c r="IW10" s="41"/>
      <c r="IX10" s="41"/>
      <c r="IY10" s="41"/>
      <c r="IZ10" s="41"/>
      <c r="JA10" s="41"/>
      <c r="JB10" s="41"/>
      <c r="JC10" s="41"/>
      <c r="JD10" s="41"/>
      <c r="JE10" s="41"/>
      <c r="JF10" s="41"/>
      <c r="JG10" s="41"/>
      <c r="JH10" s="41"/>
      <c r="JI10" s="41"/>
      <c r="JJ10" s="41"/>
      <c r="JK10" s="41"/>
      <c r="JL10" s="41"/>
      <c r="JM10" s="41"/>
      <c r="JN10" s="41"/>
      <c r="JO10" s="41"/>
      <c r="JP10" s="41"/>
      <c r="JQ10" s="41"/>
      <c r="JR10" s="41"/>
      <c r="JS10" s="41"/>
      <c r="JT10" s="41"/>
      <c r="JU10" s="41"/>
      <c r="JV10" s="41"/>
      <c r="JW10" s="41"/>
      <c r="JX10" s="41"/>
      <c r="JY10" s="41"/>
      <c r="JZ10" s="41"/>
      <c r="KA10" s="41"/>
      <c r="KB10" s="41"/>
      <c r="KC10" s="41"/>
      <c r="KD10" s="41"/>
      <c r="KE10" s="41"/>
      <c r="KF10" s="41"/>
      <c r="KG10" s="41"/>
      <c r="KH10" s="41"/>
      <c r="KI10" s="41"/>
      <c r="KJ10" s="41"/>
      <c r="KK10" s="41"/>
      <c r="KL10" s="41"/>
      <c r="KM10" s="41"/>
      <c r="KN10" s="41"/>
      <c r="KO10" s="41"/>
      <c r="KP10" s="41"/>
      <c r="KQ10" s="41"/>
      <c r="KR10" s="41"/>
      <c r="KS10" s="41"/>
      <c r="KT10" s="41"/>
      <c r="KU10" s="41"/>
      <c r="KV10" s="41"/>
      <c r="KW10" s="41"/>
      <c r="KX10" s="41"/>
      <c r="KY10" s="41"/>
      <c r="KZ10" s="41"/>
    </row>
    <row r="11" spans="1:312" ht="15.5" x14ac:dyDescent="0.35">
      <c r="B11" s="40">
        <f t="shared" si="0"/>
        <v>44044</v>
      </c>
      <c r="C11" s="19">
        <v>202008</v>
      </c>
      <c r="D11" s="41">
        <v>4124</v>
      </c>
      <c r="E11" s="41">
        <v>0</v>
      </c>
      <c r="F11" s="41">
        <v>0</v>
      </c>
      <c r="G11" s="41">
        <v>0</v>
      </c>
      <c r="H11" s="41">
        <v>0</v>
      </c>
      <c r="I11" s="41">
        <v>0</v>
      </c>
      <c r="J11" s="41">
        <v>0</v>
      </c>
      <c r="K11" s="41">
        <v>0</v>
      </c>
      <c r="L11" s="41">
        <v>0</v>
      </c>
      <c r="M11" s="41">
        <v>0</v>
      </c>
      <c r="N11" s="41">
        <v>0</v>
      </c>
      <c r="O11" s="41">
        <v>0</v>
      </c>
      <c r="P11" s="41">
        <v>23</v>
      </c>
      <c r="Q11" s="41">
        <v>0</v>
      </c>
      <c r="R11" s="41">
        <v>91</v>
      </c>
      <c r="S11" s="41">
        <v>0</v>
      </c>
      <c r="T11" s="41">
        <v>0</v>
      </c>
      <c r="U11" s="41">
        <v>96</v>
      </c>
      <c r="V11" s="41">
        <v>0</v>
      </c>
      <c r="W11" s="41">
        <v>34</v>
      </c>
      <c r="X11" s="41">
        <v>1746</v>
      </c>
      <c r="Y11" s="41">
        <v>0</v>
      </c>
      <c r="Z11" s="41">
        <v>10329</v>
      </c>
      <c r="AA11" s="41">
        <v>2143</v>
      </c>
      <c r="AB11" s="41">
        <v>0</v>
      </c>
      <c r="AC11" s="41">
        <v>4568</v>
      </c>
      <c r="AD11" s="41">
        <v>0</v>
      </c>
      <c r="AE11" s="41">
        <v>17</v>
      </c>
      <c r="AF11" s="41">
        <v>851</v>
      </c>
      <c r="AG11" s="41">
        <v>0</v>
      </c>
      <c r="AH11" s="41">
        <v>2428</v>
      </c>
      <c r="AI11" s="41">
        <v>1682</v>
      </c>
      <c r="AJ11" s="41">
        <v>0</v>
      </c>
      <c r="AK11" s="41">
        <v>1367</v>
      </c>
      <c r="AL11" s="41">
        <v>23</v>
      </c>
      <c r="AM11" s="41">
        <v>0</v>
      </c>
      <c r="AN11" s="41">
        <v>0</v>
      </c>
      <c r="AO11" s="41">
        <v>96</v>
      </c>
      <c r="AP11" s="41">
        <v>91</v>
      </c>
      <c r="AQ11" s="41">
        <v>3889</v>
      </c>
      <c r="AR11" s="41">
        <v>0</v>
      </c>
      <c r="AS11" s="41">
        <v>34</v>
      </c>
      <c r="AT11" s="41">
        <v>4568</v>
      </c>
      <c r="AU11" s="41">
        <v>10329</v>
      </c>
      <c r="AV11" s="41">
        <v>2533</v>
      </c>
      <c r="AW11" s="41">
        <v>0</v>
      </c>
      <c r="AX11" s="41">
        <v>17</v>
      </c>
      <c r="AY11" s="41">
        <v>1367</v>
      </c>
      <c r="AZ11" s="41">
        <v>2428</v>
      </c>
      <c r="BA11" s="41">
        <v>23</v>
      </c>
      <c r="BB11" s="41">
        <v>0</v>
      </c>
      <c r="BC11" s="41">
        <v>0</v>
      </c>
      <c r="BD11" s="41">
        <v>96</v>
      </c>
      <c r="BE11" s="41">
        <v>91</v>
      </c>
      <c r="BF11" s="41">
        <v>3889</v>
      </c>
      <c r="BG11" s="41">
        <v>0</v>
      </c>
      <c r="BH11" s="41">
        <v>34</v>
      </c>
      <c r="BI11" s="41">
        <v>4568</v>
      </c>
      <c r="BJ11" s="41">
        <v>10329</v>
      </c>
      <c r="BK11" s="41">
        <v>2533</v>
      </c>
      <c r="BL11" s="41">
        <v>0</v>
      </c>
      <c r="BM11" s="41">
        <v>17</v>
      </c>
      <c r="BN11" s="41">
        <v>1367</v>
      </c>
      <c r="BO11" s="41">
        <v>2428</v>
      </c>
      <c r="BP11" s="41">
        <v>0</v>
      </c>
      <c r="BQ11" s="41">
        <v>23</v>
      </c>
      <c r="BR11" s="41">
        <v>0</v>
      </c>
      <c r="BS11" s="41">
        <v>0</v>
      </c>
      <c r="BT11" s="41">
        <v>0</v>
      </c>
      <c r="BU11" s="41">
        <v>0</v>
      </c>
      <c r="BV11" s="41">
        <v>0</v>
      </c>
      <c r="BW11" s="41">
        <v>0</v>
      </c>
      <c r="BX11" s="41">
        <v>96</v>
      </c>
      <c r="BY11" s="41">
        <v>91</v>
      </c>
      <c r="BZ11" s="41">
        <v>34</v>
      </c>
      <c r="CA11" s="41">
        <v>1712</v>
      </c>
      <c r="CB11" s="41">
        <v>0</v>
      </c>
      <c r="CC11" s="41">
        <v>2143</v>
      </c>
      <c r="CD11" s="41">
        <v>0</v>
      </c>
      <c r="CE11" s="41">
        <v>0</v>
      </c>
      <c r="CF11" s="41">
        <v>34</v>
      </c>
      <c r="CG11" s="41">
        <v>0</v>
      </c>
      <c r="CH11" s="41">
        <v>4568</v>
      </c>
      <c r="CI11" s="41">
        <v>10329</v>
      </c>
      <c r="CJ11" s="41">
        <v>17</v>
      </c>
      <c r="CK11" s="41">
        <v>834</v>
      </c>
      <c r="CL11" s="41">
        <v>0</v>
      </c>
      <c r="CM11" s="41">
        <v>1682</v>
      </c>
      <c r="CN11" s="41">
        <v>0</v>
      </c>
      <c r="CO11" s="41">
        <v>0</v>
      </c>
      <c r="CP11" s="41">
        <v>17</v>
      </c>
      <c r="CQ11" s="41">
        <v>0</v>
      </c>
      <c r="CR11" s="41">
        <v>1367</v>
      </c>
      <c r="CS11" s="41">
        <v>2428</v>
      </c>
      <c r="CT11" s="41">
        <v>0</v>
      </c>
      <c r="CU11" s="41">
        <v>0</v>
      </c>
      <c r="CV11" s="41">
        <v>0</v>
      </c>
      <c r="CW11" s="41">
        <v>0</v>
      </c>
      <c r="CX11" s="41">
        <v>0</v>
      </c>
      <c r="CY11" s="41">
        <v>0</v>
      </c>
      <c r="CZ11" s="41">
        <v>0</v>
      </c>
      <c r="DA11" s="41">
        <v>0</v>
      </c>
      <c r="DB11" s="41">
        <v>0</v>
      </c>
      <c r="DC11" s="41">
        <v>0</v>
      </c>
      <c r="DD11" s="41">
        <v>0</v>
      </c>
      <c r="DE11" s="41">
        <v>0</v>
      </c>
      <c r="DF11" s="41">
        <v>0</v>
      </c>
      <c r="DG11" s="41">
        <v>0</v>
      </c>
      <c r="DH11" s="41">
        <v>0</v>
      </c>
      <c r="DI11" s="41">
        <v>0</v>
      </c>
      <c r="DJ11" s="41">
        <v>0</v>
      </c>
      <c r="DK11" s="41">
        <v>0</v>
      </c>
      <c r="DL11" s="41">
        <v>716</v>
      </c>
      <c r="DM11" s="41">
        <v>0</v>
      </c>
      <c r="DN11" s="41">
        <v>0</v>
      </c>
      <c r="DO11" s="41">
        <v>28715</v>
      </c>
      <c r="DP11" s="41">
        <v>15107</v>
      </c>
      <c r="DQ11" s="41">
        <v>43822</v>
      </c>
      <c r="DR11" s="41">
        <v>43822</v>
      </c>
      <c r="DS11" s="41">
        <v>28715</v>
      </c>
      <c r="DT11" s="41">
        <v>15107</v>
      </c>
      <c r="DU11" s="41">
        <v>0</v>
      </c>
      <c r="DV11" s="41">
        <v>0</v>
      </c>
      <c r="DW11" s="41">
        <v>0</v>
      </c>
      <c r="DX11" s="41">
        <v>0</v>
      </c>
      <c r="DY11" s="41">
        <v>0</v>
      </c>
      <c r="DZ11" s="41">
        <v>0</v>
      </c>
      <c r="EA11" s="41">
        <v>0</v>
      </c>
      <c r="EB11" s="41"/>
      <c r="EC11" s="41"/>
      <c r="ED11" s="41"/>
      <c r="EE11" s="41"/>
      <c r="EF11" s="41"/>
      <c r="EG11" s="41"/>
      <c r="EH11" s="41"/>
      <c r="EI11" s="41"/>
      <c r="EJ11" s="41"/>
      <c r="EK11" s="41"/>
      <c r="EL11" s="41"/>
      <c r="EM11" s="41"/>
      <c r="EN11" s="41"/>
      <c r="EO11" s="41"/>
      <c r="EP11" s="41"/>
      <c r="EQ11" s="41"/>
      <c r="ER11" s="41"/>
      <c r="ES11" s="41"/>
      <c r="ET11" s="41"/>
      <c r="EU11" s="41"/>
      <c r="EV11" s="41"/>
      <c r="EW11" s="41"/>
      <c r="EX11" s="41"/>
      <c r="EY11" s="41"/>
      <c r="EZ11" s="41"/>
      <c r="FA11" s="41"/>
      <c r="FB11" s="41"/>
      <c r="FC11" s="41"/>
      <c r="FD11" s="41"/>
      <c r="FE11" s="41"/>
      <c r="FF11" s="41"/>
      <c r="FG11" s="41"/>
      <c r="FH11" s="41"/>
      <c r="FI11" s="41"/>
      <c r="FJ11" s="41"/>
      <c r="FK11" s="41"/>
      <c r="FL11" s="41"/>
      <c r="FM11" s="41"/>
      <c r="FN11" s="41"/>
      <c r="FO11" s="41"/>
      <c r="FP11" s="41"/>
      <c r="FQ11" s="41"/>
      <c r="FR11" s="41"/>
      <c r="FS11" s="41"/>
      <c r="FT11" s="41"/>
      <c r="FU11" s="41"/>
      <c r="FV11" s="41"/>
      <c r="FW11" s="41"/>
      <c r="FX11" s="41"/>
      <c r="FY11" s="41"/>
      <c r="FZ11" s="41"/>
      <c r="GA11" s="41"/>
      <c r="GB11" s="41"/>
      <c r="GC11" s="41"/>
      <c r="GD11" s="41"/>
      <c r="GE11" s="41"/>
      <c r="GF11" s="41"/>
      <c r="GG11" s="41"/>
      <c r="GH11" s="41"/>
      <c r="GI11" s="41"/>
      <c r="GJ11" s="41"/>
      <c r="GK11" s="41"/>
      <c r="GL11" s="41"/>
      <c r="GM11" s="41"/>
      <c r="GN11" s="41"/>
      <c r="GO11" s="41"/>
      <c r="GP11" s="41"/>
      <c r="GQ11" s="41"/>
      <c r="GR11" s="41"/>
      <c r="GS11" s="41"/>
      <c r="GT11" s="41"/>
      <c r="GU11" s="41"/>
      <c r="GV11" s="41"/>
      <c r="GW11" s="41"/>
      <c r="GX11" s="41"/>
      <c r="GY11" s="41"/>
      <c r="GZ11" s="41"/>
      <c r="HA11" s="41"/>
      <c r="HB11" s="41"/>
      <c r="HC11" s="41"/>
      <c r="HD11" s="41"/>
      <c r="HE11" s="41"/>
      <c r="HF11" s="41"/>
      <c r="HG11" s="41"/>
      <c r="HH11" s="41"/>
      <c r="HI11" s="41"/>
      <c r="HJ11" s="41"/>
      <c r="HK11" s="41"/>
      <c r="HL11" s="41"/>
      <c r="HM11" s="41"/>
      <c r="HN11" s="41"/>
      <c r="HO11" s="41"/>
      <c r="HP11" s="41"/>
      <c r="HQ11" s="41"/>
      <c r="HR11" s="41"/>
      <c r="HS11" s="41"/>
      <c r="HT11" s="41"/>
      <c r="HU11" s="41"/>
      <c r="HV11" s="41"/>
      <c r="HW11" s="41"/>
      <c r="HX11" s="41"/>
      <c r="HY11" s="41"/>
      <c r="HZ11" s="41"/>
      <c r="IA11" s="41"/>
      <c r="IB11" s="41"/>
      <c r="IC11" s="41"/>
      <c r="ID11" s="41"/>
      <c r="IE11" s="41"/>
      <c r="IF11" s="41"/>
      <c r="IG11" s="41"/>
      <c r="IH11" s="41"/>
      <c r="II11" s="41"/>
      <c r="IJ11" s="41"/>
      <c r="IK11" s="41"/>
      <c r="IL11" s="41"/>
      <c r="IM11" s="41"/>
      <c r="IN11" s="41"/>
      <c r="IO11" s="41"/>
      <c r="IP11" s="41"/>
      <c r="IQ11" s="41"/>
      <c r="IR11" s="41"/>
      <c r="IS11" s="41"/>
      <c r="IT11" s="41"/>
      <c r="IU11" s="41"/>
      <c r="IV11" s="41"/>
      <c r="IW11" s="41"/>
      <c r="IX11" s="41"/>
      <c r="IY11" s="41"/>
      <c r="IZ11" s="41"/>
      <c r="JA11" s="41"/>
      <c r="JB11" s="41"/>
      <c r="JC11" s="41"/>
      <c r="JD11" s="41"/>
      <c r="JE11" s="41"/>
      <c r="JF11" s="41"/>
      <c r="JG11" s="41"/>
      <c r="JH11" s="41"/>
      <c r="JI11" s="41"/>
      <c r="JJ11" s="41"/>
      <c r="JK11" s="41"/>
      <c r="JL11" s="41"/>
      <c r="JM11" s="41"/>
      <c r="JN11" s="41"/>
      <c r="JO11" s="41"/>
      <c r="JP11" s="41"/>
      <c r="JQ11" s="41"/>
      <c r="JR11" s="41"/>
      <c r="JS11" s="41"/>
      <c r="JT11" s="41"/>
      <c r="JU11" s="41"/>
      <c r="JV11" s="41"/>
      <c r="JW11" s="41"/>
      <c r="JX11" s="41"/>
      <c r="JY11" s="41"/>
      <c r="JZ11" s="41"/>
      <c r="KA11" s="41"/>
      <c r="KB11" s="41"/>
      <c r="KC11" s="41"/>
      <c r="KD11" s="41"/>
      <c r="KE11" s="41"/>
      <c r="KF11" s="41"/>
      <c r="KG11" s="41"/>
      <c r="KH11" s="41"/>
      <c r="KI11" s="41"/>
      <c r="KJ11" s="41"/>
      <c r="KK11" s="41"/>
      <c r="KL11" s="41"/>
      <c r="KM11" s="41"/>
      <c r="KN11" s="41"/>
      <c r="KO11" s="41"/>
      <c r="KP11" s="41"/>
      <c r="KQ11" s="41"/>
      <c r="KR11" s="41"/>
      <c r="KS11" s="41"/>
      <c r="KT11" s="41"/>
      <c r="KU11" s="41"/>
      <c r="KV11" s="41"/>
      <c r="KW11" s="41"/>
      <c r="KX11" s="41"/>
      <c r="KY11" s="41"/>
      <c r="KZ11" s="41"/>
    </row>
    <row r="12" spans="1:312" ht="15.5" x14ac:dyDescent="0.35">
      <c r="B12" s="40">
        <f t="shared" si="0"/>
        <v>44075</v>
      </c>
      <c r="C12" s="19">
        <v>202009</v>
      </c>
      <c r="D12" s="41">
        <v>4894</v>
      </c>
      <c r="E12" s="41">
        <v>0</v>
      </c>
      <c r="F12" s="41">
        <v>0</v>
      </c>
      <c r="G12" s="41">
        <v>0</v>
      </c>
      <c r="H12" s="41">
        <v>0</v>
      </c>
      <c r="I12" s="41">
        <v>0</v>
      </c>
      <c r="J12" s="41">
        <v>0</v>
      </c>
      <c r="K12" s="41">
        <v>0</v>
      </c>
      <c r="L12" s="41">
        <v>0</v>
      </c>
      <c r="M12" s="41">
        <v>0</v>
      </c>
      <c r="N12" s="41">
        <v>0</v>
      </c>
      <c r="O12" s="41">
        <v>0</v>
      </c>
      <c r="P12" s="41">
        <v>3</v>
      </c>
      <c r="Q12" s="41">
        <v>0</v>
      </c>
      <c r="R12" s="41">
        <v>95</v>
      </c>
      <c r="S12" s="41">
        <v>0</v>
      </c>
      <c r="T12" s="41">
        <v>0</v>
      </c>
      <c r="U12" s="41">
        <v>7</v>
      </c>
      <c r="V12" s="41">
        <v>0</v>
      </c>
      <c r="W12" s="41">
        <v>0</v>
      </c>
      <c r="X12" s="41">
        <v>1034</v>
      </c>
      <c r="Y12" s="41">
        <v>0</v>
      </c>
      <c r="Z12" s="41">
        <v>9799</v>
      </c>
      <c r="AA12" s="41">
        <v>0</v>
      </c>
      <c r="AB12" s="41">
        <v>0</v>
      </c>
      <c r="AC12" s="41">
        <v>381</v>
      </c>
      <c r="AD12" s="41">
        <v>0</v>
      </c>
      <c r="AE12" s="41">
        <v>0</v>
      </c>
      <c r="AF12" s="41">
        <v>497</v>
      </c>
      <c r="AG12" s="41">
        <v>0</v>
      </c>
      <c r="AH12" s="41">
        <v>2326</v>
      </c>
      <c r="AI12" s="41">
        <v>0</v>
      </c>
      <c r="AJ12" s="41">
        <v>0</v>
      </c>
      <c r="AK12" s="41">
        <v>318</v>
      </c>
      <c r="AL12" s="41">
        <v>3</v>
      </c>
      <c r="AM12" s="41">
        <v>0</v>
      </c>
      <c r="AN12" s="41">
        <v>0</v>
      </c>
      <c r="AO12" s="41">
        <v>7</v>
      </c>
      <c r="AP12" s="41">
        <v>95</v>
      </c>
      <c r="AQ12" s="41">
        <v>1032</v>
      </c>
      <c r="AR12" s="41">
        <v>0</v>
      </c>
      <c r="AS12" s="41">
        <v>2</v>
      </c>
      <c r="AT12" s="41">
        <v>381</v>
      </c>
      <c r="AU12" s="41">
        <v>9799</v>
      </c>
      <c r="AV12" s="41">
        <v>496</v>
      </c>
      <c r="AW12" s="41">
        <v>0</v>
      </c>
      <c r="AX12" s="41">
        <v>1</v>
      </c>
      <c r="AY12" s="41">
        <v>318</v>
      </c>
      <c r="AZ12" s="41">
        <v>2326</v>
      </c>
      <c r="BA12" s="41">
        <v>3</v>
      </c>
      <c r="BB12" s="41">
        <v>0</v>
      </c>
      <c r="BC12" s="41">
        <v>0</v>
      </c>
      <c r="BD12" s="41">
        <v>7</v>
      </c>
      <c r="BE12" s="41">
        <v>95</v>
      </c>
      <c r="BF12" s="41">
        <v>1032</v>
      </c>
      <c r="BG12" s="41">
        <v>0</v>
      </c>
      <c r="BH12" s="41">
        <v>2</v>
      </c>
      <c r="BI12" s="41">
        <v>381</v>
      </c>
      <c r="BJ12" s="41">
        <v>9799</v>
      </c>
      <c r="BK12" s="41">
        <v>496</v>
      </c>
      <c r="BL12" s="41">
        <v>0</v>
      </c>
      <c r="BM12" s="41">
        <v>1</v>
      </c>
      <c r="BN12" s="41">
        <v>318</v>
      </c>
      <c r="BO12" s="41">
        <v>2326</v>
      </c>
      <c r="BP12" s="41">
        <v>0</v>
      </c>
      <c r="BQ12" s="41">
        <v>3</v>
      </c>
      <c r="BR12" s="41">
        <v>0</v>
      </c>
      <c r="BS12" s="41">
        <v>0</v>
      </c>
      <c r="BT12" s="41">
        <v>0</v>
      </c>
      <c r="BU12" s="41">
        <v>0</v>
      </c>
      <c r="BV12" s="41">
        <v>0</v>
      </c>
      <c r="BW12" s="41">
        <v>0</v>
      </c>
      <c r="BX12" s="41">
        <v>7</v>
      </c>
      <c r="BY12" s="41">
        <v>95</v>
      </c>
      <c r="BZ12" s="41">
        <v>0</v>
      </c>
      <c r="CA12" s="41">
        <v>1032</v>
      </c>
      <c r="CB12" s="41">
        <v>0</v>
      </c>
      <c r="CC12" s="41">
        <v>0</v>
      </c>
      <c r="CD12" s="41">
        <v>0</v>
      </c>
      <c r="CE12" s="41">
        <v>0</v>
      </c>
      <c r="CF12" s="41">
        <v>2</v>
      </c>
      <c r="CG12" s="41">
        <v>0</v>
      </c>
      <c r="CH12" s="41">
        <v>381</v>
      </c>
      <c r="CI12" s="41">
        <v>9799</v>
      </c>
      <c r="CJ12" s="41">
        <v>0</v>
      </c>
      <c r="CK12" s="41">
        <v>496</v>
      </c>
      <c r="CL12" s="41">
        <v>0</v>
      </c>
      <c r="CM12" s="41">
        <v>0</v>
      </c>
      <c r="CN12" s="41">
        <v>0</v>
      </c>
      <c r="CO12" s="41">
        <v>0</v>
      </c>
      <c r="CP12" s="41">
        <v>1</v>
      </c>
      <c r="CQ12" s="41">
        <v>0</v>
      </c>
      <c r="CR12" s="41">
        <v>318</v>
      </c>
      <c r="CS12" s="41">
        <v>2326</v>
      </c>
      <c r="CT12" s="41">
        <v>0</v>
      </c>
      <c r="CU12" s="41">
        <v>0</v>
      </c>
      <c r="CV12" s="41">
        <v>0</v>
      </c>
      <c r="CW12" s="41">
        <v>0</v>
      </c>
      <c r="CX12" s="41">
        <v>28319190</v>
      </c>
      <c r="CY12" s="41">
        <v>28319190</v>
      </c>
      <c r="CZ12" s="41">
        <v>0</v>
      </c>
      <c r="DA12" s="41">
        <v>0</v>
      </c>
      <c r="DB12" s="41">
        <v>0</v>
      </c>
      <c r="DC12" s="41">
        <v>0</v>
      </c>
      <c r="DD12" s="41">
        <v>0</v>
      </c>
      <c r="DE12" s="41">
        <v>0</v>
      </c>
      <c r="DF12" s="41">
        <v>0</v>
      </c>
      <c r="DG12" s="41">
        <v>0</v>
      </c>
      <c r="DH12" s="41">
        <v>0</v>
      </c>
      <c r="DI12" s="41">
        <v>0</v>
      </c>
      <c r="DJ12" s="41">
        <v>0</v>
      </c>
      <c r="DK12" s="41">
        <v>0</v>
      </c>
      <c r="DL12" s="41">
        <v>704</v>
      </c>
      <c r="DM12" s="41">
        <v>0</v>
      </c>
      <c r="DN12" s="41">
        <v>0</v>
      </c>
      <c r="DO12" s="41">
        <v>57011</v>
      </c>
      <c r="DP12" s="41">
        <v>11810</v>
      </c>
      <c r="DQ12" s="41">
        <v>68821</v>
      </c>
      <c r="DR12" s="41">
        <v>68821</v>
      </c>
      <c r="DS12" s="41">
        <v>57011</v>
      </c>
      <c r="DT12" s="41">
        <v>11810</v>
      </c>
      <c r="DU12" s="41">
        <v>0</v>
      </c>
      <c r="DV12" s="41">
        <v>0</v>
      </c>
      <c r="DW12" s="41">
        <v>0</v>
      </c>
      <c r="DX12" s="41">
        <v>0</v>
      </c>
      <c r="DY12" s="41">
        <v>0</v>
      </c>
      <c r="DZ12" s="41">
        <v>0</v>
      </c>
      <c r="EA12" s="41">
        <v>0</v>
      </c>
      <c r="EB12" s="41"/>
      <c r="EC12" s="41"/>
      <c r="ED12" s="41"/>
      <c r="EE12" s="41"/>
      <c r="EF12" s="41"/>
      <c r="EG12" s="41"/>
      <c r="EH12" s="41"/>
      <c r="EI12" s="41"/>
      <c r="EJ12" s="41"/>
      <c r="EK12" s="41"/>
      <c r="EL12" s="41"/>
      <c r="EM12" s="41"/>
      <c r="EN12" s="41"/>
      <c r="EO12" s="41"/>
      <c r="EP12" s="41"/>
      <c r="EQ12" s="41"/>
      <c r="ER12" s="41"/>
      <c r="ES12" s="41"/>
      <c r="ET12" s="41"/>
      <c r="EU12" s="41"/>
      <c r="EV12" s="41"/>
      <c r="EW12" s="41"/>
      <c r="EX12" s="41"/>
      <c r="EY12" s="41"/>
      <c r="EZ12" s="41"/>
      <c r="FA12" s="41"/>
      <c r="FB12" s="41"/>
      <c r="FC12" s="41"/>
      <c r="FD12" s="41"/>
      <c r="FE12" s="41"/>
      <c r="FF12" s="41"/>
      <c r="FG12" s="41"/>
      <c r="FH12" s="41"/>
      <c r="FI12" s="41"/>
      <c r="FJ12" s="41"/>
      <c r="FK12" s="41"/>
      <c r="FL12" s="41"/>
      <c r="FM12" s="41"/>
      <c r="FN12" s="41"/>
      <c r="FO12" s="41"/>
      <c r="FP12" s="41"/>
      <c r="FQ12" s="41"/>
      <c r="FR12" s="41"/>
      <c r="FS12" s="41"/>
      <c r="FT12" s="41"/>
      <c r="FU12" s="41"/>
      <c r="FV12" s="41"/>
      <c r="FW12" s="41"/>
      <c r="FX12" s="41"/>
      <c r="FY12" s="41"/>
      <c r="FZ12" s="41"/>
      <c r="GA12" s="41"/>
      <c r="GB12" s="41"/>
      <c r="GC12" s="41"/>
      <c r="GD12" s="41"/>
      <c r="GE12" s="41"/>
      <c r="GF12" s="41"/>
      <c r="GG12" s="41"/>
      <c r="GH12" s="41"/>
      <c r="GI12" s="41"/>
      <c r="GJ12" s="41"/>
      <c r="GK12" s="41"/>
      <c r="GL12" s="41"/>
      <c r="GM12" s="41"/>
      <c r="GN12" s="41"/>
      <c r="GO12" s="41"/>
      <c r="GP12" s="41"/>
      <c r="GQ12" s="41"/>
      <c r="GR12" s="41"/>
      <c r="GS12" s="41"/>
      <c r="GT12" s="41"/>
      <c r="GU12" s="41"/>
      <c r="GV12" s="41"/>
      <c r="GW12" s="41"/>
      <c r="GX12" s="41"/>
      <c r="GY12" s="41"/>
      <c r="GZ12" s="41"/>
      <c r="HA12" s="41"/>
      <c r="HB12" s="41"/>
      <c r="HC12" s="41"/>
      <c r="HD12" s="41"/>
      <c r="HE12" s="41"/>
      <c r="HF12" s="41"/>
      <c r="HG12" s="41"/>
      <c r="HH12" s="41"/>
      <c r="HI12" s="41"/>
      <c r="HJ12" s="41"/>
      <c r="HK12" s="41"/>
      <c r="HL12" s="41"/>
      <c r="HM12" s="41"/>
      <c r="HN12" s="41"/>
      <c r="HO12" s="41"/>
      <c r="HP12" s="41"/>
      <c r="HQ12" s="41"/>
      <c r="HR12" s="41"/>
      <c r="HS12" s="41"/>
      <c r="HT12" s="41"/>
      <c r="HU12" s="41"/>
      <c r="HV12" s="41"/>
      <c r="HW12" s="41"/>
      <c r="HX12" s="41"/>
      <c r="HY12" s="41"/>
      <c r="HZ12" s="41"/>
      <c r="IA12" s="41"/>
      <c r="IB12" s="41"/>
      <c r="IC12" s="41"/>
      <c r="ID12" s="41"/>
      <c r="IE12" s="41"/>
      <c r="IF12" s="41"/>
      <c r="IG12" s="41"/>
      <c r="IH12" s="41"/>
      <c r="II12" s="41"/>
      <c r="IJ12" s="41"/>
      <c r="IK12" s="41"/>
      <c r="IL12" s="41"/>
      <c r="IM12" s="41"/>
      <c r="IN12" s="41"/>
      <c r="IO12" s="41"/>
      <c r="IP12" s="41"/>
      <c r="IQ12" s="41"/>
      <c r="IR12" s="41"/>
      <c r="IS12" s="41"/>
      <c r="IT12" s="41"/>
      <c r="IU12" s="41"/>
      <c r="IV12" s="41"/>
      <c r="IW12" s="41"/>
      <c r="IX12" s="41"/>
      <c r="IY12" s="41"/>
      <c r="IZ12" s="41"/>
      <c r="JA12" s="41"/>
      <c r="JB12" s="41"/>
      <c r="JC12" s="41"/>
      <c r="JD12" s="41"/>
      <c r="JE12" s="41"/>
      <c r="JF12" s="41"/>
      <c r="JG12" s="41"/>
      <c r="JH12" s="41"/>
      <c r="JI12" s="41"/>
      <c r="JJ12" s="41"/>
      <c r="JK12" s="41"/>
      <c r="JL12" s="41"/>
      <c r="JM12" s="41"/>
      <c r="JN12" s="41"/>
      <c r="JO12" s="41"/>
      <c r="JP12" s="41"/>
      <c r="JQ12" s="41"/>
      <c r="JR12" s="41"/>
      <c r="JS12" s="41"/>
      <c r="JT12" s="41"/>
      <c r="JU12" s="41"/>
      <c r="JV12" s="41"/>
      <c r="JW12" s="41"/>
      <c r="JX12" s="41"/>
      <c r="JY12" s="41"/>
      <c r="JZ12" s="41"/>
      <c r="KA12" s="41"/>
      <c r="KB12" s="41"/>
      <c r="KC12" s="41"/>
      <c r="KD12" s="41"/>
      <c r="KE12" s="41"/>
      <c r="KF12" s="41"/>
      <c r="KG12" s="41"/>
      <c r="KH12" s="41"/>
      <c r="KI12" s="41"/>
      <c r="KJ12" s="41"/>
      <c r="KK12" s="41"/>
      <c r="KL12" s="41"/>
      <c r="KM12" s="41"/>
      <c r="KN12" s="41"/>
      <c r="KO12" s="41"/>
      <c r="KP12" s="41"/>
      <c r="KQ12" s="41"/>
      <c r="KR12" s="41"/>
      <c r="KS12" s="41"/>
      <c r="KT12" s="41"/>
      <c r="KU12" s="41"/>
      <c r="KV12" s="41"/>
      <c r="KW12" s="41"/>
      <c r="KX12" s="41"/>
      <c r="KY12" s="41"/>
      <c r="KZ12" s="41"/>
    </row>
    <row r="13" spans="1:312" ht="15.5" x14ac:dyDescent="0.35">
      <c r="B13" s="40">
        <f t="shared" si="0"/>
        <v>44105</v>
      </c>
      <c r="C13" s="19">
        <v>202010</v>
      </c>
      <c r="D13" s="41">
        <v>4805</v>
      </c>
      <c r="E13" s="41">
        <v>0</v>
      </c>
      <c r="F13" s="41">
        <v>0</v>
      </c>
      <c r="G13" s="41">
        <v>0</v>
      </c>
      <c r="H13" s="41">
        <v>0</v>
      </c>
      <c r="I13" s="41">
        <v>0</v>
      </c>
      <c r="J13" s="41">
        <v>0</v>
      </c>
      <c r="K13" s="41">
        <v>0</v>
      </c>
      <c r="L13" s="41">
        <v>0</v>
      </c>
      <c r="M13" s="41">
        <v>0</v>
      </c>
      <c r="N13" s="41">
        <v>0</v>
      </c>
      <c r="O13" s="41">
        <v>3</v>
      </c>
      <c r="P13" s="41">
        <v>3</v>
      </c>
      <c r="Q13" s="41">
        <v>0</v>
      </c>
      <c r="R13" s="41">
        <v>55</v>
      </c>
      <c r="S13" s="41">
        <v>6</v>
      </c>
      <c r="T13" s="41">
        <v>0</v>
      </c>
      <c r="U13" s="41">
        <v>1684</v>
      </c>
      <c r="V13" s="41">
        <v>0</v>
      </c>
      <c r="W13" s="41">
        <v>1255</v>
      </c>
      <c r="X13" s="41">
        <v>996</v>
      </c>
      <c r="Y13" s="41">
        <v>11979</v>
      </c>
      <c r="Z13" s="41">
        <v>8220</v>
      </c>
      <c r="AA13" s="41">
        <v>2268</v>
      </c>
      <c r="AB13" s="41">
        <v>0</v>
      </c>
      <c r="AC13" s="41">
        <v>162424</v>
      </c>
      <c r="AD13" s="41">
        <v>0</v>
      </c>
      <c r="AE13" s="41">
        <v>537</v>
      </c>
      <c r="AF13" s="41">
        <v>495</v>
      </c>
      <c r="AG13" s="41">
        <v>1166</v>
      </c>
      <c r="AH13" s="41">
        <v>1956</v>
      </c>
      <c r="AI13" s="41">
        <v>1713</v>
      </c>
      <c r="AJ13" s="41">
        <v>0</v>
      </c>
      <c r="AK13" s="41">
        <v>6973</v>
      </c>
      <c r="AL13" s="41">
        <v>12</v>
      </c>
      <c r="AM13" s="41">
        <v>0</v>
      </c>
      <c r="AN13" s="41">
        <v>0</v>
      </c>
      <c r="AO13" s="41">
        <v>1684</v>
      </c>
      <c r="AP13" s="41">
        <v>55</v>
      </c>
      <c r="AQ13" s="41">
        <v>16494</v>
      </c>
      <c r="AR13" s="41">
        <v>0</v>
      </c>
      <c r="AS13" s="41">
        <v>4</v>
      </c>
      <c r="AT13" s="41">
        <v>162424</v>
      </c>
      <c r="AU13" s="41">
        <v>8220</v>
      </c>
      <c r="AV13" s="41">
        <v>3909</v>
      </c>
      <c r="AW13" s="41">
        <v>0</v>
      </c>
      <c r="AX13" s="41">
        <v>2</v>
      </c>
      <c r="AY13" s="41">
        <v>6973</v>
      </c>
      <c r="AZ13" s="41">
        <v>1956</v>
      </c>
      <c r="BA13" s="41">
        <v>12</v>
      </c>
      <c r="BB13" s="41">
        <v>0</v>
      </c>
      <c r="BC13" s="41">
        <v>0</v>
      </c>
      <c r="BD13" s="41">
        <v>1684</v>
      </c>
      <c r="BE13" s="41">
        <v>55</v>
      </c>
      <c r="BF13" s="41">
        <v>16494</v>
      </c>
      <c r="BG13" s="41">
        <v>0</v>
      </c>
      <c r="BH13" s="41">
        <v>4</v>
      </c>
      <c r="BI13" s="41">
        <v>162424</v>
      </c>
      <c r="BJ13" s="41">
        <v>8220</v>
      </c>
      <c r="BK13" s="41">
        <v>3909</v>
      </c>
      <c r="BL13" s="41">
        <v>0</v>
      </c>
      <c r="BM13" s="41">
        <v>2</v>
      </c>
      <c r="BN13" s="41">
        <v>6973</v>
      </c>
      <c r="BO13" s="41">
        <v>1956</v>
      </c>
      <c r="BP13" s="41">
        <v>3</v>
      </c>
      <c r="BQ13" s="41">
        <v>3</v>
      </c>
      <c r="BR13" s="41">
        <v>0</v>
      </c>
      <c r="BS13" s="41">
        <v>6</v>
      </c>
      <c r="BT13" s="41">
        <v>0</v>
      </c>
      <c r="BU13" s="41">
        <v>0</v>
      </c>
      <c r="BV13" s="41">
        <v>0</v>
      </c>
      <c r="BW13" s="41">
        <v>0</v>
      </c>
      <c r="BX13" s="41">
        <v>1684</v>
      </c>
      <c r="BY13" s="41">
        <v>55</v>
      </c>
      <c r="BZ13" s="41">
        <v>1255</v>
      </c>
      <c r="CA13" s="41">
        <v>992</v>
      </c>
      <c r="CB13" s="41">
        <v>11979</v>
      </c>
      <c r="CC13" s="41">
        <v>2268</v>
      </c>
      <c r="CD13" s="41">
        <v>0</v>
      </c>
      <c r="CE13" s="41">
        <v>0</v>
      </c>
      <c r="CF13" s="41">
        <v>4</v>
      </c>
      <c r="CG13" s="41">
        <v>0</v>
      </c>
      <c r="CH13" s="41">
        <v>162424</v>
      </c>
      <c r="CI13" s="41">
        <v>8220</v>
      </c>
      <c r="CJ13" s="41">
        <v>537</v>
      </c>
      <c r="CK13" s="41">
        <v>493</v>
      </c>
      <c r="CL13" s="41">
        <v>1166</v>
      </c>
      <c r="CM13" s="41">
        <v>1713</v>
      </c>
      <c r="CN13" s="41">
        <v>0</v>
      </c>
      <c r="CO13" s="41">
        <v>0</v>
      </c>
      <c r="CP13" s="41">
        <v>2</v>
      </c>
      <c r="CQ13" s="41">
        <v>0</v>
      </c>
      <c r="CR13" s="41">
        <v>6973</v>
      </c>
      <c r="CS13" s="41">
        <v>1956</v>
      </c>
      <c r="CT13" s="41">
        <v>0</v>
      </c>
      <c r="CU13" s="41">
        <v>0</v>
      </c>
      <c r="CV13" s="41">
        <v>0</v>
      </c>
      <c r="CW13" s="41">
        <v>0</v>
      </c>
      <c r="CX13" s="41">
        <v>39762018</v>
      </c>
      <c r="CY13" s="41">
        <v>39762018</v>
      </c>
      <c r="CZ13" s="41">
        <v>0</v>
      </c>
      <c r="DA13" s="41">
        <v>0</v>
      </c>
      <c r="DB13" s="41">
        <v>0</v>
      </c>
      <c r="DC13" s="41">
        <v>0</v>
      </c>
      <c r="DD13" s="41">
        <v>0</v>
      </c>
      <c r="DE13" s="41">
        <v>0</v>
      </c>
      <c r="DF13" s="41">
        <v>0</v>
      </c>
      <c r="DG13" s="41">
        <v>0</v>
      </c>
      <c r="DH13" s="41">
        <v>0</v>
      </c>
      <c r="DI13" s="41">
        <v>0</v>
      </c>
      <c r="DJ13" s="41">
        <v>0</v>
      </c>
      <c r="DK13" s="41">
        <v>0</v>
      </c>
      <c r="DL13" s="41">
        <v>796</v>
      </c>
      <c r="DM13" s="41">
        <v>0</v>
      </c>
      <c r="DN13" s="41">
        <v>0</v>
      </c>
      <c r="DO13" s="41">
        <v>57043</v>
      </c>
      <c r="DP13" s="41">
        <v>3596</v>
      </c>
      <c r="DQ13" s="41">
        <v>60639</v>
      </c>
      <c r="DR13" s="41">
        <v>60639</v>
      </c>
      <c r="DS13" s="41">
        <v>57043</v>
      </c>
      <c r="DT13" s="41">
        <v>3596</v>
      </c>
      <c r="DU13" s="41">
        <v>0</v>
      </c>
      <c r="DV13" s="41">
        <v>0</v>
      </c>
      <c r="DW13" s="41">
        <v>0</v>
      </c>
      <c r="DX13" s="41">
        <v>0</v>
      </c>
      <c r="DY13" s="41">
        <v>0</v>
      </c>
      <c r="DZ13" s="41">
        <v>0</v>
      </c>
      <c r="EA13" s="41">
        <v>0</v>
      </c>
      <c r="EB13" s="41"/>
      <c r="EC13" s="41"/>
      <c r="ED13" s="41"/>
      <c r="EE13" s="41"/>
      <c r="EF13" s="41"/>
      <c r="EG13" s="41"/>
      <c r="EH13" s="41"/>
      <c r="EI13" s="41"/>
      <c r="EJ13" s="41"/>
      <c r="EK13" s="41"/>
      <c r="EL13" s="41"/>
      <c r="EM13" s="41"/>
      <c r="EN13" s="41"/>
      <c r="EO13" s="41"/>
      <c r="EP13" s="41"/>
      <c r="EQ13" s="41"/>
      <c r="ER13" s="41"/>
      <c r="ES13" s="41"/>
      <c r="ET13" s="41"/>
      <c r="EU13" s="41"/>
      <c r="EV13" s="41"/>
      <c r="EW13" s="41"/>
      <c r="EX13" s="41"/>
      <c r="EY13" s="41"/>
      <c r="EZ13" s="41"/>
      <c r="FA13" s="41"/>
      <c r="FB13" s="41"/>
      <c r="FC13" s="41"/>
      <c r="FD13" s="41"/>
      <c r="FE13" s="41"/>
      <c r="FF13" s="41"/>
      <c r="FG13" s="41"/>
      <c r="FH13" s="41"/>
      <c r="FI13" s="41"/>
      <c r="FJ13" s="41"/>
      <c r="FK13" s="41"/>
      <c r="FL13" s="41"/>
      <c r="FM13" s="41"/>
      <c r="FN13" s="41"/>
      <c r="FO13" s="41"/>
      <c r="FP13" s="41"/>
      <c r="FQ13" s="41"/>
      <c r="FR13" s="41"/>
      <c r="FS13" s="41"/>
      <c r="FT13" s="41"/>
      <c r="FU13" s="41"/>
      <c r="FV13" s="41"/>
      <c r="FW13" s="41"/>
      <c r="FX13" s="41"/>
      <c r="FY13" s="41"/>
      <c r="FZ13" s="41"/>
      <c r="GA13" s="41"/>
      <c r="GB13" s="41"/>
      <c r="GC13" s="41"/>
      <c r="GD13" s="41"/>
      <c r="GE13" s="41"/>
      <c r="GF13" s="41"/>
      <c r="GG13" s="41"/>
      <c r="GH13" s="41"/>
      <c r="GI13" s="41"/>
      <c r="GJ13" s="41"/>
      <c r="GK13" s="41"/>
      <c r="GL13" s="41"/>
      <c r="GM13" s="41"/>
      <c r="GN13" s="41"/>
      <c r="GO13" s="41"/>
      <c r="GP13" s="41"/>
      <c r="GQ13" s="41"/>
      <c r="GR13" s="41"/>
      <c r="GS13" s="41"/>
      <c r="GT13" s="41"/>
      <c r="GU13" s="41"/>
      <c r="GV13" s="41"/>
      <c r="GW13" s="41"/>
      <c r="GX13" s="41"/>
      <c r="GY13" s="41"/>
      <c r="GZ13" s="41"/>
      <c r="HA13" s="41"/>
      <c r="HB13" s="41"/>
      <c r="HC13" s="41"/>
      <c r="HD13" s="41"/>
      <c r="HE13" s="41"/>
      <c r="HF13" s="41"/>
      <c r="HG13" s="41"/>
      <c r="HH13" s="41"/>
      <c r="HI13" s="41"/>
      <c r="HJ13" s="41"/>
      <c r="HK13" s="41"/>
      <c r="HL13" s="41"/>
      <c r="HM13" s="41"/>
      <c r="HN13" s="41"/>
      <c r="HO13" s="41"/>
      <c r="HP13" s="41"/>
      <c r="HQ13" s="41"/>
      <c r="HR13" s="41"/>
      <c r="HS13" s="41"/>
      <c r="HT13" s="41"/>
      <c r="HU13" s="41"/>
      <c r="HV13" s="41"/>
      <c r="HW13" s="41"/>
      <c r="HX13" s="41"/>
      <c r="HY13" s="41"/>
      <c r="HZ13" s="41"/>
      <c r="IA13" s="41"/>
      <c r="IB13" s="41"/>
      <c r="IC13" s="41"/>
      <c r="ID13" s="41"/>
      <c r="IE13" s="41"/>
      <c r="IF13" s="41"/>
      <c r="IG13" s="41"/>
      <c r="IH13" s="41"/>
      <c r="II13" s="41"/>
      <c r="IJ13" s="41"/>
      <c r="IK13" s="41"/>
      <c r="IL13" s="41"/>
      <c r="IM13" s="41"/>
      <c r="IN13" s="41"/>
      <c r="IO13" s="41"/>
      <c r="IP13" s="41"/>
      <c r="IQ13" s="41"/>
      <c r="IR13" s="41"/>
      <c r="IS13" s="41"/>
      <c r="IT13" s="41"/>
      <c r="IU13" s="41"/>
      <c r="IV13" s="41"/>
      <c r="IW13" s="41"/>
      <c r="IX13" s="41"/>
      <c r="IY13" s="41"/>
      <c r="IZ13" s="41"/>
      <c r="JA13" s="41"/>
      <c r="JB13" s="41"/>
      <c r="JC13" s="41"/>
      <c r="JD13" s="41"/>
      <c r="JE13" s="41"/>
      <c r="JF13" s="41"/>
      <c r="JG13" s="41"/>
      <c r="JH13" s="41"/>
      <c r="JI13" s="41"/>
      <c r="JJ13" s="41"/>
      <c r="JK13" s="41"/>
      <c r="JL13" s="41"/>
      <c r="JM13" s="41"/>
      <c r="JN13" s="41"/>
      <c r="JO13" s="41"/>
      <c r="JP13" s="41"/>
      <c r="JQ13" s="41"/>
      <c r="JR13" s="41"/>
      <c r="JS13" s="41"/>
      <c r="JT13" s="41"/>
      <c r="JU13" s="41"/>
      <c r="JV13" s="41"/>
      <c r="JW13" s="41"/>
      <c r="JX13" s="41"/>
      <c r="JY13" s="41"/>
      <c r="JZ13" s="41"/>
      <c r="KA13" s="41"/>
      <c r="KB13" s="41"/>
      <c r="KC13" s="41"/>
      <c r="KD13" s="41"/>
      <c r="KE13" s="41"/>
      <c r="KF13" s="41"/>
      <c r="KG13" s="41"/>
      <c r="KH13" s="41"/>
      <c r="KI13" s="41"/>
      <c r="KJ13" s="41"/>
      <c r="KK13" s="41"/>
      <c r="KL13" s="41"/>
      <c r="KM13" s="41"/>
      <c r="KN13" s="41"/>
      <c r="KO13" s="41"/>
      <c r="KP13" s="41"/>
      <c r="KQ13" s="41"/>
      <c r="KR13" s="41"/>
      <c r="KS13" s="41"/>
      <c r="KT13" s="41"/>
      <c r="KU13" s="41"/>
      <c r="KV13" s="41"/>
      <c r="KW13" s="41"/>
      <c r="KX13" s="41"/>
      <c r="KY13" s="41"/>
      <c r="KZ13" s="41"/>
    </row>
    <row r="14" spans="1:312" ht="15.5" x14ac:dyDescent="0.35">
      <c r="B14" s="40">
        <f t="shared" si="0"/>
        <v>44136</v>
      </c>
      <c r="C14" s="19">
        <v>202011</v>
      </c>
      <c r="D14" s="41">
        <v>4229</v>
      </c>
      <c r="E14" s="41">
        <v>0</v>
      </c>
      <c r="F14" s="41">
        <v>0</v>
      </c>
      <c r="G14" s="41">
        <v>0</v>
      </c>
      <c r="H14" s="41">
        <v>0</v>
      </c>
      <c r="I14" s="41">
        <v>0</v>
      </c>
      <c r="J14" s="41">
        <v>0</v>
      </c>
      <c r="K14" s="41">
        <v>0</v>
      </c>
      <c r="L14" s="41">
        <v>0</v>
      </c>
      <c r="M14" s="41">
        <v>0</v>
      </c>
      <c r="N14" s="41">
        <v>0</v>
      </c>
      <c r="O14" s="41">
        <v>2</v>
      </c>
      <c r="P14" s="41">
        <v>1</v>
      </c>
      <c r="Q14" s="41">
        <v>0</v>
      </c>
      <c r="R14" s="41">
        <v>49</v>
      </c>
      <c r="S14" s="41">
        <v>12</v>
      </c>
      <c r="T14" s="41">
        <v>0</v>
      </c>
      <c r="U14" s="41">
        <v>1745</v>
      </c>
      <c r="V14" s="41">
        <v>0</v>
      </c>
      <c r="W14" s="41">
        <v>3846</v>
      </c>
      <c r="X14" s="41">
        <v>674</v>
      </c>
      <c r="Y14" s="41">
        <v>11626</v>
      </c>
      <c r="Z14" s="41">
        <v>7597</v>
      </c>
      <c r="AA14" s="41">
        <v>3079</v>
      </c>
      <c r="AB14" s="41">
        <v>0</v>
      </c>
      <c r="AC14" s="41">
        <v>240911</v>
      </c>
      <c r="AD14" s="41">
        <v>0</v>
      </c>
      <c r="AE14" s="41">
        <v>3045</v>
      </c>
      <c r="AF14" s="41">
        <v>331</v>
      </c>
      <c r="AG14" s="41">
        <v>1098</v>
      </c>
      <c r="AH14" s="41">
        <v>1667</v>
      </c>
      <c r="AI14" s="41">
        <v>2466</v>
      </c>
      <c r="AJ14" s="41">
        <v>0</v>
      </c>
      <c r="AK14" s="41">
        <v>9072</v>
      </c>
      <c r="AL14" s="41">
        <v>15</v>
      </c>
      <c r="AM14" s="41">
        <v>0</v>
      </c>
      <c r="AN14" s="41">
        <v>0</v>
      </c>
      <c r="AO14" s="41">
        <v>1745</v>
      </c>
      <c r="AP14" s="41">
        <v>49</v>
      </c>
      <c r="AQ14" s="41">
        <v>19223</v>
      </c>
      <c r="AR14" s="41">
        <v>0</v>
      </c>
      <c r="AS14" s="41">
        <v>2</v>
      </c>
      <c r="AT14" s="41">
        <v>240911</v>
      </c>
      <c r="AU14" s="41">
        <v>7597</v>
      </c>
      <c r="AV14" s="41">
        <v>6939</v>
      </c>
      <c r="AW14" s="41">
        <v>0</v>
      </c>
      <c r="AX14" s="41">
        <v>1</v>
      </c>
      <c r="AY14" s="41">
        <v>9072</v>
      </c>
      <c r="AZ14" s="41">
        <v>1667</v>
      </c>
      <c r="BA14" s="41">
        <v>15</v>
      </c>
      <c r="BB14" s="41">
        <v>0</v>
      </c>
      <c r="BC14" s="41">
        <v>0</v>
      </c>
      <c r="BD14" s="41">
        <v>1745</v>
      </c>
      <c r="BE14" s="41">
        <v>49</v>
      </c>
      <c r="BF14" s="41">
        <v>19223</v>
      </c>
      <c r="BG14" s="41">
        <v>0</v>
      </c>
      <c r="BH14" s="41">
        <v>2</v>
      </c>
      <c r="BI14" s="41">
        <v>240911</v>
      </c>
      <c r="BJ14" s="41">
        <v>7597</v>
      </c>
      <c r="BK14" s="41">
        <v>6939</v>
      </c>
      <c r="BL14" s="41">
        <v>0</v>
      </c>
      <c r="BM14" s="41">
        <v>1</v>
      </c>
      <c r="BN14" s="41">
        <v>9072</v>
      </c>
      <c r="BO14" s="41">
        <v>1667</v>
      </c>
      <c r="BP14" s="41">
        <v>2</v>
      </c>
      <c r="BQ14" s="41">
        <v>1</v>
      </c>
      <c r="BR14" s="41">
        <v>0</v>
      </c>
      <c r="BS14" s="41">
        <v>12</v>
      </c>
      <c r="BT14" s="41">
        <v>0</v>
      </c>
      <c r="BU14" s="41">
        <v>0</v>
      </c>
      <c r="BV14" s="41">
        <v>0</v>
      </c>
      <c r="BW14" s="41">
        <v>0</v>
      </c>
      <c r="BX14" s="41">
        <v>1745</v>
      </c>
      <c r="BY14" s="41">
        <v>49</v>
      </c>
      <c r="BZ14" s="41">
        <v>3846</v>
      </c>
      <c r="CA14" s="41">
        <v>672</v>
      </c>
      <c r="CB14" s="41">
        <v>11626</v>
      </c>
      <c r="CC14" s="41">
        <v>3079</v>
      </c>
      <c r="CD14" s="41">
        <v>0</v>
      </c>
      <c r="CE14" s="41">
        <v>0</v>
      </c>
      <c r="CF14" s="41">
        <v>2</v>
      </c>
      <c r="CG14" s="41">
        <v>0</v>
      </c>
      <c r="CH14" s="41">
        <v>240911</v>
      </c>
      <c r="CI14" s="41">
        <v>7597</v>
      </c>
      <c r="CJ14" s="41">
        <v>3045</v>
      </c>
      <c r="CK14" s="41">
        <v>330</v>
      </c>
      <c r="CL14" s="41">
        <v>1098</v>
      </c>
      <c r="CM14" s="41">
        <v>2466</v>
      </c>
      <c r="CN14" s="41">
        <v>0</v>
      </c>
      <c r="CO14" s="41">
        <v>0</v>
      </c>
      <c r="CP14" s="41">
        <v>1</v>
      </c>
      <c r="CQ14" s="41">
        <v>0</v>
      </c>
      <c r="CR14" s="41">
        <v>9072</v>
      </c>
      <c r="CS14" s="41">
        <v>1667</v>
      </c>
      <c r="CT14" s="41">
        <v>0</v>
      </c>
      <c r="CU14" s="41">
        <v>0</v>
      </c>
      <c r="CV14" s="41">
        <v>0</v>
      </c>
      <c r="CW14" s="41">
        <v>0</v>
      </c>
      <c r="CX14" s="41">
        <v>47840933</v>
      </c>
      <c r="CY14" s="41">
        <v>47840933</v>
      </c>
      <c r="CZ14" s="41">
        <v>83991</v>
      </c>
      <c r="DA14" s="41">
        <v>0</v>
      </c>
      <c r="DB14" s="41">
        <v>35060332</v>
      </c>
      <c r="DC14" s="41">
        <v>0</v>
      </c>
      <c r="DD14" s="41">
        <v>83991</v>
      </c>
      <c r="DE14" s="41">
        <v>35060332</v>
      </c>
      <c r="DF14" s="41">
        <v>83991</v>
      </c>
      <c r="DG14" s="41">
        <v>35060332</v>
      </c>
      <c r="DH14" s="41">
        <v>83991</v>
      </c>
      <c r="DI14" s="41">
        <v>0</v>
      </c>
      <c r="DJ14" s="41">
        <v>35060332</v>
      </c>
      <c r="DK14" s="41">
        <v>0</v>
      </c>
      <c r="DL14" s="41">
        <v>689</v>
      </c>
      <c r="DM14" s="41">
        <v>0</v>
      </c>
      <c r="DN14" s="41">
        <v>0</v>
      </c>
      <c r="DO14" s="41">
        <v>67596</v>
      </c>
      <c r="DP14" s="41">
        <v>15439</v>
      </c>
      <c r="DQ14" s="41">
        <v>83035</v>
      </c>
      <c r="DR14" s="41">
        <v>83035</v>
      </c>
      <c r="DS14" s="41">
        <v>67596</v>
      </c>
      <c r="DT14" s="41">
        <v>15439</v>
      </c>
      <c r="DU14" s="41">
        <v>0</v>
      </c>
      <c r="DV14" s="41">
        <v>0</v>
      </c>
      <c r="DW14" s="41">
        <v>0</v>
      </c>
      <c r="DX14" s="41">
        <v>0</v>
      </c>
      <c r="DY14" s="41">
        <v>0</v>
      </c>
      <c r="DZ14" s="41">
        <v>0</v>
      </c>
      <c r="EA14" s="41">
        <v>0</v>
      </c>
      <c r="EB14" s="41"/>
      <c r="EC14" s="41"/>
      <c r="ED14" s="41"/>
      <c r="EE14" s="41"/>
      <c r="EF14" s="41"/>
      <c r="EG14" s="41"/>
      <c r="EH14" s="41"/>
      <c r="EI14" s="41"/>
      <c r="EJ14" s="41"/>
      <c r="EK14" s="41"/>
      <c r="EL14" s="41"/>
      <c r="EM14" s="41"/>
      <c r="EN14" s="41"/>
      <c r="EO14" s="41"/>
      <c r="EP14" s="41"/>
      <c r="EQ14" s="41"/>
      <c r="ER14" s="41"/>
      <c r="ES14" s="41"/>
      <c r="ET14" s="41"/>
      <c r="EU14" s="41"/>
      <c r="EV14" s="41"/>
      <c r="EW14" s="41"/>
      <c r="EX14" s="41"/>
      <c r="EY14" s="41"/>
      <c r="EZ14" s="41"/>
      <c r="FA14" s="41"/>
      <c r="FB14" s="41"/>
      <c r="FC14" s="41"/>
      <c r="FD14" s="41"/>
      <c r="FE14" s="41"/>
      <c r="FF14" s="41"/>
      <c r="FG14" s="41"/>
      <c r="FH14" s="41"/>
      <c r="FI14" s="41"/>
      <c r="FJ14" s="41"/>
      <c r="FK14" s="41"/>
      <c r="FL14" s="41"/>
      <c r="FM14" s="41"/>
      <c r="FN14" s="41"/>
      <c r="FO14" s="41"/>
      <c r="FP14" s="41"/>
      <c r="FQ14" s="41"/>
      <c r="FR14" s="41"/>
      <c r="FS14" s="41"/>
      <c r="FT14" s="41"/>
      <c r="FU14" s="41"/>
      <c r="FV14" s="41"/>
      <c r="FW14" s="41"/>
      <c r="FX14" s="41"/>
      <c r="FY14" s="41"/>
      <c r="FZ14" s="41"/>
      <c r="GA14" s="41"/>
      <c r="GB14" s="41"/>
      <c r="GC14" s="41"/>
      <c r="GD14" s="41"/>
      <c r="GE14" s="41"/>
      <c r="GF14" s="41"/>
      <c r="GG14" s="41"/>
      <c r="GH14" s="41"/>
      <c r="GI14" s="41"/>
      <c r="GJ14" s="41"/>
      <c r="GK14" s="41"/>
      <c r="GL14" s="41"/>
      <c r="GM14" s="41"/>
      <c r="GN14" s="41"/>
      <c r="GO14" s="41"/>
      <c r="GP14" s="41"/>
      <c r="GQ14" s="41"/>
      <c r="GR14" s="41"/>
      <c r="GS14" s="41"/>
      <c r="GT14" s="41"/>
      <c r="GU14" s="41"/>
      <c r="GV14" s="41"/>
      <c r="GW14" s="41"/>
      <c r="GX14" s="41"/>
      <c r="GY14" s="41"/>
      <c r="GZ14" s="41"/>
      <c r="HA14" s="41"/>
      <c r="HB14" s="41"/>
      <c r="HC14" s="41"/>
      <c r="HD14" s="41"/>
      <c r="HE14" s="41"/>
      <c r="HF14" s="41"/>
      <c r="HG14" s="41"/>
      <c r="HH14" s="41"/>
      <c r="HI14" s="41"/>
      <c r="HJ14" s="41"/>
      <c r="HK14" s="41"/>
      <c r="HL14" s="41"/>
      <c r="HM14" s="41"/>
      <c r="HN14" s="41"/>
      <c r="HO14" s="41"/>
      <c r="HP14" s="41"/>
      <c r="HQ14" s="41"/>
      <c r="HR14" s="41"/>
      <c r="HS14" s="41"/>
      <c r="HT14" s="41"/>
      <c r="HU14" s="41"/>
      <c r="HV14" s="41"/>
      <c r="HW14" s="41"/>
      <c r="HX14" s="41"/>
      <c r="HY14" s="41"/>
      <c r="HZ14" s="41"/>
      <c r="IA14" s="41"/>
      <c r="IB14" s="41"/>
      <c r="IC14" s="41"/>
      <c r="ID14" s="41"/>
      <c r="IE14" s="41"/>
      <c r="IF14" s="41"/>
      <c r="IG14" s="41"/>
      <c r="IH14" s="41"/>
      <c r="II14" s="41"/>
      <c r="IJ14" s="41"/>
      <c r="IK14" s="41"/>
      <c r="IL14" s="41"/>
      <c r="IM14" s="41"/>
      <c r="IN14" s="41"/>
      <c r="IO14" s="41"/>
      <c r="IP14" s="41"/>
      <c r="IQ14" s="41"/>
      <c r="IR14" s="41"/>
      <c r="IS14" s="41"/>
      <c r="IT14" s="41"/>
      <c r="IU14" s="41"/>
      <c r="IV14" s="41"/>
      <c r="IW14" s="41"/>
      <c r="IX14" s="41"/>
      <c r="IY14" s="41"/>
      <c r="IZ14" s="41"/>
      <c r="JA14" s="41"/>
      <c r="JB14" s="41"/>
      <c r="JC14" s="41"/>
      <c r="JD14" s="41"/>
      <c r="JE14" s="41"/>
      <c r="JF14" s="41"/>
      <c r="JG14" s="41"/>
      <c r="JH14" s="41"/>
      <c r="JI14" s="41"/>
      <c r="JJ14" s="41"/>
      <c r="JK14" s="41"/>
      <c r="JL14" s="41"/>
      <c r="JM14" s="41"/>
      <c r="JN14" s="41"/>
      <c r="JO14" s="41"/>
      <c r="JP14" s="41"/>
      <c r="JQ14" s="41"/>
      <c r="JR14" s="41"/>
      <c r="JS14" s="41"/>
      <c r="JT14" s="41"/>
      <c r="JU14" s="41"/>
      <c r="JV14" s="41"/>
      <c r="JW14" s="41"/>
      <c r="JX14" s="41"/>
      <c r="JY14" s="41"/>
      <c r="JZ14" s="41"/>
      <c r="KA14" s="41"/>
      <c r="KB14" s="41"/>
      <c r="KC14" s="41"/>
      <c r="KD14" s="41"/>
      <c r="KE14" s="41"/>
      <c r="KF14" s="41"/>
      <c r="KG14" s="41"/>
      <c r="KH14" s="41"/>
      <c r="KI14" s="41"/>
      <c r="KJ14" s="41"/>
      <c r="KK14" s="41"/>
      <c r="KL14" s="41"/>
      <c r="KM14" s="41"/>
      <c r="KN14" s="41"/>
      <c r="KO14" s="41"/>
      <c r="KP14" s="41"/>
      <c r="KQ14" s="41"/>
      <c r="KR14" s="41"/>
      <c r="KS14" s="41"/>
      <c r="KT14" s="41"/>
      <c r="KU14" s="41"/>
      <c r="KV14" s="41"/>
      <c r="KW14" s="41"/>
      <c r="KX14" s="41"/>
      <c r="KY14" s="41"/>
      <c r="KZ14" s="41"/>
    </row>
    <row r="15" spans="1:312" ht="15.5" x14ac:dyDescent="0.35">
      <c r="B15" s="40">
        <f t="shared" si="0"/>
        <v>44166</v>
      </c>
      <c r="C15" s="19">
        <v>202012</v>
      </c>
      <c r="D15" s="41">
        <v>3627</v>
      </c>
      <c r="E15" s="41">
        <v>0</v>
      </c>
      <c r="F15" s="41">
        <v>0</v>
      </c>
      <c r="G15" s="41">
        <v>0</v>
      </c>
      <c r="H15" s="41">
        <v>0</v>
      </c>
      <c r="I15" s="41">
        <v>0</v>
      </c>
      <c r="J15" s="41">
        <v>0</v>
      </c>
      <c r="K15" s="41">
        <v>0</v>
      </c>
      <c r="L15" s="41">
        <v>0</v>
      </c>
      <c r="M15" s="41">
        <v>0</v>
      </c>
      <c r="N15" s="41">
        <v>0</v>
      </c>
      <c r="O15" s="41">
        <v>3</v>
      </c>
      <c r="P15" s="41">
        <v>4</v>
      </c>
      <c r="Q15" s="41">
        <v>0</v>
      </c>
      <c r="R15" s="41">
        <v>42</v>
      </c>
      <c r="S15" s="41">
        <v>2</v>
      </c>
      <c r="T15" s="41">
        <v>0</v>
      </c>
      <c r="U15" s="41">
        <v>926</v>
      </c>
      <c r="V15" s="41">
        <v>0</v>
      </c>
      <c r="W15" s="41">
        <v>3270</v>
      </c>
      <c r="X15" s="41">
        <v>691</v>
      </c>
      <c r="Y15" s="41">
        <v>702</v>
      </c>
      <c r="Z15" s="41">
        <v>4666</v>
      </c>
      <c r="AA15" s="41">
        <v>2346</v>
      </c>
      <c r="AB15" s="41">
        <v>0</v>
      </c>
      <c r="AC15" s="41">
        <v>108283</v>
      </c>
      <c r="AD15" s="41">
        <v>0</v>
      </c>
      <c r="AE15" s="41">
        <v>1845</v>
      </c>
      <c r="AF15" s="41">
        <v>304</v>
      </c>
      <c r="AG15" s="41">
        <v>52</v>
      </c>
      <c r="AH15" s="41">
        <v>1146</v>
      </c>
      <c r="AI15" s="41">
        <v>2085</v>
      </c>
      <c r="AJ15" s="41">
        <v>0</v>
      </c>
      <c r="AK15" s="41">
        <v>5035</v>
      </c>
      <c r="AL15" s="41">
        <v>9</v>
      </c>
      <c r="AM15" s="41">
        <v>0</v>
      </c>
      <c r="AN15" s="41">
        <v>0</v>
      </c>
      <c r="AO15" s="41">
        <v>926</v>
      </c>
      <c r="AP15" s="41">
        <v>42</v>
      </c>
      <c r="AQ15" s="41">
        <v>7006</v>
      </c>
      <c r="AR15" s="41">
        <v>0</v>
      </c>
      <c r="AS15" s="41">
        <v>3</v>
      </c>
      <c r="AT15" s="41">
        <v>108283</v>
      </c>
      <c r="AU15" s="41">
        <v>4666</v>
      </c>
      <c r="AV15" s="41">
        <v>4285</v>
      </c>
      <c r="AW15" s="41">
        <v>0</v>
      </c>
      <c r="AX15" s="41">
        <v>1</v>
      </c>
      <c r="AY15" s="41">
        <v>5035</v>
      </c>
      <c r="AZ15" s="41">
        <v>1146</v>
      </c>
      <c r="BA15" s="41">
        <v>9</v>
      </c>
      <c r="BB15" s="41">
        <v>0</v>
      </c>
      <c r="BC15" s="41">
        <v>0</v>
      </c>
      <c r="BD15" s="41">
        <v>926</v>
      </c>
      <c r="BE15" s="41">
        <v>42</v>
      </c>
      <c r="BF15" s="41">
        <v>7006</v>
      </c>
      <c r="BG15" s="41">
        <v>0</v>
      </c>
      <c r="BH15" s="41">
        <v>3</v>
      </c>
      <c r="BI15" s="41">
        <v>108283</v>
      </c>
      <c r="BJ15" s="41">
        <v>4666</v>
      </c>
      <c r="BK15" s="41">
        <v>4285</v>
      </c>
      <c r="BL15" s="41">
        <v>0</v>
      </c>
      <c r="BM15" s="41">
        <v>1</v>
      </c>
      <c r="BN15" s="41">
        <v>5035</v>
      </c>
      <c r="BO15" s="41">
        <v>1146</v>
      </c>
      <c r="BP15" s="41">
        <v>3</v>
      </c>
      <c r="BQ15" s="41">
        <v>4</v>
      </c>
      <c r="BR15" s="41">
        <v>0</v>
      </c>
      <c r="BS15" s="41">
        <v>2</v>
      </c>
      <c r="BT15" s="41">
        <v>0</v>
      </c>
      <c r="BU15" s="41">
        <v>0</v>
      </c>
      <c r="BV15" s="41">
        <v>0</v>
      </c>
      <c r="BW15" s="41">
        <v>0</v>
      </c>
      <c r="BX15" s="41">
        <v>926</v>
      </c>
      <c r="BY15" s="41">
        <v>42</v>
      </c>
      <c r="BZ15" s="41">
        <v>3270</v>
      </c>
      <c r="CA15" s="41">
        <v>688</v>
      </c>
      <c r="CB15" s="41">
        <v>702</v>
      </c>
      <c r="CC15" s="41">
        <v>2346</v>
      </c>
      <c r="CD15" s="41">
        <v>0</v>
      </c>
      <c r="CE15" s="41">
        <v>0</v>
      </c>
      <c r="CF15" s="41">
        <v>3</v>
      </c>
      <c r="CG15" s="41">
        <v>0</v>
      </c>
      <c r="CH15" s="41">
        <v>108283</v>
      </c>
      <c r="CI15" s="41">
        <v>4666</v>
      </c>
      <c r="CJ15" s="41">
        <v>1845</v>
      </c>
      <c r="CK15" s="41">
        <v>303</v>
      </c>
      <c r="CL15" s="41">
        <v>52</v>
      </c>
      <c r="CM15" s="41">
        <v>2085</v>
      </c>
      <c r="CN15" s="41">
        <v>0</v>
      </c>
      <c r="CO15" s="41">
        <v>0</v>
      </c>
      <c r="CP15" s="41">
        <v>1</v>
      </c>
      <c r="CQ15" s="41">
        <v>0</v>
      </c>
      <c r="CR15" s="41">
        <v>5035</v>
      </c>
      <c r="CS15" s="41">
        <v>1146</v>
      </c>
      <c r="CT15" s="41">
        <v>0</v>
      </c>
      <c r="CU15" s="41">
        <v>0</v>
      </c>
      <c r="CV15" s="41">
        <v>0</v>
      </c>
      <c r="CW15" s="41">
        <v>0</v>
      </c>
      <c r="CX15" s="41">
        <v>49436422</v>
      </c>
      <c r="CY15" s="41">
        <v>49436422</v>
      </c>
      <c r="CZ15" s="41">
        <v>134777</v>
      </c>
      <c r="DA15" s="41">
        <v>0</v>
      </c>
      <c r="DB15" s="41">
        <v>37344594</v>
      </c>
      <c r="DC15" s="41">
        <v>0</v>
      </c>
      <c r="DD15" s="41">
        <v>134777</v>
      </c>
      <c r="DE15" s="41">
        <v>37344594</v>
      </c>
      <c r="DF15" s="41">
        <v>134777</v>
      </c>
      <c r="DG15" s="41">
        <v>37344594</v>
      </c>
      <c r="DH15" s="41">
        <v>134777</v>
      </c>
      <c r="DI15" s="41">
        <v>0</v>
      </c>
      <c r="DJ15" s="41">
        <v>37344594</v>
      </c>
      <c r="DK15" s="41">
        <v>0</v>
      </c>
      <c r="DL15" s="41">
        <v>633</v>
      </c>
      <c r="DM15" s="41">
        <v>0</v>
      </c>
      <c r="DN15" s="41">
        <v>0</v>
      </c>
      <c r="DO15" s="41">
        <v>122038</v>
      </c>
      <c r="DP15" s="41">
        <v>19720</v>
      </c>
      <c r="DQ15" s="41">
        <v>141758</v>
      </c>
      <c r="DR15" s="41">
        <v>141758</v>
      </c>
      <c r="DS15" s="41">
        <v>122038</v>
      </c>
      <c r="DT15" s="41">
        <v>19720</v>
      </c>
      <c r="DU15" s="41">
        <v>0</v>
      </c>
      <c r="DV15" s="41">
        <v>0</v>
      </c>
      <c r="DW15" s="41">
        <v>0</v>
      </c>
      <c r="DX15" s="41">
        <v>0</v>
      </c>
      <c r="DY15" s="41">
        <v>0</v>
      </c>
      <c r="DZ15" s="41">
        <v>0</v>
      </c>
      <c r="EA15" s="41">
        <v>0</v>
      </c>
      <c r="EB15" s="41"/>
      <c r="EC15" s="41"/>
      <c r="ED15" s="41"/>
      <c r="EE15" s="41"/>
      <c r="EF15" s="41"/>
      <c r="EG15" s="41"/>
      <c r="EH15" s="41"/>
      <c r="EI15" s="41"/>
      <c r="EJ15" s="41"/>
      <c r="EK15" s="41"/>
      <c r="EL15" s="41"/>
      <c r="EM15" s="41"/>
      <c r="EN15" s="41"/>
      <c r="EO15" s="41"/>
      <c r="EP15" s="41"/>
      <c r="EQ15" s="41"/>
      <c r="ER15" s="41"/>
      <c r="ES15" s="41"/>
      <c r="ET15" s="41"/>
      <c r="EU15" s="41"/>
      <c r="EV15" s="41"/>
      <c r="EW15" s="41"/>
      <c r="EX15" s="41"/>
      <c r="EY15" s="41"/>
      <c r="EZ15" s="41"/>
      <c r="FA15" s="41"/>
      <c r="FB15" s="41"/>
      <c r="FC15" s="41"/>
      <c r="FD15" s="41"/>
      <c r="FE15" s="41"/>
      <c r="FF15" s="41"/>
      <c r="FG15" s="41"/>
      <c r="FH15" s="41"/>
      <c r="FI15" s="41"/>
      <c r="FJ15" s="41"/>
      <c r="FK15" s="41"/>
      <c r="FL15" s="41"/>
      <c r="FM15" s="41"/>
      <c r="FN15" s="41"/>
      <c r="FO15" s="41"/>
      <c r="FP15" s="41"/>
      <c r="FQ15" s="41"/>
      <c r="FR15" s="41"/>
      <c r="FS15" s="41"/>
      <c r="FT15" s="41"/>
      <c r="FU15" s="41"/>
      <c r="FV15" s="41"/>
      <c r="FW15" s="41"/>
      <c r="FX15" s="41"/>
      <c r="FY15" s="41"/>
      <c r="FZ15" s="41"/>
      <c r="GA15" s="41"/>
      <c r="GB15" s="41"/>
      <c r="GC15" s="41"/>
      <c r="GD15" s="41"/>
      <c r="GE15" s="41"/>
      <c r="GF15" s="41"/>
      <c r="GG15" s="41"/>
      <c r="GH15" s="41"/>
      <c r="GI15" s="41"/>
      <c r="GJ15" s="41"/>
      <c r="GK15" s="41"/>
      <c r="GL15" s="41"/>
      <c r="GM15" s="41"/>
      <c r="GN15" s="41"/>
      <c r="GO15" s="41"/>
      <c r="GP15" s="41"/>
      <c r="GQ15" s="41"/>
      <c r="GR15" s="41"/>
      <c r="GS15" s="41"/>
      <c r="GT15" s="41"/>
      <c r="GU15" s="41"/>
      <c r="GV15" s="41"/>
      <c r="GW15" s="41"/>
      <c r="GX15" s="41"/>
      <c r="GY15" s="41"/>
      <c r="GZ15" s="41"/>
      <c r="HA15" s="41"/>
      <c r="HB15" s="41"/>
      <c r="HC15" s="41"/>
      <c r="HD15" s="41"/>
      <c r="HE15" s="41"/>
      <c r="HF15" s="41"/>
      <c r="HG15" s="41"/>
      <c r="HH15" s="41"/>
      <c r="HI15" s="41"/>
      <c r="HJ15" s="41"/>
      <c r="HK15" s="41"/>
      <c r="HL15" s="41"/>
      <c r="HM15" s="41"/>
      <c r="HN15" s="41"/>
      <c r="HO15" s="41"/>
      <c r="HP15" s="41"/>
      <c r="HQ15" s="41"/>
      <c r="HR15" s="41"/>
      <c r="HS15" s="41"/>
      <c r="HT15" s="41"/>
      <c r="HU15" s="41"/>
      <c r="HV15" s="41"/>
      <c r="HW15" s="41"/>
      <c r="HX15" s="41"/>
      <c r="HY15" s="41"/>
      <c r="HZ15" s="41"/>
      <c r="IA15" s="41"/>
      <c r="IB15" s="41"/>
      <c r="IC15" s="41"/>
      <c r="ID15" s="41"/>
      <c r="IE15" s="41"/>
      <c r="IF15" s="41"/>
      <c r="IG15" s="41"/>
      <c r="IH15" s="41"/>
      <c r="II15" s="41"/>
      <c r="IJ15" s="41"/>
      <c r="IK15" s="41"/>
      <c r="IL15" s="41"/>
      <c r="IM15" s="41"/>
      <c r="IN15" s="41"/>
      <c r="IO15" s="41"/>
      <c r="IP15" s="41"/>
      <c r="IQ15" s="41"/>
      <c r="IR15" s="41"/>
      <c r="IS15" s="41"/>
      <c r="IT15" s="41"/>
      <c r="IU15" s="41"/>
      <c r="IV15" s="41"/>
      <c r="IW15" s="41"/>
      <c r="IX15" s="41"/>
      <c r="IY15" s="41"/>
      <c r="IZ15" s="41"/>
      <c r="JA15" s="41"/>
      <c r="JB15" s="41"/>
      <c r="JC15" s="41"/>
      <c r="JD15" s="41"/>
      <c r="JE15" s="41"/>
      <c r="JF15" s="41"/>
      <c r="JG15" s="41"/>
      <c r="JH15" s="41"/>
      <c r="JI15" s="41"/>
      <c r="JJ15" s="41"/>
      <c r="JK15" s="41"/>
      <c r="JL15" s="41"/>
      <c r="JM15" s="41"/>
      <c r="JN15" s="41"/>
      <c r="JO15" s="41"/>
      <c r="JP15" s="41"/>
      <c r="JQ15" s="41"/>
      <c r="JR15" s="41"/>
      <c r="JS15" s="41"/>
      <c r="JT15" s="41"/>
      <c r="JU15" s="41"/>
      <c r="JV15" s="41"/>
      <c r="JW15" s="41"/>
      <c r="JX15" s="41"/>
      <c r="JY15" s="41"/>
      <c r="JZ15" s="41"/>
      <c r="KA15" s="41"/>
      <c r="KB15" s="41"/>
      <c r="KC15" s="41"/>
      <c r="KD15" s="41"/>
      <c r="KE15" s="41"/>
      <c r="KF15" s="41"/>
      <c r="KG15" s="41"/>
      <c r="KH15" s="41"/>
      <c r="KI15" s="41"/>
      <c r="KJ15" s="41"/>
      <c r="KK15" s="41"/>
      <c r="KL15" s="41"/>
      <c r="KM15" s="41"/>
      <c r="KN15" s="41"/>
      <c r="KO15" s="41"/>
      <c r="KP15" s="41"/>
      <c r="KQ15" s="41"/>
      <c r="KR15" s="41"/>
      <c r="KS15" s="41"/>
      <c r="KT15" s="41"/>
      <c r="KU15" s="41"/>
      <c r="KV15" s="41"/>
      <c r="KW15" s="41"/>
      <c r="KX15" s="41"/>
      <c r="KY15" s="41"/>
      <c r="KZ15" s="41"/>
    </row>
    <row r="16" spans="1:312" ht="15.5" x14ac:dyDescent="0.35">
      <c r="B16" s="40">
        <f t="shared" si="0"/>
        <v>44197</v>
      </c>
      <c r="C16" s="19">
        <v>202101</v>
      </c>
      <c r="D16" s="41">
        <v>7080</v>
      </c>
      <c r="E16" s="41">
        <v>0</v>
      </c>
      <c r="F16" s="41">
        <v>0</v>
      </c>
      <c r="G16" s="41">
        <v>0</v>
      </c>
      <c r="H16" s="41">
        <v>0</v>
      </c>
      <c r="I16" s="41">
        <v>0</v>
      </c>
      <c r="J16" s="41">
        <v>0</v>
      </c>
      <c r="K16" s="41">
        <v>0</v>
      </c>
      <c r="L16" s="41">
        <v>0</v>
      </c>
      <c r="M16" s="41">
        <v>0</v>
      </c>
      <c r="N16" s="41">
        <v>0</v>
      </c>
      <c r="O16" s="41">
        <v>7</v>
      </c>
      <c r="P16" s="41">
        <v>4</v>
      </c>
      <c r="Q16" s="41">
        <v>0</v>
      </c>
      <c r="R16" s="41">
        <v>88</v>
      </c>
      <c r="S16" s="41">
        <v>1</v>
      </c>
      <c r="T16" s="41">
        <v>0</v>
      </c>
      <c r="U16" s="41">
        <v>1827</v>
      </c>
      <c r="V16" s="41">
        <v>0</v>
      </c>
      <c r="W16" s="41">
        <v>3637</v>
      </c>
      <c r="X16" s="41">
        <v>1998</v>
      </c>
      <c r="Y16" s="41">
        <v>6918</v>
      </c>
      <c r="Z16" s="41">
        <v>14452</v>
      </c>
      <c r="AA16" s="41">
        <v>3606</v>
      </c>
      <c r="AB16" s="41">
        <v>0</v>
      </c>
      <c r="AC16" s="41">
        <v>183148</v>
      </c>
      <c r="AD16" s="41">
        <v>0</v>
      </c>
      <c r="AE16" s="41">
        <v>2095</v>
      </c>
      <c r="AF16" s="41">
        <v>786</v>
      </c>
      <c r="AG16" s="41">
        <v>500</v>
      </c>
      <c r="AH16" s="41">
        <v>3510</v>
      </c>
      <c r="AI16" s="41">
        <v>3316</v>
      </c>
      <c r="AJ16" s="41">
        <v>0</v>
      </c>
      <c r="AK16" s="41">
        <v>8826</v>
      </c>
      <c r="AL16" s="41">
        <v>12</v>
      </c>
      <c r="AM16" s="41">
        <v>0</v>
      </c>
      <c r="AN16" s="41">
        <v>0</v>
      </c>
      <c r="AO16" s="41">
        <v>1827</v>
      </c>
      <c r="AP16" s="41">
        <v>88</v>
      </c>
      <c r="AQ16" s="41">
        <v>16159</v>
      </c>
      <c r="AR16" s="41">
        <v>0</v>
      </c>
      <c r="AS16" s="41">
        <v>0</v>
      </c>
      <c r="AT16" s="41">
        <v>183148</v>
      </c>
      <c r="AU16" s="41">
        <v>14452</v>
      </c>
      <c r="AV16" s="41">
        <v>6697</v>
      </c>
      <c r="AW16" s="41">
        <v>0</v>
      </c>
      <c r="AX16" s="41">
        <v>0</v>
      </c>
      <c r="AY16" s="41">
        <v>8826</v>
      </c>
      <c r="AZ16" s="41">
        <v>3510</v>
      </c>
      <c r="BA16" s="41">
        <v>12</v>
      </c>
      <c r="BB16" s="41">
        <v>0</v>
      </c>
      <c r="BC16" s="41">
        <v>0</v>
      </c>
      <c r="BD16" s="41">
        <v>1827</v>
      </c>
      <c r="BE16" s="41">
        <v>88</v>
      </c>
      <c r="BF16" s="41">
        <v>16159</v>
      </c>
      <c r="BG16" s="41">
        <v>0</v>
      </c>
      <c r="BH16" s="41">
        <v>0</v>
      </c>
      <c r="BI16" s="41">
        <v>183148</v>
      </c>
      <c r="BJ16" s="41">
        <v>14452</v>
      </c>
      <c r="BK16" s="41">
        <v>6697</v>
      </c>
      <c r="BL16" s="41">
        <v>0</v>
      </c>
      <c r="BM16" s="41">
        <v>0</v>
      </c>
      <c r="BN16" s="41">
        <v>8826</v>
      </c>
      <c r="BO16" s="41">
        <v>3510</v>
      </c>
      <c r="BP16" s="41">
        <v>7</v>
      </c>
      <c r="BQ16" s="41">
        <v>4</v>
      </c>
      <c r="BR16" s="41">
        <v>0</v>
      </c>
      <c r="BS16" s="41">
        <v>1</v>
      </c>
      <c r="BT16" s="41">
        <v>0</v>
      </c>
      <c r="BU16" s="41">
        <v>0</v>
      </c>
      <c r="BV16" s="41">
        <v>0</v>
      </c>
      <c r="BW16" s="41">
        <v>0</v>
      </c>
      <c r="BX16" s="41">
        <v>1827</v>
      </c>
      <c r="BY16" s="41">
        <v>88</v>
      </c>
      <c r="BZ16" s="41">
        <v>3637</v>
      </c>
      <c r="CA16" s="41">
        <v>1998</v>
      </c>
      <c r="CB16" s="41">
        <v>6918</v>
      </c>
      <c r="CC16" s="41">
        <v>3606</v>
      </c>
      <c r="CD16" s="41">
        <v>0</v>
      </c>
      <c r="CE16" s="41">
        <v>0</v>
      </c>
      <c r="CF16" s="41">
        <v>0</v>
      </c>
      <c r="CG16" s="41">
        <v>0</v>
      </c>
      <c r="CH16" s="41">
        <v>183148</v>
      </c>
      <c r="CI16" s="41">
        <v>14452</v>
      </c>
      <c r="CJ16" s="41">
        <v>2095</v>
      </c>
      <c r="CK16" s="41">
        <v>786</v>
      </c>
      <c r="CL16" s="41">
        <v>500</v>
      </c>
      <c r="CM16" s="41">
        <v>3316</v>
      </c>
      <c r="CN16" s="41">
        <v>0</v>
      </c>
      <c r="CO16" s="41">
        <v>0</v>
      </c>
      <c r="CP16" s="41">
        <v>0</v>
      </c>
      <c r="CQ16" s="41">
        <v>0</v>
      </c>
      <c r="CR16" s="41">
        <v>8826</v>
      </c>
      <c r="CS16" s="41">
        <v>3510</v>
      </c>
      <c r="CT16" s="41">
        <v>0</v>
      </c>
      <c r="CU16" s="41">
        <v>0</v>
      </c>
      <c r="CV16" s="41">
        <v>0</v>
      </c>
      <c r="CW16" s="41">
        <v>0</v>
      </c>
      <c r="CX16" s="41">
        <v>7736056</v>
      </c>
      <c r="CY16" s="41">
        <v>7736056</v>
      </c>
      <c r="CZ16" s="41">
        <v>100502</v>
      </c>
      <c r="DA16" s="41">
        <v>0</v>
      </c>
      <c r="DB16" s="41">
        <v>38131546</v>
      </c>
      <c r="DC16" s="41">
        <v>0</v>
      </c>
      <c r="DD16" s="41">
        <v>100502</v>
      </c>
      <c r="DE16" s="41">
        <v>38131546</v>
      </c>
      <c r="DF16" s="41">
        <v>100502</v>
      </c>
      <c r="DG16" s="41">
        <v>38131546</v>
      </c>
      <c r="DH16" s="41">
        <v>100502</v>
      </c>
      <c r="DI16" s="41">
        <v>0</v>
      </c>
      <c r="DJ16" s="41">
        <v>38131546</v>
      </c>
      <c r="DK16" s="41">
        <v>0</v>
      </c>
      <c r="DL16" s="41">
        <v>791</v>
      </c>
      <c r="DM16" s="41">
        <v>0</v>
      </c>
      <c r="DN16" s="41">
        <v>0</v>
      </c>
      <c r="DO16" s="41">
        <v>21941</v>
      </c>
      <c r="DP16" s="41">
        <v>6102</v>
      </c>
      <c r="DQ16" s="41">
        <v>28043</v>
      </c>
      <c r="DR16" s="41">
        <v>28043</v>
      </c>
      <c r="DS16" s="41">
        <v>21941</v>
      </c>
      <c r="DT16" s="41">
        <v>6102</v>
      </c>
      <c r="DU16" s="41">
        <v>0</v>
      </c>
      <c r="DV16" s="41">
        <v>0</v>
      </c>
      <c r="DW16" s="41">
        <v>20975</v>
      </c>
      <c r="DX16" s="41">
        <v>2689</v>
      </c>
      <c r="DY16" s="41">
        <v>0</v>
      </c>
      <c r="DZ16" s="41">
        <v>0</v>
      </c>
      <c r="EA16" s="41">
        <v>20975</v>
      </c>
      <c r="EB16" s="41"/>
      <c r="EC16" s="41"/>
      <c r="ED16" s="41"/>
      <c r="EE16" s="41"/>
      <c r="EF16" s="41"/>
      <c r="EG16" s="41"/>
      <c r="EH16" s="41"/>
      <c r="EI16" s="41"/>
      <c r="EJ16" s="41"/>
      <c r="EK16" s="41"/>
      <c r="EL16" s="41"/>
      <c r="EM16" s="41"/>
      <c r="EN16" s="41"/>
      <c r="EO16" s="41"/>
      <c r="EP16" s="41"/>
      <c r="EQ16" s="41"/>
      <c r="ER16" s="41"/>
      <c r="ES16" s="41"/>
      <c r="ET16" s="41"/>
      <c r="EU16" s="41"/>
      <c r="EV16" s="41"/>
      <c r="EW16" s="41"/>
      <c r="EX16" s="41"/>
      <c r="EY16" s="41"/>
      <c r="EZ16" s="41"/>
      <c r="FA16" s="41"/>
      <c r="FB16" s="41"/>
      <c r="FC16" s="41"/>
      <c r="FD16" s="41"/>
      <c r="FE16" s="41"/>
      <c r="FF16" s="41"/>
      <c r="FG16" s="41"/>
      <c r="FH16" s="41"/>
      <c r="FI16" s="41"/>
      <c r="FJ16" s="41"/>
      <c r="FK16" s="41"/>
      <c r="FL16" s="41"/>
      <c r="FM16" s="41"/>
      <c r="FN16" s="41"/>
      <c r="FO16" s="41"/>
      <c r="FP16" s="41"/>
      <c r="FQ16" s="41"/>
      <c r="FR16" s="41"/>
      <c r="FS16" s="41"/>
      <c r="FT16" s="41"/>
      <c r="FU16" s="41"/>
      <c r="FV16" s="41"/>
      <c r="FW16" s="41"/>
      <c r="FX16" s="41"/>
      <c r="FY16" s="41"/>
      <c r="FZ16" s="41"/>
      <c r="GA16" s="41"/>
      <c r="GB16" s="41"/>
      <c r="GC16" s="41"/>
      <c r="GD16" s="41"/>
      <c r="GE16" s="41"/>
      <c r="GF16" s="41"/>
      <c r="GG16" s="41"/>
      <c r="GH16" s="41"/>
      <c r="GI16" s="41"/>
      <c r="GJ16" s="41"/>
      <c r="GK16" s="41"/>
      <c r="GL16" s="41"/>
      <c r="GM16" s="41"/>
      <c r="GN16" s="41"/>
      <c r="GO16" s="41"/>
      <c r="GP16" s="41"/>
      <c r="GQ16" s="41"/>
      <c r="GR16" s="41"/>
      <c r="GS16" s="41"/>
      <c r="GT16" s="41"/>
      <c r="GU16" s="41"/>
      <c r="GV16" s="41"/>
      <c r="GW16" s="41"/>
      <c r="GX16" s="41"/>
      <c r="GY16" s="41"/>
      <c r="GZ16" s="41"/>
      <c r="HA16" s="41"/>
      <c r="HB16" s="41"/>
      <c r="HC16" s="41"/>
      <c r="HD16" s="41"/>
      <c r="HE16" s="41"/>
      <c r="HF16" s="41"/>
      <c r="HG16" s="41"/>
      <c r="HH16" s="41"/>
      <c r="HI16" s="41"/>
      <c r="HJ16" s="41"/>
      <c r="HK16" s="41"/>
      <c r="HL16" s="41"/>
      <c r="HM16" s="41"/>
      <c r="HN16" s="41"/>
      <c r="HO16" s="41"/>
      <c r="HP16" s="41"/>
      <c r="HQ16" s="41"/>
      <c r="HR16" s="41"/>
      <c r="HS16" s="41"/>
      <c r="HT16" s="41"/>
      <c r="HU16" s="41"/>
      <c r="HV16" s="41"/>
      <c r="HW16" s="41"/>
      <c r="HX16" s="41"/>
      <c r="HY16" s="41"/>
      <c r="HZ16" s="41"/>
      <c r="IA16" s="41"/>
      <c r="IB16" s="41"/>
      <c r="IC16" s="41"/>
      <c r="ID16" s="41"/>
      <c r="IE16" s="41"/>
      <c r="IF16" s="41"/>
      <c r="IG16" s="41"/>
      <c r="IH16" s="41"/>
      <c r="II16" s="41"/>
      <c r="IJ16" s="41"/>
      <c r="IK16" s="41"/>
      <c r="IL16" s="41"/>
      <c r="IM16" s="41"/>
      <c r="IN16" s="41"/>
      <c r="IO16" s="41"/>
      <c r="IP16" s="41"/>
      <c r="IQ16" s="41"/>
      <c r="IR16" s="41"/>
      <c r="IS16" s="41"/>
      <c r="IT16" s="41"/>
      <c r="IU16" s="41"/>
      <c r="IV16" s="41"/>
      <c r="IW16" s="41"/>
      <c r="IX16" s="41"/>
      <c r="IY16" s="41"/>
      <c r="IZ16" s="41"/>
      <c r="JA16" s="41"/>
      <c r="JB16" s="41"/>
      <c r="JC16" s="41"/>
      <c r="JD16" s="41"/>
      <c r="JE16" s="41"/>
      <c r="JF16" s="41"/>
      <c r="JG16" s="41"/>
      <c r="JH16" s="41"/>
      <c r="JI16" s="41"/>
      <c r="JJ16" s="41"/>
      <c r="JK16" s="41"/>
      <c r="JL16" s="41"/>
      <c r="JM16" s="41"/>
      <c r="JN16" s="41"/>
      <c r="JO16" s="41"/>
      <c r="JP16" s="41"/>
      <c r="JQ16" s="41"/>
      <c r="JR16" s="41"/>
      <c r="JS16" s="41"/>
      <c r="JT16" s="41"/>
      <c r="JU16" s="41"/>
      <c r="JV16" s="41"/>
      <c r="JW16" s="41"/>
      <c r="JX16" s="41"/>
      <c r="JY16" s="41"/>
      <c r="JZ16" s="41"/>
      <c r="KA16" s="41"/>
      <c r="KB16" s="41"/>
      <c r="KC16" s="41"/>
      <c r="KD16" s="41"/>
      <c r="KE16" s="41"/>
      <c r="KF16" s="41"/>
      <c r="KG16" s="41"/>
      <c r="KH16" s="41"/>
      <c r="KI16" s="41"/>
      <c r="KJ16" s="41"/>
      <c r="KK16" s="41"/>
      <c r="KL16" s="41"/>
      <c r="KM16" s="41"/>
      <c r="KN16" s="41"/>
      <c r="KO16" s="41"/>
      <c r="KP16" s="41"/>
      <c r="KQ16" s="41"/>
      <c r="KR16" s="41"/>
      <c r="KS16" s="41"/>
      <c r="KT16" s="41"/>
      <c r="KU16" s="41"/>
      <c r="KV16" s="41"/>
      <c r="KW16" s="41"/>
      <c r="KX16" s="41"/>
      <c r="KY16" s="41"/>
      <c r="KZ16" s="41"/>
    </row>
    <row r="17" spans="2:312" ht="15.5" x14ac:dyDescent="0.35">
      <c r="B17" s="40">
        <f t="shared" si="0"/>
        <v>44228</v>
      </c>
      <c r="C17" s="19">
        <v>202102</v>
      </c>
      <c r="D17" s="41">
        <v>4482</v>
      </c>
      <c r="E17" s="41">
        <v>0</v>
      </c>
      <c r="F17" s="41">
        <v>0</v>
      </c>
      <c r="G17" s="41">
        <v>2704242.2279999899</v>
      </c>
      <c r="H17" s="41">
        <v>4833782.75</v>
      </c>
      <c r="I17" s="41">
        <v>18575.448999999899</v>
      </c>
      <c r="J17" s="41">
        <v>124770</v>
      </c>
      <c r="K17" s="41">
        <v>31152.824999999899</v>
      </c>
      <c r="L17" s="41">
        <v>484.26799999999997</v>
      </c>
      <c r="M17" s="41">
        <v>490.4</v>
      </c>
      <c r="N17" s="41">
        <v>0</v>
      </c>
      <c r="O17" s="41">
        <v>0</v>
      </c>
      <c r="P17" s="41">
        <v>8</v>
      </c>
      <c r="Q17" s="41">
        <v>0</v>
      </c>
      <c r="R17" s="41">
        <v>42</v>
      </c>
      <c r="S17" s="41">
        <v>0</v>
      </c>
      <c r="T17" s="41">
        <v>0</v>
      </c>
      <c r="U17" s="41">
        <v>545</v>
      </c>
      <c r="V17" s="41">
        <v>0</v>
      </c>
      <c r="W17" s="41">
        <v>0</v>
      </c>
      <c r="X17" s="41">
        <v>1746</v>
      </c>
      <c r="Y17" s="41">
        <v>1142</v>
      </c>
      <c r="Z17" s="41">
        <v>6984</v>
      </c>
      <c r="AA17" s="41">
        <v>0</v>
      </c>
      <c r="AB17" s="41">
        <v>0</v>
      </c>
      <c r="AC17" s="41">
        <v>35896</v>
      </c>
      <c r="AD17" s="41">
        <v>0</v>
      </c>
      <c r="AE17" s="41">
        <v>0</v>
      </c>
      <c r="AF17" s="41">
        <v>694</v>
      </c>
      <c r="AG17" s="41">
        <v>113</v>
      </c>
      <c r="AH17" s="41">
        <v>2125</v>
      </c>
      <c r="AI17" s="41">
        <v>0</v>
      </c>
      <c r="AJ17" s="41">
        <v>0</v>
      </c>
      <c r="AK17" s="41">
        <v>2418</v>
      </c>
      <c r="AL17" s="41">
        <v>8</v>
      </c>
      <c r="AM17" s="41">
        <v>0</v>
      </c>
      <c r="AN17" s="41">
        <v>0</v>
      </c>
      <c r="AO17" s="41">
        <v>545</v>
      </c>
      <c r="AP17" s="41">
        <v>42</v>
      </c>
      <c r="AQ17" s="41">
        <v>2888</v>
      </c>
      <c r="AR17" s="41">
        <v>0</v>
      </c>
      <c r="AS17" s="41">
        <v>0</v>
      </c>
      <c r="AT17" s="41">
        <v>35896</v>
      </c>
      <c r="AU17" s="41">
        <v>6984</v>
      </c>
      <c r="AV17" s="41">
        <v>807</v>
      </c>
      <c r="AW17" s="41">
        <v>0</v>
      </c>
      <c r="AX17" s="41">
        <v>0</v>
      </c>
      <c r="AY17" s="41">
        <v>2418</v>
      </c>
      <c r="AZ17" s="41">
        <v>2125</v>
      </c>
      <c r="BA17" s="41">
        <v>8</v>
      </c>
      <c r="BB17" s="41">
        <v>0</v>
      </c>
      <c r="BC17" s="41">
        <v>0</v>
      </c>
      <c r="BD17" s="41">
        <v>545</v>
      </c>
      <c r="BE17" s="41">
        <v>42</v>
      </c>
      <c r="BF17" s="41">
        <v>2888</v>
      </c>
      <c r="BG17" s="41">
        <v>0</v>
      </c>
      <c r="BH17" s="41">
        <v>0</v>
      </c>
      <c r="BI17" s="41">
        <v>35896</v>
      </c>
      <c r="BJ17" s="41">
        <v>6984</v>
      </c>
      <c r="BK17" s="41">
        <v>807</v>
      </c>
      <c r="BL17" s="41">
        <v>0</v>
      </c>
      <c r="BM17" s="41">
        <v>0</v>
      </c>
      <c r="BN17" s="41">
        <v>2418</v>
      </c>
      <c r="BO17" s="41">
        <v>2125</v>
      </c>
      <c r="BP17" s="41">
        <v>0</v>
      </c>
      <c r="BQ17" s="41">
        <v>8</v>
      </c>
      <c r="BR17" s="41">
        <v>0</v>
      </c>
      <c r="BS17" s="41">
        <v>0</v>
      </c>
      <c r="BT17" s="41">
        <v>0</v>
      </c>
      <c r="BU17" s="41">
        <v>0</v>
      </c>
      <c r="BV17" s="41">
        <v>0</v>
      </c>
      <c r="BW17" s="41">
        <v>0</v>
      </c>
      <c r="BX17" s="41">
        <v>545</v>
      </c>
      <c r="BY17" s="41">
        <v>42</v>
      </c>
      <c r="BZ17" s="41">
        <v>0</v>
      </c>
      <c r="CA17" s="41">
        <v>1746</v>
      </c>
      <c r="CB17" s="41">
        <v>1142</v>
      </c>
      <c r="CC17" s="41">
        <v>0</v>
      </c>
      <c r="CD17" s="41">
        <v>0</v>
      </c>
      <c r="CE17" s="41">
        <v>0</v>
      </c>
      <c r="CF17" s="41">
        <v>0</v>
      </c>
      <c r="CG17" s="41">
        <v>0</v>
      </c>
      <c r="CH17" s="41">
        <v>35896</v>
      </c>
      <c r="CI17" s="41">
        <v>6984</v>
      </c>
      <c r="CJ17" s="41">
        <v>0</v>
      </c>
      <c r="CK17" s="41">
        <v>694</v>
      </c>
      <c r="CL17" s="41">
        <v>113</v>
      </c>
      <c r="CM17" s="41">
        <v>0</v>
      </c>
      <c r="CN17" s="41">
        <v>0</v>
      </c>
      <c r="CO17" s="41">
        <v>0</v>
      </c>
      <c r="CP17" s="41">
        <v>0</v>
      </c>
      <c r="CQ17" s="41">
        <v>0</v>
      </c>
      <c r="CR17" s="41">
        <v>2418</v>
      </c>
      <c r="CS17" s="41">
        <v>2125</v>
      </c>
      <c r="CT17" s="41">
        <v>8620</v>
      </c>
      <c r="CU17" s="41">
        <v>0</v>
      </c>
      <c r="CV17" s="41">
        <v>4024</v>
      </c>
      <c r="CW17" s="41">
        <v>12644</v>
      </c>
      <c r="CX17" s="41">
        <v>4113976</v>
      </c>
      <c r="CY17" s="41">
        <v>4113976</v>
      </c>
      <c r="CZ17" s="41">
        <v>119580</v>
      </c>
      <c r="DA17" s="41">
        <v>0</v>
      </c>
      <c r="DB17" s="41">
        <v>44014931</v>
      </c>
      <c r="DC17" s="41">
        <v>0</v>
      </c>
      <c r="DD17" s="41">
        <v>119580</v>
      </c>
      <c r="DE17" s="41">
        <v>44014931</v>
      </c>
      <c r="DF17" s="41">
        <v>119580</v>
      </c>
      <c r="DG17" s="41">
        <v>44014931</v>
      </c>
      <c r="DH17" s="41">
        <v>119580</v>
      </c>
      <c r="DI17" s="41">
        <v>0</v>
      </c>
      <c r="DJ17" s="41">
        <v>44014931</v>
      </c>
      <c r="DK17" s="41">
        <v>0</v>
      </c>
      <c r="DL17" s="41">
        <v>291</v>
      </c>
      <c r="DM17" s="41">
        <v>0</v>
      </c>
      <c r="DN17" s="41">
        <v>0</v>
      </c>
      <c r="DO17" s="41">
        <v>35060</v>
      </c>
      <c r="DP17" s="41">
        <v>4762</v>
      </c>
      <c r="DQ17" s="41">
        <v>39822</v>
      </c>
      <c r="DR17" s="41">
        <v>39822</v>
      </c>
      <c r="DS17" s="41">
        <v>35060</v>
      </c>
      <c r="DT17" s="41">
        <v>4762</v>
      </c>
      <c r="DU17" s="41">
        <v>0</v>
      </c>
      <c r="DV17" s="41">
        <v>0</v>
      </c>
      <c r="DW17" s="41">
        <v>20975</v>
      </c>
      <c r="DX17" s="41">
        <v>2689</v>
      </c>
      <c r="DY17" s="41">
        <v>0</v>
      </c>
      <c r="DZ17" s="41">
        <v>0</v>
      </c>
      <c r="EA17" s="41">
        <v>20975</v>
      </c>
      <c r="EB17" s="41"/>
      <c r="EC17" s="41"/>
      <c r="ED17" s="41"/>
      <c r="EE17" s="41"/>
      <c r="EF17" s="41"/>
      <c r="EG17" s="41"/>
      <c r="EH17" s="41"/>
      <c r="EI17" s="41"/>
      <c r="EJ17" s="41"/>
      <c r="EK17" s="41"/>
      <c r="EL17" s="41"/>
      <c r="EM17" s="41"/>
      <c r="EN17" s="41"/>
      <c r="EO17" s="41"/>
      <c r="EP17" s="41"/>
      <c r="EQ17" s="41"/>
      <c r="ER17" s="41"/>
      <c r="ES17" s="41"/>
      <c r="ET17" s="41"/>
      <c r="EU17" s="41"/>
      <c r="EV17" s="41"/>
      <c r="EW17" s="41"/>
      <c r="EX17" s="41"/>
      <c r="EY17" s="41"/>
      <c r="EZ17" s="41"/>
      <c r="FA17" s="41"/>
      <c r="FB17" s="41"/>
      <c r="FC17" s="41"/>
      <c r="FD17" s="41"/>
      <c r="FE17" s="41"/>
      <c r="FF17" s="41"/>
      <c r="FG17" s="41"/>
      <c r="FH17" s="41"/>
      <c r="FI17" s="41"/>
      <c r="FJ17" s="41"/>
      <c r="FK17" s="41"/>
      <c r="FL17" s="41"/>
      <c r="FM17" s="41"/>
      <c r="FN17" s="41"/>
      <c r="FO17" s="41"/>
      <c r="FP17" s="41"/>
      <c r="FQ17" s="41"/>
      <c r="FR17" s="41"/>
      <c r="FS17" s="41"/>
      <c r="FT17" s="41"/>
      <c r="FU17" s="41"/>
      <c r="FV17" s="41"/>
      <c r="FW17" s="41"/>
      <c r="FX17" s="41"/>
      <c r="FY17" s="41"/>
      <c r="FZ17" s="41"/>
      <c r="GA17" s="41"/>
      <c r="GB17" s="41"/>
      <c r="GC17" s="41"/>
      <c r="GD17" s="41"/>
      <c r="GE17" s="41"/>
      <c r="GF17" s="41"/>
      <c r="GG17" s="41"/>
      <c r="GH17" s="41"/>
      <c r="GI17" s="41"/>
      <c r="GJ17" s="41"/>
      <c r="GK17" s="41"/>
      <c r="GL17" s="41"/>
      <c r="GM17" s="41"/>
      <c r="GN17" s="41"/>
      <c r="GO17" s="41"/>
      <c r="GP17" s="41"/>
      <c r="GQ17" s="41"/>
      <c r="GR17" s="41"/>
      <c r="GS17" s="41"/>
      <c r="GT17" s="41"/>
      <c r="GU17" s="41"/>
      <c r="GV17" s="41"/>
      <c r="GW17" s="41"/>
      <c r="GX17" s="41"/>
      <c r="GY17" s="41"/>
      <c r="GZ17" s="41"/>
      <c r="HA17" s="41"/>
      <c r="HB17" s="41"/>
      <c r="HC17" s="41"/>
      <c r="HD17" s="41"/>
      <c r="HE17" s="41"/>
      <c r="HF17" s="41"/>
      <c r="HG17" s="41"/>
      <c r="HH17" s="41"/>
      <c r="HI17" s="41"/>
      <c r="HJ17" s="41"/>
      <c r="HK17" s="41"/>
      <c r="HL17" s="41"/>
      <c r="HM17" s="41"/>
      <c r="HN17" s="41"/>
      <c r="HO17" s="41"/>
      <c r="HP17" s="41"/>
      <c r="HQ17" s="41"/>
      <c r="HR17" s="41"/>
      <c r="HS17" s="41"/>
      <c r="HT17" s="41"/>
      <c r="HU17" s="41"/>
      <c r="HV17" s="41"/>
      <c r="HW17" s="41"/>
      <c r="HX17" s="41"/>
      <c r="HY17" s="41"/>
      <c r="HZ17" s="41"/>
      <c r="IA17" s="41"/>
      <c r="IB17" s="41"/>
      <c r="IC17" s="41"/>
      <c r="ID17" s="41"/>
      <c r="IE17" s="41"/>
      <c r="IF17" s="41"/>
      <c r="IG17" s="41"/>
      <c r="IH17" s="41"/>
      <c r="II17" s="41"/>
      <c r="IJ17" s="41"/>
      <c r="IK17" s="41"/>
      <c r="IL17" s="41"/>
      <c r="IM17" s="41"/>
      <c r="IN17" s="41"/>
      <c r="IO17" s="41"/>
      <c r="IP17" s="41"/>
      <c r="IQ17" s="41"/>
      <c r="IR17" s="41"/>
      <c r="IS17" s="41"/>
      <c r="IT17" s="41"/>
      <c r="IU17" s="41"/>
      <c r="IV17" s="41"/>
      <c r="IW17" s="41"/>
      <c r="IX17" s="41"/>
      <c r="IY17" s="41"/>
      <c r="IZ17" s="41"/>
      <c r="JA17" s="41"/>
      <c r="JB17" s="41"/>
      <c r="JC17" s="41"/>
      <c r="JD17" s="41"/>
      <c r="JE17" s="41"/>
      <c r="JF17" s="41"/>
      <c r="JG17" s="41"/>
      <c r="JH17" s="41"/>
      <c r="JI17" s="41"/>
      <c r="JJ17" s="41"/>
      <c r="JK17" s="41"/>
      <c r="JL17" s="41"/>
      <c r="JM17" s="41"/>
      <c r="JN17" s="41"/>
      <c r="JO17" s="41"/>
      <c r="JP17" s="41"/>
      <c r="JQ17" s="41"/>
      <c r="JR17" s="41"/>
      <c r="JS17" s="41"/>
      <c r="JT17" s="41"/>
      <c r="JU17" s="41"/>
      <c r="JV17" s="41"/>
      <c r="JW17" s="41"/>
      <c r="JX17" s="41"/>
      <c r="JY17" s="41"/>
      <c r="JZ17" s="41"/>
      <c r="KA17" s="41"/>
      <c r="KB17" s="41"/>
      <c r="KC17" s="41"/>
      <c r="KD17" s="41"/>
      <c r="KE17" s="41"/>
      <c r="KF17" s="41"/>
      <c r="KG17" s="41"/>
      <c r="KH17" s="41"/>
      <c r="KI17" s="41"/>
      <c r="KJ17" s="41"/>
      <c r="KK17" s="41"/>
      <c r="KL17" s="41"/>
      <c r="KM17" s="41"/>
      <c r="KN17" s="41"/>
      <c r="KO17" s="41"/>
      <c r="KP17" s="41"/>
      <c r="KQ17" s="41"/>
      <c r="KR17" s="41"/>
      <c r="KS17" s="41"/>
      <c r="KT17" s="41"/>
      <c r="KU17" s="41"/>
      <c r="KV17" s="41"/>
      <c r="KW17" s="41"/>
      <c r="KX17" s="41"/>
      <c r="KY17" s="41"/>
      <c r="KZ17" s="41"/>
    </row>
    <row r="18" spans="2:312" ht="15.5" x14ac:dyDescent="0.35">
      <c r="B18" s="40">
        <f t="shared" si="0"/>
        <v>44256</v>
      </c>
      <c r="C18" s="19">
        <v>202103</v>
      </c>
      <c r="D18" s="41">
        <v>5417</v>
      </c>
      <c r="E18" s="41">
        <v>0</v>
      </c>
      <c r="F18" s="41">
        <v>0</v>
      </c>
      <c r="G18" s="41">
        <v>3156685.8620000002</v>
      </c>
      <c r="H18" s="41">
        <v>5553438.5359999901</v>
      </c>
      <c r="I18" s="41">
        <v>21399.245999999901</v>
      </c>
      <c r="J18" s="41">
        <v>134766</v>
      </c>
      <c r="K18" s="41">
        <v>35883.296999999897</v>
      </c>
      <c r="L18" s="41">
        <v>615.58199999999999</v>
      </c>
      <c r="M18" s="41">
        <v>618.53300000000002</v>
      </c>
      <c r="N18" s="41">
        <v>0</v>
      </c>
      <c r="O18" s="41">
        <v>2</v>
      </c>
      <c r="P18" s="41">
        <v>9</v>
      </c>
      <c r="Q18" s="41">
        <v>0</v>
      </c>
      <c r="R18" s="41">
        <v>171</v>
      </c>
      <c r="S18" s="41">
        <v>1</v>
      </c>
      <c r="T18" s="41">
        <v>0</v>
      </c>
      <c r="U18" s="41">
        <v>2086</v>
      </c>
      <c r="V18" s="41">
        <v>0</v>
      </c>
      <c r="W18" s="41">
        <v>1262</v>
      </c>
      <c r="X18" s="41">
        <v>1547</v>
      </c>
      <c r="Y18" s="41">
        <v>20930</v>
      </c>
      <c r="Z18" s="41">
        <v>12576</v>
      </c>
      <c r="AA18" s="41">
        <v>2342</v>
      </c>
      <c r="AB18" s="41">
        <v>0</v>
      </c>
      <c r="AC18" s="41">
        <v>178671</v>
      </c>
      <c r="AD18" s="41">
        <v>0</v>
      </c>
      <c r="AE18" s="41">
        <v>595</v>
      </c>
      <c r="AF18" s="41">
        <v>672</v>
      </c>
      <c r="AG18" s="41">
        <v>1343</v>
      </c>
      <c r="AH18" s="41">
        <v>2929</v>
      </c>
      <c r="AI18" s="41">
        <v>1559</v>
      </c>
      <c r="AJ18" s="41">
        <v>0</v>
      </c>
      <c r="AK18" s="41">
        <v>8680</v>
      </c>
      <c r="AL18" s="41">
        <v>12</v>
      </c>
      <c r="AM18" s="41">
        <v>0</v>
      </c>
      <c r="AN18" s="41">
        <v>0</v>
      </c>
      <c r="AO18" s="41">
        <v>2086</v>
      </c>
      <c r="AP18" s="41">
        <v>171</v>
      </c>
      <c r="AQ18" s="41">
        <v>26081</v>
      </c>
      <c r="AR18" s="41">
        <v>0</v>
      </c>
      <c r="AS18" s="41">
        <v>0</v>
      </c>
      <c r="AT18" s="41">
        <v>178671</v>
      </c>
      <c r="AU18" s="41">
        <v>12576</v>
      </c>
      <c r="AV18" s="41">
        <v>4169</v>
      </c>
      <c r="AW18" s="41">
        <v>0</v>
      </c>
      <c r="AX18" s="41">
        <v>0</v>
      </c>
      <c r="AY18" s="41">
        <v>8680</v>
      </c>
      <c r="AZ18" s="41">
        <v>2929</v>
      </c>
      <c r="BA18" s="41">
        <v>12</v>
      </c>
      <c r="BB18" s="41">
        <v>0</v>
      </c>
      <c r="BC18" s="41">
        <v>0</v>
      </c>
      <c r="BD18" s="41">
        <v>2086</v>
      </c>
      <c r="BE18" s="41">
        <v>171</v>
      </c>
      <c r="BF18" s="41">
        <v>26081</v>
      </c>
      <c r="BG18" s="41">
        <v>0</v>
      </c>
      <c r="BH18" s="41">
        <v>0</v>
      </c>
      <c r="BI18" s="41">
        <v>178671</v>
      </c>
      <c r="BJ18" s="41">
        <v>12576</v>
      </c>
      <c r="BK18" s="41">
        <v>4169</v>
      </c>
      <c r="BL18" s="41">
        <v>0</v>
      </c>
      <c r="BM18" s="41">
        <v>0</v>
      </c>
      <c r="BN18" s="41">
        <v>8680</v>
      </c>
      <c r="BO18" s="41">
        <v>2929</v>
      </c>
      <c r="BP18" s="41">
        <v>2</v>
      </c>
      <c r="BQ18" s="41">
        <v>9</v>
      </c>
      <c r="BR18" s="41">
        <v>0</v>
      </c>
      <c r="BS18" s="41">
        <v>1</v>
      </c>
      <c r="BT18" s="41">
        <v>0</v>
      </c>
      <c r="BU18" s="41">
        <v>0</v>
      </c>
      <c r="BV18" s="41">
        <v>0</v>
      </c>
      <c r="BW18" s="41">
        <v>0</v>
      </c>
      <c r="BX18" s="41">
        <v>2086</v>
      </c>
      <c r="BY18" s="41">
        <v>171</v>
      </c>
      <c r="BZ18" s="41">
        <v>1262</v>
      </c>
      <c r="CA18" s="41">
        <v>1547</v>
      </c>
      <c r="CB18" s="41">
        <v>20930</v>
      </c>
      <c r="CC18" s="41">
        <v>2342</v>
      </c>
      <c r="CD18" s="41">
        <v>0</v>
      </c>
      <c r="CE18" s="41">
        <v>0</v>
      </c>
      <c r="CF18" s="41">
        <v>0</v>
      </c>
      <c r="CG18" s="41">
        <v>0</v>
      </c>
      <c r="CH18" s="41">
        <v>178671</v>
      </c>
      <c r="CI18" s="41">
        <v>12576</v>
      </c>
      <c r="CJ18" s="41">
        <v>595</v>
      </c>
      <c r="CK18" s="41">
        <v>672</v>
      </c>
      <c r="CL18" s="41">
        <v>1343</v>
      </c>
      <c r="CM18" s="41">
        <v>1559</v>
      </c>
      <c r="CN18" s="41">
        <v>0</v>
      </c>
      <c r="CO18" s="41">
        <v>0</v>
      </c>
      <c r="CP18" s="41">
        <v>0</v>
      </c>
      <c r="CQ18" s="41">
        <v>0</v>
      </c>
      <c r="CR18" s="41">
        <v>8680</v>
      </c>
      <c r="CS18" s="41">
        <v>2929</v>
      </c>
      <c r="CT18" s="41">
        <v>9819</v>
      </c>
      <c r="CU18" s="41">
        <v>0</v>
      </c>
      <c r="CV18" s="41">
        <v>4665</v>
      </c>
      <c r="CW18" s="41">
        <v>14484</v>
      </c>
      <c r="CX18" s="41">
        <v>3859021</v>
      </c>
      <c r="CY18" s="41">
        <v>3859021</v>
      </c>
      <c r="CZ18" s="41">
        <v>95748</v>
      </c>
      <c r="DA18" s="41">
        <v>0</v>
      </c>
      <c r="DB18" s="41">
        <v>39283395</v>
      </c>
      <c r="DC18" s="41">
        <v>0</v>
      </c>
      <c r="DD18" s="41">
        <v>95748</v>
      </c>
      <c r="DE18" s="41">
        <v>39283395</v>
      </c>
      <c r="DF18" s="41">
        <v>95748</v>
      </c>
      <c r="DG18" s="41">
        <v>39283395</v>
      </c>
      <c r="DH18" s="41">
        <v>95748</v>
      </c>
      <c r="DI18" s="41">
        <v>0</v>
      </c>
      <c r="DJ18" s="41">
        <v>39283395</v>
      </c>
      <c r="DK18" s="41">
        <v>0</v>
      </c>
      <c r="DL18" s="41">
        <v>685</v>
      </c>
      <c r="DM18" s="41">
        <v>0</v>
      </c>
      <c r="DN18" s="41">
        <v>0</v>
      </c>
      <c r="DO18" s="41">
        <v>43980</v>
      </c>
      <c r="DP18" s="41">
        <v>7040</v>
      </c>
      <c r="DQ18" s="41">
        <v>51020</v>
      </c>
      <c r="DR18" s="41">
        <v>51020</v>
      </c>
      <c r="DS18" s="41">
        <v>43980</v>
      </c>
      <c r="DT18" s="41">
        <v>7040</v>
      </c>
      <c r="DU18" s="41">
        <v>0</v>
      </c>
      <c r="DV18" s="41">
        <v>0</v>
      </c>
      <c r="DW18" s="41">
        <v>28874</v>
      </c>
      <c r="DX18" s="41">
        <v>2689</v>
      </c>
      <c r="DY18" s="41">
        <v>0</v>
      </c>
      <c r="DZ18" s="41">
        <v>0</v>
      </c>
      <c r="EA18" s="41">
        <v>28874</v>
      </c>
      <c r="EB18" s="41"/>
      <c r="EC18" s="41"/>
      <c r="ED18" s="41"/>
      <c r="EE18" s="41"/>
      <c r="EF18" s="41"/>
      <c r="EG18" s="41"/>
      <c r="EH18" s="41"/>
      <c r="EI18" s="41"/>
      <c r="EJ18" s="41"/>
      <c r="EK18" s="41"/>
      <c r="EL18" s="41"/>
      <c r="EM18" s="41"/>
      <c r="EN18" s="41"/>
      <c r="EO18" s="41"/>
      <c r="EP18" s="41"/>
      <c r="EQ18" s="41"/>
      <c r="ER18" s="41"/>
      <c r="ES18" s="41"/>
      <c r="ET18" s="41"/>
      <c r="EU18" s="41"/>
      <c r="EV18" s="41"/>
      <c r="EW18" s="41"/>
      <c r="EX18" s="41"/>
      <c r="EY18" s="41"/>
      <c r="EZ18" s="41"/>
      <c r="FA18" s="41"/>
      <c r="FB18" s="41"/>
      <c r="FC18" s="41"/>
      <c r="FD18" s="41"/>
      <c r="FE18" s="41"/>
      <c r="FF18" s="41"/>
      <c r="FG18" s="41"/>
      <c r="FH18" s="41"/>
      <c r="FI18" s="41"/>
      <c r="FJ18" s="41"/>
      <c r="FK18" s="41"/>
      <c r="FL18" s="41"/>
      <c r="FM18" s="41"/>
      <c r="FN18" s="41"/>
      <c r="FO18" s="41"/>
      <c r="FP18" s="41"/>
      <c r="FQ18" s="41"/>
      <c r="FR18" s="41"/>
      <c r="FS18" s="41"/>
      <c r="FT18" s="41"/>
      <c r="FU18" s="41"/>
      <c r="FV18" s="41"/>
      <c r="FW18" s="41"/>
      <c r="FX18" s="41"/>
      <c r="FY18" s="41"/>
      <c r="FZ18" s="41"/>
      <c r="GA18" s="41"/>
      <c r="GB18" s="41"/>
      <c r="GC18" s="41"/>
      <c r="GD18" s="41"/>
      <c r="GE18" s="41"/>
      <c r="GF18" s="41"/>
      <c r="GG18" s="41"/>
      <c r="GH18" s="41"/>
      <c r="GI18" s="41"/>
      <c r="GJ18" s="41"/>
      <c r="GK18" s="41"/>
      <c r="GL18" s="41"/>
      <c r="GM18" s="41"/>
      <c r="GN18" s="41"/>
      <c r="GO18" s="41"/>
      <c r="GP18" s="41"/>
      <c r="GQ18" s="41"/>
      <c r="GR18" s="41"/>
      <c r="GS18" s="41"/>
      <c r="GT18" s="41"/>
      <c r="GU18" s="41"/>
      <c r="GV18" s="41"/>
      <c r="GW18" s="41"/>
      <c r="GX18" s="41"/>
      <c r="GY18" s="41"/>
      <c r="GZ18" s="41"/>
      <c r="HA18" s="41"/>
      <c r="HB18" s="41"/>
      <c r="HC18" s="41"/>
      <c r="HD18" s="41"/>
      <c r="HE18" s="41"/>
      <c r="HF18" s="41"/>
      <c r="HG18" s="41"/>
      <c r="HH18" s="41"/>
      <c r="HI18" s="41"/>
      <c r="HJ18" s="41"/>
      <c r="HK18" s="41"/>
      <c r="HL18" s="41"/>
      <c r="HM18" s="41"/>
      <c r="HN18" s="41"/>
      <c r="HO18" s="41"/>
      <c r="HP18" s="41"/>
      <c r="HQ18" s="41"/>
      <c r="HR18" s="41"/>
      <c r="HS18" s="41"/>
      <c r="HT18" s="41"/>
      <c r="HU18" s="41"/>
      <c r="HV18" s="41"/>
      <c r="HW18" s="41"/>
      <c r="HX18" s="41"/>
      <c r="HY18" s="41"/>
      <c r="HZ18" s="41"/>
      <c r="IA18" s="41"/>
      <c r="IB18" s="41"/>
      <c r="IC18" s="41"/>
      <c r="ID18" s="41"/>
      <c r="IE18" s="41"/>
      <c r="IF18" s="41"/>
      <c r="IG18" s="41"/>
      <c r="IH18" s="41"/>
      <c r="II18" s="41"/>
      <c r="IJ18" s="41"/>
      <c r="IK18" s="41"/>
      <c r="IL18" s="41"/>
      <c r="IM18" s="41"/>
      <c r="IN18" s="41"/>
      <c r="IO18" s="41"/>
      <c r="IP18" s="41"/>
      <c r="IQ18" s="41"/>
      <c r="IR18" s="41"/>
      <c r="IS18" s="41"/>
      <c r="IT18" s="41"/>
      <c r="IU18" s="41"/>
      <c r="IV18" s="41"/>
      <c r="IW18" s="41"/>
      <c r="IX18" s="41"/>
      <c r="IY18" s="41"/>
      <c r="IZ18" s="41"/>
      <c r="JA18" s="41"/>
      <c r="JB18" s="41"/>
      <c r="JC18" s="41"/>
      <c r="JD18" s="41"/>
      <c r="JE18" s="41"/>
      <c r="JF18" s="41"/>
      <c r="JG18" s="41"/>
      <c r="JH18" s="41"/>
      <c r="JI18" s="41"/>
      <c r="JJ18" s="41"/>
      <c r="JK18" s="41"/>
      <c r="JL18" s="41"/>
      <c r="JM18" s="41"/>
      <c r="JN18" s="41"/>
      <c r="JO18" s="41"/>
      <c r="JP18" s="41"/>
      <c r="JQ18" s="41"/>
      <c r="JR18" s="41"/>
      <c r="JS18" s="41"/>
      <c r="JT18" s="41"/>
      <c r="JU18" s="41"/>
      <c r="JV18" s="41"/>
      <c r="JW18" s="41"/>
      <c r="JX18" s="41"/>
      <c r="JY18" s="41"/>
      <c r="JZ18" s="41"/>
      <c r="KA18" s="41"/>
      <c r="KB18" s="41"/>
      <c r="KC18" s="41"/>
      <c r="KD18" s="41"/>
      <c r="KE18" s="41"/>
      <c r="KF18" s="41"/>
      <c r="KG18" s="41"/>
      <c r="KH18" s="41"/>
      <c r="KI18" s="41"/>
      <c r="KJ18" s="41"/>
      <c r="KK18" s="41"/>
      <c r="KL18" s="41"/>
      <c r="KM18" s="41"/>
      <c r="KN18" s="41"/>
      <c r="KO18" s="41"/>
      <c r="KP18" s="41"/>
      <c r="KQ18" s="41"/>
      <c r="KR18" s="41"/>
      <c r="KS18" s="41"/>
      <c r="KT18" s="41"/>
      <c r="KU18" s="41"/>
      <c r="KV18" s="41"/>
      <c r="KW18" s="41"/>
      <c r="KX18" s="41"/>
      <c r="KY18" s="41"/>
      <c r="KZ18" s="41"/>
    </row>
    <row r="19" spans="2:312" ht="15.5" x14ac:dyDescent="0.35">
      <c r="B19" s="40">
        <f t="shared" si="0"/>
        <v>44287</v>
      </c>
      <c r="C19" s="19">
        <v>202104</v>
      </c>
      <c r="D19" s="41">
        <v>3709</v>
      </c>
      <c r="E19" s="41">
        <v>0</v>
      </c>
      <c r="F19" s="41">
        <v>0</v>
      </c>
      <c r="G19" s="41">
        <v>2994039.122</v>
      </c>
      <c r="H19" s="41">
        <v>5271425.4259999897</v>
      </c>
      <c r="I19" s="41">
        <v>20252.035999999898</v>
      </c>
      <c r="J19" s="41">
        <v>131556</v>
      </c>
      <c r="K19" s="41">
        <v>34414.417999999903</v>
      </c>
      <c r="L19" s="41">
        <v>472.59300000000002</v>
      </c>
      <c r="M19" s="41">
        <v>479.55500000000001</v>
      </c>
      <c r="N19" s="41">
        <v>339</v>
      </c>
      <c r="O19" s="41">
        <v>1</v>
      </c>
      <c r="P19" s="41">
        <v>0</v>
      </c>
      <c r="Q19" s="41">
        <v>0</v>
      </c>
      <c r="R19" s="41">
        <v>65</v>
      </c>
      <c r="S19" s="41">
        <v>2</v>
      </c>
      <c r="T19" s="41">
        <v>0</v>
      </c>
      <c r="U19" s="41">
        <v>5133</v>
      </c>
      <c r="V19" s="41">
        <v>38724</v>
      </c>
      <c r="W19" s="41">
        <v>2512</v>
      </c>
      <c r="X19" s="41">
        <v>0</v>
      </c>
      <c r="Y19" s="41">
        <v>26949</v>
      </c>
      <c r="Z19" s="41">
        <v>9985</v>
      </c>
      <c r="AA19" s="41">
        <v>3910</v>
      </c>
      <c r="AB19" s="41">
        <v>0</v>
      </c>
      <c r="AC19" s="41">
        <v>393872</v>
      </c>
      <c r="AD19" s="41">
        <v>339</v>
      </c>
      <c r="AE19" s="41">
        <v>1445</v>
      </c>
      <c r="AF19" s="41">
        <v>0</v>
      </c>
      <c r="AG19" s="41">
        <v>1373</v>
      </c>
      <c r="AH19" s="41">
        <v>2017</v>
      </c>
      <c r="AI19" s="41">
        <v>3204</v>
      </c>
      <c r="AJ19" s="41">
        <v>0</v>
      </c>
      <c r="AK19" s="41">
        <v>20880</v>
      </c>
      <c r="AL19" s="41">
        <v>3</v>
      </c>
      <c r="AM19" s="41">
        <v>339</v>
      </c>
      <c r="AN19" s="41">
        <v>0</v>
      </c>
      <c r="AO19" s="41">
        <v>5133</v>
      </c>
      <c r="AP19" s="41">
        <v>65</v>
      </c>
      <c r="AQ19" s="41">
        <v>33371</v>
      </c>
      <c r="AR19" s="41">
        <v>38724</v>
      </c>
      <c r="AS19" s="41">
        <v>0</v>
      </c>
      <c r="AT19" s="41">
        <v>393872</v>
      </c>
      <c r="AU19" s="41">
        <v>9985</v>
      </c>
      <c r="AV19" s="41">
        <v>6022</v>
      </c>
      <c r="AW19" s="41">
        <v>339</v>
      </c>
      <c r="AX19" s="41">
        <v>0</v>
      </c>
      <c r="AY19" s="41">
        <v>20880</v>
      </c>
      <c r="AZ19" s="41">
        <v>2017</v>
      </c>
      <c r="BA19" s="41">
        <v>3</v>
      </c>
      <c r="BB19" s="41">
        <v>339</v>
      </c>
      <c r="BC19" s="41">
        <v>0</v>
      </c>
      <c r="BD19" s="41">
        <v>5133</v>
      </c>
      <c r="BE19" s="41">
        <v>65</v>
      </c>
      <c r="BF19" s="41">
        <v>33371</v>
      </c>
      <c r="BG19" s="41">
        <v>38724</v>
      </c>
      <c r="BH19" s="41">
        <v>0</v>
      </c>
      <c r="BI19" s="41">
        <v>393872</v>
      </c>
      <c r="BJ19" s="41">
        <v>9985</v>
      </c>
      <c r="BK19" s="41">
        <v>6022</v>
      </c>
      <c r="BL19" s="41">
        <v>339</v>
      </c>
      <c r="BM19" s="41">
        <v>0</v>
      </c>
      <c r="BN19" s="41">
        <v>20880</v>
      </c>
      <c r="BO19" s="41">
        <v>2017</v>
      </c>
      <c r="BP19" s="41">
        <v>1</v>
      </c>
      <c r="BQ19" s="41">
        <v>0</v>
      </c>
      <c r="BR19" s="41">
        <v>0</v>
      </c>
      <c r="BS19" s="41">
        <v>2</v>
      </c>
      <c r="BT19" s="41">
        <v>339</v>
      </c>
      <c r="BU19" s="41">
        <v>0</v>
      </c>
      <c r="BV19" s="41">
        <v>0</v>
      </c>
      <c r="BW19" s="41">
        <v>0</v>
      </c>
      <c r="BX19" s="41">
        <v>5133</v>
      </c>
      <c r="BY19" s="41">
        <v>65</v>
      </c>
      <c r="BZ19" s="41">
        <v>2512</v>
      </c>
      <c r="CA19" s="41">
        <v>0</v>
      </c>
      <c r="CB19" s="41">
        <v>26949</v>
      </c>
      <c r="CC19" s="41">
        <v>3910</v>
      </c>
      <c r="CD19" s="41">
        <v>38724</v>
      </c>
      <c r="CE19" s="41">
        <v>0</v>
      </c>
      <c r="CF19" s="41">
        <v>0</v>
      </c>
      <c r="CG19" s="41">
        <v>0</v>
      </c>
      <c r="CH19" s="41">
        <v>393872</v>
      </c>
      <c r="CI19" s="41">
        <v>9985</v>
      </c>
      <c r="CJ19" s="41">
        <v>1445</v>
      </c>
      <c r="CK19" s="41">
        <v>0</v>
      </c>
      <c r="CL19" s="41">
        <v>1373</v>
      </c>
      <c r="CM19" s="41">
        <v>3204</v>
      </c>
      <c r="CN19" s="41">
        <v>339</v>
      </c>
      <c r="CO19" s="41">
        <v>0</v>
      </c>
      <c r="CP19" s="41">
        <v>0</v>
      </c>
      <c r="CQ19" s="41">
        <v>0</v>
      </c>
      <c r="CR19" s="41">
        <v>20880</v>
      </c>
      <c r="CS19" s="41">
        <v>2017</v>
      </c>
      <c r="CT19" s="41">
        <v>10806</v>
      </c>
      <c r="CU19" s="41">
        <v>0</v>
      </c>
      <c r="CV19" s="41">
        <v>4731</v>
      </c>
      <c r="CW19" s="41">
        <v>15537</v>
      </c>
      <c r="CX19" s="41">
        <v>5525883</v>
      </c>
      <c r="CY19" s="41">
        <v>5525883</v>
      </c>
      <c r="CZ19" s="41">
        <v>47150</v>
      </c>
      <c r="DA19" s="41">
        <v>0</v>
      </c>
      <c r="DB19" s="41">
        <v>25775143</v>
      </c>
      <c r="DC19" s="41">
        <v>0</v>
      </c>
      <c r="DD19" s="41">
        <v>47150</v>
      </c>
      <c r="DE19" s="41">
        <v>25775143</v>
      </c>
      <c r="DF19" s="41">
        <v>47150</v>
      </c>
      <c r="DG19" s="41">
        <v>25775143</v>
      </c>
      <c r="DH19" s="41">
        <v>47150</v>
      </c>
      <c r="DI19" s="41">
        <v>0</v>
      </c>
      <c r="DJ19" s="41">
        <v>25775143</v>
      </c>
      <c r="DK19" s="41">
        <v>0</v>
      </c>
      <c r="DL19" s="41">
        <v>609</v>
      </c>
      <c r="DM19" s="41">
        <v>0</v>
      </c>
      <c r="DN19" s="41">
        <v>0</v>
      </c>
      <c r="DO19" s="41">
        <v>19257</v>
      </c>
      <c r="DP19" s="41">
        <v>3099</v>
      </c>
      <c r="DQ19" s="41">
        <v>22356</v>
      </c>
      <c r="DR19" s="41">
        <v>22356</v>
      </c>
      <c r="DS19" s="41">
        <v>19257</v>
      </c>
      <c r="DT19" s="41">
        <v>3099</v>
      </c>
      <c r="DU19" s="41">
        <v>0</v>
      </c>
      <c r="DV19" s="41">
        <v>0</v>
      </c>
      <c r="DW19" s="41">
        <v>43538</v>
      </c>
      <c r="DX19" s="41">
        <v>2689</v>
      </c>
      <c r="DY19" s="41">
        <v>0</v>
      </c>
      <c r="DZ19" s="41">
        <v>0</v>
      </c>
      <c r="EA19" s="41">
        <v>43538</v>
      </c>
      <c r="EB19" s="41"/>
      <c r="EC19" s="41"/>
      <c r="ED19" s="41"/>
      <c r="EE19" s="41"/>
      <c r="EF19" s="41"/>
      <c r="EG19" s="41"/>
      <c r="EH19" s="41"/>
      <c r="EI19" s="41"/>
      <c r="EJ19" s="41"/>
      <c r="EK19" s="41"/>
      <c r="EL19" s="41"/>
      <c r="EM19" s="41"/>
      <c r="EN19" s="41"/>
      <c r="EO19" s="41"/>
      <c r="EP19" s="41"/>
      <c r="EQ19" s="41"/>
      <c r="ER19" s="41"/>
      <c r="ES19" s="41"/>
      <c r="ET19" s="41"/>
      <c r="EU19" s="41"/>
      <c r="EV19" s="41"/>
      <c r="EW19" s="41"/>
      <c r="EX19" s="41"/>
      <c r="EY19" s="41"/>
      <c r="EZ19" s="41"/>
      <c r="FA19" s="41"/>
      <c r="FB19" s="41"/>
      <c r="FC19" s="41"/>
      <c r="FD19" s="41"/>
      <c r="FE19" s="41"/>
      <c r="FF19" s="41"/>
      <c r="FG19" s="41"/>
      <c r="FH19" s="41"/>
      <c r="FI19" s="41"/>
      <c r="FJ19" s="41"/>
      <c r="FK19" s="41"/>
      <c r="FL19" s="41"/>
      <c r="FM19" s="41"/>
      <c r="FN19" s="41"/>
      <c r="FO19" s="41"/>
      <c r="FP19" s="41"/>
      <c r="FQ19" s="41"/>
      <c r="FR19" s="41"/>
      <c r="FS19" s="41"/>
      <c r="FT19" s="41"/>
      <c r="FU19" s="41"/>
      <c r="FV19" s="41"/>
      <c r="FW19" s="41"/>
      <c r="FX19" s="41"/>
      <c r="FY19" s="41"/>
      <c r="FZ19" s="41"/>
      <c r="GA19" s="41"/>
      <c r="GB19" s="41"/>
      <c r="GC19" s="41"/>
      <c r="GD19" s="41"/>
      <c r="GE19" s="41"/>
      <c r="GF19" s="41"/>
      <c r="GG19" s="41"/>
      <c r="GH19" s="41"/>
      <c r="GI19" s="41"/>
      <c r="GJ19" s="41"/>
      <c r="GK19" s="41"/>
      <c r="GL19" s="41"/>
      <c r="GM19" s="41"/>
      <c r="GN19" s="41"/>
      <c r="GO19" s="41"/>
      <c r="GP19" s="41"/>
      <c r="GQ19" s="41"/>
      <c r="GR19" s="41"/>
      <c r="GS19" s="41"/>
      <c r="GT19" s="41"/>
      <c r="GU19" s="41"/>
      <c r="GV19" s="41"/>
      <c r="GW19" s="41"/>
      <c r="GX19" s="41"/>
      <c r="GY19" s="41"/>
      <c r="GZ19" s="41"/>
      <c r="HA19" s="41"/>
      <c r="HB19" s="41"/>
      <c r="HC19" s="41"/>
      <c r="HD19" s="41"/>
      <c r="HE19" s="41"/>
      <c r="HF19" s="41"/>
      <c r="HG19" s="41"/>
      <c r="HH19" s="41"/>
      <c r="HI19" s="41"/>
      <c r="HJ19" s="41"/>
      <c r="HK19" s="41"/>
      <c r="HL19" s="41"/>
      <c r="HM19" s="41"/>
      <c r="HN19" s="41"/>
      <c r="HO19" s="41"/>
      <c r="HP19" s="41"/>
      <c r="HQ19" s="41"/>
      <c r="HR19" s="41"/>
      <c r="HS19" s="41"/>
      <c r="HT19" s="41"/>
      <c r="HU19" s="41"/>
      <c r="HV19" s="41"/>
      <c r="HW19" s="41"/>
      <c r="HX19" s="41"/>
      <c r="HY19" s="41"/>
      <c r="HZ19" s="41"/>
      <c r="IA19" s="41"/>
      <c r="IB19" s="41"/>
      <c r="IC19" s="41"/>
      <c r="ID19" s="41"/>
      <c r="IE19" s="41"/>
      <c r="IF19" s="41"/>
      <c r="IG19" s="41"/>
      <c r="IH19" s="41"/>
      <c r="II19" s="41"/>
      <c r="IJ19" s="41"/>
      <c r="IK19" s="41"/>
      <c r="IL19" s="41"/>
      <c r="IM19" s="41"/>
      <c r="IN19" s="41"/>
      <c r="IO19" s="41"/>
      <c r="IP19" s="41"/>
      <c r="IQ19" s="41"/>
      <c r="IR19" s="41"/>
      <c r="IS19" s="41"/>
      <c r="IT19" s="41"/>
      <c r="IU19" s="41"/>
      <c r="IV19" s="41"/>
      <c r="IW19" s="41"/>
      <c r="IX19" s="41"/>
      <c r="IY19" s="41"/>
      <c r="IZ19" s="41"/>
      <c r="JA19" s="41"/>
      <c r="JB19" s="41"/>
      <c r="JC19" s="41"/>
      <c r="JD19" s="41"/>
      <c r="JE19" s="41"/>
      <c r="JF19" s="41"/>
      <c r="JG19" s="41"/>
      <c r="JH19" s="41"/>
      <c r="JI19" s="41"/>
      <c r="JJ19" s="41"/>
      <c r="JK19" s="41"/>
      <c r="JL19" s="41"/>
      <c r="JM19" s="41"/>
      <c r="JN19" s="41"/>
      <c r="JO19" s="41"/>
      <c r="JP19" s="41"/>
      <c r="JQ19" s="41"/>
      <c r="JR19" s="41"/>
      <c r="JS19" s="41"/>
      <c r="JT19" s="41"/>
      <c r="JU19" s="41"/>
      <c r="JV19" s="41"/>
      <c r="JW19" s="41"/>
      <c r="JX19" s="41"/>
      <c r="JY19" s="41"/>
      <c r="JZ19" s="41"/>
      <c r="KA19" s="41"/>
      <c r="KB19" s="41"/>
      <c r="KC19" s="41"/>
      <c r="KD19" s="41"/>
      <c r="KE19" s="41"/>
      <c r="KF19" s="41"/>
      <c r="KG19" s="41"/>
      <c r="KH19" s="41"/>
      <c r="KI19" s="41"/>
      <c r="KJ19" s="41"/>
      <c r="KK19" s="41"/>
      <c r="KL19" s="41"/>
      <c r="KM19" s="41"/>
      <c r="KN19" s="41"/>
      <c r="KO19" s="41"/>
      <c r="KP19" s="41"/>
      <c r="KQ19" s="41"/>
      <c r="KR19" s="41"/>
      <c r="KS19" s="41"/>
      <c r="KT19" s="41"/>
      <c r="KU19" s="41"/>
      <c r="KV19" s="41"/>
      <c r="KW19" s="41"/>
      <c r="KX19" s="41"/>
      <c r="KY19" s="41"/>
      <c r="KZ19" s="41"/>
    </row>
    <row r="20" spans="2:312" ht="15.5" x14ac:dyDescent="0.35">
      <c r="B20" s="40">
        <f t="shared" si="0"/>
        <v>44317</v>
      </c>
      <c r="C20" s="19">
        <v>202105</v>
      </c>
      <c r="D20" s="41">
        <v>4311</v>
      </c>
      <c r="E20" s="41">
        <v>0</v>
      </c>
      <c r="F20" s="41">
        <v>0</v>
      </c>
      <c r="G20" s="41">
        <v>2798839.59799999</v>
      </c>
      <c r="H20" s="41">
        <v>5081396.0209999997</v>
      </c>
      <c r="I20" s="41">
        <v>19044.010999999999</v>
      </c>
      <c r="J20" s="41">
        <v>129435</v>
      </c>
      <c r="K20" s="41">
        <v>32745.511999999901</v>
      </c>
      <c r="L20" s="41">
        <v>436.17500000000001</v>
      </c>
      <c r="M20" s="41">
        <v>443.48099999999999</v>
      </c>
      <c r="N20" s="41">
        <v>146</v>
      </c>
      <c r="O20" s="41">
        <v>1</v>
      </c>
      <c r="P20" s="41">
        <v>0</v>
      </c>
      <c r="Q20" s="41">
        <v>0</v>
      </c>
      <c r="R20" s="41">
        <v>57</v>
      </c>
      <c r="S20" s="41">
        <v>0</v>
      </c>
      <c r="T20" s="41">
        <v>271</v>
      </c>
      <c r="U20" s="41">
        <v>2456</v>
      </c>
      <c r="V20" s="41">
        <v>29747</v>
      </c>
      <c r="W20" s="41">
        <v>2185</v>
      </c>
      <c r="X20" s="41">
        <v>0</v>
      </c>
      <c r="Y20" s="41">
        <v>8856</v>
      </c>
      <c r="Z20" s="41">
        <v>10829</v>
      </c>
      <c r="AA20" s="41">
        <v>7126</v>
      </c>
      <c r="AB20" s="41">
        <v>16789</v>
      </c>
      <c r="AC20" s="41">
        <v>131932</v>
      </c>
      <c r="AD20" s="41">
        <v>146</v>
      </c>
      <c r="AE20" s="41">
        <v>1413</v>
      </c>
      <c r="AF20" s="41">
        <v>0</v>
      </c>
      <c r="AG20" s="41">
        <v>2753</v>
      </c>
      <c r="AH20" s="41">
        <v>2647</v>
      </c>
      <c r="AI20" s="41">
        <v>3913</v>
      </c>
      <c r="AJ20" s="41">
        <v>628</v>
      </c>
      <c r="AK20" s="41">
        <v>12289</v>
      </c>
      <c r="AL20" s="41">
        <v>1</v>
      </c>
      <c r="AM20" s="41">
        <v>146</v>
      </c>
      <c r="AN20" s="41">
        <v>0</v>
      </c>
      <c r="AO20" s="41">
        <v>2727</v>
      </c>
      <c r="AP20" s="41">
        <v>57</v>
      </c>
      <c r="AQ20" s="41">
        <v>18167</v>
      </c>
      <c r="AR20" s="41">
        <v>29747</v>
      </c>
      <c r="AS20" s="41">
        <v>0</v>
      </c>
      <c r="AT20" s="41">
        <v>148721</v>
      </c>
      <c r="AU20" s="41">
        <v>10829</v>
      </c>
      <c r="AV20" s="41">
        <v>8079</v>
      </c>
      <c r="AW20" s="41">
        <v>146</v>
      </c>
      <c r="AX20" s="41">
        <v>0</v>
      </c>
      <c r="AY20" s="41">
        <v>12917</v>
      </c>
      <c r="AZ20" s="41">
        <v>2647</v>
      </c>
      <c r="BA20" s="41">
        <v>1</v>
      </c>
      <c r="BB20" s="41">
        <v>146</v>
      </c>
      <c r="BC20" s="41">
        <v>0</v>
      </c>
      <c r="BD20" s="41">
        <v>2727</v>
      </c>
      <c r="BE20" s="41">
        <v>57</v>
      </c>
      <c r="BF20" s="41">
        <v>18167</v>
      </c>
      <c r="BG20" s="41">
        <v>29747</v>
      </c>
      <c r="BH20" s="41">
        <v>0</v>
      </c>
      <c r="BI20" s="41">
        <v>148721</v>
      </c>
      <c r="BJ20" s="41">
        <v>10829</v>
      </c>
      <c r="BK20" s="41">
        <v>8079</v>
      </c>
      <c r="BL20" s="41">
        <v>146</v>
      </c>
      <c r="BM20" s="41">
        <v>0</v>
      </c>
      <c r="BN20" s="41">
        <v>12917</v>
      </c>
      <c r="BO20" s="41">
        <v>2647</v>
      </c>
      <c r="BP20" s="41">
        <v>1</v>
      </c>
      <c r="BQ20" s="41">
        <v>0</v>
      </c>
      <c r="BR20" s="41">
        <v>0</v>
      </c>
      <c r="BS20" s="41">
        <v>0</v>
      </c>
      <c r="BT20" s="41">
        <v>146</v>
      </c>
      <c r="BU20" s="41">
        <v>0</v>
      </c>
      <c r="BV20" s="41">
        <v>0</v>
      </c>
      <c r="BW20" s="41">
        <v>271</v>
      </c>
      <c r="BX20" s="41">
        <v>2456</v>
      </c>
      <c r="BY20" s="41">
        <v>57</v>
      </c>
      <c r="BZ20" s="41">
        <v>2185</v>
      </c>
      <c r="CA20" s="41">
        <v>0</v>
      </c>
      <c r="CB20" s="41">
        <v>8856</v>
      </c>
      <c r="CC20" s="41">
        <v>7126</v>
      </c>
      <c r="CD20" s="41">
        <v>29747</v>
      </c>
      <c r="CE20" s="41">
        <v>0</v>
      </c>
      <c r="CF20" s="41">
        <v>0</v>
      </c>
      <c r="CG20" s="41">
        <v>16789</v>
      </c>
      <c r="CH20" s="41">
        <v>131932</v>
      </c>
      <c r="CI20" s="41">
        <v>10829</v>
      </c>
      <c r="CJ20" s="41">
        <v>1413</v>
      </c>
      <c r="CK20" s="41">
        <v>0</v>
      </c>
      <c r="CL20" s="41">
        <v>2753</v>
      </c>
      <c r="CM20" s="41">
        <v>3913</v>
      </c>
      <c r="CN20" s="41">
        <v>146</v>
      </c>
      <c r="CO20" s="41">
        <v>0</v>
      </c>
      <c r="CP20" s="41">
        <v>0</v>
      </c>
      <c r="CQ20" s="41">
        <v>628</v>
      </c>
      <c r="CR20" s="41">
        <v>12289</v>
      </c>
      <c r="CS20" s="41">
        <v>2647</v>
      </c>
      <c r="CT20" s="41">
        <v>11995</v>
      </c>
      <c r="CU20" s="41">
        <v>0</v>
      </c>
      <c r="CV20" s="41">
        <v>4638</v>
      </c>
      <c r="CW20" s="41">
        <v>16633</v>
      </c>
      <c r="CX20" s="41">
        <v>1245099</v>
      </c>
      <c r="CY20" s="41">
        <v>1245099</v>
      </c>
      <c r="CZ20" s="41">
        <v>27546</v>
      </c>
      <c r="DA20" s="41">
        <v>19074</v>
      </c>
      <c r="DB20" s="41">
        <v>18215678</v>
      </c>
      <c r="DC20" s="41">
        <v>5809728</v>
      </c>
      <c r="DD20" s="41">
        <v>46620</v>
      </c>
      <c r="DE20" s="41">
        <v>24025406</v>
      </c>
      <c r="DF20" s="41">
        <v>46620</v>
      </c>
      <c r="DG20" s="41">
        <v>24025406</v>
      </c>
      <c r="DH20" s="41">
        <v>27546</v>
      </c>
      <c r="DI20" s="41">
        <v>19074</v>
      </c>
      <c r="DJ20" s="41">
        <v>18215678</v>
      </c>
      <c r="DK20" s="41">
        <v>5809728</v>
      </c>
      <c r="DL20" s="41">
        <v>672</v>
      </c>
      <c r="DM20" s="41">
        <v>0</v>
      </c>
      <c r="DN20" s="41">
        <v>0</v>
      </c>
      <c r="DO20" s="41">
        <v>13143</v>
      </c>
      <c r="DP20" s="41">
        <v>1748</v>
      </c>
      <c r="DQ20" s="41">
        <v>14891</v>
      </c>
      <c r="DR20" s="41">
        <v>14891</v>
      </c>
      <c r="DS20" s="41">
        <v>13143</v>
      </c>
      <c r="DT20" s="41">
        <v>1748</v>
      </c>
      <c r="DU20" s="41">
        <v>0</v>
      </c>
      <c r="DV20" s="41">
        <v>0</v>
      </c>
      <c r="DW20" s="41">
        <v>43538</v>
      </c>
      <c r="DX20" s="41">
        <v>2689</v>
      </c>
      <c r="DY20" s="41">
        <v>0</v>
      </c>
      <c r="DZ20" s="41">
        <v>0</v>
      </c>
      <c r="EA20" s="41">
        <v>43538</v>
      </c>
      <c r="EB20" s="41"/>
      <c r="EC20" s="41"/>
      <c r="ED20" s="41"/>
      <c r="EE20" s="41"/>
      <c r="EF20" s="41"/>
      <c r="EG20" s="41"/>
      <c r="EH20" s="41"/>
      <c r="EI20" s="41"/>
      <c r="EJ20" s="41"/>
      <c r="EK20" s="41"/>
      <c r="EL20" s="41"/>
      <c r="EM20" s="41"/>
      <c r="EN20" s="41"/>
      <c r="EO20" s="41"/>
      <c r="EP20" s="41"/>
      <c r="EQ20" s="41"/>
      <c r="ER20" s="41"/>
      <c r="ES20" s="41"/>
      <c r="ET20" s="41"/>
      <c r="EU20" s="41"/>
      <c r="EV20" s="41"/>
      <c r="EW20" s="41"/>
      <c r="EX20" s="41"/>
      <c r="EY20" s="41"/>
      <c r="EZ20" s="41"/>
      <c r="FA20" s="41"/>
      <c r="FB20" s="41"/>
      <c r="FC20" s="41"/>
      <c r="FD20" s="41"/>
      <c r="FE20" s="41"/>
      <c r="FF20" s="41"/>
      <c r="FG20" s="41"/>
      <c r="FH20" s="41"/>
      <c r="FI20" s="41"/>
      <c r="FJ20" s="41"/>
      <c r="FK20" s="41"/>
      <c r="FL20" s="41"/>
      <c r="FM20" s="41"/>
      <c r="FN20" s="41"/>
      <c r="FO20" s="41"/>
      <c r="FP20" s="41"/>
      <c r="FQ20" s="41"/>
      <c r="FR20" s="41"/>
      <c r="FS20" s="41"/>
      <c r="FT20" s="41"/>
      <c r="FU20" s="41"/>
      <c r="FV20" s="41"/>
      <c r="FW20" s="41"/>
      <c r="FX20" s="41"/>
      <c r="FY20" s="41"/>
      <c r="FZ20" s="41"/>
      <c r="GA20" s="41"/>
      <c r="GB20" s="41"/>
      <c r="GC20" s="41"/>
      <c r="GD20" s="41"/>
      <c r="GE20" s="41"/>
      <c r="GF20" s="41"/>
      <c r="GG20" s="41"/>
      <c r="GH20" s="41"/>
      <c r="GI20" s="41"/>
      <c r="GJ20" s="41"/>
      <c r="GK20" s="41"/>
      <c r="GL20" s="41"/>
      <c r="GM20" s="41"/>
      <c r="GN20" s="41"/>
      <c r="GO20" s="41"/>
      <c r="GP20" s="41"/>
      <c r="GQ20" s="41"/>
      <c r="GR20" s="41"/>
      <c r="GS20" s="41"/>
      <c r="GT20" s="41"/>
      <c r="GU20" s="41"/>
      <c r="GV20" s="41"/>
      <c r="GW20" s="41"/>
      <c r="GX20" s="41"/>
      <c r="GY20" s="41"/>
      <c r="GZ20" s="41"/>
      <c r="HA20" s="41"/>
      <c r="HB20" s="41"/>
      <c r="HC20" s="41"/>
      <c r="HD20" s="41"/>
      <c r="HE20" s="41"/>
      <c r="HF20" s="41"/>
      <c r="HG20" s="41"/>
      <c r="HH20" s="41"/>
      <c r="HI20" s="41"/>
      <c r="HJ20" s="41"/>
      <c r="HK20" s="41"/>
      <c r="HL20" s="41"/>
      <c r="HM20" s="41"/>
      <c r="HN20" s="41"/>
      <c r="HO20" s="41"/>
      <c r="HP20" s="41"/>
      <c r="HQ20" s="41"/>
      <c r="HR20" s="41"/>
      <c r="HS20" s="41"/>
      <c r="HT20" s="41"/>
      <c r="HU20" s="41"/>
      <c r="HV20" s="41"/>
      <c r="HW20" s="41"/>
      <c r="HX20" s="41"/>
      <c r="HY20" s="41"/>
      <c r="HZ20" s="41"/>
      <c r="IA20" s="41"/>
      <c r="IB20" s="41"/>
      <c r="IC20" s="41"/>
      <c r="ID20" s="41"/>
      <c r="IE20" s="41"/>
      <c r="IF20" s="41"/>
      <c r="IG20" s="41"/>
      <c r="IH20" s="41"/>
      <c r="II20" s="41"/>
      <c r="IJ20" s="41"/>
      <c r="IK20" s="41"/>
      <c r="IL20" s="41"/>
      <c r="IM20" s="41"/>
      <c r="IN20" s="41"/>
      <c r="IO20" s="41"/>
      <c r="IP20" s="41"/>
      <c r="IQ20" s="41"/>
      <c r="IR20" s="41"/>
      <c r="IS20" s="41"/>
      <c r="IT20" s="41"/>
      <c r="IU20" s="41"/>
      <c r="IV20" s="41"/>
      <c r="IW20" s="41"/>
      <c r="IX20" s="41"/>
      <c r="IY20" s="41"/>
      <c r="IZ20" s="41"/>
      <c r="JA20" s="41"/>
      <c r="JB20" s="41"/>
      <c r="JC20" s="41"/>
      <c r="JD20" s="41"/>
      <c r="JE20" s="41"/>
      <c r="JF20" s="41"/>
      <c r="JG20" s="41"/>
      <c r="JH20" s="41"/>
      <c r="JI20" s="41"/>
      <c r="JJ20" s="41"/>
      <c r="JK20" s="41"/>
      <c r="JL20" s="41"/>
      <c r="JM20" s="41"/>
      <c r="JN20" s="41"/>
      <c r="JO20" s="41"/>
      <c r="JP20" s="41"/>
      <c r="JQ20" s="41"/>
      <c r="JR20" s="41"/>
      <c r="JS20" s="41"/>
      <c r="JT20" s="41"/>
      <c r="JU20" s="41"/>
      <c r="JV20" s="41"/>
      <c r="JW20" s="41"/>
      <c r="JX20" s="41"/>
      <c r="JY20" s="41"/>
      <c r="JZ20" s="41"/>
      <c r="KA20" s="41"/>
      <c r="KB20" s="41"/>
      <c r="KC20" s="41"/>
      <c r="KD20" s="41"/>
      <c r="KE20" s="41"/>
      <c r="KF20" s="41"/>
      <c r="KG20" s="41"/>
      <c r="KH20" s="41"/>
      <c r="KI20" s="41"/>
      <c r="KJ20" s="41"/>
      <c r="KK20" s="41"/>
      <c r="KL20" s="41"/>
      <c r="KM20" s="41"/>
      <c r="KN20" s="41"/>
      <c r="KO20" s="41"/>
      <c r="KP20" s="41"/>
      <c r="KQ20" s="41"/>
      <c r="KR20" s="41"/>
      <c r="KS20" s="41"/>
      <c r="KT20" s="41"/>
      <c r="KU20" s="41"/>
      <c r="KV20" s="41"/>
      <c r="KW20" s="41"/>
      <c r="KX20" s="41"/>
      <c r="KY20" s="41"/>
      <c r="KZ20" s="41"/>
    </row>
    <row r="21" spans="2:312" ht="15.5" x14ac:dyDescent="0.35">
      <c r="B21" s="40">
        <f t="shared" si="0"/>
        <v>44348</v>
      </c>
      <c r="C21" s="19">
        <v>202106</v>
      </c>
      <c r="D21" s="41">
        <v>3748</v>
      </c>
      <c r="E21" s="41">
        <v>0</v>
      </c>
      <c r="F21" s="41">
        <v>0</v>
      </c>
      <c r="G21" s="41">
        <v>2930485.1769999899</v>
      </c>
      <c r="H21" s="41">
        <v>5325189.6779999901</v>
      </c>
      <c r="I21" s="41">
        <v>19988.836999999901</v>
      </c>
      <c r="J21" s="41">
        <v>145914</v>
      </c>
      <c r="K21" s="41">
        <v>34228.711999999898</v>
      </c>
      <c r="L21" s="41">
        <v>486.834</v>
      </c>
      <c r="M21" s="41">
        <v>494.964</v>
      </c>
      <c r="N21" s="41">
        <v>152</v>
      </c>
      <c r="O21" s="41">
        <v>0</v>
      </c>
      <c r="P21" s="41">
        <v>0</v>
      </c>
      <c r="Q21" s="41">
        <v>44</v>
      </c>
      <c r="R21" s="41">
        <v>35</v>
      </c>
      <c r="S21" s="41">
        <v>2</v>
      </c>
      <c r="T21" s="41">
        <v>1112</v>
      </c>
      <c r="U21" s="41">
        <v>2457</v>
      </c>
      <c r="V21" s="41">
        <v>112415</v>
      </c>
      <c r="W21" s="41">
        <v>642</v>
      </c>
      <c r="X21" s="41">
        <v>0</v>
      </c>
      <c r="Y21" s="41">
        <v>5950</v>
      </c>
      <c r="Z21" s="41">
        <v>6752</v>
      </c>
      <c r="AA21" s="41">
        <v>3765</v>
      </c>
      <c r="AB21" s="41">
        <v>97445</v>
      </c>
      <c r="AC21" s="41">
        <v>72565</v>
      </c>
      <c r="AD21" s="41">
        <v>152</v>
      </c>
      <c r="AE21" s="41">
        <v>321</v>
      </c>
      <c r="AF21" s="41">
        <v>0</v>
      </c>
      <c r="AG21" s="41">
        <v>1387</v>
      </c>
      <c r="AH21" s="41">
        <v>1747</v>
      </c>
      <c r="AI21" s="41">
        <v>1856</v>
      </c>
      <c r="AJ21" s="41">
        <v>2653</v>
      </c>
      <c r="AK21" s="41">
        <v>9064</v>
      </c>
      <c r="AL21" s="41">
        <v>46</v>
      </c>
      <c r="AM21" s="41">
        <v>152</v>
      </c>
      <c r="AN21" s="41">
        <v>0</v>
      </c>
      <c r="AO21" s="41">
        <v>3569</v>
      </c>
      <c r="AP21" s="41">
        <v>35</v>
      </c>
      <c r="AQ21" s="41">
        <v>10357</v>
      </c>
      <c r="AR21" s="41">
        <v>112415</v>
      </c>
      <c r="AS21" s="41">
        <v>0</v>
      </c>
      <c r="AT21" s="41">
        <v>170010</v>
      </c>
      <c r="AU21" s="41">
        <v>6752</v>
      </c>
      <c r="AV21" s="41">
        <v>3564</v>
      </c>
      <c r="AW21" s="41">
        <v>152</v>
      </c>
      <c r="AX21" s="41">
        <v>0</v>
      </c>
      <c r="AY21" s="41">
        <v>11717</v>
      </c>
      <c r="AZ21" s="41">
        <v>1747</v>
      </c>
      <c r="BA21" s="41">
        <v>46</v>
      </c>
      <c r="BB21" s="41">
        <v>152</v>
      </c>
      <c r="BC21" s="41">
        <v>0</v>
      </c>
      <c r="BD21" s="41">
        <v>3569</v>
      </c>
      <c r="BE21" s="41">
        <v>35</v>
      </c>
      <c r="BF21" s="41">
        <v>10357</v>
      </c>
      <c r="BG21" s="41">
        <v>112415</v>
      </c>
      <c r="BH21" s="41">
        <v>0</v>
      </c>
      <c r="BI21" s="41">
        <v>170010</v>
      </c>
      <c r="BJ21" s="41">
        <v>6752</v>
      </c>
      <c r="BK21" s="41">
        <v>3564</v>
      </c>
      <c r="BL21" s="41">
        <v>152</v>
      </c>
      <c r="BM21" s="41">
        <v>0</v>
      </c>
      <c r="BN21" s="41">
        <v>11717</v>
      </c>
      <c r="BO21" s="41">
        <v>1747</v>
      </c>
      <c r="BP21" s="41">
        <v>0</v>
      </c>
      <c r="BQ21" s="41">
        <v>0</v>
      </c>
      <c r="BR21" s="41">
        <v>44</v>
      </c>
      <c r="BS21" s="41">
        <v>2</v>
      </c>
      <c r="BT21" s="41">
        <v>152</v>
      </c>
      <c r="BU21" s="41">
        <v>0</v>
      </c>
      <c r="BV21" s="41">
        <v>0</v>
      </c>
      <c r="BW21" s="41">
        <v>1112</v>
      </c>
      <c r="BX21" s="41">
        <v>2457</v>
      </c>
      <c r="BY21" s="41">
        <v>35</v>
      </c>
      <c r="BZ21" s="41">
        <v>642</v>
      </c>
      <c r="CA21" s="41">
        <v>0</v>
      </c>
      <c r="CB21" s="41">
        <v>5950</v>
      </c>
      <c r="CC21" s="41">
        <v>3765</v>
      </c>
      <c r="CD21" s="41">
        <v>112415</v>
      </c>
      <c r="CE21" s="41">
        <v>0</v>
      </c>
      <c r="CF21" s="41">
        <v>0</v>
      </c>
      <c r="CG21" s="41">
        <v>97445</v>
      </c>
      <c r="CH21" s="41">
        <v>72565</v>
      </c>
      <c r="CI21" s="41">
        <v>6752</v>
      </c>
      <c r="CJ21" s="41">
        <v>321</v>
      </c>
      <c r="CK21" s="41">
        <v>0</v>
      </c>
      <c r="CL21" s="41">
        <v>1387</v>
      </c>
      <c r="CM21" s="41">
        <v>1856</v>
      </c>
      <c r="CN21" s="41">
        <v>152</v>
      </c>
      <c r="CO21" s="41">
        <v>0</v>
      </c>
      <c r="CP21" s="41">
        <v>0</v>
      </c>
      <c r="CQ21" s="41">
        <v>2653</v>
      </c>
      <c r="CR21" s="41">
        <v>9064</v>
      </c>
      <c r="CS21" s="41">
        <v>1747</v>
      </c>
      <c r="CT21" s="41">
        <v>13220</v>
      </c>
      <c r="CU21" s="41">
        <v>0</v>
      </c>
      <c r="CV21" s="41">
        <v>4827</v>
      </c>
      <c r="CW21" s="41">
        <v>18047</v>
      </c>
      <c r="CX21" s="41">
        <v>1195679</v>
      </c>
      <c r="CY21" s="41">
        <v>1195679</v>
      </c>
      <c r="CZ21" s="41">
        <v>25313</v>
      </c>
      <c r="DA21" s="41">
        <v>0</v>
      </c>
      <c r="DB21" s="41">
        <v>17023665</v>
      </c>
      <c r="DC21" s="41">
        <v>0</v>
      </c>
      <c r="DD21" s="41">
        <v>25313</v>
      </c>
      <c r="DE21" s="41">
        <v>17023665</v>
      </c>
      <c r="DF21" s="41">
        <v>25313</v>
      </c>
      <c r="DG21" s="41">
        <v>17023665</v>
      </c>
      <c r="DH21" s="41">
        <v>25313</v>
      </c>
      <c r="DI21" s="41">
        <v>0</v>
      </c>
      <c r="DJ21" s="41">
        <v>17023665</v>
      </c>
      <c r="DK21" s="41">
        <v>0</v>
      </c>
      <c r="DL21" s="41">
        <v>678</v>
      </c>
      <c r="DM21" s="41">
        <v>0</v>
      </c>
      <c r="DN21" s="41">
        <v>0</v>
      </c>
      <c r="DO21" s="41">
        <v>13521</v>
      </c>
      <c r="DP21" s="41">
        <v>1781</v>
      </c>
      <c r="DQ21" s="41">
        <v>15302</v>
      </c>
      <c r="DR21" s="41">
        <v>15302</v>
      </c>
      <c r="DS21" s="41">
        <v>13521</v>
      </c>
      <c r="DT21" s="41">
        <v>1781</v>
      </c>
      <c r="DU21" s="41">
        <v>0</v>
      </c>
      <c r="DV21" s="41">
        <v>0</v>
      </c>
      <c r="DW21" s="41">
        <v>43538</v>
      </c>
      <c r="DX21" s="41">
        <v>2689</v>
      </c>
      <c r="DY21" s="41">
        <v>9262</v>
      </c>
      <c r="DZ21" s="41">
        <v>0</v>
      </c>
      <c r="EA21" s="41">
        <v>43538</v>
      </c>
      <c r="EB21" s="41"/>
      <c r="EC21" s="41"/>
      <c r="ED21" s="41"/>
      <c r="EE21" s="41"/>
      <c r="EF21" s="41"/>
      <c r="EG21" s="41"/>
      <c r="EH21" s="41"/>
      <c r="EI21" s="41"/>
      <c r="EJ21" s="41"/>
      <c r="EK21" s="41"/>
      <c r="EL21" s="41"/>
      <c r="EM21" s="41"/>
      <c r="EN21" s="41"/>
      <c r="EO21" s="41"/>
      <c r="EP21" s="41"/>
      <c r="EQ21" s="41"/>
      <c r="ER21" s="41"/>
      <c r="ES21" s="41"/>
      <c r="ET21" s="41"/>
      <c r="EU21" s="41"/>
      <c r="EV21" s="41"/>
      <c r="EW21" s="41"/>
      <c r="EX21" s="41"/>
      <c r="EY21" s="41"/>
      <c r="EZ21" s="41"/>
      <c r="FA21" s="41"/>
      <c r="FB21" s="41"/>
      <c r="FC21" s="41"/>
      <c r="FD21" s="41"/>
      <c r="FE21" s="41"/>
      <c r="FF21" s="41"/>
      <c r="FG21" s="41"/>
      <c r="FH21" s="41"/>
      <c r="FI21" s="41"/>
      <c r="FJ21" s="41"/>
      <c r="FK21" s="41"/>
      <c r="FL21" s="41"/>
      <c r="FM21" s="41"/>
      <c r="FN21" s="41"/>
      <c r="FO21" s="41"/>
      <c r="FP21" s="41"/>
      <c r="FQ21" s="41"/>
      <c r="FR21" s="41"/>
      <c r="FS21" s="41"/>
      <c r="FT21" s="41"/>
      <c r="FU21" s="41"/>
      <c r="FV21" s="41"/>
      <c r="FW21" s="41"/>
      <c r="FX21" s="41"/>
      <c r="FY21" s="41"/>
      <c r="FZ21" s="41"/>
      <c r="GA21" s="41"/>
      <c r="GB21" s="41"/>
      <c r="GC21" s="41"/>
      <c r="GD21" s="41"/>
      <c r="GE21" s="41"/>
      <c r="GF21" s="41"/>
      <c r="GG21" s="41"/>
      <c r="GH21" s="41"/>
      <c r="GI21" s="41"/>
      <c r="GJ21" s="41"/>
      <c r="GK21" s="41"/>
      <c r="GL21" s="41"/>
      <c r="GM21" s="41"/>
      <c r="GN21" s="41"/>
      <c r="GO21" s="41"/>
      <c r="GP21" s="41"/>
      <c r="GQ21" s="41"/>
      <c r="GR21" s="41"/>
      <c r="GS21" s="41"/>
      <c r="GT21" s="41"/>
      <c r="GU21" s="41"/>
      <c r="GV21" s="41"/>
      <c r="GW21" s="41"/>
      <c r="GX21" s="41"/>
      <c r="GY21" s="41"/>
      <c r="GZ21" s="41"/>
      <c r="HA21" s="41"/>
      <c r="HB21" s="41"/>
      <c r="HC21" s="41"/>
      <c r="HD21" s="41"/>
      <c r="HE21" s="41"/>
      <c r="HF21" s="41"/>
      <c r="HG21" s="41"/>
      <c r="HH21" s="41"/>
      <c r="HI21" s="41"/>
      <c r="HJ21" s="41"/>
      <c r="HK21" s="41"/>
      <c r="HL21" s="41"/>
      <c r="HM21" s="41"/>
      <c r="HN21" s="41"/>
      <c r="HO21" s="41"/>
      <c r="HP21" s="41"/>
      <c r="HQ21" s="41"/>
      <c r="HR21" s="41"/>
      <c r="HS21" s="41"/>
      <c r="HT21" s="41"/>
      <c r="HU21" s="41"/>
      <c r="HV21" s="41"/>
      <c r="HW21" s="41"/>
      <c r="HX21" s="41"/>
      <c r="HY21" s="41"/>
      <c r="HZ21" s="41"/>
      <c r="IA21" s="41"/>
      <c r="IB21" s="41"/>
      <c r="IC21" s="41"/>
      <c r="ID21" s="41"/>
      <c r="IE21" s="41"/>
      <c r="IF21" s="41"/>
      <c r="IG21" s="41"/>
      <c r="IH21" s="41"/>
      <c r="II21" s="41"/>
      <c r="IJ21" s="41"/>
      <c r="IK21" s="41"/>
      <c r="IL21" s="41"/>
      <c r="IM21" s="41"/>
      <c r="IN21" s="41"/>
      <c r="IO21" s="41"/>
      <c r="IP21" s="41"/>
      <c r="IQ21" s="41"/>
      <c r="IR21" s="41"/>
      <c r="IS21" s="41"/>
      <c r="IT21" s="41"/>
      <c r="IU21" s="41"/>
      <c r="IV21" s="41"/>
      <c r="IW21" s="41"/>
      <c r="IX21" s="41"/>
      <c r="IY21" s="41"/>
      <c r="IZ21" s="41"/>
      <c r="JA21" s="41"/>
      <c r="JB21" s="41"/>
      <c r="JC21" s="41"/>
      <c r="JD21" s="41"/>
      <c r="JE21" s="41"/>
      <c r="JF21" s="41"/>
      <c r="JG21" s="41"/>
      <c r="JH21" s="41"/>
      <c r="JI21" s="41"/>
      <c r="JJ21" s="41"/>
      <c r="JK21" s="41"/>
      <c r="JL21" s="41"/>
      <c r="JM21" s="41"/>
      <c r="JN21" s="41"/>
      <c r="JO21" s="41"/>
      <c r="JP21" s="41"/>
      <c r="JQ21" s="41"/>
      <c r="JR21" s="41"/>
      <c r="JS21" s="41"/>
      <c r="JT21" s="41"/>
      <c r="JU21" s="41"/>
      <c r="JV21" s="41"/>
      <c r="JW21" s="41"/>
      <c r="JX21" s="41"/>
      <c r="JY21" s="41"/>
      <c r="JZ21" s="41"/>
      <c r="KA21" s="41"/>
      <c r="KB21" s="41"/>
      <c r="KC21" s="41"/>
      <c r="KD21" s="41"/>
      <c r="KE21" s="41"/>
      <c r="KF21" s="41"/>
      <c r="KG21" s="41"/>
      <c r="KH21" s="41"/>
      <c r="KI21" s="41"/>
      <c r="KJ21" s="41"/>
      <c r="KK21" s="41"/>
      <c r="KL21" s="41"/>
      <c r="KM21" s="41"/>
      <c r="KN21" s="41"/>
      <c r="KO21" s="41"/>
      <c r="KP21" s="41"/>
      <c r="KQ21" s="41"/>
      <c r="KR21" s="41"/>
      <c r="KS21" s="41"/>
      <c r="KT21" s="41"/>
      <c r="KU21" s="41"/>
      <c r="KV21" s="41"/>
      <c r="KW21" s="41"/>
      <c r="KX21" s="41"/>
      <c r="KY21" s="41"/>
      <c r="KZ21" s="41"/>
    </row>
    <row r="22" spans="2:312" ht="15.5" x14ac:dyDescent="0.35">
      <c r="B22" s="40">
        <f t="shared" si="0"/>
        <v>44378</v>
      </c>
      <c r="C22" s="19">
        <v>202107</v>
      </c>
      <c r="D22" s="41">
        <v>3664</v>
      </c>
      <c r="E22" s="41">
        <v>0</v>
      </c>
      <c r="F22" s="41">
        <v>0</v>
      </c>
      <c r="G22" s="41">
        <v>2914400.2019999898</v>
      </c>
      <c r="H22" s="41">
        <v>5278007.0359999901</v>
      </c>
      <c r="I22" s="41">
        <v>19833.813999999998</v>
      </c>
      <c r="J22" s="41">
        <v>116805</v>
      </c>
      <c r="K22" s="41">
        <v>34006.383999999998</v>
      </c>
      <c r="L22" s="41">
        <v>483.86500000000001</v>
      </c>
      <c r="M22" s="41">
        <v>486.959</v>
      </c>
      <c r="N22" s="41">
        <v>264</v>
      </c>
      <c r="O22" s="41">
        <v>1</v>
      </c>
      <c r="P22" s="41">
        <v>0</v>
      </c>
      <c r="Q22" s="41">
        <v>155</v>
      </c>
      <c r="R22" s="41">
        <v>60</v>
      </c>
      <c r="S22" s="41">
        <v>0</v>
      </c>
      <c r="T22" s="41">
        <v>140</v>
      </c>
      <c r="U22" s="41">
        <v>1310</v>
      </c>
      <c r="V22" s="41">
        <v>184114</v>
      </c>
      <c r="W22" s="41">
        <v>1372</v>
      </c>
      <c r="X22" s="41">
        <v>0</v>
      </c>
      <c r="Y22" s="41">
        <v>12174</v>
      </c>
      <c r="Z22" s="41">
        <v>8252</v>
      </c>
      <c r="AA22" s="41">
        <v>4197</v>
      </c>
      <c r="AB22" s="41">
        <v>67018</v>
      </c>
      <c r="AC22" s="41">
        <v>113537</v>
      </c>
      <c r="AD22" s="41">
        <v>264</v>
      </c>
      <c r="AE22" s="41">
        <v>869</v>
      </c>
      <c r="AF22" s="41">
        <v>0</v>
      </c>
      <c r="AG22" s="41">
        <v>1418</v>
      </c>
      <c r="AH22" s="41">
        <v>2108</v>
      </c>
      <c r="AI22" s="41">
        <v>3225</v>
      </c>
      <c r="AJ22" s="41">
        <v>1047</v>
      </c>
      <c r="AK22" s="41">
        <v>4693</v>
      </c>
      <c r="AL22" s="41">
        <v>156</v>
      </c>
      <c r="AM22" s="41">
        <v>264</v>
      </c>
      <c r="AN22" s="41">
        <v>0</v>
      </c>
      <c r="AO22" s="41">
        <v>1450</v>
      </c>
      <c r="AP22" s="41">
        <v>60</v>
      </c>
      <c r="AQ22" s="41">
        <v>17743</v>
      </c>
      <c r="AR22" s="41">
        <v>184114</v>
      </c>
      <c r="AS22" s="41">
        <v>0</v>
      </c>
      <c r="AT22" s="41">
        <v>180555</v>
      </c>
      <c r="AU22" s="41">
        <v>8252</v>
      </c>
      <c r="AV22" s="41">
        <v>5512</v>
      </c>
      <c r="AW22" s="41">
        <v>264</v>
      </c>
      <c r="AX22" s="41">
        <v>0</v>
      </c>
      <c r="AY22" s="41">
        <v>5740</v>
      </c>
      <c r="AZ22" s="41">
        <v>2108</v>
      </c>
      <c r="BA22" s="41">
        <v>156</v>
      </c>
      <c r="BB22" s="41">
        <v>264</v>
      </c>
      <c r="BC22" s="41">
        <v>0</v>
      </c>
      <c r="BD22" s="41">
        <v>1450</v>
      </c>
      <c r="BE22" s="41">
        <v>60</v>
      </c>
      <c r="BF22" s="41">
        <v>17743</v>
      </c>
      <c r="BG22" s="41">
        <v>184114</v>
      </c>
      <c r="BH22" s="41">
        <v>0</v>
      </c>
      <c r="BI22" s="41">
        <v>180555</v>
      </c>
      <c r="BJ22" s="41">
        <v>8252</v>
      </c>
      <c r="BK22" s="41">
        <v>5512</v>
      </c>
      <c r="BL22" s="41">
        <v>264</v>
      </c>
      <c r="BM22" s="41">
        <v>0</v>
      </c>
      <c r="BN22" s="41">
        <v>5740</v>
      </c>
      <c r="BO22" s="41">
        <v>2108</v>
      </c>
      <c r="BP22" s="41">
        <v>1</v>
      </c>
      <c r="BQ22" s="41">
        <v>0</v>
      </c>
      <c r="BR22" s="41">
        <v>155</v>
      </c>
      <c r="BS22" s="41">
        <v>0</v>
      </c>
      <c r="BT22" s="41">
        <v>264</v>
      </c>
      <c r="BU22" s="41">
        <v>0</v>
      </c>
      <c r="BV22" s="41">
        <v>0</v>
      </c>
      <c r="BW22" s="41">
        <v>140</v>
      </c>
      <c r="BX22" s="41">
        <v>1310</v>
      </c>
      <c r="BY22" s="41">
        <v>60</v>
      </c>
      <c r="BZ22" s="41">
        <v>1372</v>
      </c>
      <c r="CA22" s="41">
        <v>0</v>
      </c>
      <c r="CB22" s="41">
        <v>12174</v>
      </c>
      <c r="CC22" s="41">
        <v>4197</v>
      </c>
      <c r="CD22" s="41">
        <v>184114</v>
      </c>
      <c r="CE22" s="41">
        <v>0</v>
      </c>
      <c r="CF22" s="41">
        <v>0</v>
      </c>
      <c r="CG22" s="41">
        <v>67018</v>
      </c>
      <c r="CH22" s="41">
        <v>113537</v>
      </c>
      <c r="CI22" s="41">
        <v>8252</v>
      </c>
      <c r="CJ22" s="41">
        <v>869</v>
      </c>
      <c r="CK22" s="41">
        <v>0</v>
      </c>
      <c r="CL22" s="41">
        <v>1418</v>
      </c>
      <c r="CM22" s="41">
        <v>3225</v>
      </c>
      <c r="CN22" s="41">
        <v>264</v>
      </c>
      <c r="CO22" s="41">
        <v>0</v>
      </c>
      <c r="CP22" s="41">
        <v>0</v>
      </c>
      <c r="CQ22" s="41">
        <v>1047</v>
      </c>
      <c r="CR22" s="41">
        <v>4693</v>
      </c>
      <c r="CS22" s="41">
        <v>2108</v>
      </c>
      <c r="CT22" s="41">
        <v>10861</v>
      </c>
      <c r="CU22" s="41">
        <v>0</v>
      </c>
      <c r="CV22" s="41">
        <v>4099</v>
      </c>
      <c r="CW22" s="41">
        <v>14960</v>
      </c>
      <c r="CX22" s="41">
        <v>1180349</v>
      </c>
      <c r="CY22" s="41">
        <v>1180349</v>
      </c>
      <c r="CZ22" s="41">
        <v>25958</v>
      </c>
      <c r="DA22" s="41">
        <v>0</v>
      </c>
      <c r="DB22" s="41">
        <v>13441369</v>
      </c>
      <c r="DC22" s="41">
        <v>0</v>
      </c>
      <c r="DD22" s="41">
        <v>25958</v>
      </c>
      <c r="DE22" s="41">
        <v>13441369</v>
      </c>
      <c r="DF22" s="41">
        <v>25958</v>
      </c>
      <c r="DG22" s="41">
        <v>13441369</v>
      </c>
      <c r="DH22" s="41">
        <v>25958</v>
      </c>
      <c r="DI22" s="41">
        <v>0</v>
      </c>
      <c r="DJ22" s="41">
        <v>13441369</v>
      </c>
      <c r="DK22" s="41">
        <v>0</v>
      </c>
      <c r="DL22" s="41">
        <v>622</v>
      </c>
      <c r="DM22" s="41">
        <v>0</v>
      </c>
      <c r="DN22" s="41">
        <v>0</v>
      </c>
      <c r="DO22" s="41">
        <v>10899</v>
      </c>
      <c r="DP22" s="41">
        <v>1097</v>
      </c>
      <c r="DQ22" s="41">
        <v>11996</v>
      </c>
      <c r="DR22" s="41">
        <v>11996</v>
      </c>
      <c r="DS22" s="41">
        <v>10899</v>
      </c>
      <c r="DT22" s="41">
        <v>1097</v>
      </c>
      <c r="DU22" s="41">
        <v>0</v>
      </c>
      <c r="DV22" s="41">
        <v>0</v>
      </c>
      <c r="DW22" s="41">
        <v>43538</v>
      </c>
      <c r="DX22" s="41">
        <v>2689</v>
      </c>
      <c r="DY22" s="41">
        <v>9262</v>
      </c>
      <c r="DZ22" s="41">
        <v>0</v>
      </c>
      <c r="EA22" s="41">
        <v>43538</v>
      </c>
      <c r="EB22" s="41"/>
      <c r="EC22" s="41"/>
      <c r="ED22" s="41"/>
      <c r="EE22" s="41"/>
      <c r="EF22" s="41"/>
      <c r="EG22" s="41"/>
      <c r="EH22" s="41"/>
      <c r="EI22" s="41"/>
      <c r="EJ22" s="41"/>
      <c r="EK22" s="41"/>
      <c r="EL22" s="41"/>
      <c r="EM22" s="41"/>
      <c r="EN22" s="41"/>
      <c r="EO22" s="41"/>
      <c r="EP22" s="41"/>
      <c r="EQ22" s="41"/>
      <c r="ER22" s="41"/>
      <c r="ES22" s="41"/>
      <c r="ET22" s="41"/>
      <c r="EU22" s="41"/>
      <c r="EV22" s="41"/>
      <c r="EW22" s="41"/>
      <c r="EX22" s="41"/>
      <c r="EY22" s="41"/>
      <c r="EZ22" s="41"/>
      <c r="FA22" s="41"/>
      <c r="FB22" s="41"/>
      <c r="FC22" s="41"/>
      <c r="FD22" s="41"/>
      <c r="FE22" s="41"/>
      <c r="FF22" s="41"/>
      <c r="FG22" s="41"/>
      <c r="FH22" s="41"/>
      <c r="FI22" s="41"/>
      <c r="FJ22" s="41"/>
      <c r="FK22" s="41"/>
      <c r="FL22" s="41"/>
      <c r="FM22" s="41"/>
      <c r="FN22" s="41"/>
      <c r="FO22" s="41"/>
      <c r="FP22" s="41"/>
      <c r="FQ22" s="41"/>
      <c r="FR22" s="41"/>
      <c r="FS22" s="41"/>
      <c r="FT22" s="41"/>
      <c r="FU22" s="41"/>
      <c r="FV22" s="41"/>
      <c r="FW22" s="41"/>
      <c r="FX22" s="41"/>
      <c r="FY22" s="41"/>
      <c r="FZ22" s="41"/>
      <c r="GA22" s="41"/>
      <c r="GB22" s="41"/>
      <c r="GC22" s="41"/>
      <c r="GD22" s="41"/>
      <c r="GE22" s="41"/>
      <c r="GF22" s="41"/>
      <c r="GG22" s="41"/>
      <c r="GH22" s="41"/>
      <c r="GI22" s="41"/>
      <c r="GJ22" s="41"/>
      <c r="GK22" s="41"/>
      <c r="GL22" s="41"/>
      <c r="GM22" s="41"/>
      <c r="GN22" s="41"/>
      <c r="GO22" s="41"/>
      <c r="GP22" s="41"/>
      <c r="GQ22" s="41"/>
      <c r="GR22" s="41"/>
      <c r="GS22" s="41"/>
      <c r="GT22" s="41"/>
      <c r="GU22" s="41"/>
      <c r="GV22" s="41"/>
      <c r="GW22" s="41"/>
      <c r="GX22" s="41"/>
      <c r="GY22" s="41"/>
      <c r="GZ22" s="41"/>
      <c r="HA22" s="41"/>
      <c r="HB22" s="41"/>
      <c r="HC22" s="41"/>
      <c r="HD22" s="41"/>
      <c r="HE22" s="41"/>
      <c r="HF22" s="41"/>
      <c r="HG22" s="41"/>
      <c r="HH22" s="41"/>
      <c r="HI22" s="41"/>
      <c r="HJ22" s="41"/>
      <c r="HK22" s="41"/>
      <c r="HL22" s="41"/>
      <c r="HM22" s="41"/>
      <c r="HN22" s="41"/>
      <c r="HO22" s="41"/>
      <c r="HP22" s="41"/>
      <c r="HQ22" s="41"/>
      <c r="HR22" s="41"/>
      <c r="HS22" s="41"/>
      <c r="HT22" s="41"/>
      <c r="HU22" s="41"/>
      <c r="HV22" s="41"/>
      <c r="HW22" s="41"/>
      <c r="HX22" s="41"/>
      <c r="HY22" s="41"/>
      <c r="HZ22" s="41"/>
      <c r="IA22" s="41"/>
      <c r="IB22" s="41"/>
      <c r="IC22" s="41"/>
      <c r="ID22" s="41"/>
      <c r="IE22" s="41"/>
      <c r="IF22" s="41"/>
      <c r="IG22" s="41"/>
      <c r="IH22" s="41"/>
      <c r="II22" s="41"/>
      <c r="IJ22" s="41"/>
      <c r="IK22" s="41"/>
      <c r="IL22" s="41"/>
      <c r="IM22" s="41"/>
      <c r="IN22" s="41"/>
      <c r="IO22" s="41"/>
      <c r="IP22" s="41"/>
      <c r="IQ22" s="41"/>
      <c r="IR22" s="41"/>
      <c r="IS22" s="41"/>
      <c r="IT22" s="41"/>
      <c r="IU22" s="41"/>
      <c r="IV22" s="41"/>
      <c r="IW22" s="41"/>
      <c r="IX22" s="41"/>
      <c r="IY22" s="41"/>
      <c r="IZ22" s="41"/>
      <c r="JA22" s="41"/>
      <c r="JB22" s="41"/>
      <c r="JC22" s="41"/>
      <c r="JD22" s="41"/>
      <c r="JE22" s="41"/>
      <c r="JF22" s="41"/>
      <c r="JG22" s="41"/>
      <c r="JH22" s="41"/>
      <c r="JI22" s="41"/>
      <c r="JJ22" s="41"/>
      <c r="JK22" s="41"/>
      <c r="JL22" s="41"/>
      <c r="JM22" s="41"/>
      <c r="JN22" s="41"/>
      <c r="JO22" s="41"/>
      <c r="JP22" s="41"/>
      <c r="JQ22" s="41"/>
      <c r="JR22" s="41"/>
      <c r="JS22" s="41"/>
      <c r="JT22" s="41"/>
      <c r="JU22" s="41"/>
      <c r="JV22" s="41"/>
      <c r="JW22" s="41"/>
      <c r="JX22" s="41"/>
      <c r="JY22" s="41"/>
      <c r="JZ22" s="41"/>
      <c r="KA22" s="41"/>
      <c r="KB22" s="41"/>
      <c r="KC22" s="41"/>
      <c r="KD22" s="41"/>
      <c r="KE22" s="41"/>
      <c r="KF22" s="41"/>
      <c r="KG22" s="41"/>
      <c r="KH22" s="41"/>
      <c r="KI22" s="41"/>
      <c r="KJ22" s="41"/>
      <c r="KK22" s="41"/>
      <c r="KL22" s="41"/>
      <c r="KM22" s="41"/>
      <c r="KN22" s="41"/>
      <c r="KO22" s="41"/>
      <c r="KP22" s="41"/>
      <c r="KQ22" s="41"/>
      <c r="KR22" s="41"/>
      <c r="KS22" s="41"/>
      <c r="KT22" s="41"/>
      <c r="KU22" s="41"/>
      <c r="KV22" s="41"/>
      <c r="KW22" s="41"/>
      <c r="KX22" s="41"/>
      <c r="KY22" s="41"/>
      <c r="KZ22" s="41"/>
    </row>
    <row r="23" spans="2:312" ht="15.5" x14ac:dyDescent="0.35">
      <c r="B23" s="40">
        <f t="shared" si="0"/>
        <v>44409</v>
      </c>
      <c r="C23" s="19">
        <v>202108</v>
      </c>
      <c r="D23" s="41">
        <v>3362</v>
      </c>
      <c r="E23" s="41">
        <v>24</v>
      </c>
      <c r="F23" s="41">
        <v>24</v>
      </c>
      <c r="G23" s="41">
        <v>2931634.28299999</v>
      </c>
      <c r="H23" s="41">
        <v>5287499.7309999904</v>
      </c>
      <c r="I23" s="41">
        <v>19791.6139999999</v>
      </c>
      <c r="J23" s="41">
        <v>134235</v>
      </c>
      <c r="K23" s="41">
        <v>33743.683999999899</v>
      </c>
      <c r="L23" s="41">
        <v>500.41800000000001</v>
      </c>
      <c r="M23" s="41">
        <v>507.59</v>
      </c>
      <c r="N23" s="41">
        <v>382</v>
      </c>
      <c r="O23" s="41">
        <v>3</v>
      </c>
      <c r="P23" s="41">
        <v>0</v>
      </c>
      <c r="Q23" s="41">
        <v>68</v>
      </c>
      <c r="R23" s="41">
        <v>63</v>
      </c>
      <c r="S23" s="41">
        <v>1</v>
      </c>
      <c r="T23" s="41">
        <v>0</v>
      </c>
      <c r="U23" s="41">
        <v>3548</v>
      </c>
      <c r="V23" s="41">
        <v>247891</v>
      </c>
      <c r="W23" s="41">
        <v>2490</v>
      </c>
      <c r="X23" s="41">
        <v>0</v>
      </c>
      <c r="Y23" s="41">
        <v>7237</v>
      </c>
      <c r="Z23" s="41">
        <v>8264</v>
      </c>
      <c r="AA23" s="41">
        <v>6441</v>
      </c>
      <c r="AB23" s="41">
        <v>0</v>
      </c>
      <c r="AC23" s="41">
        <v>368140</v>
      </c>
      <c r="AD23" s="41">
        <v>382</v>
      </c>
      <c r="AE23" s="41">
        <v>1501</v>
      </c>
      <c r="AF23" s="41">
        <v>0</v>
      </c>
      <c r="AG23" s="41">
        <v>1216</v>
      </c>
      <c r="AH23" s="41">
        <v>1990</v>
      </c>
      <c r="AI23" s="41">
        <v>5665</v>
      </c>
      <c r="AJ23" s="41">
        <v>0</v>
      </c>
      <c r="AK23" s="41">
        <v>16827</v>
      </c>
      <c r="AL23" s="41">
        <v>72</v>
      </c>
      <c r="AM23" s="41">
        <v>382</v>
      </c>
      <c r="AN23" s="41">
        <v>0</v>
      </c>
      <c r="AO23" s="41">
        <v>3548</v>
      </c>
      <c r="AP23" s="41">
        <v>63</v>
      </c>
      <c r="AQ23" s="41">
        <v>16168</v>
      </c>
      <c r="AR23" s="41">
        <v>247891</v>
      </c>
      <c r="AS23" s="41">
        <v>0</v>
      </c>
      <c r="AT23" s="41">
        <v>368140</v>
      </c>
      <c r="AU23" s="41">
        <v>8264</v>
      </c>
      <c r="AV23" s="41">
        <v>8382</v>
      </c>
      <c r="AW23" s="41">
        <v>382</v>
      </c>
      <c r="AX23" s="41">
        <v>0</v>
      </c>
      <c r="AY23" s="41">
        <v>16827</v>
      </c>
      <c r="AZ23" s="41">
        <v>1990</v>
      </c>
      <c r="BA23" s="41">
        <v>72</v>
      </c>
      <c r="BB23" s="41">
        <v>382</v>
      </c>
      <c r="BC23" s="41">
        <v>0</v>
      </c>
      <c r="BD23" s="41">
        <v>3548</v>
      </c>
      <c r="BE23" s="41">
        <v>63</v>
      </c>
      <c r="BF23" s="41">
        <v>16168</v>
      </c>
      <c r="BG23" s="41">
        <v>247891</v>
      </c>
      <c r="BH23" s="41">
        <v>0</v>
      </c>
      <c r="BI23" s="41">
        <v>368140</v>
      </c>
      <c r="BJ23" s="41">
        <v>8264</v>
      </c>
      <c r="BK23" s="41">
        <v>8382</v>
      </c>
      <c r="BL23" s="41">
        <v>382</v>
      </c>
      <c r="BM23" s="41">
        <v>0</v>
      </c>
      <c r="BN23" s="41">
        <v>16827</v>
      </c>
      <c r="BO23" s="41">
        <v>1990</v>
      </c>
      <c r="BP23" s="41">
        <v>3</v>
      </c>
      <c r="BQ23" s="41">
        <v>0</v>
      </c>
      <c r="BR23" s="41">
        <v>68</v>
      </c>
      <c r="BS23" s="41">
        <v>1</v>
      </c>
      <c r="BT23" s="41">
        <v>382</v>
      </c>
      <c r="BU23" s="41">
        <v>0</v>
      </c>
      <c r="BV23" s="41">
        <v>0</v>
      </c>
      <c r="BW23" s="41">
        <v>0</v>
      </c>
      <c r="BX23" s="41">
        <v>3548</v>
      </c>
      <c r="BY23" s="41">
        <v>63</v>
      </c>
      <c r="BZ23" s="41">
        <v>2490</v>
      </c>
      <c r="CA23" s="41">
        <v>0</v>
      </c>
      <c r="CB23" s="41">
        <v>7237</v>
      </c>
      <c r="CC23" s="41">
        <v>6441</v>
      </c>
      <c r="CD23" s="41">
        <v>247891</v>
      </c>
      <c r="CE23" s="41">
        <v>0</v>
      </c>
      <c r="CF23" s="41">
        <v>0</v>
      </c>
      <c r="CG23" s="41">
        <v>0</v>
      </c>
      <c r="CH23" s="41">
        <v>368140</v>
      </c>
      <c r="CI23" s="41">
        <v>8264</v>
      </c>
      <c r="CJ23" s="41">
        <v>1501</v>
      </c>
      <c r="CK23" s="41">
        <v>0</v>
      </c>
      <c r="CL23" s="41">
        <v>1216</v>
      </c>
      <c r="CM23" s="41">
        <v>5665</v>
      </c>
      <c r="CN23" s="41">
        <v>382</v>
      </c>
      <c r="CO23" s="41">
        <v>0</v>
      </c>
      <c r="CP23" s="41">
        <v>0</v>
      </c>
      <c r="CQ23" s="41">
        <v>0</v>
      </c>
      <c r="CR23" s="41">
        <v>16827</v>
      </c>
      <c r="CS23" s="41">
        <v>1990</v>
      </c>
      <c r="CT23" s="41">
        <v>13071</v>
      </c>
      <c r="CU23" s="41">
        <v>0</v>
      </c>
      <c r="CV23" s="41">
        <v>4880</v>
      </c>
      <c r="CW23" s="41">
        <v>17951</v>
      </c>
      <c r="CX23" s="41">
        <v>623711</v>
      </c>
      <c r="CY23" s="41">
        <v>623711</v>
      </c>
      <c r="CZ23" s="41">
        <v>23655</v>
      </c>
      <c r="DA23" s="41">
        <v>0</v>
      </c>
      <c r="DB23" s="41">
        <v>10703811</v>
      </c>
      <c r="DC23" s="41">
        <v>0</v>
      </c>
      <c r="DD23" s="41">
        <v>23655</v>
      </c>
      <c r="DE23" s="41">
        <v>10703811</v>
      </c>
      <c r="DF23" s="41">
        <v>23655</v>
      </c>
      <c r="DG23" s="41">
        <v>10703811</v>
      </c>
      <c r="DH23" s="41">
        <v>23655</v>
      </c>
      <c r="DI23" s="41">
        <v>0</v>
      </c>
      <c r="DJ23" s="41">
        <v>10703811</v>
      </c>
      <c r="DK23" s="41">
        <v>0</v>
      </c>
      <c r="DL23" s="41">
        <v>700</v>
      </c>
      <c r="DM23" s="41">
        <v>0</v>
      </c>
      <c r="DN23" s="41">
        <v>0</v>
      </c>
      <c r="DO23" s="41">
        <v>12424</v>
      </c>
      <c r="DP23" s="41">
        <v>1125</v>
      </c>
      <c r="DQ23" s="41">
        <v>13549</v>
      </c>
      <c r="DR23" s="41">
        <v>13549</v>
      </c>
      <c r="DS23" s="41">
        <v>12424</v>
      </c>
      <c r="DT23" s="41">
        <v>1125</v>
      </c>
      <c r="DU23" s="41">
        <v>0</v>
      </c>
      <c r="DV23" s="41">
        <v>0</v>
      </c>
      <c r="DW23" s="41">
        <v>43538</v>
      </c>
      <c r="DX23" s="41">
        <v>2689</v>
      </c>
      <c r="DY23" s="41">
        <v>9262</v>
      </c>
      <c r="DZ23" s="41">
        <v>0</v>
      </c>
      <c r="EA23" s="41">
        <v>43538</v>
      </c>
      <c r="EB23" s="41"/>
      <c r="EC23" s="41"/>
      <c r="ED23" s="41"/>
      <c r="EE23" s="41"/>
      <c r="EF23" s="41"/>
      <c r="EG23" s="41"/>
      <c r="EH23" s="41"/>
      <c r="EI23" s="41"/>
      <c r="EJ23" s="41"/>
      <c r="EK23" s="41"/>
      <c r="EL23" s="41"/>
      <c r="EM23" s="41"/>
      <c r="EN23" s="41"/>
      <c r="EO23" s="41"/>
      <c r="EP23" s="41"/>
      <c r="EQ23" s="41"/>
      <c r="ER23" s="41"/>
      <c r="ES23" s="41"/>
      <c r="ET23" s="41"/>
      <c r="EU23" s="41"/>
      <c r="EV23" s="41"/>
      <c r="EW23" s="41"/>
      <c r="EX23" s="41"/>
      <c r="EY23" s="41"/>
      <c r="EZ23" s="41"/>
      <c r="FA23" s="41"/>
      <c r="FB23" s="41"/>
      <c r="FC23" s="41"/>
      <c r="FD23" s="41"/>
      <c r="FE23" s="41"/>
      <c r="FF23" s="41"/>
      <c r="FG23" s="41"/>
      <c r="FH23" s="41"/>
      <c r="FI23" s="41"/>
      <c r="FJ23" s="41"/>
      <c r="FK23" s="41"/>
      <c r="FL23" s="41"/>
      <c r="FM23" s="41"/>
      <c r="FN23" s="41"/>
      <c r="FO23" s="41"/>
      <c r="FP23" s="41"/>
      <c r="FQ23" s="41"/>
      <c r="FR23" s="41"/>
      <c r="FS23" s="41"/>
      <c r="FT23" s="41"/>
      <c r="FU23" s="41"/>
      <c r="FV23" s="41"/>
      <c r="FW23" s="41"/>
      <c r="FX23" s="41"/>
      <c r="FY23" s="41"/>
      <c r="FZ23" s="41"/>
      <c r="GA23" s="41"/>
      <c r="GB23" s="41"/>
      <c r="GC23" s="41"/>
      <c r="GD23" s="41"/>
      <c r="GE23" s="41"/>
      <c r="GF23" s="41"/>
      <c r="GG23" s="41"/>
      <c r="GH23" s="41"/>
      <c r="GI23" s="41"/>
      <c r="GJ23" s="41"/>
      <c r="GK23" s="41"/>
      <c r="GL23" s="41"/>
      <c r="GM23" s="41"/>
      <c r="GN23" s="41"/>
      <c r="GO23" s="41"/>
      <c r="GP23" s="41"/>
      <c r="GQ23" s="41"/>
      <c r="GR23" s="41"/>
      <c r="GS23" s="41"/>
      <c r="GT23" s="41"/>
      <c r="GU23" s="41"/>
      <c r="GV23" s="41"/>
      <c r="GW23" s="41"/>
      <c r="GX23" s="41"/>
      <c r="GY23" s="41"/>
      <c r="GZ23" s="41"/>
      <c r="HA23" s="41"/>
      <c r="HB23" s="41"/>
      <c r="HC23" s="41"/>
      <c r="HD23" s="41"/>
      <c r="HE23" s="41"/>
      <c r="HF23" s="41"/>
      <c r="HG23" s="41"/>
      <c r="HH23" s="41"/>
      <c r="HI23" s="41"/>
      <c r="HJ23" s="41"/>
      <c r="HK23" s="41"/>
      <c r="HL23" s="41"/>
      <c r="HM23" s="41"/>
      <c r="HN23" s="41"/>
      <c r="HO23" s="41"/>
      <c r="HP23" s="41"/>
      <c r="HQ23" s="41"/>
      <c r="HR23" s="41"/>
      <c r="HS23" s="41"/>
      <c r="HT23" s="41"/>
      <c r="HU23" s="41"/>
      <c r="HV23" s="41"/>
      <c r="HW23" s="41"/>
      <c r="HX23" s="41"/>
      <c r="HY23" s="41"/>
      <c r="HZ23" s="41"/>
      <c r="IA23" s="41"/>
      <c r="IB23" s="41"/>
      <c r="IC23" s="41"/>
      <c r="ID23" s="41"/>
      <c r="IE23" s="41"/>
      <c r="IF23" s="41"/>
      <c r="IG23" s="41"/>
      <c r="IH23" s="41"/>
      <c r="II23" s="41"/>
      <c r="IJ23" s="41"/>
      <c r="IK23" s="41"/>
      <c r="IL23" s="41"/>
      <c r="IM23" s="41"/>
      <c r="IN23" s="41"/>
      <c r="IO23" s="41"/>
      <c r="IP23" s="41"/>
      <c r="IQ23" s="41"/>
      <c r="IR23" s="41"/>
      <c r="IS23" s="41"/>
      <c r="IT23" s="41"/>
      <c r="IU23" s="41"/>
      <c r="IV23" s="41"/>
      <c r="IW23" s="41"/>
      <c r="IX23" s="41"/>
      <c r="IY23" s="41"/>
      <c r="IZ23" s="41"/>
      <c r="JA23" s="41"/>
      <c r="JB23" s="41"/>
      <c r="JC23" s="41"/>
      <c r="JD23" s="41"/>
      <c r="JE23" s="41"/>
      <c r="JF23" s="41"/>
      <c r="JG23" s="41"/>
      <c r="JH23" s="41"/>
      <c r="JI23" s="41"/>
      <c r="JJ23" s="41"/>
      <c r="JK23" s="41"/>
      <c r="JL23" s="41"/>
      <c r="JM23" s="41"/>
      <c r="JN23" s="41"/>
      <c r="JO23" s="41"/>
      <c r="JP23" s="41"/>
      <c r="JQ23" s="41"/>
      <c r="JR23" s="41"/>
      <c r="JS23" s="41"/>
      <c r="JT23" s="41"/>
      <c r="JU23" s="41"/>
      <c r="JV23" s="41"/>
      <c r="JW23" s="41"/>
      <c r="JX23" s="41"/>
      <c r="JY23" s="41"/>
      <c r="JZ23" s="41"/>
      <c r="KA23" s="41"/>
      <c r="KB23" s="41"/>
      <c r="KC23" s="41"/>
      <c r="KD23" s="41"/>
      <c r="KE23" s="41"/>
      <c r="KF23" s="41"/>
      <c r="KG23" s="41"/>
      <c r="KH23" s="41"/>
      <c r="KI23" s="41"/>
      <c r="KJ23" s="41"/>
      <c r="KK23" s="41"/>
      <c r="KL23" s="41"/>
      <c r="KM23" s="41"/>
      <c r="KN23" s="41"/>
      <c r="KO23" s="41"/>
      <c r="KP23" s="41"/>
      <c r="KQ23" s="41"/>
      <c r="KR23" s="41"/>
      <c r="KS23" s="41"/>
      <c r="KT23" s="41"/>
      <c r="KU23" s="41"/>
      <c r="KV23" s="41"/>
      <c r="KW23" s="41"/>
      <c r="KX23" s="41"/>
      <c r="KY23" s="41"/>
      <c r="KZ23" s="41"/>
    </row>
    <row r="24" spans="2:312" ht="15.5" x14ac:dyDescent="0.35">
      <c r="B24" s="40">
        <f t="shared" si="0"/>
        <v>44440</v>
      </c>
      <c r="C24" s="19">
        <v>202109</v>
      </c>
      <c r="D24" s="41">
        <v>4031</v>
      </c>
      <c r="E24" s="41">
        <v>2389</v>
      </c>
      <c r="F24" s="41">
        <v>2389</v>
      </c>
      <c r="G24" s="41">
        <v>2936146.4819999901</v>
      </c>
      <c r="H24" s="41">
        <v>5227200.8199999901</v>
      </c>
      <c r="I24" s="41">
        <v>19803.841</v>
      </c>
      <c r="J24" s="41">
        <v>112470</v>
      </c>
      <c r="K24" s="41">
        <v>33640.500999999997</v>
      </c>
      <c r="L24" s="41">
        <v>468.947</v>
      </c>
      <c r="M24" s="41">
        <v>474.44499999999999</v>
      </c>
      <c r="N24" s="41">
        <v>371</v>
      </c>
      <c r="O24" s="41">
        <v>2</v>
      </c>
      <c r="P24" s="41">
        <v>0</v>
      </c>
      <c r="Q24" s="41">
        <v>0</v>
      </c>
      <c r="R24" s="41">
        <v>40</v>
      </c>
      <c r="S24" s="41">
        <v>1</v>
      </c>
      <c r="T24" s="41">
        <v>0</v>
      </c>
      <c r="U24" s="41">
        <v>2728</v>
      </c>
      <c r="V24" s="41">
        <v>244989</v>
      </c>
      <c r="W24" s="41">
        <v>1781</v>
      </c>
      <c r="X24" s="41">
        <v>0</v>
      </c>
      <c r="Y24" s="41">
        <v>12</v>
      </c>
      <c r="Z24" s="41">
        <v>6097</v>
      </c>
      <c r="AA24" s="41">
        <v>4906</v>
      </c>
      <c r="AB24" s="41">
        <v>0</v>
      </c>
      <c r="AC24" s="41">
        <v>211562</v>
      </c>
      <c r="AD24" s="41">
        <v>371</v>
      </c>
      <c r="AE24" s="41">
        <v>1015</v>
      </c>
      <c r="AF24" s="41">
        <v>0</v>
      </c>
      <c r="AG24" s="41">
        <v>1</v>
      </c>
      <c r="AH24" s="41">
        <v>1452</v>
      </c>
      <c r="AI24" s="41">
        <v>3543</v>
      </c>
      <c r="AJ24" s="41">
        <v>0</v>
      </c>
      <c r="AK24" s="41">
        <v>13741</v>
      </c>
      <c r="AL24" s="41">
        <v>3</v>
      </c>
      <c r="AM24" s="41">
        <v>371</v>
      </c>
      <c r="AN24" s="41">
        <v>0</v>
      </c>
      <c r="AO24" s="41">
        <v>2728</v>
      </c>
      <c r="AP24" s="41">
        <v>40</v>
      </c>
      <c r="AQ24" s="41">
        <v>6699</v>
      </c>
      <c r="AR24" s="41">
        <v>244989</v>
      </c>
      <c r="AS24" s="41">
        <v>0</v>
      </c>
      <c r="AT24" s="41">
        <v>211562</v>
      </c>
      <c r="AU24" s="41">
        <v>6097</v>
      </c>
      <c r="AV24" s="41">
        <v>4559</v>
      </c>
      <c r="AW24" s="41">
        <v>371</v>
      </c>
      <c r="AX24" s="41">
        <v>0</v>
      </c>
      <c r="AY24" s="41">
        <v>13741</v>
      </c>
      <c r="AZ24" s="41">
        <v>1452</v>
      </c>
      <c r="BA24" s="41">
        <v>3</v>
      </c>
      <c r="BB24" s="41">
        <v>371</v>
      </c>
      <c r="BC24" s="41">
        <v>0</v>
      </c>
      <c r="BD24" s="41">
        <v>2728</v>
      </c>
      <c r="BE24" s="41">
        <v>40</v>
      </c>
      <c r="BF24" s="41">
        <v>6699</v>
      </c>
      <c r="BG24" s="41">
        <v>244989</v>
      </c>
      <c r="BH24" s="41">
        <v>0</v>
      </c>
      <c r="BI24" s="41">
        <v>211562</v>
      </c>
      <c r="BJ24" s="41">
        <v>6097</v>
      </c>
      <c r="BK24" s="41">
        <v>4559</v>
      </c>
      <c r="BL24" s="41">
        <v>371</v>
      </c>
      <c r="BM24" s="41">
        <v>0</v>
      </c>
      <c r="BN24" s="41">
        <v>13741</v>
      </c>
      <c r="BO24" s="41">
        <v>1452</v>
      </c>
      <c r="BP24" s="41">
        <v>2</v>
      </c>
      <c r="BQ24" s="41">
        <v>0</v>
      </c>
      <c r="BR24" s="41">
        <v>0</v>
      </c>
      <c r="BS24" s="41">
        <v>1</v>
      </c>
      <c r="BT24" s="41">
        <v>371</v>
      </c>
      <c r="BU24" s="41">
        <v>0</v>
      </c>
      <c r="BV24" s="41">
        <v>0</v>
      </c>
      <c r="BW24" s="41">
        <v>0</v>
      </c>
      <c r="BX24" s="41">
        <v>2728</v>
      </c>
      <c r="BY24" s="41">
        <v>40</v>
      </c>
      <c r="BZ24" s="41">
        <v>1781</v>
      </c>
      <c r="CA24" s="41">
        <v>0</v>
      </c>
      <c r="CB24" s="41">
        <v>12</v>
      </c>
      <c r="CC24" s="41">
        <v>4906</v>
      </c>
      <c r="CD24" s="41">
        <v>244989</v>
      </c>
      <c r="CE24" s="41">
        <v>0</v>
      </c>
      <c r="CF24" s="41">
        <v>0</v>
      </c>
      <c r="CG24" s="41">
        <v>0</v>
      </c>
      <c r="CH24" s="41">
        <v>211562</v>
      </c>
      <c r="CI24" s="41">
        <v>6097</v>
      </c>
      <c r="CJ24" s="41">
        <v>1015</v>
      </c>
      <c r="CK24" s="41">
        <v>0</v>
      </c>
      <c r="CL24" s="41">
        <v>1</v>
      </c>
      <c r="CM24" s="41">
        <v>3543</v>
      </c>
      <c r="CN24" s="41">
        <v>371</v>
      </c>
      <c r="CO24" s="41">
        <v>0</v>
      </c>
      <c r="CP24" s="41">
        <v>0</v>
      </c>
      <c r="CQ24" s="41">
        <v>0</v>
      </c>
      <c r="CR24" s="41">
        <v>13741</v>
      </c>
      <c r="CS24" s="41">
        <v>1452</v>
      </c>
      <c r="CT24" s="41">
        <v>10824</v>
      </c>
      <c r="CU24" s="41">
        <v>0</v>
      </c>
      <c r="CV24" s="41">
        <v>4348</v>
      </c>
      <c r="CW24" s="41">
        <v>15172</v>
      </c>
      <c r="CX24" s="41">
        <v>15522</v>
      </c>
      <c r="CY24" s="41">
        <v>15522</v>
      </c>
      <c r="CZ24" s="41">
        <v>25107</v>
      </c>
      <c r="DA24" s="41">
        <v>0</v>
      </c>
      <c r="DB24" s="41">
        <v>11147316</v>
      </c>
      <c r="DC24" s="41">
        <v>0</v>
      </c>
      <c r="DD24" s="41">
        <v>25107</v>
      </c>
      <c r="DE24" s="41">
        <v>11147316</v>
      </c>
      <c r="DF24" s="41">
        <v>25107</v>
      </c>
      <c r="DG24" s="41">
        <v>11147316</v>
      </c>
      <c r="DH24" s="41">
        <v>25107</v>
      </c>
      <c r="DI24" s="41">
        <v>0</v>
      </c>
      <c r="DJ24" s="41">
        <v>11147316</v>
      </c>
      <c r="DK24" s="41">
        <v>0</v>
      </c>
      <c r="DL24" s="41">
        <v>565</v>
      </c>
      <c r="DM24" s="41">
        <v>0</v>
      </c>
      <c r="DN24" s="41">
        <v>0</v>
      </c>
      <c r="DO24" s="41">
        <v>12240</v>
      </c>
      <c r="DP24" s="41">
        <v>1705</v>
      </c>
      <c r="DQ24" s="41">
        <v>13945</v>
      </c>
      <c r="DR24" s="41">
        <v>13945</v>
      </c>
      <c r="DS24" s="41">
        <v>12240</v>
      </c>
      <c r="DT24" s="41">
        <v>1705</v>
      </c>
      <c r="DU24" s="41">
        <v>66</v>
      </c>
      <c r="DV24" s="41">
        <v>66</v>
      </c>
      <c r="DW24" s="41">
        <v>43538</v>
      </c>
      <c r="DX24" s="41">
        <v>2689</v>
      </c>
      <c r="DY24" s="41">
        <v>9262</v>
      </c>
      <c r="DZ24" s="41">
        <v>0</v>
      </c>
      <c r="EA24" s="41">
        <v>43538</v>
      </c>
      <c r="EB24" s="41"/>
      <c r="EC24" s="41"/>
      <c r="ED24" s="41"/>
      <c r="EE24" s="41"/>
      <c r="EF24" s="41"/>
      <c r="EG24" s="41"/>
      <c r="EH24" s="41"/>
      <c r="EI24" s="41"/>
      <c r="EJ24" s="41"/>
      <c r="EK24" s="41"/>
      <c r="EL24" s="41"/>
      <c r="EM24" s="41"/>
      <c r="EN24" s="41"/>
      <c r="EO24" s="41"/>
      <c r="EP24" s="41"/>
      <c r="EQ24" s="41"/>
      <c r="ER24" s="41"/>
      <c r="ES24" s="41"/>
      <c r="ET24" s="41"/>
      <c r="EU24" s="41"/>
      <c r="EV24" s="41"/>
      <c r="EW24" s="41"/>
      <c r="EX24" s="41"/>
      <c r="EY24" s="41"/>
      <c r="EZ24" s="41"/>
      <c r="FA24" s="41"/>
      <c r="FB24" s="41"/>
      <c r="FC24" s="41"/>
      <c r="FD24" s="41"/>
      <c r="FE24" s="41"/>
      <c r="FF24" s="41"/>
      <c r="FG24" s="41"/>
      <c r="FH24" s="41"/>
      <c r="FI24" s="41"/>
      <c r="FJ24" s="41"/>
      <c r="FK24" s="41"/>
      <c r="FL24" s="41"/>
      <c r="FM24" s="41"/>
      <c r="FN24" s="41"/>
      <c r="FO24" s="41"/>
      <c r="FP24" s="41"/>
      <c r="FQ24" s="41"/>
      <c r="FR24" s="41"/>
      <c r="FS24" s="41"/>
      <c r="FT24" s="41"/>
      <c r="FU24" s="41"/>
      <c r="FV24" s="41"/>
      <c r="FW24" s="41"/>
      <c r="FX24" s="41"/>
      <c r="FY24" s="41"/>
      <c r="FZ24" s="41"/>
      <c r="GA24" s="41"/>
      <c r="GB24" s="41"/>
      <c r="GC24" s="41"/>
      <c r="GD24" s="41"/>
      <c r="GE24" s="41"/>
      <c r="GF24" s="41"/>
      <c r="GG24" s="41"/>
      <c r="GH24" s="41"/>
      <c r="GI24" s="41"/>
      <c r="GJ24" s="41"/>
      <c r="GK24" s="41"/>
      <c r="GL24" s="41"/>
      <c r="GM24" s="41"/>
      <c r="GN24" s="41"/>
      <c r="GO24" s="41"/>
      <c r="GP24" s="41"/>
      <c r="GQ24" s="41"/>
      <c r="GR24" s="41"/>
      <c r="GS24" s="41"/>
      <c r="GT24" s="41"/>
      <c r="GU24" s="41"/>
      <c r="GV24" s="41"/>
      <c r="GW24" s="41"/>
      <c r="GX24" s="41"/>
      <c r="GY24" s="41"/>
      <c r="GZ24" s="41"/>
      <c r="HA24" s="41"/>
      <c r="HB24" s="41"/>
      <c r="HC24" s="41"/>
      <c r="HD24" s="41"/>
      <c r="HE24" s="41"/>
      <c r="HF24" s="41"/>
      <c r="HG24" s="41"/>
      <c r="HH24" s="41"/>
      <c r="HI24" s="41"/>
      <c r="HJ24" s="41"/>
      <c r="HK24" s="41"/>
      <c r="HL24" s="41"/>
      <c r="HM24" s="41"/>
      <c r="HN24" s="41"/>
      <c r="HO24" s="41"/>
      <c r="HP24" s="41"/>
      <c r="HQ24" s="41"/>
      <c r="HR24" s="41"/>
      <c r="HS24" s="41"/>
      <c r="HT24" s="41"/>
      <c r="HU24" s="41"/>
      <c r="HV24" s="41"/>
      <c r="HW24" s="41"/>
      <c r="HX24" s="41"/>
      <c r="HY24" s="41"/>
      <c r="HZ24" s="41"/>
      <c r="IA24" s="41"/>
      <c r="IB24" s="41"/>
      <c r="IC24" s="41"/>
      <c r="ID24" s="41"/>
      <c r="IE24" s="41"/>
      <c r="IF24" s="41"/>
      <c r="IG24" s="41"/>
      <c r="IH24" s="41"/>
      <c r="II24" s="41"/>
      <c r="IJ24" s="41"/>
      <c r="IK24" s="41"/>
      <c r="IL24" s="41"/>
      <c r="IM24" s="41"/>
      <c r="IN24" s="41"/>
      <c r="IO24" s="41"/>
      <c r="IP24" s="41"/>
      <c r="IQ24" s="41"/>
      <c r="IR24" s="41"/>
      <c r="IS24" s="41"/>
      <c r="IT24" s="41"/>
      <c r="IU24" s="41"/>
      <c r="IV24" s="41"/>
      <c r="IW24" s="41"/>
      <c r="IX24" s="41"/>
      <c r="IY24" s="41"/>
      <c r="IZ24" s="41"/>
      <c r="JA24" s="41"/>
      <c r="JB24" s="41"/>
      <c r="JC24" s="41"/>
      <c r="JD24" s="41"/>
      <c r="JE24" s="41"/>
      <c r="JF24" s="41"/>
      <c r="JG24" s="41"/>
      <c r="JH24" s="41"/>
      <c r="JI24" s="41"/>
      <c r="JJ24" s="41"/>
      <c r="JK24" s="41"/>
      <c r="JL24" s="41"/>
      <c r="JM24" s="41"/>
      <c r="JN24" s="41"/>
      <c r="JO24" s="41"/>
      <c r="JP24" s="41"/>
      <c r="JQ24" s="41"/>
      <c r="JR24" s="41"/>
      <c r="JS24" s="41"/>
      <c r="JT24" s="41"/>
      <c r="JU24" s="41"/>
      <c r="JV24" s="41"/>
      <c r="JW24" s="41"/>
      <c r="JX24" s="41"/>
      <c r="JY24" s="41"/>
      <c r="JZ24" s="41"/>
      <c r="KA24" s="41"/>
      <c r="KB24" s="41"/>
      <c r="KC24" s="41"/>
      <c r="KD24" s="41"/>
      <c r="KE24" s="41"/>
      <c r="KF24" s="41"/>
      <c r="KG24" s="41"/>
      <c r="KH24" s="41"/>
      <c r="KI24" s="41"/>
      <c r="KJ24" s="41"/>
      <c r="KK24" s="41"/>
      <c r="KL24" s="41"/>
      <c r="KM24" s="41"/>
      <c r="KN24" s="41"/>
      <c r="KO24" s="41"/>
      <c r="KP24" s="41"/>
      <c r="KQ24" s="41"/>
      <c r="KR24" s="41"/>
      <c r="KS24" s="41"/>
      <c r="KT24" s="41"/>
      <c r="KU24" s="41"/>
      <c r="KV24" s="41"/>
      <c r="KW24" s="41"/>
      <c r="KX24" s="41"/>
      <c r="KY24" s="41"/>
      <c r="KZ24" s="41"/>
    </row>
    <row r="25" spans="2:312" ht="15.5" x14ac:dyDescent="0.35">
      <c r="B25" s="40">
        <f t="shared" si="0"/>
        <v>44470</v>
      </c>
      <c r="C25" s="19">
        <v>202110</v>
      </c>
      <c r="D25" s="41">
        <v>3895</v>
      </c>
      <c r="E25" s="41">
        <v>7348</v>
      </c>
      <c r="F25" s="41">
        <v>7348</v>
      </c>
      <c r="G25" s="41">
        <v>2999777.8839999898</v>
      </c>
      <c r="H25" s="41">
        <v>5292929.93899999</v>
      </c>
      <c r="I25" s="41">
        <v>20060.856</v>
      </c>
      <c r="J25" s="41">
        <v>102066</v>
      </c>
      <c r="K25" s="41">
        <v>33782.957999999897</v>
      </c>
      <c r="L25" s="41">
        <v>521.59199999999998</v>
      </c>
      <c r="M25" s="41">
        <v>525.67700000000002</v>
      </c>
      <c r="N25" s="41">
        <v>130</v>
      </c>
      <c r="O25" s="41">
        <v>0</v>
      </c>
      <c r="P25" s="41">
        <v>0</v>
      </c>
      <c r="Q25" s="41">
        <v>0</v>
      </c>
      <c r="R25" s="41">
        <v>33</v>
      </c>
      <c r="S25" s="41">
        <v>0</v>
      </c>
      <c r="T25" s="41">
        <v>0</v>
      </c>
      <c r="U25" s="41">
        <v>1744</v>
      </c>
      <c r="V25" s="41">
        <v>162246</v>
      </c>
      <c r="W25" s="41">
        <v>552</v>
      </c>
      <c r="X25" s="41">
        <v>0</v>
      </c>
      <c r="Y25" s="41">
        <v>0</v>
      </c>
      <c r="Z25" s="41">
        <v>6351</v>
      </c>
      <c r="AA25" s="41">
        <v>1527</v>
      </c>
      <c r="AB25" s="41">
        <v>0</v>
      </c>
      <c r="AC25" s="41">
        <v>82236</v>
      </c>
      <c r="AD25" s="41">
        <v>130</v>
      </c>
      <c r="AE25" s="41">
        <v>303</v>
      </c>
      <c r="AF25" s="41">
        <v>0</v>
      </c>
      <c r="AG25" s="41">
        <v>0</v>
      </c>
      <c r="AH25" s="41">
        <v>1503</v>
      </c>
      <c r="AI25" s="41">
        <v>1094</v>
      </c>
      <c r="AJ25" s="41">
        <v>0</v>
      </c>
      <c r="AK25" s="41">
        <v>8737</v>
      </c>
      <c r="AL25" s="41">
        <v>0</v>
      </c>
      <c r="AM25" s="41">
        <v>130</v>
      </c>
      <c r="AN25" s="41">
        <v>0</v>
      </c>
      <c r="AO25" s="41">
        <v>1744</v>
      </c>
      <c r="AP25" s="41">
        <v>33</v>
      </c>
      <c r="AQ25" s="41">
        <v>2079</v>
      </c>
      <c r="AR25" s="41">
        <v>162246</v>
      </c>
      <c r="AS25" s="41">
        <v>0</v>
      </c>
      <c r="AT25" s="41">
        <v>82236</v>
      </c>
      <c r="AU25" s="41">
        <v>6351</v>
      </c>
      <c r="AV25" s="41">
        <v>1397</v>
      </c>
      <c r="AW25" s="41">
        <v>130</v>
      </c>
      <c r="AX25" s="41">
        <v>0</v>
      </c>
      <c r="AY25" s="41">
        <v>8737</v>
      </c>
      <c r="AZ25" s="41">
        <v>1503</v>
      </c>
      <c r="BA25" s="41">
        <v>0</v>
      </c>
      <c r="BB25" s="41">
        <v>130</v>
      </c>
      <c r="BC25" s="41">
        <v>0</v>
      </c>
      <c r="BD25" s="41">
        <v>1744</v>
      </c>
      <c r="BE25" s="41">
        <v>33</v>
      </c>
      <c r="BF25" s="41">
        <v>2079</v>
      </c>
      <c r="BG25" s="41">
        <v>162246</v>
      </c>
      <c r="BH25" s="41">
        <v>0</v>
      </c>
      <c r="BI25" s="41">
        <v>82236</v>
      </c>
      <c r="BJ25" s="41">
        <v>6351</v>
      </c>
      <c r="BK25" s="41">
        <v>1397</v>
      </c>
      <c r="BL25" s="41">
        <v>130</v>
      </c>
      <c r="BM25" s="41">
        <v>0</v>
      </c>
      <c r="BN25" s="41">
        <v>8737</v>
      </c>
      <c r="BO25" s="41">
        <v>1503</v>
      </c>
      <c r="BP25" s="41">
        <v>0</v>
      </c>
      <c r="BQ25" s="41">
        <v>0</v>
      </c>
      <c r="BR25" s="41">
        <v>0</v>
      </c>
      <c r="BS25" s="41">
        <v>0</v>
      </c>
      <c r="BT25" s="41">
        <v>130</v>
      </c>
      <c r="BU25" s="41">
        <v>0</v>
      </c>
      <c r="BV25" s="41">
        <v>0</v>
      </c>
      <c r="BW25" s="41">
        <v>0</v>
      </c>
      <c r="BX25" s="41">
        <v>1744</v>
      </c>
      <c r="BY25" s="41">
        <v>33</v>
      </c>
      <c r="BZ25" s="41">
        <v>552</v>
      </c>
      <c r="CA25" s="41">
        <v>0</v>
      </c>
      <c r="CB25" s="41">
        <v>0</v>
      </c>
      <c r="CC25" s="41">
        <v>1527</v>
      </c>
      <c r="CD25" s="41">
        <v>162246</v>
      </c>
      <c r="CE25" s="41">
        <v>0</v>
      </c>
      <c r="CF25" s="41">
        <v>0</v>
      </c>
      <c r="CG25" s="41">
        <v>0</v>
      </c>
      <c r="CH25" s="41">
        <v>82236</v>
      </c>
      <c r="CI25" s="41">
        <v>6351</v>
      </c>
      <c r="CJ25" s="41">
        <v>303</v>
      </c>
      <c r="CK25" s="41">
        <v>0</v>
      </c>
      <c r="CL25" s="41">
        <v>0</v>
      </c>
      <c r="CM25" s="41">
        <v>1094</v>
      </c>
      <c r="CN25" s="41">
        <v>130</v>
      </c>
      <c r="CO25" s="41">
        <v>0</v>
      </c>
      <c r="CP25" s="41">
        <v>0</v>
      </c>
      <c r="CQ25" s="41">
        <v>0</v>
      </c>
      <c r="CR25" s="41">
        <v>8737</v>
      </c>
      <c r="CS25" s="41">
        <v>1503</v>
      </c>
      <c r="CT25" s="41">
        <v>11267</v>
      </c>
      <c r="CU25" s="41">
        <v>0</v>
      </c>
      <c r="CV25" s="41">
        <v>4071</v>
      </c>
      <c r="CW25" s="41">
        <v>15338</v>
      </c>
      <c r="CX25" s="41">
        <v>29</v>
      </c>
      <c r="CY25" s="41">
        <v>29</v>
      </c>
      <c r="CZ25" s="41">
        <v>21703</v>
      </c>
      <c r="DA25" s="41">
        <v>0</v>
      </c>
      <c r="DB25" s="41">
        <v>10782522</v>
      </c>
      <c r="DC25" s="41">
        <v>0</v>
      </c>
      <c r="DD25" s="41">
        <v>21703</v>
      </c>
      <c r="DE25" s="41">
        <v>10782522</v>
      </c>
      <c r="DF25" s="41">
        <v>21703</v>
      </c>
      <c r="DG25" s="41">
        <v>10782522</v>
      </c>
      <c r="DH25" s="41">
        <v>21703</v>
      </c>
      <c r="DI25" s="41">
        <v>0</v>
      </c>
      <c r="DJ25" s="41">
        <v>10782522</v>
      </c>
      <c r="DK25" s="41">
        <v>0</v>
      </c>
      <c r="DL25" s="41">
        <v>642</v>
      </c>
      <c r="DM25" s="41">
        <v>0</v>
      </c>
      <c r="DN25" s="41">
        <v>0</v>
      </c>
      <c r="DO25" s="41">
        <v>14000</v>
      </c>
      <c r="DP25" s="41">
        <v>1091</v>
      </c>
      <c r="DQ25" s="41">
        <v>15091</v>
      </c>
      <c r="DR25" s="41">
        <v>15091</v>
      </c>
      <c r="DS25" s="41">
        <v>14000</v>
      </c>
      <c r="DT25" s="41">
        <v>1091</v>
      </c>
      <c r="DU25" s="41">
        <v>157</v>
      </c>
      <c r="DV25" s="41">
        <v>157</v>
      </c>
      <c r="DW25" s="41">
        <v>43538</v>
      </c>
      <c r="DX25" s="41">
        <v>2689</v>
      </c>
      <c r="DY25" s="41">
        <v>9262</v>
      </c>
      <c r="DZ25" s="41">
        <v>0</v>
      </c>
      <c r="EA25" s="41">
        <v>43538</v>
      </c>
      <c r="EB25" s="41"/>
      <c r="EC25" s="41"/>
      <c r="ED25" s="41"/>
      <c r="EE25" s="41"/>
      <c r="EF25" s="41"/>
      <c r="EG25" s="41"/>
      <c r="EH25" s="41"/>
      <c r="EI25" s="41"/>
      <c r="EJ25" s="41"/>
      <c r="EK25" s="41"/>
      <c r="EL25" s="41"/>
      <c r="EM25" s="41"/>
      <c r="EN25" s="41"/>
      <c r="EO25" s="41"/>
      <c r="EP25" s="41"/>
      <c r="EQ25" s="41"/>
      <c r="ER25" s="41"/>
      <c r="ES25" s="41"/>
      <c r="ET25" s="41"/>
      <c r="EU25" s="41"/>
      <c r="EV25" s="41"/>
      <c r="EW25" s="41"/>
      <c r="EX25" s="41"/>
      <c r="EY25" s="41"/>
      <c r="EZ25" s="41"/>
      <c r="FA25" s="41"/>
      <c r="FB25" s="41"/>
      <c r="FC25" s="41"/>
      <c r="FD25" s="41"/>
      <c r="FE25" s="41"/>
      <c r="FF25" s="41"/>
      <c r="FG25" s="41"/>
      <c r="FH25" s="41"/>
      <c r="FI25" s="41"/>
      <c r="FJ25" s="41"/>
      <c r="FK25" s="41"/>
      <c r="FL25" s="41"/>
      <c r="FM25" s="41"/>
      <c r="FN25" s="41"/>
      <c r="FO25" s="41"/>
      <c r="FP25" s="41"/>
      <c r="FQ25" s="41"/>
      <c r="FR25" s="41"/>
      <c r="FS25" s="41"/>
      <c r="FT25" s="41"/>
      <c r="FU25" s="41"/>
      <c r="FV25" s="41"/>
      <c r="FW25" s="41"/>
      <c r="FX25" s="41"/>
      <c r="FY25" s="41"/>
      <c r="FZ25" s="41"/>
      <c r="GA25" s="41"/>
      <c r="GB25" s="41"/>
      <c r="GC25" s="41"/>
      <c r="GD25" s="41"/>
      <c r="GE25" s="41"/>
      <c r="GF25" s="41"/>
      <c r="GG25" s="41"/>
      <c r="GH25" s="41"/>
      <c r="GI25" s="41"/>
      <c r="GJ25" s="41"/>
      <c r="GK25" s="41"/>
      <c r="GL25" s="41"/>
      <c r="GM25" s="41"/>
      <c r="GN25" s="41"/>
      <c r="GO25" s="41"/>
      <c r="GP25" s="41"/>
      <c r="GQ25" s="41"/>
      <c r="GR25" s="41"/>
      <c r="GS25" s="41"/>
      <c r="GT25" s="41"/>
      <c r="GU25" s="41"/>
      <c r="GV25" s="41"/>
      <c r="GW25" s="41"/>
      <c r="GX25" s="41"/>
      <c r="GY25" s="41"/>
      <c r="GZ25" s="41"/>
      <c r="HA25" s="41"/>
      <c r="HB25" s="41"/>
      <c r="HC25" s="41"/>
      <c r="HD25" s="41"/>
      <c r="HE25" s="41"/>
      <c r="HF25" s="41"/>
      <c r="HG25" s="41"/>
      <c r="HH25" s="41"/>
      <c r="HI25" s="41"/>
      <c r="HJ25" s="41"/>
      <c r="HK25" s="41"/>
      <c r="HL25" s="41"/>
      <c r="HM25" s="41"/>
      <c r="HN25" s="41"/>
      <c r="HO25" s="41"/>
      <c r="HP25" s="41"/>
      <c r="HQ25" s="41"/>
      <c r="HR25" s="41"/>
      <c r="HS25" s="41"/>
      <c r="HT25" s="41"/>
      <c r="HU25" s="41"/>
      <c r="HV25" s="41"/>
      <c r="HW25" s="41"/>
      <c r="HX25" s="41"/>
      <c r="HY25" s="41"/>
      <c r="HZ25" s="41"/>
      <c r="IA25" s="41"/>
      <c r="IB25" s="41"/>
      <c r="IC25" s="41"/>
      <c r="ID25" s="41"/>
      <c r="IE25" s="41"/>
      <c r="IF25" s="41"/>
      <c r="IG25" s="41"/>
      <c r="IH25" s="41"/>
      <c r="II25" s="41"/>
      <c r="IJ25" s="41"/>
      <c r="IK25" s="41"/>
      <c r="IL25" s="41"/>
      <c r="IM25" s="41"/>
      <c r="IN25" s="41"/>
      <c r="IO25" s="41"/>
      <c r="IP25" s="41"/>
      <c r="IQ25" s="41"/>
      <c r="IR25" s="41"/>
      <c r="IS25" s="41"/>
      <c r="IT25" s="41"/>
      <c r="IU25" s="41"/>
      <c r="IV25" s="41"/>
      <c r="IW25" s="41"/>
      <c r="IX25" s="41"/>
      <c r="IY25" s="41"/>
      <c r="IZ25" s="41"/>
      <c r="JA25" s="41"/>
      <c r="JB25" s="41"/>
      <c r="JC25" s="41"/>
      <c r="JD25" s="41"/>
      <c r="JE25" s="41"/>
      <c r="JF25" s="41"/>
      <c r="JG25" s="41"/>
      <c r="JH25" s="41"/>
      <c r="JI25" s="41"/>
      <c r="JJ25" s="41"/>
      <c r="JK25" s="41"/>
      <c r="JL25" s="41"/>
      <c r="JM25" s="41"/>
      <c r="JN25" s="41"/>
      <c r="JO25" s="41"/>
      <c r="JP25" s="41"/>
      <c r="JQ25" s="41"/>
      <c r="JR25" s="41"/>
      <c r="JS25" s="41"/>
      <c r="JT25" s="41"/>
      <c r="JU25" s="41"/>
      <c r="JV25" s="41"/>
      <c r="JW25" s="41"/>
      <c r="JX25" s="41"/>
      <c r="JY25" s="41"/>
      <c r="JZ25" s="41"/>
      <c r="KA25" s="41"/>
      <c r="KB25" s="41"/>
      <c r="KC25" s="41"/>
      <c r="KD25" s="41"/>
      <c r="KE25" s="41"/>
      <c r="KF25" s="41"/>
      <c r="KG25" s="41"/>
      <c r="KH25" s="41"/>
      <c r="KI25" s="41"/>
      <c r="KJ25" s="41"/>
      <c r="KK25" s="41"/>
      <c r="KL25" s="41"/>
      <c r="KM25" s="41"/>
      <c r="KN25" s="41"/>
      <c r="KO25" s="41"/>
      <c r="KP25" s="41"/>
      <c r="KQ25" s="41"/>
      <c r="KR25" s="41"/>
      <c r="KS25" s="41"/>
      <c r="KT25" s="41"/>
      <c r="KU25" s="41"/>
      <c r="KV25" s="41"/>
      <c r="KW25" s="41"/>
      <c r="KX25" s="41"/>
      <c r="KY25" s="41"/>
      <c r="KZ25" s="41"/>
    </row>
    <row r="26" spans="2:312" ht="15.5" x14ac:dyDescent="0.35">
      <c r="B26" s="40">
        <f t="shared" si="0"/>
        <v>44501</v>
      </c>
      <c r="C26" s="19">
        <v>202111</v>
      </c>
      <c r="D26" s="41">
        <v>3787</v>
      </c>
      <c r="E26" s="41">
        <v>3075</v>
      </c>
      <c r="F26" s="41">
        <v>3075</v>
      </c>
      <c r="G26" s="41">
        <v>2903285.4879999901</v>
      </c>
      <c r="H26" s="41">
        <v>5204681.7869999902</v>
      </c>
      <c r="I26" s="41">
        <v>19404.6349999999</v>
      </c>
      <c r="J26" s="41">
        <v>91677</v>
      </c>
      <c r="K26" s="41">
        <v>33125.013999999901</v>
      </c>
      <c r="L26" s="41">
        <v>492.38</v>
      </c>
      <c r="M26" s="41">
        <v>498.49200000000002</v>
      </c>
      <c r="N26" s="41">
        <v>234</v>
      </c>
      <c r="O26" s="41">
        <v>1</v>
      </c>
      <c r="P26" s="41">
        <v>0</v>
      </c>
      <c r="Q26" s="41">
        <v>0</v>
      </c>
      <c r="R26" s="41">
        <v>24</v>
      </c>
      <c r="S26" s="41">
        <v>1</v>
      </c>
      <c r="T26" s="41">
        <v>0</v>
      </c>
      <c r="U26" s="41">
        <v>1377</v>
      </c>
      <c r="V26" s="41">
        <v>191375</v>
      </c>
      <c r="W26" s="41">
        <v>1296</v>
      </c>
      <c r="X26" s="41">
        <v>0</v>
      </c>
      <c r="Y26" s="41">
        <v>0</v>
      </c>
      <c r="Z26" s="41">
        <v>5522</v>
      </c>
      <c r="AA26" s="41">
        <v>2123</v>
      </c>
      <c r="AB26" s="41">
        <v>0</v>
      </c>
      <c r="AC26" s="41">
        <v>54278</v>
      </c>
      <c r="AD26" s="41">
        <v>234</v>
      </c>
      <c r="AE26" s="41">
        <v>810</v>
      </c>
      <c r="AF26" s="41">
        <v>0</v>
      </c>
      <c r="AG26" s="41">
        <v>0</v>
      </c>
      <c r="AH26" s="41">
        <v>1335</v>
      </c>
      <c r="AI26" s="41">
        <v>1705</v>
      </c>
      <c r="AJ26" s="41">
        <v>0</v>
      </c>
      <c r="AK26" s="41">
        <v>8684</v>
      </c>
      <c r="AL26" s="41">
        <v>2</v>
      </c>
      <c r="AM26" s="41">
        <v>234</v>
      </c>
      <c r="AN26" s="41">
        <v>0</v>
      </c>
      <c r="AO26" s="41">
        <v>1377</v>
      </c>
      <c r="AP26" s="41">
        <v>24</v>
      </c>
      <c r="AQ26" s="41">
        <v>3419</v>
      </c>
      <c r="AR26" s="41">
        <v>191375</v>
      </c>
      <c r="AS26" s="41">
        <v>0</v>
      </c>
      <c r="AT26" s="41">
        <v>54278</v>
      </c>
      <c r="AU26" s="41">
        <v>5522</v>
      </c>
      <c r="AV26" s="41">
        <v>2515</v>
      </c>
      <c r="AW26" s="41">
        <v>234</v>
      </c>
      <c r="AX26" s="41">
        <v>0</v>
      </c>
      <c r="AY26" s="41">
        <v>8684</v>
      </c>
      <c r="AZ26" s="41">
        <v>1335</v>
      </c>
      <c r="BA26" s="41">
        <v>2</v>
      </c>
      <c r="BB26" s="41">
        <v>234</v>
      </c>
      <c r="BC26" s="41">
        <v>0</v>
      </c>
      <c r="BD26" s="41">
        <v>1377</v>
      </c>
      <c r="BE26" s="41">
        <v>24</v>
      </c>
      <c r="BF26" s="41">
        <v>3419</v>
      </c>
      <c r="BG26" s="41">
        <v>191375</v>
      </c>
      <c r="BH26" s="41">
        <v>0</v>
      </c>
      <c r="BI26" s="41">
        <v>54278</v>
      </c>
      <c r="BJ26" s="41">
        <v>5522</v>
      </c>
      <c r="BK26" s="41">
        <v>2515</v>
      </c>
      <c r="BL26" s="41">
        <v>234</v>
      </c>
      <c r="BM26" s="41">
        <v>0</v>
      </c>
      <c r="BN26" s="41">
        <v>8684</v>
      </c>
      <c r="BO26" s="41">
        <v>1335</v>
      </c>
      <c r="BP26" s="41">
        <v>1</v>
      </c>
      <c r="BQ26" s="41">
        <v>0</v>
      </c>
      <c r="BR26" s="41">
        <v>0</v>
      </c>
      <c r="BS26" s="41">
        <v>1</v>
      </c>
      <c r="BT26" s="41">
        <v>234</v>
      </c>
      <c r="BU26" s="41">
        <v>0</v>
      </c>
      <c r="BV26" s="41">
        <v>0</v>
      </c>
      <c r="BW26" s="41">
        <v>0</v>
      </c>
      <c r="BX26" s="41">
        <v>1377</v>
      </c>
      <c r="BY26" s="41">
        <v>24</v>
      </c>
      <c r="BZ26" s="41">
        <v>1296</v>
      </c>
      <c r="CA26" s="41">
        <v>0</v>
      </c>
      <c r="CB26" s="41">
        <v>0</v>
      </c>
      <c r="CC26" s="41">
        <v>2123</v>
      </c>
      <c r="CD26" s="41">
        <v>191375</v>
      </c>
      <c r="CE26" s="41">
        <v>0</v>
      </c>
      <c r="CF26" s="41">
        <v>0</v>
      </c>
      <c r="CG26" s="41">
        <v>0</v>
      </c>
      <c r="CH26" s="41">
        <v>54278</v>
      </c>
      <c r="CI26" s="41">
        <v>5522</v>
      </c>
      <c r="CJ26" s="41">
        <v>810</v>
      </c>
      <c r="CK26" s="41">
        <v>0</v>
      </c>
      <c r="CL26" s="41">
        <v>0</v>
      </c>
      <c r="CM26" s="41">
        <v>1705</v>
      </c>
      <c r="CN26" s="41">
        <v>234</v>
      </c>
      <c r="CO26" s="41">
        <v>0</v>
      </c>
      <c r="CP26" s="41">
        <v>0</v>
      </c>
      <c r="CQ26" s="41">
        <v>0</v>
      </c>
      <c r="CR26" s="41">
        <v>8684</v>
      </c>
      <c r="CS26" s="41">
        <v>1335</v>
      </c>
      <c r="CT26" s="41">
        <v>9999</v>
      </c>
      <c r="CU26" s="41">
        <v>0</v>
      </c>
      <c r="CV26" s="41">
        <v>3401</v>
      </c>
      <c r="CW26" s="41">
        <v>13400</v>
      </c>
      <c r="CX26" s="41">
        <v>50</v>
      </c>
      <c r="CY26" s="41">
        <v>50</v>
      </c>
      <c r="CZ26" s="41">
        <v>17866</v>
      </c>
      <c r="DA26" s="41">
        <v>0</v>
      </c>
      <c r="DB26" s="41">
        <v>9323821</v>
      </c>
      <c r="DC26" s="41">
        <v>0</v>
      </c>
      <c r="DD26" s="41">
        <v>17866</v>
      </c>
      <c r="DE26" s="41">
        <v>9323821</v>
      </c>
      <c r="DF26" s="41">
        <v>17866</v>
      </c>
      <c r="DG26" s="41">
        <v>9323821</v>
      </c>
      <c r="DH26" s="41">
        <v>17866</v>
      </c>
      <c r="DI26" s="41">
        <v>0</v>
      </c>
      <c r="DJ26" s="41">
        <v>9323821</v>
      </c>
      <c r="DK26" s="41">
        <v>0</v>
      </c>
      <c r="DL26" s="41">
        <v>504</v>
      </c>
      <c r="DM26" s="41">
        <v>0</v>
      </c>
      <c r="DN26" s="41">
        <v>0</v>
      </c>
      <c r="DO26" s="41">
        <v>12378</v>
      </c>
      <c r="DP26" s="41">
        <v>1122</v>
      </c>
      <c r="DQ26" s="41">
        <v>13500</v>
      </c>
      <c r="DR26" s="41">
        <v>13500</v>
      </c>
      <c r="DS26" s="41">
        <v>12378</v>
      </c>
      <c r="DT26" s="41">
        <v>1122</v>
      </c>
      <c r="DU26" s="41">
        <v>34</v>
      </c>
      <c r="DV26" s="41">
        <v>34</v>
      </c>
      <c r="DW26" s="41">
        <v>43538</v>
      </c>
      <c r="DX26" s="41">
        <v>2689</v>
      </c>
      <c r="DY26" s="41">
        <v>9262</v>
      </c>
      <c r="DZ26" s="41">
        <v>0</v>
      </c>
      <c r="EA26" s="41">
        <v>43538</v>
      </c>
      <c r="EB26" s="41"/>
      <c r="EC26" s="41"/>
      <c r="ED26" s="41"/>
      <c r="EE26" s="41"/>
      <c r="EF26" s="41"/>
      <c r="EG26" s="41"/>
      <c r="EH26" s="41"/>
      <c r="EI26" s="41"/>
      <c r="EJ26" s="41"/>
      <c r="EK26" s="41"/>
      <c r="EL26" s="41"/>
      <c r="EM26" s="41"/>
      <c r="EN26" s="41"/>
      <c r="EO26" s="41"/>
      <c r="EP26" s="41"/>
      <c r="EQ26" s="41"/>
      <c r="ER26" s="41"/>
      <c r="ES26" s="41"/>
      <c r="ET26" s="41"/>
      <c r="EU26" s="41"/>
      <c r="EV26" s="41"/>
      <c r="EW26" s="41"/>
      <c r="EX26" s="41"/>
      <c r="EY26" s="41"/>
      <c r="EZ26" s="41"/>
      <c r="FA26" s="41"/>
      <c r="FB26" s="41"/>
      <c r="FC26" s="41"/>
      <c r="FD26" s="41"/>
      <c r="FE26" s="41"/>
      <c r="FF26" s="41"/>
      <c r="FG26" s="41"/>
      <c r="FH26" s="41"/>
      <c r="FI26" s="41"/>
      <c r="FJ26" s="41"/>
      <c r="FK26" s="41"/>
      <c r="FL26" s="41"/>
      <c r="FM26" s="41"/>
      <c r="FN26" s="41"/>
      <c r="FO26" s="41"/>
      <c r="FP26" s="41"/>
      <c r="FQ26" s="41"/>
      <c r="FR26" s="41"/>
      <c r="FS26" s="41"/>
      <c r="FT26" s="41"/>
      <c r="FU26" s="41"/>
      <c r="FV26" s="41"/>
      <c r="FW26" s="41"/>
      <c r="FX26" s="41"/>
      <c r="FY26" s="41"/>
      <c r="FZ26" s="41"/>
      <c r="GA26" s="41"/>
      <c r="GB26" s="41"/>
      <c r="GC26" s="41"/>
      <c r="GD26" s="41"/>
      <c r="GE26" s="41"/>
      <c r="GF26" s="41"/>
      <c r="GG26" s="41"/>
      <c r="GH26" s="41"/>
      <c r="GI26" s="41"/>
      <c r="GJ26" s="41"/>
      <c r="GK26" s="41"/>
      <c r="GL26" s="41"/>
      <c r="GM26" s="41"/>
      <c r="GN26" s="41"/>
      <c r="GO26" s="41"/>
      <c r="GP26" s="41"/>
      <c r="GQ26" s="41"/>
      <c r="GR26" s="41"/>
      <c r="GS26" s="41"/>
      <c r="GT26" s="41"/>
      <c r="GU26" s="41"/>
      <c r="GV26" s="41"/>
      <c r="GW26" s="41"/>
      <c r="GX26" s="41"/>
      <c r="GY26" s="41"/>
      <c r="GZ26" s="41"/>
      <c r="HA26" s="41"/>
      <c r="HB26" s="41"/>
      <c r="HC26" s="41"/>
      <c r="HD26" s="41"/>
      <c r="HE26" s="41"/>
      <c r="HF26" s="41"/>
      <c r="HG26" s="41"/>
      <c r="HH26" s="41"/>
      <c r="HI26" s="41"/>
      <c r="HJ26" s="41"/>
      <c r="HK26" s="41"/>
      <c r="HL26" s="41"/>
      <c r="HM26" s="41"/>
      <c r="HN26" s="41"/>
      <c r="HO26" s="41"/>
      <c r="HP26" s="41"/>
      <c r="HQ26" s="41"/>
      <c r="HR26" s="41"/>
      <c r="HS26" s="41"/>
      <c r="HT26" s="41"/>
      <c r="HU26" s="41"/>
      <c r="HV26" s="41"/>
      <c r="HW26" s="41"/>
      <c r="HX26" s="41"/>
      <c r="HY26" s="41"/>
      <c r="HZ26" s="41"/>
      <c r="IA26" s="41"/>
      <c r="IB26" s="41"/>
      <c r="IC26" s="41"/>
      <c r="ID26" s="41"/>
      <c r="IE26" s="41"/>
      <c r="IF26" s="41"/>
      <c r="IG26" s="41"/>
      <c r="IH26" s="41"/>
      <c r="II26" s="41"/>
      <c r="IJ26" s="41"/>
      <c r="IK26" s="41"/>
      <c r="IL26" s="41"/>
      <c r="IM26" s="41"/>
      <c r="IN26" s="41"/>
      <c r="IO26" s="41"/>
      <c r="IP26" s="41"/>
      <c r="IQ26" s="41"/>
      <c r="IR26" s="41"/>
      <c r="IS26" s="41"/>
      <c r="IT26" s="41"/>
      <c r="IU26" s="41"/>
      <c r="IV26" s="41"/>
      <c r="IW26" s="41"/>
      <c r="IX26" s="41"/>
      <c r="IY26" s="41"/>
      <c r="IZ26" s="41"/>
      <c r="JA26" s="41"/>
      <c r="JB26" s="41"/>
      <c r="JC26" s="41"/>
      <c r="JD26" s="41"/>
      <c r="JE26" s="41"/>
      <c r="JF26" s="41"/>
      <c r="JG26" s="41"/>
      <c r="JH26" s="41"/>
      <c r="JI26" s="41"/>
      <c r="JJ26" s="41"/>
      <c r="JK26" s="41"/>
      <c r="JL26" s="41"/>
      <c r="JM26" s="41"/>
      <c r="JN26" s="41"/>
      <c r="JO26" s="41"/>
      <c r="JP26" s="41"/>
      <c r="JQ26" s="41"/>
      <c r="JR26" s="41"/>
      <c r="JS26" s="41"/>
      <c r="JT26" s="41"/>
      <c r="JU26" s="41"/>
      <c r="JV26" s="41"/>
      <c r="JW26" s="41"/>
      <c r="JX26" s="41"/>
      <c r="JY26" s="41"/>
      <c r="JZ26" s="41"/>
      <c r="KA26" s="41"/>
      <c r="KB26" s="41"/>
      <c r="KC26" s="41"/>
      <c r="KD26" s="41"/>
      <c r="KE26" s="41"/>
      <c r="KF26" s="41"/>
      <c r="KG26" s="41"/>
      <c r="KH26" s="41"/>
      <c r="KI26" s="41"/>
      <c r="KJ26" s="41"/>
      <c r="KK26" s="41"/>
      <c r="KL26" s="41"/>
      <c r="KM26" s="41"/>
      <c r="KN26" s="41"/>
      <c r="KO26" s="41"/>
      <c r="KP26" s="41"/>
      <c r="KQ26" s="41"/>
      <c r="KR26" s="41"/>
      <c r="KS26" s="41"/>
      <c r="KT26" s="41"/>
      <c r="KU26" s="41"/>
      <c r="KV26" s="41"/>
      <c r="KW26" s="41"/>
      <c r="KX26" s="41"/>
      <c r="KY26" s="41"/>
      <c r="KZ26" s="41"/>
    </row>
    <row r="27" spans="2:312" ht="15.5" x14ac:dyDescent="0.35">
      <c r="B27" s="40">
        <f t="shared" si="0"/>
        <v>44531</v>
      </c>
      <c r="C27" s="19">
        <v>202112</v>
      </c>
      <c r="D27" s="41">
        <v>3512</v>
      </c>
      <c r="E27" s="41">
        <v>3940</v>
      </c>
      <c r="F27" s="41">
        <v>3940</v>
      </c>
      <c r="G27" s="41">
        <v>3052141.0860000001</v>
      </c>
      <c r="H27" s="41">
        <v>5462948.1129999999</v>
      </c>
      <c r="I27" s="41">
        <v>20133.551999999901</v>
      </c>
      <c r="J27" s="41">
        <v>84525</v>
      </c>
      <c r="K27" s="41">
        <v>34643.049999999901</v>
      </c>
      <c r="L27" s="41">
        <v>305.00799999999998</v>
      </c>
      <c r="M27" s="41">
        <v>310.02600000000001</v>
      </c>
      <c r="N27" s="41">
        <v>783</v>
      </c>
      <c r="O27" s="41">
        <v>1</v>
      </c>
      <c r="P27" s="41">
        <v>0</v>
      </c>
      <c r="Q27" s="41">
        <v>0</v>
      </c>
      <c r="R27" s="41">
        <v>21</v>
      </c>
      <c r="S27" s="41">
        <v>3</v>
      </c>
      <c r="T27" s="41">
        <v>0</v>
      </c>
      <c r="U27" s="41">
        <v>1200</v>
      </c>
      <c r="V27" s="41">
        <v>310781</v>
      </c>
      <c r="W27" s="41">
        <v>1624</v>
      </c>
      <c r="X27" s="41">
        <v>0</v>
      </c>
      <c r="Y27" s="41">
        <v>0</v>
      </c>
      <c r="Z27" s="41">
        <v>2939</v>
      </c>
      <c r="AA27" s="41">
        <v>2915</v>
      </c>
      <c r="AB27" s="41">
        <v>0</v>
      </c>
      <c r="AC27" s="41">
        <v>50089</v>
      </c>
      <c r="AD27" s="41">
        <v>783</v>
      </c>
      <c r="AE27" s="41">
        <v>1111</v>
      </c>
      <c r="AF27" s="41">
        <v>0</v>
      </c>
      <c r="AG27" s="41">
        <v>0</v>
      </c>
      <c r="AH27" s="41">
        <v>901</v>
      </c>
      <c r="AI27" s="41">
        <v>2373</v>
      </c>
      <c r="AJ27" s="41">
        <v>0</v>
      </c>
      <c r="AK27" s="41">
        <v>9360</v>
      </c>
      <c r="AL27" s="41">
        <v>4</v>
      </c>
      <c r="AM27" s="41">
        <v>783</v>
      </c>
      <c r="AN27" s="41">
        <v>0</v>
      </c>
      <c r="AO27" s="41">
        <v>1200</v>
      </c>
      <c r="AP27" s="41">
        <v>21</v>
      </c>
      <c r="AQ27" s="41">
        <v>4539</v>
      </c>
      <c r="AR27" s="41">
        <v>310781</v>
      </c>
      <c r="AS27" s="41">
        <v>0</v>
      </c>
      <c r="AT27" s="41">
        <v>50089</v>
      </c>
      <c r="AU27" s="41">
        <v>2939</v>
      </c>
      <c r="AV27" s="41">
        <v>3484</v>
      </c>
      <c r="AW27" s="41">
        <v>783</v>
      </c>
      <c r="AX27" s="41">
        <v>0</v>
      </c>
      <c r="AY27" s="41">
        <v>9360</v>
      </c>
      <c r="AZ27" s="41">
        <v>901</v>
      </c>
      <c r="BA27" s="41">
        <v>4</v>
      </c>
      <c r="BB27" s="41">
        <v>783</v>
      </c>
      <c r="BC27" s="41">
        <v>0</v>
      </c>
      <c r="BD27" s="41">
        <v>1200</v>
      </c>
      <c r="BE27" s="41">
        <v>21</v>
      </c>
      <c r="BF27" s="41">
        <v>4539</v>
      </c>
      <c r="BG27" s="41">
        <v>310781</v>
      </c>
      <c r="BH27" s="41">
        <v>0</v>
      </c>
      <c r="BI27" s="41">
        <v>50089</v>
      </c>
      <c r="BJ27" s="41">
        <v>2939</v>
      </c>
      <c r="BK27" s="41">
        <v>3484</v>
      </c>
      <c r="BL27" s="41">
        <v>783</v>
      </c>
      <c r="BM27" s="41">
        <v>0</v>
      </c>
      <c r="BN27" s="41">
        <v>9360</v>
      </c>
      <c r="BO27" s="41">
        <v>901</v>
      </c>
      <c r="BP27" s="41">
        <v>1</v>
      </c>
      <c r="BQ27" s="41">
        <v>0</v>
      </c>
      <c r="BR27" s="41">
        <v>0</v>
      </c>
      <c r="BS27" s="41">
        <v>3</v>
      </c>
      <c r="BT27" s="41">
        <v>783</v>
      </c>
      <c r="BU27" s="41">
        <v>0</v>
      </c>
      <c r="BV27" s="41">
        <v>0</v>
      </c>
      <c r="BW27" s="41">
        <v>0</v>
      </c>
      <c r="BX27" s="41">
        <v>1200</v>
      </c>
      <c r="BY27" s="41">
        <v>21</v>
      </c>
      <c r="BZ27" s="41">
        <v>1624</v>
      </c>
      <c r="CA27" s="41">
        <v>0</v>
      </c>
      <c r="CB27" s="41">
        <v>0</v>
      </c>
      <c r="CC27" s="41">
        <v>2915</v>
      </c>
      <c r="CD27" s="41">
        <v>310781</v>
      </c>
      <c r="CE27" s="41">
        <v>0</v>
      </c>
      <c r="CF27" s="41">
        <v>0</v>
      </c>
      <c r="CG27" s="41">
        <v>0</v>
      </c>
      <c r="CH27" s="41">
        <v>50089</v>
      </c>
      <c r="CI27" s="41">
        <v>2939</v>
      </c>
      <c r="CJ27" s="41">
        <v>1111</v>
      </c>
      <c r="CK27" s="41">
        <v>0</v>
      </c>
      <c r="CL27" s="41">
        <v>0</v>
      </c>
      <c r="CM27" s="41">
        <v>2373</v>
      </c>
      <c r="CN27" s="41">
        <v>783</v>
      </c>
      <c r="CO27" s="41">
        <v>0</v>
      </c>
      <c r="CP27" s="41">
        <v>0</v>
      </c>
      <c r="CQ27" s="41">
        <v>0</v>
      </c>
      <c r="CR27" s="41">
        <v>9360</v>
      </c>
      <c r="CS27" s="41">
        <v>901</v>
      </c>
      <c r="CT27" s="41">
        <v>6551</v>
      </c>
      <c r="CU27" s="41">
        <v>0</v>
      </c>
      <c r="CV27" s="41">
        <v>1993</v>
      </c>
      <c r="CW27" s="41">
        <v>8544</v>
      </c>
      <c r="CX27" s="41">
        <v>30</v>
      </c>
      <c r="CY27" s="41">
        <v>30</v>
      </c>
      <c r="CZ27" s="41">
        <v>16070</v>
      </c>
      <c r="DA27" s="41">
        <v>0</v>
      </c>
      <c r="DB27" s="41">
        <v>6865158</v>
      </c>
      <c r="DC27" s="41">
        <v>0</v>
      </c>
      <c r="DD27" s="41">
        <v>16070</v>
      </c>
      <c r="DE27" s="41">
        <v>6865158</v>
      </c>
      <c r="DF27" s="41">
        <v>16070</v>
      </c>
      <c r="DG27" s="41">
        <v>6865158</v>
      </c>
      <c r="DH27" s="41">
        <v>16070</v>
      </c>
      <c r="DI27" s="41">
        <v>0</v>
      </c>
      <c r="DJ27" s="41">
        <v>6865158</v>
      </c>
      <c r="DK27" s="41">
        <v>0</v>
      </c>
      <c r="DL27" s="41">
        <v>490</v>
      </c>
      <c r="DM27" s="41">
        <v>0</v>
      </c>
      <c r="DN27" s="41">
        <v>0</v>
      </c>
      <c r="DO27" s="41">
        <v>9866</v>
      </c>
      <c r="DP27" s="41">
        <v>912</v>
      </c>
      <c r="DQ27" s="41">
        <v>10778</v>
      </c>
      <c r="DR27" s="41">
        <v>10778</v>
      </c>
      <c r="DS27" s="41">
        <v>9866</v>
      </c>
      <c r="DT27" s="41">
        <v>912</v>
      </c>
      <c r="DU27" s="41">
        <v>0</v>
      </c>
      <c r="DV27" s="41">
        <v>0</v>
      </c>
      <c r="DW27" s="41">
        <v>43538</v>
      </c>
      <c r="DX27" s="41">
        <v>2689</v>
      </c>
      <c r="DY27" s="41">
        <v>9262</v>
      </c>
      <c r="DZ27" s="41">
        <v>0</v>
      </c>
      <c r="EA27" s="41">
        <v>43538</v>
      </c>
      <c r="EB27" s="41"/>
      <c r="EC27" s="41"/>
      <c r="ED27" s="41"/>
      <c r="EE27" s="41"/>
      <c r="EF27" s="41"/>
      <c r="EG27" s="41"/>
      <c r="EH27" s="41"/>
      <c r="EI27" s="41"/>
      <c r="EJ27" s="41"/>
      <c r="EK27" s="41"/>
      <c r="EL27" s="41"/>
      <c r="EM27" s="41"/>
      <c r="EN27" s="41"/>
      <c r="EO27" s="41"/>
      <c r="EP27" s="41"/>
      <c r="EQ27" s="41"/>
      <c r="ER27" s="41"/>
      <c r="ES27" s="41"/>
      <c r="ET27" s="41"/>
      <c r="EU27" s="41"/>
      <c r="EV27" s="41"/>
      <c r="EW27" s="41"/>
      <c r="EX27" s="41"/>
      <c r="EY27" s="41"/>
      <c r="EZ27" s="41"/>
      <c r="FA27" s="41"/>
      <c r="FB27" s="41"/>
      <c r="FC27" s="41"/>
      <c r="FD27" s="41"/>
      <c r="FE27" s="41"/>
      <c r="FF27" s="41"/>
      <c r="FG27" s="41"/>
      <c r="FH27" s="41"/>
      <c r="FI27" s="41"/>
      <c r="FJ27" s="41"/>
      <c r="FK27" s="41"/>
      <c r="FL27" s="41"/>
      <c r="FM27" s="41"/>
      <c r="FN27" s="41"/>
      <c r="FO27" s="41"/>
      <c r="FP27" s="41"/>
      <c r="FQ27" s="41"/>
      <c r="FR27" s="41"/>
      <c r="FS27" s="41"/>
      <c r="FT27" s="41"/>
      <c r="FU27" s="41"/>
      <c r="FV27" s="41"/>
      <c r="FW27" s="41"/>
      <c r="FX27" s="41"/>
      <c r="FY27" s="41"/>
      <c r="FZ27" s="41"/>
      <c r="GA27" s="41"/>
      <c r="GB27" s="41"/>
      <c r="GC27" s="41"/>
      <c r="GD27" s="41"/>
      <c r="GE27" s="41"/>
      <c r="GF27" s="41"/>
      <c r="GG27" s="41"/>
      <c r="GH27" s="41"/>
      <c r="GI27" s="41"/>
      <c r="GJ27" s="41"/>
      <c r="GK27" s="41"/>
      <c r="GL27" s="41"/>
      <c r="GM27" s="41"/>
      <c r="GN27" s="41"/>
      <c r="GO27" s="41"/>
      <c r="GP27" s="41"/>
      <c r="GQ27" s="41"/>
      <c r="GR27" s="41"/>
      <c r="GS27" s="41"/>
      <c r="GT27" s="41"/>
      <c r="GU27" s="41"/>
      <c r="GV27" s="41"/>
      <c r="GW27" s="41"/>
      <c r="GX27" s="41"/>
      <c r="GY27" s="41"/>
      <c r="GZ27" s="41"/>
      <c r="HA27" s="41"/>
      <c r="HB27" s="41"/>
      <c r="HC27" s="41"/>
      <c r="HD27" s="41"/>
      <c r="HE27" s="41"/>
      <c r="HF27" s="41"/>
      <c r="HG27" s="41"/>
      <c r="HH27" s="41"/>
      <c r="HI27" s="41"/>
      <c r="HJ27" s="41"/>
      <c r="HK27" s="41"/>
      <c r="HL27" s="41"/>
      <c r="HM27" s="41"/>
      <c r="HN27" s="41"/>
      <c r="HO27" s="41"/>
      <c r="HP27" s="41"/>
      <c r="HQ27" s="41"/>
      <c r="HR27" s="41"/>
      <c r="HS27" s="41"/>
      <c r="HT27" s="41"/>
      <c r="HU27" s="41"/>
      <c r="HV27" s="41"/>
      <c r="HW27" s="41"/>
      <c r="HX27" s="41"/>
      <c r="HY27" s="41"/>
      <c r="HZ27" s="41"/>
      <c r="IA27" s="41"/>
      <c r="IB27" s="41"/>
      <c r="IC27" s="41"/>
      <c r="ID27" s="41"/>
      <c r="IE27" s="41"/>
      <c r="IF27" s="41"/>
      <c r="IG27" s="41"/>
      <c r="IH27" s="41"/>
      <c r="II27" s="41"/>
      <c r="IJ27" s="41"/>
      <c r="IK27" s="41"/>
      <c r="IL27" s="41"/>
      <c r="IM27" s="41"/>
      <c r="IN27" s="41"/>
      <c r="IO27" s="41"/>
      <c r="IP27" s="41"/>
      <c r="IQ27" s="41"/>
      <c r="IR27" s="41"/>
      <c r="IS27" s="41"/>
      <c r="IT27" s="41"/>
      <c r="IU27" s="41"/>
      <c r="IV27" s="41"/>
      <c r="IW27" s="41"/>
      <c r="IX27" s="41"/>
      <c r="IY27" s="41"/>
      <c r="IZ27" s="41"/>
      <c r="JA27" s="41"/>
      <c r="JB27" s="41"/>
      <c r="JC27" s="41"/>
      <c r="JD27" s="41"/>
      <c r="JE27" s="41"/>
      <c r="JF27" s="41"/>
      <c r="JG27" s="41"/>
      <c r="JH27" s="41"/>
      <c r="JI27" s="41"/>
      <c r="JJ27" s="41"/>
      <c r="JK27" s="41"/>
      <c r="JL27" s="41"/>
      <c r="JM27" s="41"/>
      <c r="JN27" s="41"/>
      <c r="JO27" s="41"/>
      <c r="JP27" s="41"/>
      <c r="JQ27" s="41"/>
      <c r="JR27" s="41"/>
      <c r="JS27" s="41"/>
      <c r="JT27" s="41"/>
      <c r="JU27" s="41"/>
      <c r="JV27" s="41"/>
      <c r="JW27" s="41"/>
      <c r="JX27" s="41"/>
      <c r="JY27" s="41"/>
      <c r="JZ27" s="41"/>
      <c r="KA27" s="41"/>
      <c r="KB27" s="41"/>
      <c r="KC27" s="41"/>
      <c r="KD27" s="41"/>
      <c r="KE27" s="41"/>
      <c r="KF27" s="41"/>
      <c r="KG27" s="41"/>
      <c r="KH27" s="41"/>
      <c r="KI27" s="41"/>
      <c r="KJ27" s="41"/>
      <c r="KK27" s="41"/>
      <c r="KL27" s="41"/>
      <c r="KM27" s="41"/>
      <c r="KN27" s="41"/>
      <c r="KO27" s="41"/>
      <c r="KP27" s="41"/>
      <c r="KQ27" s="41"/>
      <c r="KR27" s="41"/>
      <c r="KS27" s="41"/>
      <c r="KT27" s="41"/>
      <c r="KU27" s="41"/>
      <c r="KV27" s="41"/>
      <c r="KW27" s="41"/>
      <c r="KX27" s="41"/>
      <c r="KY27" s="41"/>
      <c r="KZ27" s="41"/>
    </row>
    <row r="28" spans="2:312" ht="15.5" x14ac:dyDescent="0.35">
      <c r="B28" s="40">
        <f t="shared" si="0"/>
        <v>44562</v>
      </c>
      <c r="C28" s="19">
        <v>202201</v>
      </c>
      <c r="D28" s="41">
        <v>3761</v>
      </c>
      <c r="E28" s="41">
        <v>77</v>
      </c>
      <c r="F28" s="41">
        <v>77</v>
      </c>
      <c r="G28" s="41">
        <v>2977424.1260000002</v>
      </c>
      <c r="H28" s="41">
        <v>5285112.4189999904</v>
      </c>
      <c r="I28" s="41">
        <v>18563.743999999999</v>
      </c>
      <c r="J28" s="41">
        <v>69006</v>
      </c>
      <c r="K28" s="41">
        <v>31705.753999999899</v>
      </c>
      <c r="L28" s="41">
        <v>334.96199999999999</v>
      </c>
      <c r="M28" s="41">
        <v>344.79899999999998</v>
      </c>
      <c r="N28" s="41">
        <v>113</v>
      </c>
      <c r="O28" s="41">
        <v>0</v>
      </c>
      <c r="P28" s="41">
        <v>0</v>
      </c>
      <c r="Q28" s="41">
        <v>0</v>
      </c>
      <c r="R28" s="41">
        <v>32</v>
      </c>
      <c r="S28" s="41">
        <v>5</v>
      </c>
      <c r="T28" s="41">
        <v>0</v>
      </c>
      <c r="U28" s="41">
        <v>1252</v>
      </c>
      <c r="V28" s="41">
        <v>31581</v>
      </c>
      <c r="W28" s="41">
        <v>1543</v>
      </c>
      <c r="X28" s="41">
        <v>0</v>
      </c>
      <c r="Y28" s="41">
        <v>0</v>
      </c>
      <c r="Z28" s="41">
        <v>6083</v>
      </c>
      <c r="AA28" s="41">
        <v>3126</v>
      </c>
      <c r="AB28" s="41">
        <v>0</v>
      </c>
      <c r="AC28" s="41">
        <v>102708</v>
      </c>
      <c r="AD28" s="41">
        <v>113</v>
      </c>
      <c r="AE28" s="41">
        <v>1002</v>
      </c>
      <c r="AF28" s="41">
        <v>0</v>
      </c>
      <c r="AG28" s="41">
        <v>0</v>
      </c>
      <c r="AH28" s="41">
        <v>1820</v>
      </c>
      <c r="AI28" s="41">
        <v>2978</v>
      </c>
      <c r="AJ28" s="41">
        <v>0</v>
      </c>
      <c r="AK28" s="41">
        <v>11559</v>
      </c>
      <c r="AL28" s="41">
        <v>5</v>
      </c>
      <c r="AM28" s="41">
        <v>113</v>
      </c>
      <c r="AN28" s="41">
        <v>0</v>
      </c>
      <c r="AO28" s="41">
        <v>1252</v>
      </c>
      <c r="AP28" s="41">
        <v>32</v>
      </c>
      <c r="AQ28" s="41">
        <v>4669</v>
      </c>
      <c r="AR28" s="41">
        <v>31581</v>
      </c>
      <c r="AS28" s="41">
        <v>0</v>
      </c>
      <c r="AT28" s="41">
        <v>102708</v>
      </c>
      <c r="AU28" s="41">
        <v>6083</v>
      </c>
      <c r="AV28" s="41">
        <v>3980</v>
      </c>
      <c r="AW28" s="41">
        <v>113</v>
      </c>
      <c r="AX28" s="41">
        <v>0</v>
      </c>
      <c r="AY28" s="41">
        <v>11559</v>
      </c>
      <c r="AZ28" s="41">
        <v>1820</v>
      </c>
      <c r="BA28" s="41">
        <v>5</v>
      </c>
      <c r="BB28" s="41">
        <v>113</v>
      </c>
      <c r="BC28" s="41">
        <v>0</v>
      </c>
      <c r="BD28" s="41">
        <v>1252</v>
      </c>
      <c r="BE28" s="41">
        <v>32</v>
      </c>
      <c r="BF28" s="41">
        <v>4669</v>
      </c>
      <c r="BG28" s="41">
        <v>31581</v>
      </c>
      <c r="BH28" s="41">
        <v>0</v>
      </c>
      <c r="BI28" s="41">
        <v>102708</v>
      </c>
      <c r="BJ28" s="41">
        <v>6083</v>
      </c>
      <c r="BK28" s="41">
        <v>3980</v>
      </c>
      <c r="BL28" s="41">
        <v>113</v>
      </c>
      <c r="BM28" s="41">
        <v>0</v>
      </c>
      <c r="BN28" s="41">
        <v>11559</v>
      </c>
      <c r="BO28" s="41">
        <v>1820</v>
      </c>
      <c r="BP28" s="41">
        <v>0</v>
      </c>
      <c r="BQ28" s="41">
        <v>0</v>
      </c>
      <c r="BR28" s="41">
        <v>0</v>
      </c>
      <c r="BS28" s="41">
        <v>5</v>
      </c>
      <c r="BT28" s="41">
        <v>113</v>
      </c>
      <c r="BU28" s="41">
        <v>0</v>
      </c>
      <c r="BV28" s="41">
        <v>0</v>
      </c>
      <c r="BW28" s="41">
        <v>0</v>
      </c>
      <c r="BX28" s="41">
        <v>1252</v>
      </c>
      <c r="BY28" s="41">
        <v>32</v>
      </c>
      <c r="BZ28" s="41">
        <v>1543</v>
      </c>
      <c r="CA28" s="41">
        <v>0</v>
      </c>
      <c r="CB28" s="41">
        <v>0</v>
      </c>
      <c r="CC28" s="41">
        <v>3126</v>
      </c>
      <c r="CD28" s="41">
        <v>31581</v>
      </c>
      <c r="CE28" s="41">
        <v>0</v>
      </c>
      <c r="CF28" s="41">
        <v>0</v>
      </c>
      <c r="CG28" s="41">
        <v>0</v>
      </c>
      <c r="CH28" s="41">
        <v>102708</v>
      </c>
      <c r="CI28" s="41">
        <v>6083</v>
      </c>
      <c r="CJ28" s="41">
        <v>1002</v>
      </c>
      <c r="CK28" s="41">
        <v>0</v>
      </c>
      <c r="CL28" s="41">
        <v>0</v>
      </c>
      <c r="CM28" s="41">
        <v>2978</v>
      </c>
      <c r="CN28" s="41">
        <v>113</v>
      </c>
      <c r="CO28" s="41">
        <v>0</v>
      </c>
      <c r="CP28" s="41">
        <v>0</v>
      </c>
      <c r="CQ28" s="41">
        <v>0</v>
      </c>
      <c r="CR28" s="41">
        <v>11559</v>
      </c>
      <c r="CS28" s="41">
        <v>1820</v>
      </c>
      <c r="CT28" s="41">
        <v>9411</v>
      </c>
      <c r="CU28" s="41">
        <v>0</v>
      </c>
      <c r="CV28" s="41">
        <v>3058</v>
      </c>
      <c r="CW28" s="41">
        <v>12469</v>
      </c>
      <c r="CX28" s="41">
        <v>7</v>
      </c>
      <c r="CY28" s="41">
        <v>7</v>
      </c>
      <c r="CZ28" s="41">
        <v>23888</v>
      </c>
      <c r="DA28" s="41">
        <v>0</v>
      </c>
      <c r="DB28" s="41">
        <v>7288703</v>
      </c>
      <c r="DC28" s="41">
        <v>0</v>
      </c>
      <c r="DD28" s="41">
        <v>23888</v>
      </c>
      <c r="DE28" s="41">
        <v>7288703</v>
      </c>
      <c r="DF28" s="41">
        <v>23888</v>
      </c>
      <c r="DG28" s="41">
        <v>7288703</v>
      </c>
      <c r="DH28" s="41">
        <v>23888</v>
      </c>
      <c r="DI28" s="41">
        <v>0</v>
      </c>
      <c r="DJ28" s="41">
        <v>7288703</v>
      </c>
      <c r="DK28" s="41">
        <v>0</v>
      </c>
      <c r="DL28" s="41">
        <v>376</v>
      </c>
      <c r="DM28" s="41">
        <v>0</v>
      </c>
      <c r="DN28" s="41">
        <v>0</v>
      </c>
      <c r="DO28" s="41">
        <v>18748</v>
      </c>
      <c r="DP28" s="41">
        <v>2316</v>
      </c>
      <c r="DQ28" s="41">
        <v>21064</v>
      </c>
      <c r="DR28" s="41">
        <v>21064</v>
      </c>
      <c r="DS28" s="41">
        <v>18748</v>
      </c>
      <c r="DT28" s="41">
        <v>2316</v>
      </c>
      <c r="DU28" s="41">
        <v>0</v>
      </c>
      <c r="DV28" s="41">
        <v>0</v>
      </c>
      <c r="DW28" s="41">
        <v>40543</v>
      </c>
      <c r="DX28" s="41">
        <v>2631</v>
      </c>
      <c r="DY28" s="41">
        <v>0</v>
      </c>
      <c r="DZ28" s="41">
        <v>0</v>
      </c>
      <c r="EA28" s="41">
        <v>40543</v>
      </c>
      <c r="EB28" s="41"/>
      <c r="EC28" s="41"/>
      <c r="ED28" s="41"/>
      <c r="EE28" s="41"/>
      <c r="EF28" s="41"/>
      <c r="EG28" s="41"/>
      <c r="EH28" s="41"/>
      <c r="EI28" s="41"/>
      <c r="EJ28" s="41"/>
      <c r="EK28" s="41"/>
      <c r="EL28" s="41"/>
      <c r="EM28" s="41"/>
      <c r="EN28" s="41"/>
      <c r="EO28" s="41"/>
      <c r="EP28" s="41"/>
      <c r="EQ28" s="41"/>
      <c r="ER28" s="41"/>
      <c r="ES28" s="41"/>
      <c r="ET28" s="41"/>
      <c r="EU28" s="41"/>
      <c r="EV28" s="41"/>
      <c r="EW28" s="41"/>
      <c r="EX28" s="41"/>
      <c r="EY28" s="41"/>
      <c r="EZ28" s="41"/>
      <c r="FA28" s="41"/>
      <c r="FB28" s="41"/>
      <c r="FC28" s="41"/>
      <c r="FD28" s="41"/>
      <c r="FE28" s="41"/>
      <c r="FF28" s="41"/>
      <c r="FG28" s="41"/>
      <c r="FH28" s="41"/>
      <c r="FI28" s="41"/>
      <c r="FJ28" s="41"/>
      <c r="FK28" s="41"/>
      <c r="FL28" s="41"/>
      <c r="FM28" s="41"/>
      <c r="FN28" s="41"/>
      <c r="FO28" s="41"/>
      <c r="FP28" s="41"/>
      <c r="FQ28" s="41"/>
      <c r="FR28" s="41"/>
      <c r="FS28" s="41"/>
      <c r="FT28" s="41"/>
      <c r="FU28" s="41"/>
      <c r="FV28" s="41"/>
      <c r="FW28" s="41"/>
      <c r="FX28" s="41"/>
      <c r="FY28" s="41"/>
      <c r="FZ28" s="41"/>
      <c r="GA28" s="41"/>
      <c r="GB28" s="41"/>
      <c r="GC28" s="41"/>
      <c r="GD28" s="41"/>
      <c r="GE28" s="41"/>
      <c r="GF28" s="41"/>
      <c r="GG28" s="41"/>
      <c r="GH28" s="41"/>
      <c r="GI28" s="41"/>
      <c r="GJ28" s="41"/>
      <c r="GK28" s="41"/>
      <c r="GL28" s="41"/>
      <c r="GM28" s="41"/>
      <c r="GN28" s="41"/>
      <c r="GO28" s="41"/>
      <c r="GP28" s="41"/>
      <c r="GQ28" s="41"/>
      <c r="GR28" s="41"/>
      <c r="GS28" s="41"/>
      <c r="GT28" s="41"/>
      <c r="GU28" s="41"/>
      <c r="GV28" s="41"/>
      <c r="GW28" s="41"/>
      <c r="GX28" s="41"/>
      <c r="GY28" s="41"/>
      <c r="GZ28" s="41"/>
      <c r="HA28" s="41"/>
      <c r="HB28" s="41"/>
      <c r="HC28" s="41"/>
      <c r="HD28" s="41"/>
      <c r="HE28" s="41"/>
      <c r="HF28" s="41"/>
      <c r="HG28" s="41"/>
      <c r="HH28" s="41"/>
      <c r="HI28" s="41"/>
      <c r="HJ28" s="41"/>
      <c r="HK28" s="41"/>
      <c r="HL28" s="41"/>
      <c r="HM28" s="41"/>
      <c r="HN28" s="41"/>
      <c r="HO28" s="41"/>
      <c r="HP28" s="41"/>
      <c r="HQ28" s="41"/>
      <c r="HR28" s="41"/>
      <c r="HS28" s="41"/>
      <c r="HT28" s="41"/>
      <c r="HU28" s="41"/>
      <c r="HV28" s="41"/>
      <c r="HW28" s="41"/>
      <c r="HX28" s="41"/>
      <c r="HY28" s="41"/>
      <c r="HZ28" s="41"/>
      <c r="IA28" s="41"/>
      <c r="IB28" s="41"/>
      <c r="IC28" s="41"/>
      <c r="ID28" s="41"/>
      <c r="IE28" s="41"/>
      <c r="IF28" s="41"/>
      <c r="IG28" s="41"/>
      <c r="IH28" s="41"/>
      <c r="II28" s="41"/>
      <c r="IJ28" s="41"/>
      <c r="IK28" s="41"/>
      <c r="IL28" s="41"/>
      <c r="IM28" s="41"/>
      <c r="IN28" s="41"/>
      <c r="IO28" s="41"/>
      <c r="IP28" s="41"/>
      <c r="IQ28" s="41"/>
      <c r="IR28" s="41"/>
      <c r="IS28" s="41"/>
      <c r="IT28" s="41"/>
      <c r="IU28" s="41"/>
      <c r="IV28" s="41"/>
      <c r="IW28" s="41"/>
      <c r="IX28" s="41"/>
      <c r="IY28" s="41"/>
      <c r="IZ28" s="41"/>
      <c r="JA28" s="41"/>
      <c r="JB28" s="41"/>
      <c r="JC28" s="41"/>
      <c r="JD28" s="41"/>
      <c r="JE28" s="41"/>
      <c r="JF28" s="41"/>
      <c r="JG28" s="41"/>
      <c r="JH28" s="41"/>
      <c r="JI28" s="41"/>
      <c r="JJ28" s="41"/>
      <c r="JK28" s="41"/>
      <c r="JL28" s="41"/>
      <c r="JM28" s="41"/>
      <c r="JN28" s="41"/>
      <c r="JO28" s="41"/>
      <c r="JP28" s="41"/>
      <c r="JQ28" s="41"/>
      <c r="JR28" s="41"/>
      <c r="JS28" s="41"/>
      <c r="JT28" s="41"/>
      <c r="JU28" s="41"/>
      <c r="JV28" s="41"/>
      <c r="JW28" s="41"/>
      <c r="JX28" s="41"/>
      <c r="JY28" s="41"/>
      <c r="JZ28" s="41"/>
      <c r="KA28" s="41"/>
      <c r="KB28" s="41"/>
      <c r="KC28" s="41"/>
      <c r="KD28" s="41"/>
      <c r="KE28" s="41"/>
      <c r="KF28" s="41"/>
      <c r="KG28" s="41"/>
      <c r="KH28" s="41"/>
      <c r="KI28" s="41"/>
      <c r="KJ28" s="41"/>
      <c r="KK28" s="41"/>
      <c r="KL28" s="41"/>
      <c r="KM28" s="41"/>
      <c r="KN28" s="41"/>
      <c r="KO28" s="41"/>
      <c r="KP28" s="41"/>
      <c r="KQ28" s="41"/>
      <c r="KR28" s="41"/>
      <c r="KS28" s="41"/>
      <c r="KT28" s="41"/>
      <c r="KU28" s="41"/>
      <c r="KV28" s="41"/>
      <c r="KW28" s="41"/>
      <c r="KX28" s="41"/>
      <c r="KY28" s="41"/>
      <c r="KZ28" s="41"/>
    </row>
    <row r="29" spans="2:312" ht="15.5" x14ac:dyDescent="0.35">
      <c r="B29" s="40">
        <f t="shared" si="0"/>
        <v>44593</v>
      </c>
      <c r="C29" s="19">
        <v>202202</v>
      </c>
      <c r="D29" s="41">
        <v>3458</v>
      </c>
      <c r="E29" s="41">
        <v>12</v>
      </c>
      <c r="F29" s="41">
        <v>12</v>
      </c>
      <c r="G29" s="41">
        <v>2829064.89899999</v>
      </c>
      <c r="H29" s="41">
        <v>4953343.5399999898</v>
      </c>
      <c r="I29" s="41">
        <v>18467.2569999999</v>
      </c>
      <c r="J29" s="41">
        <v>82422</v>
      </c>
      <c r="K29" s="41">
        <v>30834.5989999999</v>
      </c>
      <c r="L29" s="41">
        <v>398.61799999999999</v>
      </c>
      <c r="M29" s="41">
        <v>406.673</v>
      </c>
      <c r="N29" s="41">
        <v>88</v>
      </c>
      <c r="O29" s="41">
        <v>0</v>
      </c>
      <c r="P29" s="41">
        <v>0</v>
      </c>
      <c r="Q29" s="41">
        <v>0</v>
      </c>
      <c r="R29" s="41">
        <v>39</v>
      </c>
      <c r="S29" s="41">
        <v>0</v>
      </c>
      <c r="T29" s="41">
        <v>0</v>
      </c>
      <c r="U29" s="41">
        <v>1338</v>
      </c>
      <c r="V29" s="41">
        <v>35975</v>
      </c>
      <c r="W29" s="41">
        <v>11</v>
      </c>
      <c r="X29" s="41">
        <v>0</v>
      </c>
      <c r="Y29" s="41">
        <v>4479</v>
      </c>
      <c r="Z29" s="41">
        <v>7101</v>
      </c>
      <c r="AA29" s="41">
        <v>34</v>
      </c>
      <c r="AB29" s="41">
        <v>0</v>
      </c>
      <c r="AC29" s="41">
        <v>119753</v>
      </c>
      <c r="AD29" s="41">
        <v>88</v>
      </c>
      <c r="AE29" s="41">
        <v>5</v>
      </c>
      <c r="AF29" s="41">
        <v>0</v>
      </c>
      <c r="AG29" s="41">
        <v>240</v>
      </c>
      <c r="AH29" s="41">
        <v>2232</v>
      </c>
      <c r="AI29" s="41">
        <v>10</v>
      </c>
      <c r="AJ29" s="41">
        <v>0</v>
      </c>
      <c r="AK29" s="41">
        <v>15454</v>
      </c>
      <c r="AL29" s="41">
        <v>0</v>
      </c>
      <c r="AM29" s="41">
        <v>88</v>
      </c>
      <c r="AN29" s="41">
        <v>0</v>
      </c>
      <c r="AO29" s="41">
        <v>1338</v>
      </c>
      <c r="AP29" s="41">
        <v>39</v>
      </c>
      <c r="AQ29" s="41">
        <v>4524</v>
      </c>
      <c r="AR29" s="41">
        <v>35975</v>
      </c>
      <c r="AS29" s="41">
        <v>0</v>
      </c>
      <c r="AT29" s="41">
        <v>119753</v>
      </c>
      <c r="AU29" s="41">
        <v>7101</v>
      </c>
      <c r="AV29" s="41">
        <v>255</v>
      </c>
      <c r="AW29" s="41">
        <v>88</v>
      </c>
      <c r="AX29" s="41">
        <v>0</v>
      </c>
      <c r="AY29" s="41">
        <v>15454</v>
      </c>
      <c r="AZ29" s="41">
        <v>2232</v>
      </c>
      <c r="BA29" s="41">
        <v>0</v>
      </c>
      <c r="BB29" s="41">
        <v>88</v>
      </c>
      <c r="BC29" s="41">
        <v>0</v>
      </c>
      <c r="BD29" s="41">
        <v>1338</v>
      </c>
      <c r="BE29" s="41">
        <v>39</v>
      </c>
      <c r="BF29" s="41">
        <v>4524</v>
      </c>
      <c r="BG29" s="41">
        <v>35975</v>
      </c>
      <c r="BH29" s="41">
        <v>0</v>
      </c>
      <c r="BI29" s="41">
        <v>119753</v>
      </c>
      <c r="BJ29" s="41">
        <v>7101</v>
      </c>
      <c r="BK29" s="41">
        <v>255</v>
      </c>
      <c r="BL29" s="41">
        <v>88</v>
      </c>
      <c r="BM29" s="41">
        <v>0</v>
      </c>
      <c r="BN29" s="41">
        <v>15454</v>
      </c>
      <c r="BO29" s="41">
        <v>2232</v>
      </c>
      <c r="BP29" s="41">
        <v>0</v>
      </c>
      <c r="BQ29" s="41">
        <v>0</v>
      </c>
      <c r="BR29" s="41">
        <v>0</v>
      </c>
      <c r="BS29" s="41">
        <v>0</v>
      </c>
      <c r="BT29" s="41">
        <v>88</v>
      </c>
      <c r="BU29" s="41">
        <v>0</v>
      </c>
      <c r="BV29" s="41">
        <v>0</v>
      </c>
      <c r="BW29" s="41">
        <v>0</v>
      </c>
      <c r="BX29" s="41">
        <v>1338</v>
      </c>
      <c r="BY29" s="41">
        <v>39</v>
      </c>
      <c r="BZ29" s="41">
        <v>11</v>
      </c>
      <c r="CA29" s="41">
        <v>0</v>
      </c>
      <c r="CB29" s="41">
        <v>4479</v>
      </c>
      <c r="CC29" s="41">
        <v>34</v>
      </c>
      <c r="CD29" s="41">
        <v>35975</v>
      </c>
      <c r="CE29" s="41">
        <v>0</v>
      </c>
      <c r="CF29" s="41">
        <v>0</v>
      </c>
      <c r="CG29" s="41">
        <v>0</v>
      </c>
      <c r="CH29" s="41">
        <v>119753</v>
      </c>
      <c r="CI29" s="41">
        <v>7101</v>
      </c>
      <c r="CJ29" s="41">
        <v>5</v>
      </c>
      <c r="CK29" s="41">
        <v>0</v>
      </c>
      <c r="CL29" s="41">
        <v>240</v>
      </c>
      <c r="CM29" s="41">
        <v>10</v>
      </c>
      <c r="CN29" s="41">
        <v>88</v>
      </c>
      <c r="CO29" s="41">
        <v>0</v>
      </c>
      <c r="CP29" s="41">
        <v>0</v>
      </c>
      <c r="CQ29" s="41">
        <v>0</v>
      </c>
      <c r="CR29" s="41">
        <v>15454</v>
      </c>
      <c r="CS29" s="41">
        <v>2232</v>
      </c>
      <c r="CT29" s="41">
        <v>10179</v>
      </c>
      <c r="CU29" s="41">
        <v>0</v>
      </c>
      <c r="CV29" s="41">
        <v>3591</v>
      </c>
      <c r="CW29" s="41">
        <v>13770</v>
      </c>
      <c r="CX29" s="41">
        <v>0</v>
      </c>
      <c r="CY29" s="41">
        <v>0</v>
      </c>
      <c r="CZ29" s="41">
        <v>20806</v>
      </c>
      <c r="DA29" s="41">
        <v>0</v>
      </c>
      <c r="DB29" s="41">
        <v>6486651</v>
      </c>
      <c r="DC29" s="41">
        <v>0</v>
      </c>
      <c r="DD29" s="41">
        <v>20806</v>
      </c>
      <c r="DE29" s="41">
        <v>6486651</v>
      </c>
      <c r="DF29" s="41">
        <v>20806</v>
      </c>
      <c r="DG29" s="41">
        <v>6486651</v>
      </c>
      <c r="DH29" s="41">
        <v>20806</v>
      </c>
      <c r="DI29" s="41">
        <v>0</v>
      </c>
      <c r="DJ29" s="41">
        <v>6486651</v>
      </c>
      <c r="DK29" s="41">
        <v>0</v>
      </c>
      <c r="DL29" s="41">
        <v>476</v>
      </c>
      <c r="DM29" s="41">
        <v>0</v>
      </c>
      <c r="DN29" s="41">
        <v>0</v>
      </c>
      <c r="DO29" s="41">
        <v>21313</v>
      </c>
      <c r="DP29" s="41">
        <v>2500</v>
      </c>
      <c r="DQ29" s="41">
        <v>23813</v>
      </c>
      <c r="DR29" s="41">
        <v>23813</v>
      </c>
      <c r="DS29" s="41">
        <v>21313</v>
      </c>
      <c r="DT29" s="41">
        <v>2500</v>
      </c>
      <c r="DU29" s="41">
        <v>0</v>
      </c>
      <c r="DV29" s="41">
        <v>0</v>
      </c>
      <c r="DW29" s="41">
        <v>40543</v>
      </c>
      <c r="DX29" s="41">
        <v>2631</v>
      </c>
      <c r="DY29" s="41">
        <v>0</v>
      </c>
      <c r="DZ29" s="41">
        <v>0</v>
      </c>
      <c r="EA29" s="41">
        <v>40543</v>
      </c>
      <c r="EB29" s="41"/>
      <c r="EC29" s="41"/>
      <c r="ED29" s="41"/>
      <c r="EE29" s="41"/>
      <c r="EF29" s="41"/>
      <c r="EG29" s="41"/>
      <c r="EH29" s="41"/>
      <c r="EI29" s="41"/>
      <c r="EJ29" s="41"/>
      <c r="EK29" s="41"/>
      <c r="EL29" s="41"/>
      <c r="EM29" s="41"/>
      <c r="EN29" s="41"/>
      <c r="EO29" s="41"/>
      <c r="EP29" s="41"/>
      <c r="EQ29" s="41"/>
      <c r="ER29" s="41"/>
      <c r="ES29" s="41"/>
      <c r="ET29" s="41"/>
      <c r="EU29" s="41"/>
      <c r="EV29" s="41"/>
      <c r="EW29" s="41"/>
      <c r="EX29" s="41"/>
      <c r="EY29" s="41"/>
      <c r="EZ29" s="41"/>
      <c r="FA29" s="41"/>
      <c r="FB29" s="41"/>
      <c r="FC29" s="41"/>
      <c r="FD29" s="41"/>
      <c r="FE29" s="41"/>
      <c r="FF29" s="41"/>
      <c r="FG29" s="41"/>
      <c r="FH29" s="41"/>
      <c r="FI29" s="41"/>
      <c r="FJ29" s="41"/>
      <c r="FK29" s="41"/>
      <c r="FL29" s="41"/>
      <c r="FM29" s="41"/>
      <c r="FN29" s="41"/>
      <c r="FO29" s="41"/>
      <c r="FP29" s="41"/>
      <c r="FQ29" s="41"/>
      <c r="FR29" s="41"/>
      <c r="FS29" s="41"/>
      <c r="FT29" s="41"/>
      <c r="FU29" s="41"/>
      <c r="FV29" s="41"/>
      <c r="FW29" s="41"/>
      <c r="FX29" s="41"/>
      <c r="FY29" s="41"/>
      <c r="FZ29" s="41"/>
      <c r="GA29" s="41"/>
      <c r="GB29" s="41"/>
      <c r="GC29" s="41"/>
      <c r="GD29" s="41"/>
      <c r="GE29" s="41"/>
      <c r="GF29" s="41"/>
      <c r="GG29" s="41"/>
      <c r="GH29" s="41"/>
      <c r="GI29" s="41"/>
      <c r="GJ29" s="41"/>
      <c r="GK29" s="41"/>
      <c r="GL29" s="41"/>
      <c r="GM29" s="41"/>
      <c r="GN29" s="41"/>
      <c r="GO29" s="41"/>
      <c r="GP29" s="41"/>
      <c r="GQ29" s="41"/>
      <c r="GR29" s="41"/>
      <c r="GS29" s="41"/>
      <c r="GT29" s="41"/>
      <c r="GU29" s="41"/>
      <c r="GV29" s="41"/>
      <c r="GW29" s="41"/>
      <c r="GX29" s="41"/>
      <c r="GY29" s="41"/>
      <c r="GZ29" s="41"/>
      <c r="HA29" s="41"/>
      <c r="HB29" s="41"/>
      <c r="HC29" s="41"/>
      <c r="HD29" s="41"/>
      <c r="HE29" s="41"/>
      <c r="HF29" s="41"/>
      <c r="HG29" s="41"/>
      <c r="HH29" s="41"/>
      <c r="HI29" s="41"/>
      <c r="HJ29" s="41"/>
      <c r="HK29" s="41"/>
      <c r="HL29" s="41"/>
      <c r="HM29" s="41"/>
      <c r="HN29" s="41"/>
      <c r="HO29" s="41"/>
      <c r="HP29" s="41"/>
      <c r="HQ29" s="41"/>
      <c r="HR29" s="41"/>
      <c r="HS29" s="41"/>
      <c r="HT29" s="41"/>
      <c r="HU29" s="41"/>
      <c r="HV29" s="41"/>
      <c r="HW29" s="41"/>
      <c r="HX29" s="41"/>
      <c r="HY29" s="41"/>
      <c r="HZ29" s="41"/>
      <c r="IA29" s="41"/>
      <c r="IB29" s="41"/>
      <c r="IC29" s="41"/>
      <c r="ID29" s="41"/>
      <c r="IE29" s="41"/>
      <c r="IF29" s="41"/>
      <c r="IG29" s="41"/>
      <c r="IH29" s="41"/>
      <c r="II29" s="41"/>
      <c r="IJ29" s="41"/>
      <c r="IK29" s="41"/>
      <c r="IL29" s="41"/>
      <c r="IM29" s="41"/>
      <c r="IN29" s="41"/>
      <c r="IO29" s="41"/>
      <c r="IP29" s="41"/>
      <c r="IQ29" s="41"/>
      <c r="IR29" s="41"/>
      <c r="IS29" s="41"/>
      <c r="IT29" s="41"/>
      <c r="IU29" s="41"/>
      <c r="IV29" s="41"/>
      <c r="IW29" s="41"/>
      <c r="IX29" s="41"/>
      <c r="IY29" s="41"/>
      <c r="IZ29" s="41"/>
      <c r="JA29" s="41"/>
      <c r="JB29" s="41"/>
      <c r="JC29" s="41"/>
      <c r="JD29" s="41"/>
      <c r="JE29" s="41"/>
      <c r="JF29" s="41"/>
      <c r="JG29" s="41"/>
      <c r="JH29" s="41"/>
      <c r="JI29" s="41"/>
      <c r="JJ29" s="41"/>
      <c r="JK29" s="41"/>
      <c r="JL29" s="41"/>
      <c r="JM29" s="41"/>
      <c r="JN29" s="41"/>
      <c r="JO29" s="41"/>
      <c r="JP29" s="41"/>
      <c r="JQ29" s="41"/>
      <c r="JR29" s="41"/>
      <c r="JS29" s="41"/>
      <c r="JT29" s="41"/>
      <c r="JU29" s="41"/>
      <c r="JV29" s="41"/>
      <c r="JW29" s="41"/>
      <c r="JX29" s="41"/>
      <c r="JY29" s="41"/>
      <c r="JZ29" s="41"/>
      <c r="KA29" s="41"/>
      <c r="KB29" s="41"/>
      <c r="KC29" s="41"/>
      <c r="KD29" s="41"/>
      <c r="KE29" s="41"/>
      <c r="KF29" s="41"/>
      <c r="KG29" s="41"/>
      <c r="KH29" s="41"/>
      <c r="KI29" s="41"/>
      <c r="KJ29" s="41"/>
      <c r="KK29" s="41"/>
      <c r="KL29" s="41"/>
      <c r="KM29" s="41"/>
      <c r="KN29" s="41"/>
      <c r="KO29" s="41"/>
      <c r="KP29" s="41"/>
      <c r="KQ29" s="41"/>
      <c r="KR29" s="41"/>
      <c r="KS29" s="41"/>
      <c r="KT29" s="41"/>
      <c r="KU29" s="41"/>
      <c r="KV29" s="41"/>
      <c r="KW29" s="41"/>
      <c r="KX29" s="41"/>
      <c r="KY29" s="41"/>
      <c r="KZ29" s="41"/>
    </row>
    <row r="30" spans="2:312" ht="15.5" x14ac:dyDescent="0.35">
      <c r="B30" s="40">
        <f t="shared" si="0"/>
        <v>44621</v>
      </c>
      <c r="C30" s="19">
        <v>202203</v>
      </c>
      <c r="D30" s="41">
        <v>3810</v>
      </c>
      <c r="E30" s="41">
        <v>1</v>
      </c>
      <c r="F30" s="41">
        <v>1</v>
      </c>
      <c r="G30" s="41">
        <v>3193545.6449999898</v>
      </c>
      <c r="H30" s="41">
        <v>5610541.9659999898</v>
      </c>
      <c r="I30" s="41">
        <v>21605.558999999899</v>
      </c>
      <c r="J30" s="41">
        <v>100050</v>
      </c>
      <c r="K30" s="41">
        <v>35391.801999999901</v>
      </c>
      <c r="L30" s="41">
        <v>539.75699999999995</v>
      </c>
      <c r="M30" s="41">
        <v>545.86099999999999</v>
      </c>
      <c r="N30" s="41">
        <v>78</v>
      </c>
      <c r="O30" s="41">
        <v>0</v>
      </c>
      <c r="P30" s="41">
        <v>0</v>
      </c>
      <c r="Q30" s="41">
        <v>0</v>
      </c>
      <c r="R30" s="41">
        <v>73</v>
      </c>
      <c r="S30" s="41">
        <v>0</v>
      </c>
      <c r="T30" s="41">
        <v>0</v>
      </c>
      <c r="U30" s="41">
        <v>654</v>
      </c>
      <c r="V30" s="41">
        <v>36590</v>
      </c>
      <c r="W30" s="41">
        <v>0</v>
      </c>
      <c r="X30" s="41">
        <v>0</v>
      </c>
      <c r="Y30" s="41">
        <v>3660</v>
      </c>
      <c r="Z30" s="41">
        <v>11247</v>
      </c>
      <c r="AA30" s="41">
        <v>0</v>
      </c>
      <c r="AB30" s="41">
        <v>0</v>
      </c>
      <c r="AC30" s="41">
        <v>57409</v>
      </c>
      <c r="AD30" s="41">
        <v>78</v>
      </c>
      <c r="AE30" s="41">
        <v>0</v>
      </c>
      <c r="AF30" s="41">
        <v>0</v>
      </c>
      <c r="AG30" s="41">
        <v>187</v>
      </c>
      <c r="AH30" s="41">
        <v>3605</v>
      </c>
      <c r="AI30" s="41">
        <v>0</v>
      </c>
      <c r="AJ30" s="41">
        <v>0</v>
      </c>
      <c r="AK30" s="41">
        <v>8649</v>
      </c>
      <c r="AL30" s="41">
        <v>0</v>
      </c>
      <c r="AM30" s="41">
        <v>78</v>
      </c>
      <c r="AN30" s="41">
        <v>0</v>
      </c>
      <c r="AO30" s="41">
        <v>654</v>
      </c>
      <c r="AP30" s="41">
        <v>73</v>
      </c>
      <c r="AQ30" s="41">
        <v>3660</v>
      </c>
      <c r="AR30" s="41">
        <v>36590</v>
      </c>
      <c r="AS30" s="41">
        <v>0</v>
      </c>
      <c r="AT30" s="41">
        <v>57409</v>
      </c>
      <c r="AU30" s="41">
        <v>11247</v>
      </c>
      <c r="AV30" s="41">
        <v>187</v>
      </c>
      <c r="AW30" s="41">
        <v>78</v>
      </c>
      <c r="AX30" s="41">
        <v>0</v>
      </c>
      <c r="AY30" s="41">
        <v>8649</v>
      </c>
      <c r="AZ30" s="41">
        <v>3605</v>
      </c>
      <c r="BA30" s="41">
        <v>0</v>
      </c>
      <c r="BB30" s="41">
        <v>78</v>
      </c>
      <c r="BC30" s="41">
        <v>0</v>
      </c>
      <c r="BD30" s="41">
        <v>654</v>
      </c>
      <c r="BE30" s="41">
        <v>73</v>
      </c>
      <c r="BF30" s="41">
        <v>3660</v>
      </c>
      <c r="BG30" s="41">
        <v>36590</v>
      </c>
      <c r="BH30" s="41">
        <v>0</v>
      </c>
      <c r="BI30" s="41">
        <v>57409</v>
      </c>
      <c r="BJ30" s="41">
        <v>11247</v>
      </c>
      <c r="BK30" s="41">
        <v>187</v>
      </c>
      <c r="BL30" s="41">
        <v>78</v>
      </c>
      <c r="BM30" s="41">
        <v>0</v>
      </c>
      <c r="BN30" s="41">
        <v>8649</v>
      </c>
      <c r="BO30" s="41">
        <v>3605</v>
      </c>
      <c r="BP30" s="41">
        <v>0</v>
      </c>
      <c r="BQ30" s="41">
        <v>0</v>
      </c>
      <c r="BR30" s="41">
        <v>0</v>
      </c>
      <c r="BS30" s="41">
        <v>0</v>
      </c>
      <c r="BT30" s="41">
        <v>78</v>
      </c>
      <c r="BU30" s="41">
        <v>0</v>
      </c>
      <c r="BV30" s="41">
        <v>0</v>
      </c>
      <c r="BW30" s="41">
        <v>0</v>
      </c>
      <c r="BX30" s="41">
        <v>654</v>
      </c>
      <c r="BY30" s="41">
        <v>73</v>
      </c>
      <c r="BZ30" s="41">
        <v>0</v>
      </c>
      <c r="CA30" s="41">
        <v>0</v>
      </c>
      <c r="CB30" s="41">
        <v>3660</v>
      </c>
      <c r="CC30" s="41">
        <v>0</v>
      </c>
      <c r="CD30" s="41">
        <v>36590</v>
      </c>
      <c r="CE30" s="41">
        <v>0</v>
      </c>
      <c r="CF30" s="41">
        <v>0</v>
      </c>
      <c r="CG30" s="41">
        <v>0</v>
      </c>
      <c r="CH30" s="41">
        <v>57409</v>
      </c>
      <c r="CI30" s="41">
        <v>11247</v>
      </c>
      <c r="CJ30" s="41">
        <v>0</v>
      </c>
      <c r="CK30" s="41">
        <v>0</v>
      </c>
      <c r="CL30" s="41">
        <v>187</v>
      </c>
      <c r="CM30" s="41">
        <v>0</v>
      </c>
      <c r="CN30" s="41">
        <v>78</v>
      </c>
      <c r="CO30" s="41">
        <v>0</v>
      </c>
      <c r="CP30" s="41">
        <v>0</v>
      </c>
      <c r="CQ30" s="41">
        <v>0</v>
      </c>
      <c r="CR30" s="41">
        <v>8649</v>
      </c>
      <c r="CS30" s="41">
        <v>3605</v>
      </c>
      <c r="CT30" s="41">
        <v>11717</v>
      </c>
      <c r="CU30" s="41">
        <v>0</v>
      </c>
      <c r="CV30" s="41">
        <v>4419</v>
      </c>
      <c r="CW30" s="41">
        <v>16136</v>
      </c>
      <c r="CX30" s="41">
        <v>5</v>
      </c>
      <c r="CY30" s="41">
        <v>5</v>
      </c>
      <c r="CZ30" s="41">
        <v>20697</v>
      </c>
      <c r="DA30" s="41">
        <v>0</v>
      </c>
      <c r="DB30" s="41">
        <v>7637953</v>
      </c>
      <c r="DC30" s="41">
        <v>0</v>
      </c>
      <c r="DD30" s="41">
        <v>20697</v>
      </c>
      <c r="DE30" s="41">
        <v>7637953</v>
      </c>
      <c r="DF30" s="41">
        <v>20697</v>
      </c>
      <c r="DG30" s="41">
        <v>7637953</v>
      </c>
      <c r="DH30" s="41">
        <v>20697</v>
      </c>
      <c r="DI30" s="41">
        <v>0</v>
      </c>
      <c r="DJ30" s="41">
        <v>7637953</v>
      </c>
      <c r="DK30" s="41">
        <v>0</v>
      </c>
      <c r="DL30" s="41">
        <v>523</v>
      </c>
      <c r="DM30" s="41">
        <v>0</v>
      </c>
      <c r="DN30" s="41">
        <v>0</v>
      </c>
      <c r="DO30" s="41">
        <v>20102</v>
      </c>
      <c r="DP30" s="41">
        <v>2358</v>
      </c>
      <c r="DQ30" s="41">
        <v>22460</v>
      </c>
      <c r="DR30" s="41">
        <v>22460</v>
      </c>
      <c r="DS30" s="41">
        <v>20102</v>
      </c>
      <c r="DT30" s="41">
        <v>2358</v>
      </c>
      <c r="DU30" s="41">
        <v>20</v>
      </c>
      <c r="DV30" s="41">
        <v>20</v>
      </c>
      <c r="DW30" s="41">
        <v>42787</v>
      </c>
      <c r="DX30" s="41">
        <v>2631</v>
      </c>
      <c r="DY30" s="41">
        <v>0</v>
      </c>
      <c r="DZ30" s="41">
        <v>13547</v>
      </c>
      <c r="EA30" s="41">
        <v>42787</v>
      </c>
      <c r="EB30" s="41"/>
      <c r="EC30" s="41"/>
      <c r="ED30" s="41"/>
      <c r="EE30" s="41"/>
      <c r="EF30" s="41"/>
      <c r="EG30" s="41"/>
      <c r="EH30" s="41"/>
      <c r="EI30" s="41"/>
      <c r="EJ30" s="41"/>
      <c r="EK30" s="41"/>
      <c r="EL30" s="41"/>
      <c r="EM30" s="41"/>
      <c r="EN30" s="41"/>
      <c r="EO30" s="41"/>
      <c r="EP30" s="41"/>
      <c r="EQ30" s="41"/>
      <c r="ER30" s="41"/>
      <c r="ES30" s="41"/>
      <c r="ET30" s="41"/>
      <c r="EU30" s="41"/>
      <c r="EV30" s="41"/>
      <c r="EW30" s="41"/>
      <c r="EX30" s="41"/>
      <c r="EY30" s="41"/>
      <c r="EZ30" s="41"/>
      <c r="FA30" s="41"/>
      <c r="FB30" s="41"/>
      <c r="FC30" s="41"/>
      <c r="FD30" s="41"/>
      <c r="FE30" s="41"/>
      <c r="FF30" s="41"/>
      <c r="FG30" s="41"/>
      <c r="FH30" s="41"/>
      <c r="FI30" s="41"/>
      <c r="FJ30" s="41"/>
      <c r="FK30" s="41"/>
      <c r="FL30" s="41"/>
      <c r="FM30" s="41"/>
      <c r="FN30" s="41"/>
      <c r="FO30" s="41"/>
      <c r="FP30" s="41"/>
      <c r="FQ30" s="41"/>
      <c r="FR30" s="41"/>
      <c r="FS30" s="41"/>
      <c r="FT30" s="41"/>
      <c r="FU30" s="41"/>
      <c r="FV30" s="41"/>
      <c r="FW30" s="41"/>
      <c r="FX30" s="41"/>
      <c r="FY30" s="41"/>
      <c r="FZ30" s="41"/>
      <c r="GA30" s="41"/>
      <c r="GB30" s="41"/>
      <c r="GC30" s="41"/>
      <c r="GD30" s="41"/>
      <c r="GE30" s="41"/>
      <c r="GF30" s="41"/>
      <c r="GG30" s="41"/>
      <c r="GH30" s="41"/>
      <c r="GI30" s="41"/>
      <c r="GJ30" s="41"/>
      <c r="GK30" s="41"/>
      <c r="GL30" s="41"/>
      <c r="GM30" s="41"/>
      <c r="GN30" s="41"/>
      <c r="GO30" s="41"/>
      <c r="GP30" s="41"/>
      <c r="GQ30" s="41"/>
      <c r="GR30" s="41"/>
      <c r="GS30" s="41"/>
      <c r="GT30" s="41"/>
      <c r="GU30" s="41"/>
      <c r="GV30" s="41"/>
      <c r="GW30" s="41"/>
      <c r="GX30" s="41"/>
      <c r="GY30" s="41"/>
      <c r="GZ30" s="41"/>
      <c r="HA30" s="41"/>
      <c r="HB30" s="41"/>
      <c r="HC30" s="41"/>
      <c r="HD30" s="41"/>
      <c r="HE30" s="41"/>
      <c r="HF30" s="41"/>
      <c r="HG30" s="41"/>
      <c r="HH30" s="41"/>
      <c r="HI30" s="41"/>
      <c r="HJ30" s="41"/>
      <c r="HK30" s="41"/>
      <c r="HL30" s="41"/>
      <c r="HM30" s="41"/>
      <c r="HN30" s="41"/>
      <c r="HO30" s="41"/>
      <c r="HP30" s="41"/>
      <c r="HQ30" s="41"/>
      <c r="HR30" s="41"/>
      <c r="HS30" s="41"/>
      <c r="HT30" s="41"/>
      <c r="HU30" s="41"/>
      <c r="HV30" s="41"/>
      <c r="HW30" s="41"/>
      <c r="HX30" s="41"/>
      <c r="HY30" s="41"/>
      <c r="HZ30" s="41"/>
      <c r="IA30" s="41"/>
      <c r="IB30" s="41"/>
      <c r="IC30" s="41"/>
      <c r="ID30" s="41"/>
      <c r="IE30" s="41"/>
      <c r="IF30" s="41"/>
      <c r="IG30" s="41"/>
      <c r="IH30" s="41"/>
      <c r="II30" s="41"/>
      <c r="IJ30" s="41"/>
      <c r="IK30" s="41"/>
      <c r="IL30" s="41"/>
      <c r="IM30" s="41"/>
      <c r="IN30" s="41"/>
      <c r="IO30" s="41"/>
      <c r="IP30" s="41"/>
      <c r="IQ30" s="41"/>
      <c r="IR30" s="41"/>
      <c r="IS30" s="41"/>
      <c r="IT30" s="41"/>
      <c r="IU30" s="41"/>
      <c r="IV30" s="41"/>
      <c r="IW30" s="41"/>
      <c r="IX30" s="41"/>
      <c r="IY30" s="41"/>
      <c r="IZ30" s="41"/>
      <c r="JA30" s="41"/>
      <c r="JB30" s="41"/>
      <c r="JC30" s="41"/>
      <c r="JD30" s="41"/>
      <c r="JE30" s="41"/>
      <c r="JF30" s="41"/>
      <c r="JG30" s="41"/>
      <c r="JH30" s="41"/>
      <c r="JI30" s="41"/>
      <c r="JJ30" s="41"/>
      <c r="JK30" s="41"/>
      <c r="JL30" s="41"/>
      <c r="JM30" s="41"/>
      <c r="JN30" s="41"/>
      <c r="JO30" s="41"/>
      <c r="JP30" s="41"/>
      <c r="JQ30" s="41"/>
      <c r="JR30" s="41"/>
      <c r="JS30" s="41"/>
      <c r="JT30" s="41"/>
      <c r="JU30" s="41"/>
      <c r="JV30" s="41"/>
      <c r="JW30" s="41"/>
      <c r="JX30" s="41"/>
      <c r="JY30" s="41"/>
      <c r="JZ30" s="41"/>
      <c r="KA30" s="41"/>
      <c r="KB30" s="41"/>
      <c r="KC30" s="41"/>
      <c r="KD30" s="41"/>
      <c r="KE30" s="41"/>
      <c r="KF30" s="41"/>
      <c r="KG30" s="41"/>
      <c r="KH30" s="41"/>
      <c r="KI30" s="41"/>
      <c r="KJ30" s="41"/>
      <c r="KK30" s="41"/>
      <c r="KL30" s="41"/>
      <c r="KM30" s="41"/>
      <c r="KN30" s="41"/>
      <c r="KO30" s="41"/>
      <c r="KP30" s="41"/>
      <c r="KQ30" s="41"/>
      <c r="KR30" s="41"/>
      <c r="KS30" s="41"/>
      <c r="KT30" s="41"/>
      <c r="KU30" s="41"/>
      <c r="KV30" s="41"/>
      <c r="KW30" s="41"/>
      <c r="KX30" s="41"/>
      <c r="KY30" s="41"/>
      <c r="KZ30" s="41"/>
    </row>
    <row r="31" spans="2:312" x14ac:dyDescent="0.35">
      <c r="B31" s="40">
        <f t="shared" si="0"/>
        <v>44652</v>
      </c>
      <c r="C31" s="31">
        <v>202204</v>
      </c>
      <c r="D31" s="42">
        <v>3118</v>
      </c>
      <c r="E31" s="42">
        <v>0</v>
      </c>
      <c r="F31" s="42">
        <v>0</v>
      </c>
      <c r="G31" s="42">
        <v>2955662.6609999998</v>
      </c>
      <c r="H31" s="42">
        <v>5276333.8469999898</v>
      </c>
      <c r="I31" s="42">
        <v>20522.0959999999</v>
      </c>
      <c r="J31" s="42">
        <v>130632</v>
      </c>
      <c r="K31" s="42">
        <v>33736.301999999901</v>
      </c>
      <c r="L31" s="42">
        <v>521.16300000000001</v>
      </c>
      <c r="M31" s="42">
        <v>525.19500000000005</v>
      </c>
      <c r="N31" s="42">
        <v>81</v>
      </c>
      <c r="O31" s="42">
        <v>0</v>
      </c>
      <c r="P31" s="42">
        <v>0</v>
      </c>
      <c r="Q31" s="42">
        <v>0</v>
      </c>
      <c r="R31" s="42">
        <v>128</v>
      </c>
      <c r="S31" s="42">
        <v>5</v>
      </c>
      <c r="T31" s="42">
        <v>0</v>
      </c>
      <c r="U31" s="42">
        <v>3277</v>
      </c>
      <c r="V31" s="42">
        <v>35454</v>
      </c>
      <c r="W31" s="42">
        <v>603</v>
      </c>
      <c r="X31" s="42">
        <v>0</v>
      </c>
      <c r="Y31" s="42">
        <v>0</v>
      </c>
      <c r="Z31" s="42">
        <v>12919</v>
      </c>
      <c r="AA31" s="42">
        <v>2959</v>
      </c>
      <c r="AB31" s="42">
        <v>0</v>
      </c>
      <c r="AC31" s="42">
        <v>210758</v>
      </c>
      <c r="AD31" s="42">
        <v>81</v>
      </c>
      <c r="AE31" s="42">
        <v>379</v>
      </c>
      <c r="AF31" s="42">
        <v>0</v>
      </c>
      <c r="AG31" s="42">
        <v>0</v>
      </c>
      <c r="AH31" s="42">
        <v>4552</v>
      </c>
      <c r="AI31" s="42">
        <v>2884</v>
      </c>
      <c r="AJ31" s="42">
        <v>0</v>
      </c>
      <c r="AK31" s="42">
        <v>40315</v>
      </c>
      <c r="AL31" s="42">
        <v>5</v>
      </c>
      <c r="AM31" s="42">
        <v>81</v>
      </c>
      <c r="AN31" s="42">
        <v>0</v>
      </c>
      <c r="AO31" s="42">
        <v>3277</v>
      </c>
      <c r="AP31" s="42">
        <v>128</v>
      </c>
      <c r="AQ31" s="42">
        <v>3562</v>
      </c>
      <c r="AR31" s="42">
        <v>35454</v>
      </c>
      <c r="AS31" s="42">
        <v>0</v>
      </c>
      <c r="AT31" s="42">
        <v>210758</v>
      </c>
      <c r="AU31" s="42">
        <v>12919</v>
      </c>
      <c r="AV31" s="42">
        <v>3263</v>
      </c>
      <c r="AW31" s="42">
        <v>81</v>
      </c>
      <c r="AX31" s="42">
        <v>0</v>
      </c>
      <c r="AY31" s="42">
        <v>40315</v>
      </c>
      <c r="AZ31" s="42">
        <v>4552</v>
      </c>
      <c r="BA31" s="42">
        <v>5</v>
      </c>
      <c r="BB31" s="42">
        <v>81</v>
      </c>
      <c r="BC31" s="42">
        <v>0</v>
      </c>
      <c r="BD31" s="42">
        <v>3277</v>
      </c>
      <c r="BE31" s="42">
        <v>128</v>
      </c>
      <c r="BF31" s="42">
        <v>3562</v>
      </c>
      <c r="BG31" s="42">
        <v>35454</v>
      </c>
      <c r="BH31" s="42">
        <v>0</v>
      </c>
      <c r="BI31" s="42">
        <v>210758</v>
      </c>
      <c r="BJ31" s="42">
        <v>12919</v>
      </c>
      <c r="BK31" s="42">
        <v>3263</v>
      </c>
      <c r="BL31" s="42">
        <v>81</v>
      </c>
      <c r="BM31" s="42">
        <v>0</v>
      </c>
      <c r="BN31" s="42">
        <v>40315</v>
      </c>
      <c r="BO31" s="42">
        <v>4552</v>
      </c>
      <c r="BP31" s="42">
        <v>0</v>
      </c>
      <c r="BQ31" s="42">
        <v>0</v>
      </c>
      <c r="BR31" s="42">
        <v>0</v>
      </c>
      <c r="BS31" s="42">
        <v>5</v>
      </c>
      <c r="BT31" s="42">
        <v>81</v>
      </c>
      <c r="BU31" s="42">
        <v>0</v>
      </c>
      <c r="BV31" s="42">
        <v>0</v>
      </c>
      <c r="BW31" s="42">
        <v>0</v>
      </c>
      <c r="BX31" s="42">
        <v>3277</v>
      </c>
      <c r="BY31" s="42">
        <v>128</v>
      </c>
      <c r="BZ31" s="42">
        <v>603</v>
      </c>
      <c r="CA31" s="42">
        <v>0</v>
      </c>
      <c r="CB31" s="42">
        <v>0</v>
      </c>
      <c r="CC31" s="42">
        <v>2959</v>
      </c>
      <c r="CD31" s="42">
        <v>35454</v>
      </c>
      <c r="CE31" s="42">
        <v>0</v>
      </c>
      <c r="CF31" s="42">
        <v>0</v>
      </c>
      <c r="CG31" s="42">
        <v>0</v>
      </c>
      <c r="CH31" s="42">
        <v>210758</v>
      </c>
      <c r="CI31" s="42">
        <v>12919</v>
      </c>
      <c r="CJ31" s="42">
        <v>379</v>
      </c>
      <c r="CK31" s="42">
        <v>0</v>
      </c>
      <c r="CL31" s="42">
        <v>0</v>
      </c>
      <c r="CM31" s="42">
        <v>2884</v>
      </c>
      <c r="CN31" s="42">
        <v>81</v>
      </c>
      <c r="CO31" s="42">
        <v>0</v>
      </c>
      <c r="CP31" s="42">
        <v>0</v>
      </c>
      <c r="CQ31" s="42">
        <v>0</v>
      </c>
      <c r="CR31" s="42">
        <v>40315</v>
      </c>
      <c r="CS31" s="42">
        <v>4552</v>
      </c>
      <c r="CT31" s="42">
        <v>12089</v>
      </c>
      <c r="CU31" s="42">
        <v>0</v>
      </c>
      <c r="CV31" s="42">
        <v>4829</v>
      </c>
      <c r="CW31" s="42">
        <v>16918</v>
      </c>
      <c r="CX31" s="42">
        <v>0</v>
      </c>
      <c r="CY31" s="42">
        <v>0</v>
      </c>
      <c r="CZ31" s="42">
        <v>20818</v>
      </c>
      <c r="DA31" s="42">
        <v>0</v>
      </c>
      <c r="DB31" s="42">
        <v>5450456</v>
      </c>
      <c r="DC31" s="42">
        <v>0</v>
      </c>
      <c r="DD31" s="42">
        <v>20818</v>
      </c>
      <c r="DE31" s="42">
        <v>5450456</v>
      </c>
      <c r="DF31" s="42">
        <v>20818</v>
      </c>
      <c r="DG31" s="42">
        <v>5450456</v>
      </c>
      <c r="DH31" s="42">
        <v>20818</v>
      </c>
      <c r="DI31" s="42">
        <v>0</v>
      </c>
      <c r="DJ31" s="42">
        <v>5450456</v>
      </c>
      <c r="DK31" s="42">
        <v>0</v>
      </c>
      <c r="DL31" s="42">
        <v>482</v>
      </c>
      <c r="DM31" s="42">
        <v>0</v>
      </c>
      <c r="DN31" s="42">
        <v>0</v>
      </c>
      <c r="DO31" s="42">
        <v>20860</v>
      </c>
      <c r="DP31" s="42">
        <v>2421</v>
      </c>
      <c r="DQ31" s="42">
        <v>23281</v>
      </c>
      <c r="DR31" s="42">
        <v>23281</v>
      </c>
      <c r="DS31" s="42">
        <v>20860</v>
      </c>
      <c r="DT31" s="42">
        <v>2421</v>
      </c>
      <c r="DU31" s="42">
        <v>0</v>
      </c>
      <c r="DV31" s="42">
        <v>0</v>
      </c>
      <c r="DW31" s="42">
        <v>28123</v>
      </c>
      <c r="DX31" s="42">
        <v>2631</v>
      </c>
      <c r="DY31" s="42">
        <v>0</v>
      </c>
      <c r="DZ31" s="42">
        <v>13547</v>
      </c>
      <c r="EA31" s="42">
        <v>28123</v>
      </c>
      <c r="EB31" s="42"/>
      <c r="EC31" s="42"/>
      <c r="ED31" s="42"/>
      <c r="EE31" s="42"/>
      <c r="EF31" s="42"/>
      <c r="EG31" s="42"/>
      <c r="EH31" s="42"/>
      <c r="EI31" s="42"/>
      <c r="EJ31" s="42"/>
      <c r="EK31" s="42"/>
      <c r="EL31" s="42"/>
      <c r="EM31" s="42"/>
      <c r="EN31" s="42"/>
      <c r="EO31" s="42"/>
      <c r="EP31" s="42"/>
      <c r="EQ31" s="42"/>
      <c r="ER31" s="42"/>
      <c r="ES31" s="42"/>
      <c r="ET31" s="42"/>
      <c r="EU31" s="42"/>
      <c r="EV31" s="42"/>
      <c r="EW31" s="42"/>
      <c r="EX31" s="42"/>
      <c r="EY31" s="42"/>
      <c r="EZ31" s="42"/>
      <c r="FA31" s="42"/>
      <c r="FB31" s="42"/>
      <c r="FC31" s="42"/>
      <c r="FD31" s="42"/>
      <c r="FE31" s="42"/>
      <c r="FF31" s="42"/>
      <c r="FG31" s="42"/>
      <c r="FH31" s="42"/>
      <c r="FI31" s="42"/>
      <c r="FJ31" s="42"/>
      <c r="FK31" s="42"/>
      <c r="FL31" s="42"/>
      <c r="FM31" s="42"/>
      <c r="FN31" s="42"/>
      <c r="FO31" s="42"/>
      <c r="FP31" s="42"/>
      <c r="FQ31" s="42"/>
      <c r="FR31" s="42"/>
      <c r="FS31" s="42"/>
      <c r="FT31" s="42"/>
      <c r="FU31" s="42"/>
      <c r="FV31" s="42"/>
      <c r="FW31" s="42"/>
      <c r="FX31" s="42"/>
      <c r="FY31" s="42"/>
      <c r="FZ31" s="42"/>
      <c r="GA31" s="42"/>
      <c r="GB31" s="42"/>
      <c r="GC31" s="42"/>
      <c r="GD31" s="42"/>
      <c r="GE31" s="42"/>
      <c r="GF31" s="42"/>
      <c r="GG31" s="42"/>
      <c r="GH31" s="42"/>
      <c r="GI31" s="42"/>
      <c r="GJ31" s="42"/>
      <c r="GK31" s="42"/>
      <c r="GL31" s="42"/>
      <c r="GM31" s="42"/>
      <c r="GN31" s="42"/>
      <c r="GO31" s="42"/>
      <c r="GP31" s="42"/>
      <c r="GQ31" s="42"/>
      <c r="GR31" s="42"/>
      <c r="GS31" s="42"/>
      <c r="GT31" s="42"/>
      <c r="GU31" s="42"/>
      <c r="GV31" s="42"/>
      <c r="GW31" s="42"/>
      <c r="GX31" s="42"/>
      <c r="GY31" s="42"/>
      <c r="GZ31" s="42"/>
      <c r="HA31" s="42"/>
      <c r="HB31" s="42"/>
      <c r="HC31" s="42"/>
      <c r="HD31" s="42"/>
      <c r="HE31" s="42"/>
      <c r="HF31" s="42"/>
      <c r="HG31" s="42"/>
      <c r="HH31" s="42"/>
      <c r="HI31" s="42"/>
      <c r="HJ31" s="42"/>
      <c r="HK31" s="42"/>
      <c r="HL31" s="42"/>
      <c r="HM31" s="42"/>
      <c r="HN31" s="42"/>
      <c r="HO31" s="42"/>
      <c r="HP31" s="42"/>
      <c r="HQ31" s="42"/>
      <c r="HR31" s="42"/>
      <c r="HS31" s="42"/>
      <c r="HT31" s="42"/>
      <c r="HU31" s="42"/>
      <c r="HV31" s="42"/>
      <c r="HW31" s="42"/>
      <c r="HX31" s="42"/>
      <c r="HY31" s="42"/>
      <c r="HZ31" s="42"/>
      <c r="IA31" s="42"/>
      <c r="IB31" s="42"/>
      <c r="IC31" s="42"/>
      <c r="ID31" s="42"/>
      <c r="IE31" s="42"/>
      <c r="IF31" s="42"/>
      <c r="IG31" s="42"/>
      <c r="IH31" s="42"/>
      <c r="II31" s="42"/>
      <c r="IJ31" s="42"/>
      <c r="IK31" s="42"/>
      <c r="IL31" s="42"/>
      <c r="IM31" s="42"/>
      <c r="IN31" s="42"/>
      <c r="IO31" s="42"/>
      <c r="IP31" s="42"/>
      <c r="IQ31" s="42"/>
      <c r="IR31" s="42"/>
      <c r="IS31" s="42"/>
      <c r="IT31" s="42"/>
      <c r="IU31" s="42"/>
      <c r="IV31" s="42"/>
      <c r="IW31" s="42"/>
      <c r="IX31" s="42"/>
      <c r="IY31" s="42"/>
      <c r="IZ31" s="42"/>
      <c r="JA31" s="42"/>
      <c r="JB31" s="42"/>
      <c r="JC31" s="42"/>
      <c r="JD31" s="42"/>
      <c r="JE31" s="42"/>
      <c r="JF31" s="42"/>
      <c r="JG31" s="42"/>
      <c r="JH31" s="42"/>
      <c r="JI31" s="42"/>
      <c r="JJ31" s="42"/>
      <c r="JK31" s="42"/>
      <c r="JL31" s="42"/>
      <c r="JM31" s="42"/>
      <c r="JN31" s="42"/>
      <c r="JO31" s="42"/>
      <c r="JP31" s="42"/>
      <c r="JQ31" s="42"/>
      <c r="JR31" s="42"/>
      <c r="JS31" s="42"/>
      <c r="JT31" s="42"/>
      <c r="JU31" s="42"/>
      <c r="JV31" s="42"/>
      <c r="JW31" s="42"/>
      <c r="JX31" s="42"/>
      <c r="JY31" s="42"/>
      <c r="JZ31" s="42"/>
      <c r="KA31" s="42"/>
      <c r="KB31" s="42"/>
      <c r="KC31" s="42"/>
      <c r="KD31" s="42"/>
      <c r="KE31" s="42"/>
      <c r="KF31" s="42"/>
      <c r="KG31" s="42"/>
      <c r="KH31" s="42"/>
      <c r="KI31" s="42"/>
      <c r="KJ31" s="42"/>
      <c r="KK31" s="42"/>
      <c r="KL31" s="42"/>
      <c r="KM31" s="42"/>
      <c r="KN31" s="42"/>
      <c r="KO31" s="42"/>
      <c r="KP31" s="42"/>
      <c r="KQ31" s="42"/>
      <c r="KR31" s="42"/>
      <c r="KS31" s="42"/>
      <c r="KT31" s="42"/>
      <c r="KU31" s="42"/>
      <c r="KV31" s="42"/>
      <c r="KW31" s="42"/>
      <c r="KX31" s="42"/>
      <c r="KY31" s="42"/>
      <c r="KZ31" s="42"/>
    </row>
    <row r="32" spans="2:312" x14ac:dyDescent="0.35">
      <c r="B32" s="40">
        <f t="shared" si="0"/>
        <v>44682</v>
      </c>
      <c r="C32" s="31">
        <v>202205</v>
      </c>
      <c r="D32" s="42">
        <v>2850</v>
      </c>
      <c r="E32" s="42">
        <v>9931</v>
      </c>
      <c r="F32" s="42">
        <v>9931</v>
      </c>
      <c r="G32" s="42">
        <v>2956911.878</v>
      </c>
      <c r="H32" s="42">
        <v>5315821.5460000001</v>
      </c>
      <c r="I32" s="42">
        <v>20576.6889999999</v>
      </c>
      <c r="J32" s="42">
        <v>104358</v>
      </c>
      <c r="K32" s="42">
        <v>34058.684999999903</v>
      </c>
      <c r="L32" s="42">
        <v>508.13799999999998</v>
      </c>
      <c r="M32" s="42">
        <v>516.16</v>
      </c>
      <c r="N32" s="42">
        <v>24</v>
      </c>
      <c r="O32" s="42">
        <v>0</v>
      </c>
      <c r="P32" s="42">
        <v>0</v>
      </c>
      <c r="Q32" s="42">
        <v>0</v>
      </c>
      <c r="R32" s="42">
        <v>97</v>
      </c>
      <c r="S32" s="42">
        <v>1</v>
      </c>
      <c r="T32" s="42">
        <v>0</v>
      </c>
      <c r="U32" s="42">
        <v>2754</v>
      </c>
      <c r="V32" s="42">
        <v>25311</v>
      </c>
      <c r="W32" s="42">
        <v>60</v>
      </c>
      <c r="X32" s="42">
        <v>0</v>
      </c>
      <c r="Y32" s="42">
        <v>967</v>
      </c>
      <c r="Z32" s="42">
        <v>8293</v>
      </c>
      <c r="AA32" s="42">
        <v>527</v>
      </c>
      <c r="AB32" s="42">
        <v>0</v>
      </c>
      <c r="AC32" s="42">
        <v>159626</v>
      </c>
      <c r="AD32" s="42">
        <v>24</v>
      </c>
      <c r="AE32" s="42">
        <v>37</v>
      </c>
      <c r="AF32" s="42">
        <v>0</v>
      </c>
      <c r="AG32" s="42">
        <v>319</v>
      </c>
      <c r="AH32" s="42">
        <v>2969</v>
      </c>
      <c r="AI32" s="42">
        <v>504</v>
      </c>
      <c r="AJ32" s="42">
        <v>0</v>
      </c>
      <c r="AK32" s="42">
        <v>29387</v>
      </c>
      <c r="AL32" s="42">
        <v>1</v>
      </c>
      <c r="AM32" s="42">
        <v>24</v>
      </c>
      <c r="AN32" s="42">
        <v>0</v>
      </c>
      <c r="AO32" s="42">
        <v>2754</v>
      </c>
      <c r="AP32" s="42">
        <v>97</v>
      </c>
      <c r="AQ32" s="42">
        <v>1554</v>
      </c>
      <c r="AR32" s="42">
        <v>25311</v>
      </c>
      <c r="AS32" s="42">
        <v>0</v>
      </c>
      <c r="AT32" s="42">
        <v>159626</v>
      </c>
      <c r="AU32" s="42">
        <v>8293</v>
      </c>
      <c r="AV32" s="42">
        <v>860</v>
      </c>
      <c r="AW32" s="42">
        <v>24</v>
      </c>
      <c r="AX32" s="42">
        <v>0</v>
      </c>
      <c r="AY32" s="42">
        <v>29387</v>
      </c>
      <c r="AZ32" s="42">
        <v>2969</v>
      </c>
      <c r="BA32" s="42">
        <v>1</v>
      </c>
      <c r="BB32" s="42">
        <v>24</v>
      </c>
      <c r="BC32" s="42">
        <v>0</v>
      </c>
      <c r="BD32" s="42">
        <v>2754</v>
      </c>
      <c r="BE32" s="42">
        <v>97</v>
      </c>
      <c r="BF32" s="42">
        <v>1554</v>
      </c>
      <c r="BG32" s="42">
        <v>25311</v>
      </c>
      <c r="BH32" s="42">
        <v>0</v>
      </c>
      <c r="BI32" s="42">
        <v>159626</v>
      </c>
      <c r="BJ32" s="42">
        <v>8293</v>
      </c>
      <c r="BK32" s="42">
        <v>860</v>
      </c>
      <c r="BL32" s="42">
        <v>24</v>
      </c>
      <c r="BM32" s="42">
        <v>0</v>
      </c>
      <c r="BN32" s="42">
        <v>29387</v>
      </c>
      <c r="BO32" s="42">
        <v>2969</v>
      </c>
      <c r="BP32" s="42">
        <v>0</v>
      </c>
      <c r="BQ32" s="42">
        <v>0</v>
      </c>
      <c r="BR32" s="42">
        <v>0</v>
      </c>
      <c r="BS32" s="42">
        <v>1</v>
      </c>
      <c r="BT32" s="42">
        <v>24</v>
      </c>
      <c r="BU32" s="42">
        <v>0</v>
      </c>
      <c r="BV32" s="42">
        <v>0</v>
      </c>
      <c r="BW32" s="42">
        <v>0</v>
      </c>
      <c r="BX32" s="42">
        <v>2754</v>
      </c>
      <c r="BY32" s="42">
        <v>97</v>
      </c>
      <c r="BZ32" s="42">
        <v>60</v>
      </c>
      <c r="CA32" s="42">
        <v>0</v>
      </c>
      <c r="CB32" s="42">
        <v>967</v>
      </c>
      <c r="CC32" s="42">
        <v>527</v>
      </c>
      <c r="CD32" s="42">
        <v>25311</v>
      </c>
      <c r="CE32" s="42">
        <v>0</v>
      </c>
      <c r="CF32" s="42">
        <v>0</v>
      </c>
      <c r="CG32" s="42">
        <v>0</v>
      </c>
      <c r="CH32" s="42">
        <v>159626</v>
      </c>
      <c r="CI32" s="42">
        <v>8293</v>
      </c>
      <c r="CJ32" s="42">
        <v>37</v>
      </c>
      <c r="CK32" s="42">
        <v>0</v>
      </c>
      <c r="CL32" s="42">
        <v>319</v>
      </c>
      <c r="CM32" s="42">
        <v>504</v>
      </c>
      <c r="CN32" s="42">
        <v>24</v>
      </c>
      <c r="CO32" s="42">
        <v>0</v>
      </c>
      <c r="CP32" s="42">
        <v>0</v>
      </c>
      <c r="CQ32" s="42">
        <v>0</v>
      </c>
      <c r="CR32" s="42">
        <v>29387</v>
      </c>
      <c r="CS32" s="42">
        <v>2969</v>
      </c>
      <c r="CT32" s="42">
        <v>11238</v>
      </c>
      <c r="CU32" s="42">
        <v>0</v>
      </c>
      <c r="CV32" s="42">
        <v>4518</v>
      </c>
      <c r="CW32" s="42">
        <v>15756</v>
      </c>
      <c r="CX32" s="42">
        <v>0</v>
      </c>
      <c r="CY32" s="42">
        <v>0</v>
      </c>
      <c r="CZ32" s="42">
        <v>20813</v>
      </c>
      <c r="DA32" s="42">
        <v>0</v>
      </c>
      <c r="DB32" s="42">
        <v>5352721</v>
      </c>
      <c r="DC32" s="42">
        <v>0</v>
      </c>
      <c r="DD32" s="42">
        <v>20813</v>
      </c>
      <c r="DE32" s="42">
        <v>5352721</v>
      </c>
      <c r="DF32" s="42">
        <v>20813</v>
      </c>
      <c r="DG32" s="42">
        <v>5352721</v>
      </c>
      <c r="DH32" s="42">
        <v>20813</v>
      </c>
      <c r="DI32" s="42">
        <v>0</v>
      </c>
      <c r="DJ32" s="42">
        <v>5352721</v>
      </c>
      <c r="DK32" s="42">
        <v>0</v>
      </c>
      <c r="DL32" s="42">
        <v>490</v>
      </c>
      <c r="DM32" s="42">
        <v>0</v>
      </c>
      <c r="DN32" s="42">
        <v>0</v>
      </c>
      <c r="DO32" s="42">
        <v>22501</v>
      </c>
      <c r="DP32" s="42">
        <v>2378</v>
      </c>
      <c r="DQ32" s="42">
        <v>24879</v>
      </c>
      <c r="DR32" s="42">
        <v>24879</v>
      </c>
      <c r="DS32" s="42">
        <v>22501</v>
      </c>
      <c r="DT32" s="42">
        <v>2378</v>
      </c>
      <c r="DU32" s="42">
        <v>246</v>
      </c>
      <c r="DV32" s="42">
        <v>246</v>
      </c>
      <c r="DW32" s="42">
        <v>28123</v>
      </c>
      <c r="DX32" s="42">
        <v>2631</v>
      </c>
      <c r="DY32" s="42">
        <v>0</v>
      </c>
      <c r="DZ32" s="42">
        <v>13547</v>
      </c>
      <c r="EA32" s="42">
        <v>28123</v>
      </c>
      <c r="EB32" s="42"/>
      <c r="EC32" s="42"/>
      <c r="ED32" s="42"/>
      <c r="EE32" s="42"/>
      <c r="EF32" s="42"/>
      <c r="EG32" s="42"/>
      <c r="EH32" s="42"/>
      <c r="EI32" s="42"/>
      <c r="EJ32" s="42"/>
      <c r="EK32" s="42"/>
      <c r="EL32" s="42"/>
      <c r="EM32" s="42"/>
      <c r="EN32" s="42"/>
      <c r="EO32" s="42"/>
      <c r="EP32" s="42"/>
      <c r="EQ32" s="42"/>
      <c r="ER32" s="42"/>
      <c r="ES32" s="42"/>
      <c r="ET32" s="42"/>
      <c r="EU32" s="42"/>
      <c r="EV32" s="42"/>
      <c r="EW32" s="42"/>
      <c r="EX32" s="42"/>
      <c r="EY32" s="42"/>
      <c r="EZ32" s="42"/>
      <c r="FA32" s="42"/>
      <c r="FB32" s="42"/>
      <c r="FC32" s="42"/>
      <c r="FD32" s="42"/>
      <c r="FE32" s="42"/>
      <c r="FF32" s="42"/>
      <c r="FG32" s="42"/>
      <c r="FH32" s="42"/>
      <c r="FI32" s="42"/>
      <c r="FJ32" s="42"/>
      <c r="FK32" s="42"/>
      <c r="FL32" s="42"/>
      <c r="FM32" s="42"/>
      <c r="FN32" s="42"/>
      <c r="FO32" s="42"/>
      <c r="FP32" s="42"/>
      <c r="FQ32" s="42"/>
      <c r="FR32" s="42"/>
      <c r="FS32" s="42"/>
      <c r="FT32" s="42"/>
      <c r="FU32" s="42"/>
      <c r="FV32" s="42"/>
      <c r="FW32" s="42"/>
      <c r="FX32" s="42"/>
      <c r="FY32" s="42"/>
      <c r="FZ32" s="42"/>
      <c r="GA32" s="42"/>
      <c r="GB32" s="42"/>
      <c r="GC32" s="42"/>
      <c r="GD32" s="42"/>
      <c r="GE32" s="42"/>
      <c r="GF32" s="42"/>
      <c r="GG32" s="42"/>
      <c r="GH32" s="42"/>
      <c r="GI32" s="42"/>
      <c r="GJ32" s="42"/>
      <c r="GK32" s="42"/>
      <c r="GL32" s="42"/>
      <c r="GM32" s="42"/>
      <c r="GN32" s="42"/>
      <c r="GO32" s="42"/>
      <c r="GP32" s="42"/>
      <c r="GQ32" s="42"/>
      <c r="GR32" s="42"/>
      <c r="GS32" s="42"/>
      <c r="GT32" s="42"/>
      <c r="GU32" s="42"/>
      <c r="GV32" s="42"/>
      <c r="GW32" s="42"/>
      <c r="GX32" s="42"/>
      <c r="GY32" s="42"/>
      <c r="GZ32" s="42"/>
      <c r="HA32" s="42"/>
      <c r="HB32" s="42"/>
      <c r="HC32" s="42"/>
      <c r="HD32" s="42"/>
      <c r="HE32" s="42"/>
      <c r="HF32" s="42"/>
      <c r="HG32" s="42"/>
      <c r="HH32" s="42"/>
      <c r="HI32" s="42"/>
      <c r="HJ32" s="42"/>
      <c r="HK32" s="42"/>
      <c r="HL32" s="42"/>
      <c r="HM32" s="42"/>
      <c r="HN32" s="42"/>
      <c r="HO32" s="42"/>
      <c r="HP32" s="42"/>
      <c r="HQ32" s="42"/>
      <c r="HR32" s="42"/>
      <c r="HS32" s="42"/>
      <c r="HT32" s="42"/>
      <c r="HU32" s="42"/>
      <c r="HV32" s="42"/>
      <c r="HW32" s="42"/>
      <c r="HX32" s="42"/>
      <c r="HY32" s="42"/>
      <c r="HZ32" s="42"/>
      <c r="IA32" s="42"/>
      <c r="IB32" s="42"/>
      <c r="IC32" s="42"/>
      <c r="ID32" s="42"/>
      <c r="IE32" s="42"/>
      <c r="IF32" s="42"/>
      <c r="IG32" s="42"/>
      <c r="IH32" s="42"/>
      <c r="II32" s="42"/>
      <c r="IJ32" s="42"/>
      <c r="IK32" s="42"/>
      <c r="IL32" s="42"/>
      <c r="IM32" s="42"/>
      <c r="IN32" s="42"/>
      <c r="IO32" s="42"/>
      <c r="IP32" s="42"/>
      <c r="IQ32" s="42"/>
      <c r="IR32" s="42"/>
      <c r="IS32" s="42"/>
      <c r="IT32" s="42"/>
      <c r="IU32" s="42"/>
      <c r="IV32" s="42"/>
      <c r="IW32" s="42"/>
      <c r="IX32" s="42"/>
      <c r="IY32" s="42"/>
      <c r="IZ32" s="42"/>
      <c r="JA32" s="42"/>
      <c r="JB32" s="42"/>
      <c r="JC32" s="42"/>
      <c r="JD32" s="42"/>
      <c r="JE32" s="42"/>
      <c r="JF32" s="42"/>
      <c r="JG32" s="42"/>
      <c r="JH32" s="42"/>
      <c r="JI32" s="42"/>
      <c r="JJ32" s="42"/>
      <c r="JK32" s="42"/>
      <c r="JL32" s="42"/>
      <c r="JM32" s="42"/>
      <c r="JN32" s="42"/>
      <c r="JO32" s="42"/>
      <c r="JP32" s="42"/>
      <c r="JQ32" s="42"/>
      <c r="JR32" s="42"/>
      <c r="JS32" s="42"/>
      <c r="JT32" s="42"/>
      <c r="JU32" s="42"/>
      <c r="JV32" s="42"/>
      <c r="JW32" s="42"/>
      <c r="JX32" s="42"/>
      <c r="JY32" s="42"/>
      <c r="JZ32" s="42"/>
      <c r="KA32" s="42"/>
      <c r="KB32" s="42"/>
      <c r="KC32" s="42"/>
      <c r="KD32" s="42"/>
      <c r="KE32" s="42"/>
      <c r="KF32" s="42"/>
      <c r="KG32" s="42"/>
      <c r="KH32" s="42"/>
      <c r="KI32" s="42"/>
      <c r="KJ32" s="42"/>
      <c r="KK32" s="42"/>
      <c r="KL32" s="42"/>
      <c r="KM32" s="42"/>
      <c r="KN32" s="42"/>
      <c r="KO32" s="42"/>
      <c r="KP32" s="42"/>
      <c r="KQ32" s="42"/>
      <c r="KR32" s="42"/>
      <c r="KS32" s="42"/>
      <c r="KT32" s="42"/>
      <c r="KU32" s="42"/>
      <c r="KV32" s="42"/>
      <c r="KW32" s="42"/>
      <c r="KX32" s="42"/>
      <c r="KY32" s="42"/>
      <c r="KZ32" s="42"/>
    </row>
    <row r="33" spans="2:312" x14ac:dyDescent="0.35">
      <c r="B33" s="40">
        <f t="shared" si="0"/>
        <v>44713</v>
      </c>
      <c r="C33" s="31">
        <v>202206</v>
      </c>
      <c r="D33" s="42">
        <v>2623</v>
      </c>
      <c r="E33" s="42">
        <v>8178</v>
      </c>
      <c r="F33" s="42">
        <v>8178</v>
      </c>
      <c r="G33" s="42">
        <v>3004720.3839999898</v>
      </c>
      <c r="H33" s="42">
        <v>5378621.0219999896</v>
      </c>
      <c r="I33" s="42">
        <v>21125.331999999999</v>
      </c>
      <c r="J33" s="42">
        <v>109710</v>
      </c>
      <c r="K33" s="42">
        <v>34821.263999999901</v>
      </c>
      <c r="L33" s="42">
        <v>451.43299999999999</v>
      </c>
      <c r="M33" s="42">
        <v>456.546999999999</v>
      </c>
      <c r="N33" s="42">
        <v>44</v>
      </c>
      <c r="O33" s="42">
        <v>0</v>
      </c>
      <c r="P33" s="42">
        <v>0</v>
      </c>
      <c r="Q33" s="42">
        <v>0</v>
      </c>
      <c r="R33" s="42">
        <v>38</v>
      </c>
      <c r="S33" s="42">
        <v>0</v>
      </c>
      <c r="T33" s="42">
        <v>0</v>
      </c>
      <c r="U33" s="42">
        <v>1152</v>
      </c>
      <c r="V33" s="42">
        <v>23670</v>
      </c>
      <c r="W33" s="42">
        <v>0</v>
      </c>
      <c r="X33" s="42">
        <v>0</v>
      </c>
      <c r="Y33" s="42">
        <v>1</v>
      </c>
      <c r="Z33" s="42">
        <v>6681</v>
      </c>
      <c r="AA33" s="42">
        <v>143</v>
      </c>
      <c r="AB33" s="42">
        <v>0</v>
      </c>
      <c r="AC33" s="42">
        <v>58867</v>
      </c>
      <c r="AD33" s="42">
        <v>44</v>
      </c>
      <c r="AE33" s="42">
        <v>0</v>
      </c>
      <c r="AF33" s="42">
        <v>0</v>
      </c>
      <c r="AG33" s="42">
        <v>0</v>
      </c>
      <c r="AH33" s="42">
        <v>2180</v>
      </c>
      <c r="AI33" s="42">
        <v>139</v>
      </c>
      <c r="AJ33" s="42">
        <v>0</v>
      </c>
      <c r="AK33" s="42">
        <v>14021</v>
      </c>
      <c r="AL33" s="42">
        <v>0</v>
      </c>
      <c r="AM33" s="42">
        <v>44</v>
      </c>
      <c r="AN33" s="42">
        <v>0</v>
      </c>
      <c r="AO33" s="42">
        <v>1152</v>
      </c>
      <c r="AP33" s="42">
        <v>38</v>
      </c>
      <c r="AQ33" s="42">
        <v>144</v>
      </c>
      <c r="AR33" s="42">
        <v>23670</v>
      </c>
      <c r="AS33" s="42">
        <v>0</v>
      </c>
      <c r="AT33" s="42">
        <v>58867</v>
      </c>
      <c r="AU33" s="42">
        <v>6681</v>
      </c>
      <c r="AV33" s="42">
        <v>139</v>
      </c>
      <c r="AW33" s="42">
        <v>44</v>
      </c>
      <c r="AX33" s="42">
        <v>0</v>
      </c>
      <c r="AY33" s="42">
        <v>14021</v>
      </c>
      <c r="AZ33" s="42">
        <v>2180</v>
      </c>
      <c r="BA33" s="42">
        <v>0</v>
      </c>
      <c r="BB33" s="42">
        <v>44</v>
      </c>
      <c r="BC33" s="42">
        <v>0</v>
      </c>
      <c r="BD33" s="42">
        <v>1152</v>
      </c>
      <c r="BE33" s="42">
        <v>38</v>
      </c>
      <c r="BF33" s="42">
        <v>144</v>
      </c>
      <c r="BG33" s="42">
        <v>23670</v>
      </c>
      <c r="BH33" s="42">
        <v>0</v>
      </c>
      <c r="BI33" s="42">
        <v>58867</v>
      </c>
      <c r="BJ33" s="42">
        <v>6681</v>
      </c>
      <c r="BK33" s="42">
        <v>139</v>
      </c>
      <c r="BL33" s="42">
        <v>44</v>
      </c>
      <c r="BM33" s="42">
        <v>0</v>
      </c>
      <c r="BN33" s="42">
        <v>14021</v>
      </c>
      <c r="BO33" s="42">
        <v>2180</v>
      </c>
      <c r="BP33" s="42">
        <v>0</v>
      </c>
      <c r="BQ33" s="42">
        <v>0</v>
      </c>
      <c r="BR33" s="42">
        <v>0</v>
      </c>
      <c r="BS33" s="42">
        <v>0</v>
      </c>
      <c r="BT33" s="42">
        <v>44</v>
      </c>
      <c r="BU33" s="42">
        <v>0</v>
      </c>
      <c r="BV33" s="42">
        <v>0</v>
      </c>
      <c r="BW33" s="42">
        <v>0</v>
      </c>
      <c r="BX33" s="42">
        <v>1152</v>
      </c>
      <c r="BY33" s="42">
        <v>38</v>
      </c>
      <c r="BZ33" s="42">
        <v>0</v>
      </c>
      <c r="CA33" s="42">
        <v>0</v>
      </c>
      <c r="CB33" s="42">
        <v>1</v>
      </c>
      <c r="CC33" s="42">
        <v>143</v>
      </c>
      <c r="CD33" s="42">
        <v>23670</v>
      </c>
      <c r="CE33" s="42">
        <v>0</v>
      </c>
      <c r="CF33" s="42">
        <v>0</v>
      </c>
      <c r="CG33" s="42">
        <v>0</v>
      </c>
      <c r="CH33" s="42">
        <v>58867</v>
      </c>
      <c r="CI33" s="42">
        <v>6681</v>
      </c>
      <c r="CJ33" s="42">
        <v>0</v>
      </c>
      <c r="CK33" s="42">
        <v>0</v>
      </c>
      <c r="CL33" s="42">
        <v>0</v>
      </c>
      <c r="CM33" s="42">
        <v>139</v>
      </c>
      <c r="CN33" s="42">
        <v>44</v>
      </c>
      <c r="CO33" s="42">
        <v>0</v>
      </c>
      <c r="CP33" s="42">
        <v>0</v>
      </c>
      <c r="CQ33" s="42">
        <v>0</v>
      </c>
      <c r="CR33" s="42">
        <v>14021</v>
      </c>
      <c r="CS33" s="42">
        <v>2180</v>
      </c>
      <c r="CT33" s="42">
        <v>11410</v>
      </c>
      <c r="CU33" s="42">
        <v>0</v>
      </c>
      <c r="CV33" s="42">
        <v>4313</v>
      </c>
      <c r="CW33" s="42">
        <v>15723</v>
      </c>
      <c r="CX33" s="42">
        <v>0</v>
      </c>
      <c r="CY33" s="42">
        <v>0</v>
      </c>
      <c r="CZ33" s="42">
        <v>22961</v>
      </c>
      <c r="DA33" s="42">
        <v>0</v>
      </c>
      <c r="DB33" s="42">
        <v>8044788</v>
      </c>
      <c r="DC33" s="42">
        <v>0</v>
      </c>
      <c r="DD33" s="42">
        <v>22961</v>
      </c>
      <c r="DE33" s="42">
        <v>8044788</v>
      </c>
      <c r="DF33" s="42">
        <v>22961</v>
      </c>
      <c r="DG33" s="42">
        <v>8044788</v>
      </c>
      <c r="DH33" s="42">
        <v>22961</v>
      </c>
      <c r="DI33" s="42">
        <v>0</v>
      </c>
      <c r="DJ33" s="42">
        <v>8044788</v>
      </c>
      <c r="DK33" s="42">
        <v>0</v>
      </c>
      <c r="DL33" s="42">
        <v>617</v>
      </c>
      <c r="DM33" s="42">
        <v>0</v>
      </c>
      <c r="DN33" s="42">
        <v>0</v>
      </c>
      <c r="DO33" s="42">
        <v>17628</v>
      </c>
      <c r="DP33" s="42">
        <v>2653</v>
      </c>
      <c r="DQ33" s="42">
        <v>20281</v>
      </c>
      <c r="DR33" s="42">
        <v>20281</v>
      </c>
      <c r="DS33" s="42">
        <v>17628</v>
      </c>
      <c r="DT33" s="42">
        <v>2653</v>
      </c>
      <c r="DU33" s="42">
        <v>30</v>
      </c>
      <c r="DV33" s="42">
        <v>30</v>
      </c>
      <c r="DW33" s="42">
        <v>28123</v>
      </c>
      <c r="DX33" s="42">
        <v>2631</v>
      </c>
      <c r="DY33" s="42">
        <v>0</v>
      </c>
      <c r="DZ33" s="42">
        <v>13547</v>
      </c>
      <c r="EA33" s="42">
        <v>28123</v>
      </c>
      <c r="EB33" s="42"/>
      <c r="EC33" s="42"/>
      <c r="ED33" s="42"/>
      <c r="EE33" s="42"/>
      <c r="EF33" s="42"/>
      <c r="EG33" s="42"/>
      <c r="EH33" s="42"/>
      <c r="EI33" s="42"/>
      <c r="EJ33" s="42"/>
      <c r="EK33" s="42"/>
      <c r="EL33" s="42"/>
      <c r="EM33" s="42"/>
      <c r="EN33" s="42"/>
      <c r="EO33" s="42"/>
      <c r="EP33" s="42"/>
      <c r="EQ33" s="42"/>
      <c r="ER33" s="42"/>
      <c r="ES33" s="42"/>
      <c r="ET33" s="42"/>
      <c r="EU33" s="42"/>
      <c r="EV33" s="42"/>
      <c r="EW33" s="42"/>
      <c r="EX33" s="42"/>
      <c r="EY33" s="42"/>
      <c r="EZ33" s="42"/>
      <c r="FA33" s="42"/>
      <c r="FB33" s="42"/>
      <c r="FC33" s="42"/>
      <c r="FD33" s="42"/>
      <c r="FE33" s="42"/>
      <c r="FF33" s="42"/>
      <c r="FG33" s="42"/>
      <c r="FH33" s="42"/>
      <c r="FI33" s="42"/>
      <c r="FJ33" s="42"/>
      <c r="FK33" s="42"/>
      <c r="FL33" s="42"/>
      <c r="FM33" s="42"/>
      <c r="FN33" s="42"/>
      <c r="FO33" s="42"/>
      <c r="FP33" s="42"/>
      <c r="FQ33" s="42"/>
      <c r="FR33" s="42"/>
      <c r="FS33" s="42"/>
      <c r="FT33" s="42"/>
      <c r="FU33" s="42"/>
      <c r="FV33" s="42"/>
      <c r="FW33" s="42"/>
      <c r="FX33" s="42"/>
      <c r="FY33" s="42"/>
      <c r="FZ33" s="42"/>
      <c r="GA33" s="42"/>
      <c r="GB33" s="42"/>
      <c r="GC33" s="42"/>
      <c r="GD33" s="42"/>
      <c r="GE33" s="42"/>
      <c r="GF33" s="42"/>
      <c r="GG33" s="42"/>
      <c r="GH33" s="42"/>
      <c r="GI33" s="42"/>
      <c r="GJ33" s="42"/>
      <c r="GK33" s="42"/>
      <c r="GL33" s="42"/>
      <c r="GM33" s="42"/>
      <c r="GN33" s="42"/>
      <c r="GO33" s="42"/>
      <c r="GP33" s="42"/>
      <c r="GQ33" s="42"/>
      <c r="GR33" s="42"/>
      <c r="GS33" s="42"/>
      <c r="GT33" s="42"/>
      <c r="GU33" s="42"/>
      <c r="GV33" s="42"/>
      <c r="GW33" s="42"/>
      <c r="GX33" s="42"/>
      <c r="GY33" s="42"/>
      <c r="GZ33" s="42"/>
      <c r="HA33" s="42"/>
      <c r="HB33" s="42"/>
      <c r="HC33" s="42"/>
      <c r="HD33" s="42"/>
      <c r="HE33" s="42"/>
      <c r="HF33" s="42"/>
      <c r="HG33" s="42"/>
      <c r="HH33" s="42"/>
      <c r="HI33" s="42"/>
      <c r="HJ33" s="42"/>
      <c r="HK33" s="42"/>
      <c r="HL33" s="42"/>
      <c r="HM33" s="42"/>
      <c r="HN33" s="42"/>
      <c r="HO33" s="42"/>
      <c r="HP33" s="42"/>
      <c r="HQ33" s="42"/>
      <c r="HR33" s="42"/>
      <c r="HS33" s="42"/>
      <c r="HT33" s="42"/>
      <c r="HU33" s="42"/>
      <c r="HV33" s="42"/>
      <c r="HW33" s="42"/>
      <c r="HX33" s="42"/>
      <c r="HY33" s="42"/>
      <c r="HZ33" s="42"/>
      <c r="IA33" s="42"/>
      <c r="IB33" s="42"/>
      <c r="IC33" s="42"/>
      <c r="ID33" s="42"/>
      <c r="IE33" s="42"/>
      <c r="IF33" s="42"/>
      <c r="IG33" s="42"/>
      <c r="IH33" s="42"/>
      <c r="II33" s="42"/>
      <c r="IJ33" s="42"/>
      <c r="IK33" s="42"/>
      <c r="IL33" s="42"/>
      <c r="IM33" s="42"/>
      <c r="IN33" s="42"/>
      <c r="IO33" s="42"/>
      <c r="IP33" s="42"/>
      <c r="IQ33" s="42"/>
      <c r="IR33" s="42"/>
      <c r="IS33" s="42"/>
      <c r="IT33" s="42"/>
      <c r="IU33" s="42"/>
      <c r="IV33" s="42"/>
      <c r="IW33" s="42"/>
      <c r="IX33" s="42"/>
      <c r="IY33" s="42"/>
      <c r="IZ33" s="42"/>
      <c r="JA33" s="42"/>
      <c r="JB33" s="42"/>
      <c r="JC33" s="42"/>
      <c r="JD33" s="42"/>
      <c r="JE33" s="42"/>
      <c r="JF33" s="42"/>
      <c r="JG33" s="42"/>
      <c r="JH33" s="42"/>
      <c r="JI33" s="42"/>
      <c r="JJ33" s="42"/>
      <c r="JK33" s="42"/>
      <c r="JL33" s="42"/>
      <c r="JM33" s="42"/>
      <c r="JN33" s="42"/>
      <c r="JO33" s="42"/>
      <c r="JP33" s="42"/>
      <c r="JQ33" s="42"/>
      <c r="JR33" s="42"/>
      <c r="JS33" s="42"/>
      <c r="JT33" s="42"/>
      <c r="JU33" s="42"/>
      <c r="JV33" s="42"/>
      <c r="JW33" s="42"/>
      <c r="JX33" s="42"/>
      <c r="JY33" s="42"/>
      <c r="JZ33" s="42"/>
      <c r="KA33" s="42"/>
      <c r="KB33" s="42"/>
      <c r="KC33" s="42"/>
      <c r="KD33" s="42"/>
      <c r="KE33" s="42"/>
      <c r="KF33" s="42"/>
      <c r="KG33" s="42"/>
      <c r="KH33" s="42"/>
      <c r="KI33" s="42"/>
      <c r="KJ33" s="42"/>
      <c r="KK33" s="42"/>
      <c r="KL33" s="42"/>
      <c r="KM33" s="42"/>
      <c r="KN33" s="42"/>
      <c r="KO33" s="42"/>
      <c r="KP33" s="42"/>
      <c r="KQ33" s="42"/>
      <c r="KR33" s="42"/>
      <c r="KS33" s="42"/>
      <c r="KT33" s="42"/>
      <c r="KU33" s="42"/>
      <c r="KV33" s="42"/>
      <c r="KW33" s="42"/>
      <c r="KX33" s="42"/>
      <c r="KY33" s="42"/>
      <c r="KZ33" s="42"/>
    </row>
    <row r="34" spans="2:312" x14ac:dyDescent="0.35">
      <c r="B34" s="40">
        <f t="shared" si="0"/>
        <v>44743</v>
      </c>
      <c r="C34" s="31">
        <v>202207</v>
      </c>
      <c r="D34" s="42">
        <v>2680</v>
      </c>
      <c r="E34" s="42">
        <v>12273</v>
      </c>
      <c r="F34" s="42">
        <v>12273</v>
      </c>
      <c r="G34" s="42">
        <v>2895145.3469999898</v>
      </c>
      <c r="H34" s="42">
        <v>5253900.1939999899</v>
      </c>
      <c r="I34" s="42">
        <v>20472.434999999899</v>
      </c>
      <c r="J34" s="42">
        <v>87417</v>
      </c>
      <c r="K34" s="42">
        <v>34012.1539999999</v>
      </c>
      <c r="L34" s="42">
        <v>423.75200000000001</v>
      </c>
      <c r="M34" s="42">
        <v>430.02499999999998</v>
      </c>
      <c r="N34" s="42">
        <v>47</v>
      </c>
      <c r="O34" s="42">
        <v>0</v>
      </c>
      <c r="P34" s="42">
        <v>0</v>
      </c>
      <c r="Q34" s="42">
        <v>63</v>
      </c>
      <c r="R34" s="42">
        <v>42</v>
      </c>
      <c r="S34" s="42">
        <v>0</v>
      </c>
      <c r="T34" s="42">
        <v>0</v>
      </c>
      <c r="U34" s="42">
        <v>1597</v>
      </c>
      <c r="V34" s="42">
        <v>34886</v>
      </c>
      <c r="W34" s="42">
        <v>664</v>
      </c>
      <c r="X34" s="42">
        <v>0</v>
      </c>
      <c r="Y34" s="42">
        <v>4527</v>
      </c>
      <c r="Z34" s="42">
        <v>7149</v>
      </c>
      <c r="AA34" s="42">
        <v>2294</v>
      </c>
      <c r="AB34" s="42">
        <v>0</v>
      </c>
      <c r="AC34" s="42">
        <v>84739</v>
      </c>
      <c r="AD34" s="42">
        <v>47</v>
      </c>
      <c r="AE34" s="42">
        <v>452</v>
      </c>
      <c r="AF34" s="42">
        <v>0</v>
      </c>
      <c r="AG34" s="42">
        <v>764</v>
      </c>
      <c r="AH34" s="42">
        <v>2398</v>
      </c>
      <c r="AI34" s="42">
        <v>1163</v>
      </c>
      <c r="AJ34" s="42">
        <v>0</v>
      </c>
      <c r="AK34" s="42">
        <v>16698</v>
      </c>
      <c r="AL34" s="42">
        <v>63</v>
      </c>
      <c r="AM34" s="42">
        <v>47</v>
      </c>
      <c r="AN34" s="42">
        <v>0</v>
      </c>
      <c r="AO34" s="42">
        <v>1597</v>
      </c>
      <c r="AP34" s="42">
        <v>42</v>
      </c>
      <c r="AQ34" s="42">
        <v>7485</v>
      </c>
      <c r="AR34" s="42">
        <v>34886</v>
      </c>
      <c r="AS34" s="42">
        <v>0</v>
      </c>
      <c r="AT34" s="42">
        <v>84739</v>
      </c>
      <c r="AU34" s="42">
        <v>7149</v>
      </c>
      <c r="AV34" s="42">
        <v>2379</v>
      </c>
      <c r="AW34" s="42">
        <v>47</v>
      </c>
      <c r="AX34" s="42">
        <v>0</v>
      </c>
      <c r="AY34" s="42">
        <v>16698</v>
      </c>
      <c r="AZ34" s="42">
        <v>2398</v>
      </c>
      <c r="BA34" s="42">
        <v>63</v>
      </c>
      <c r="BB34" s="42">
        <v>47</v>
      </c>
      <c r="BC34" s="42">
        <v>0</v>
      </c>
      <c r="BD34" s="42">
        <v>1597</v>
      </c>
      <c r="BE34" s="42">
        <v>42</v>
      </c>
      <c r="BF34" s="42">
        <v>7485</v>
      </c>
      <c r="BG34" s="42">
        <v>34886</v>
      </c>
      <c r="BH34" s="42">
        <v>0</v>
      </c>
      <c r="BI34" s="42">
        <v>84739</v>
      </c>
      <c r="BJ34" s="42">
        <v>7149</v>
      </c>
      <c r="BK34" s="42">
        <v>2379</v>
      </c>
      <c r="BL34" s="42">
        <v>47</v>
      </c>
      <c r="BM34" s="42">
        <v>0</v>
      </c>
      <c r="BN34" s="42">
        <v>16698</v>
      </c>
      <c r="BO34" s="42">
        <v>2398</v>
      </c>
      <c r="BP34" s="42">
        <v>0</v>
      </c>
      <c r="BQ34" s="42">
        <v>0</v>
      </c>
      <c r="BR34" s="42">
        <v>63</v>
      </c>
      <c r="BS34" s="42">
        <v>0</v>
      </c>
      <c r="BT34" s="42">
        <v>47</v>
      </c>
      <c r="BU34" s="42">
        <v>0</v>
      </c>
      <c r="BV34" s="42">
        <v>0</v>
      </c>
      <c r="BW34" s="42">
        <v>0</v>
      </c>
      <c r="BX34" s="42">
        <v>1597</v>
      </c>
      <c r="BY34" s="42">
        <v>42</v>
      </c>
      <c r="BZ34" s="42">
        <v>664</v>
      </c>
      <c r="CA34" s="42">
        <v>0</v>
      </c>
      <c r="CB34" s="42">
        <v>4527</v>
      </c>
      <c r="CC34" s="42">
        <v>2294</v>
      </c>
      <c r="CD34" s="42">
        <v>34886</v>
      </c>
      <c r="CE34" s="42">
        <v>0</v>
      </c>
      <c r="CF34" s="42">
        <v>0</v>
      </c>
      <c r="CG34" s="42">
        <v>0</v>
      </c>
      <c r="CH34" s="42">
        <v>84739</v>
      </c>
      <c r="CI34" s="42">
        <v>7149</v>
      </c>
      <c r="CJ34" s="42">
        <v>452</v>
      </c>
      <c r="CK34" s="42">
        <v>0</v>
      </c>
      <c r="CL34" s="42">
        <v>764</v>
      </c>
      <c r="CM34" s="42">
        <v>1163</v>
      </c>
      <c r="CN34" s="42">
        <v>47</v>
      </c>
      <c r="CO34" s="42">
        <v>0</v>
      </c>
      <c r="CP34" s="42">
        <v>0</v>
      </c>
      <c r="CQ34" s="42">
        <v>0</v>
      </c>
      <c r="CR34" s="42">
        <v>16698</v>
      </c>
      <c r="CS34" s="42">
        <v>2398</v>
      </c>
      <c r="CT34" s="42">
        <v>10337</v>
      </c>
      <c r="CU34" s="42">
        <v>0</v>
      </c>
      <c r="CV34" s="42">
        <v>4002</v>
      </c>
      <c r="CW34" s="42">
        <v>14339</v>
      </c>
      <c r="CX34" s="42">
        <v>0</v>
      </c>
      <c r="CY34" s="42">
        <v>0</v>
      </c>
      <c r="CZ34" s="42">
        <v>23912</v>
      </c>
      <c r="DA34" s="42">
        <v>0</v>
      </c>
      <c r="DB34" s="42">
        <v>8556297</v>
      </c>
      <c r="DC34" s="42">
        <v>0</v>
      </c>
      <c r="DD34" s="42">
        <v>23912</v>
      </c>
      <c r="DE34" s="42">
        <v>8556297</v>
      </c>
      <c r="DF34" s="42">
        <v>23912</v>
      </c>
      <c r="DG34" s="42">
        <v>8556297</v>
      </c>
      <c r="DH34" s="42">
        <v>23912</v>
      </c>
      <c r="DI34" s="42">
        <v>0</v>
      </c>
      <c r="DJ34" s="42">
        <v>8556297</v>
      </c>
      <c r="DK34" s="42">
        <v>0</v>
      </c>
      <c r="DL34" s="42">
        <v>648</v>
      </c>
      <c r="DM34" s="42">
        <v>0</v>
      </c>
      <c r="DN34" s="42">
        <v>0</v>
      </c>
      <c r="DO34" s="42">
        <v>19486</v>
      </c>
      <c r="DP34" s="42">
        <v>4900</v>
      </c>
      <c r="DQ34" s="42">
        <v>24386</v>
      </c>
      <c r="DR34" s="42">
        <v>24386</v>
      </c>
      <c r="DS34" s="42">
        <v>19486</v>
      </c>
      <c r="DT34" s="42">
        <v>4900</v>
      </c>
      <c r="DU34" s="42">
        <v>0</v>
      </c>
      <c r="DV34" s="42">
        <v>0</v>
      </c>
      <c r="DW34" s="42">
        <v>28123</v>
      </c>
      <c r="DX34" s="42">
        <v>2631</v>
      </c>
      <c r="DY34" s="42">
        <v>0</v>
      </c>
      <c r="DZ34" s="42">
        <v>13547</v>
      </c>
      <c r="EA34" s="42">
        <v>28123</v>
      </c>
      <c r="EB34" s="42"/>
      <c r="EC34" s="42"/>
      <c r="ED34" s="42"/>
      <c r="EE34" s="42"/>
      <c r="EF34" s="42"/>
      <c r="EG34" s="42"/>
      <c r="EH34" s="42"/>
      <c r="EI34" s="42"/>
      <c r="EJ34" s="42"/>
      <c r="EK34" s="42"/>
      <c r="EL34" s="42"/>
      <c r="EM34" s="42"/>
      <c r="EN34" s="42"/>
      <c r="EO34" s="42"/>
      <c r="EP34" s="42"/>
      <c r="EQ34" s="42"/>
      <c r="ER34" s="42"/>
      <c r="ES34" s="42"/>
      <c r="ET34" s="42"/>
      <c r="EU34" s="42"/>
      <c r="EV34" s="42"/>
      <c r="EW34" s="42"/>
      <c r="EX34" s="42"/>
      <c r="EY34" s="42"/>
      <c r="EZ34" s="42"/>
      <c r="FA34" s="42"/>
      <c r="FB34" s="42"/>
      <c r="FC34" s="42"/>
      <c r="FD34" s="42"/>
      <c r="FE34" s="42"/>
      <c r="FF34" s="42"/>
      <c r="FG34" s="42"/>
      <c r="FH34" s="42"/>
      <c r="FI34" s="42"/>
      <c r="FJ34" s="42"/>
      <c r="FK34" s="42"/>
      <c r="FL34" s="42"/>
      <c r="FM34" s="42"/>
      <c r="FN34" s="42"/>
      <c r="FO34" s="42"/>
      <c r="FP34" s="42"/>
      <c r="FQ34" s="42"/>
      <c r="FR34" s="42"/>
      <c r="FS34" s="42"/>
      <c r="FT34" s="42"/>
      <c r="FU34" s="42"/>
      <c r="FV34" s="42"/>
      <c r="FW34" s="42"/>
      <c r="FX34" s="42"/>
      <c r="FY34" s="42"/>
      <c r="FZ34" s="42"/>
      <c r="GA34" s="42"/>
      <c r="GB34" s="42"/>
      <c r="GC34" s="42"/>
      <c r="GD34" s="42"/>
      <c r="GE34" s="42"/>
      <c r="GF34" s="42"/>
      <c r="GG34" s="42"/>
      <c r="GH34" s="42"/>
      <c r="GI34" s="42"/>
      <c r="GJ34" s="42"/>
      <c r="GK34" s="42"/>
      <c r="GL34" s="42"/>
      <c r="GM34" s="42"/>
      <c r="GN34" s="42"/>
      <c r="GO34" s="42"/>
      <c r="GP34" s="42"/>
      <c r="GQ34" s="42"/>
      <c r="GR34" s="42"/>
      <c r="GS34" s="42"/>
      <c r="GT34" s="42"/>
      <c r="GU34" s="42"/>
      <c r="GV34" s="42"/>
      <c r="GW34" s="42"/>
      <c r="GX34" s="42"/>
      <c r="GY34" s="42"/>
      <c r="GZ34" s="42"/>
      <c r="HA34" s="42"/>
      <c r="HB34" s="42"/>
      <c r="HC34" s="42"/>
      <c r="HD34" s="42"/>
      <c r="HE34" s="42"/>
      <c r="HF34" s="42"/>
      <c r="HG34" s="42"/>
      <c r="HH34" s="42"/>
      <c r="HI34" s="42"/>
      <c r="HJ34" s="42"/>
      <c r="HK34" s="42"/>
      <c r="HL34" s="42"/>
      <c r="HM34" s="42"/>
      <c r="HN34" s="42"/>
      <c r="HO34" s="42"/>
      <c r="HP34" s="42"/>
      <c r="HQ34" s="42"/>
      <c r="HR34" s="42"/>
      <c r="HS34" s="42"/>
      <c r="HT34" s="42"/>
      <c r="HU34" s="42"/>
      <c r="HV34" s="42"/>
      <c r="HW34" s="42"/>
      <c r="HX34" s="42"/>
      <c r="HY34" s="42"/>
      <c r="HZ34" s="42"/>
      <c r="IA34" s="42"/>
      <c r="IB34" s="42"/>
      <c r="IC34" s="42"/>
      <c r="ID34" s="42"/>
      <c r="IE34" s="42"/>
      <c r="IF34" s="42"/>
      <c r="IG34" s="42"/>
      <c r="IH34" s="42"/>
      <c r="II34" s="42"/>
      <c r="IJ34" s="42"/>
      <c r="IK34" s="42"/>
      <c r="IL34" s="42"/>
      <c r="IM34" s="42"/>
      <c r="IN34" s="42"/>
      <c r="IO34" s="42"/>
      <c r="IP34" s="42"/>
      <c r="IQ34" s="42"/>
      <c r="IR34" s="42"/>
      <c r="IS34" s="42"/>
      <c r="IT34" s="42"/>
      <c r="IU34" s="42"/>
      <c r="IV34" s="42"/>
      <c r="IW34" s="42"/>
      <c r="IX34" s="42"/>
      <c r="IY34" s="42"/>
      <c r="IZ34" s="42"/>
      <c r="JA34" s="42"/>
      <c r="JB34" s="42"/>
      <c r="JC34" s="42"/>
      <c r="JD34" s="42"/>
      <c r="JE34" s="42"/>
      <c r="JF34" s="42"/>
      <c r="JG34" s="42"/>
      <c r="JH34" s="42"/>
      <c r="JI34" s="42"/>
      <c r="JJ34" s="42"/>
      <c r="JK34" s="42"/>
      <c r="JL34" s="42"/>
      <c r="JM34" s="42"/>
      <c r="JN34" s="42"/>
      <c r="JO34" s="42"/>
      <c r="JP34" s="42"/>
      <c r="JQ34" s="42"/>
      <c r="JR34" s="42"/>
      <c r="JS34" s="42"/>
      <c r="JT34" s="42"/>
      <c r="JU34" s="42"/>
      <c r="JV34" s="42"/>
      <c r="JW34" s="42"/>
      <c r="JX34" s="42"/>
      <c r="JY34" s="42"/>
      <c r="JZ34" s="42"/>
      <c r="KA34" s="42"/>
      <c r="KB34" s="42"/>
      <c r="KC34" s="42"/>
      <c r="KD34" s="42"/>
      <c r="KE34" s="42"/>
      <c r="KF34" s="42"/>
      <c r="KG34" s="42"/>
      <c r="KH34" s="42"/>
      <c r="KI34" s="42"/>
      <c r="KJ34" s="42"/>
      <c r="KK34" s="42"/>
      <c r="KL34" s="42"/>
      <c r="KM34" s="42"/>
      <c r="KN34" s="42"/>
      <c r="KO34" s="42"/>
      <c r="KP34" s="42"/>
      <c r="KQ34" s="42"/>
      <c r="KR34" s="42"/>
      <c r="KS34" s="42"/>
      <c r="KT34" s="42"/>
      <c r="KU34" s="42"/>
      <c r="KV34" s="42"/>
      <c r="KW34" s="42"/>
      <c r="KX34" s="42"/>
      <c r="KY34" s="42"/>
      <c r="KZ34" s="42"/>
    </row>
    <row r="35" spans="2:312" x14ac:dyDescent="0.35">
      <c r="B35" s="40">
        <f t="shared" si="0"/>
        <v>44774</v>
      </c>
      <c r="C35" s="31">
        <v>202208</v>
      </c>
      <c r="D35" s="42">
        <v>6230</v>
      </c>
      <c r="E35" s="42">
        <v>2385</v>
      </c>
      <c r="F35" s="42">
        <v>2385</v>
      </c>
      <c r="G35" s="42">
        <v>3099369.6609999901</v>
      </c>
      <c r="H35" s="42">
        <v>5544328.8239999898</v>
      </c>
      <c r="I35" s="42">
        <v>22549.978999999999</v>
      </c>
      <c r="J35" s="42">
        <v>105609</v>
      </c>
      <c r="K35" s="42">
        <v>36823.753999999899</v>
      </c>
      <c r="L35" s="42">
        <v>509.221</v>
      </c>
      <c r="M35" s="42">
        <v>513.28899999999999</v>
      </c>
      <c r="N35" s="42">
        <v>29</v>
      </c>
      <c r="O35" s="42">
        <v>0</v>
      </c>
      <c r="P35" s="42">
        <v>0</v>
      </c>
      <c r="Q35" s="42">
        <v>26</v>
      </c>
      <c r="R35" s="42">
        <v>56</v>
      </c>
      <c r="S35" s="42">
        <v>1</v>
      </c>
      <c r="T35" s="42">
        <v>0</v>
      </c>
      <c r="U35" s="42">
        <v>2510</v>
      </c>
      <c r="V35" s="42">
        <v>34313</v>
      </c>
      <c r="W35" s="42">
        <v>427</v>
      </c>
      <c r="X35" s="42">
        <v>0</v>
      </c>
      <c r="Y35" s="42">
        <v>2285</v>
      </c>
      <c r="Z35" s="42">
        <v>7506</v>
      </c>
      <c r="AA35" s="42">
        <v>603</v>
      </c>
      <c r="AB35" s="42">
        <v>0</v>
      </c>
      <c r="AC35" s="42">
        <v>144198</v>
      </c>
      <c r="AD35" s="42">
        <v>29</v>
      </c>
      <c r="AE35" s="42">
        <v>268</v>
      </c>
      <c r="AF35" s="42">
        <v>0</v>
      </c>
      <c r="AG35" s="42">
        <v>472</v>
      </c>
      <c r="AH35" s="42">
        <v>2604</v>
      </c>
      <c r="AI35" s="42">
        <v>299</v>
      </c>
      <c r="AJ35" s="42">
        <v>0</v>
      </c>
      <c r="AK35" s="42">
        <v>27791</v>
      </c>
      <c r="AL35" s="42">
        <v>27</v>
      </c>
      <c r="AM35" s="42">
        <v>29</v>
      </c>
      <c r="AN35" s="42">
        <v>0</v>
      </c>
      <c r="AO35" s="42">
        <v>2510</v>
      </c>
      <c r="AP35" s="42">
        <v>56</v>
      </c>
      <c r="AQ35" s="42">
        <v>3315</v>
      </c>
      <c r="AR35" s="42">
        <v>34313</v>
      </c>
      <c r="AS35" s="42">
        <v>0</v>
      </c>
      <c r="AT35" s="42">
        <v>144198</v>
      </c>
      <c r="AU35" s="42">
        <v>7506</v>
      </c>
      <c r="AV35" s="42">
        <v>1039</v>
      </c>
      <c r="AW35" s="42">
        <v>29</v>
      </c>
      <c r="AX35" s="42">
        <v>0</v>
      </c>
      <c r="AY35" s="42">
        <v>27791</v>
      </c>
      <c r="AZ35" s="42">
        <v>2604</v>
      </c>
      <c r="BA35" s="42">
        <v>27</v>
      </c>
      <c r="BB35" s="42">
        <v>29</v>
      </c>
      <c r="BC35" s="42">
        <v>0</v>
      </c>
      <c r="BD35" s="42">
        <v>2510</v>
      </c>
      <c r="BE35" s="42">
        <v>56</v>
      </c>
      <c r="BF35" s="42">
        <v>3315</v>
      </c>
      <c r="BG35" s="42">
        <v>34313</v>
      </c>
      <c r="BH35" s="42">
        <v>0</v>
      </c>
      <c r="BI35" s="42">
        <v>144198</v>
      </c>
      <c r="BJ35" s="42">
        <v>7506</v>
      </c>
      <c r="BK35" s="42">
        <v>1039</v>
      </c>
      <c r="BL35" s="42">
        <v>29</v>
      </c>
      <c r="BM35" s="42">
        <v>0</v>
      </c>
      <c r="BN35" s="42">
        <v>27791</v>
      </c>
      <c r="BO35" s="42">
        <v>2604</v>
      </c>
      <c r="BP35" s="42">
        <v>0</v>
      </c>
      <c r="BQ35" s="42">
        <v>0</v>
      </c>
      <c r="BR35" s="42">
        <v>26</v>
      </c>
      <c r="BS35" s="42">
        <v>1</v>
      </c>
      <c r="BT35" s="42">
        <v>29</v>
      </c>
      <c r="BU35" s="42">
        <v>0</v>
      </c>
      <c r="BV35" s="42">
        <v>0</v>
      </c>
      <c r="BW35" s="42">
        <v>0</v>
      </c>
      <c r="BX35" s="42">
        <v>2510</v>
      </c>
      <c r="BY35" s="42">
        <v>56</v>
      </c>
      <c r="BZ35" s="42">
        <v>427</v>
      </c>
      <c r="CA35" s="42">
        <v>0</v>
      </c>
      <c r="CB35" s="42">
        <v>2285</v>
      </c>
      <c r="CC35" s="42">
        <v>603</v>
      </c>
      <c r="CD35" s="42">
        <v>34313</v>
      </c>
      <c r="CE35" s="42">
        <v>0</v>
      </c>
      <c r="CF35" s="42">
        <v>0</v>
      </c>
      <c r="CG35" s="42">
        <v>0</v>
      </c>
      <c r="CH35" s="42">
        <v>144198</v>
      </c>
      <c r="CI35" s="42">
        <v>7506</v>
      </c>
      <c r="CJ35" s="42">
        <v>268</v>
      </c>
      <c r="CK35" s="42">
        <v>0</v>
      </c>
      <c r="CL35" s="42">
        <v>472</v>
      </c>
      <c r="CM35" s="42">
        <v>299</v>
      </c>
      <c r="CN35" s="42">
        <v>29</v>
      </c>
      <c r="CO35" s="42">
        <v>0</v>
      </c>
      <c r="CP35" s="42">
        <v>0</v>
      </c>
      <c r="CQ35" s="42">
        <v>0</v>
      </c>
      <c r="CR35" s="42">
        <v>27791</v>
      </c>
      <c r="CS35" s="42">
        <v>2604</v>
      </c>
      <c r="CT35" s="42">
        <v>12371</v>
      </c>
      <c r="CU35" s="42">
        <v>0</v>
      </c>
      <c r="CV35" s="42">
        <v>4693</v>
      </c>
      <c r="CW35" s="42">
        <v>17064</v>
      </c>
      <c r="CX35" s="42">
        <v>0</v>
      </c>
      <c r="CY35" s="42">
        <v>0</v>
      </c>
      <c r="CZ35" s="42">
        <v>24998</v>
      </c>
      <c r="DA35" s="42">
        <v>0</v>
      </c>
      <c r="DB35" s="42">
        <v>8823896</v>
      </c>
      <c r="DC35" s="42">
        <v>0</v>
      </c>
      <c r="DD35" s="42">
        <v>24998</v>
      </c>
      <c r="DE35" s="42">
        <v>8823896</v>
      </c>
      <c r="DF35" s="42">
        <v>24998</v>
      </c>
      <c r="DG35" s="42">
        <v>8823896</v>
      </c>
      <c r="DH35" s="42">
        <v>24998</v>
      </c>
      <c r="DI35" s="42">
        <v>0</v>
      </c>
      <c r="DJ35" s="42">
        <v>8823896</v>
      </c>
      <c r="DK35" s="42">
        <v>0</v>
      </c>
      <c r="DL35" s="42">
        <v>777</v>
      </c>
      <c r="DM35" s="42">
        <v>0</v>
      </c>
      <c r="DN35" s="42">
        <v>0</v>
      </c>
      <c r="DO35" s="42">
        <v>13230</v>
      </c>
      <c r="DP35" s="42">
        <v>3239</v>
      </c>
      <c r="DQ35" s="42">
        <v>16469</v>
      </c>
      <c r="DR35" s="42">
        <v>16469</v>
      </c>
      <c r="DS35" s="42">
        <v>13230</v>
      </c>
      <c r="DT35" s="42">
        <v>3239</v>
      </c>
      <c r="DU35" s="42">
        <v>0</v>
      </c>
      <c r="DV35" s="42">
        <v>0</v>
      </c>
      <c r="DW35" s="42">
        <v>28123</v>
      </c>
      <c r="DX35" s="42">
        <v>2631</v>
      </c>
      <c r="DY35" s="42">
        <v>0</v>
      </c>
      <c r="DZ35" s="42">
        <v>13547</v>
      </c>
      <c r="EA35" s="42">
        <v>28123</v>
      </c>
      <c r="EB35" s="42"/>
      <c r="EC35" s="42"/>
      <c r="ED35" s="42"/>
      <c r="EE35" s="42"/>
      <c r="EF35" s="42"/>
      <c r="EG35" s="42"/>
      <c r="EH35" s="42"/>
      <c r="EI35" s="42"/>
      <c r="EJ35" s="42"/>
      <c r="EK35" s="42"/>
      <c r="EL35" s="42"/>
      <c r="EM35" s="42"/>
      <c r="EN35" s="42"/>
      <c r="EO35" s="42"/>
      <c r="EP35" s="42"/>
      <c r="EQ35" s="42"/>
      <c r="ER35" s="42"/>
      <c r="ES35" s="42"/>
      <c r="ET35" s="42"/>
      <c r="EU35" s="42"/>
      <c r="EV35" s="42"/>
      <c r="EW35" s="42"/>
      <c r="EX35" s="42"/>
      <c r="EY35" s="42"/>
      <c r="EZ35" s="42"/>
      <c r="FA35" s="42"/>
      <c r="FB35" s="42"/>
      <c r="FC35" s="42"/>
      <c r="FD35" s="42"/>
      <c r="FE35" s="42"/>
      <c r="FF35" s="42"/>
      <c r="FG35" s="42"/>
      <c r="FH35" s="42"/>
      <c r="FI35" s="42"/>
      <c r="FJ35" s="42"/>
      <c r="FK35" s="42"/>
      <c r="FL35" s="42"/>
      <c r="FM35" s="42"/>
      <c r="FN35" s="42"/>
      <c r="FO35" s="42"/>
      <c r="FP35" s="42"/>
      <c r="FQ35" s="42"/>
      <c r="FR35" s="42"/>
      <c r="FS35" s="42"/>
      <c r="FT35" s="42"/>
      <c r="FU35" s="42"/>
      <c r="FV35" s="42"/>
      <c r="FW35" s="42"/>
      <c r="FX35" s="42"/>
      <c r="FY35" s="42"/>
      <c r="FZ35" s="42"/>
      <c r="GA35" s="42"/>
      <c r="GB35" s="42"/>
      <c r="GC35" s="42"/>
      <c r="GD35" s="42"/>
      <c r="GE35" s="42"/>
      <c r="GF35" s="42"/>
      <c r="GG35" s="42"/>
      <c r="GH35" s="42"/>
      <c r="GI35" s="42"/>
      <c r="GJ35" s="42"/>
      <c r="GK35" s="42"/>
      <c r="GL35" s="42"/>
      <c r="GM35" s="42"/>
      <c r="GN35" s="42"/>
      <c r="GO35" s="42"/>
      <c r="GP35" s="42"/>
      <c r="GQ35" s="42"/>
      <c r="GR35" s="42"/>
      <c r="GS35" s="42"/>
      <c r="GT35" s="42"/>
      <c r="GU35" s="42"/>
      <c r="GV35" s="42"/>
      <c r="GW35" s="42"/>
      <c r="GX35" s="42"/>
      <c r="GY35" s="42"/>
      <c r="GZ35" s="42"/>
      <c r="HA35" s="42"/>
      <c r="HB35" s="42"/>
      <c r="HC35" s="42"/>
      <c r="HD35" s="42"/>
      <c r="HE35" s="42"/>
      <c r="HF35" s="42"/>
      <c r="HG35" s="42"/>
      <c r="HH35" s="42"/>
      <c r="HI35" s="42"/>
      <c r="HJ35" s="42"/>
      <c r="HK35" s="42"/>
      <c r="HL35" s="42"/>
      <c r="HM35" s="42"/>
      <c r="HN35" s="42"/>
      <c r="HO35" s="42"/>
      <c r="HP35" s="42"/>
      <c r="HQ35" s="42"/>
      <c r="HR35" s="42"/>
      <c r="HS35" s="42"/>
      <c r="HT35" s="42"/>
      <c r="HU35" s="42"/>
      <c r="HV35" s="42"/>
      <c r="HW35" s="42"/>
      <c r="HX35" s="42"/>
      <c r="HY35" s="42"/>
      <c r="HZ35" s="42"/>
      <c r="IA35" s="42"/>
      <c r="IB35" s="42"/>
      <c r="IC35" s="42"/>
      <c r="ID35" s="42"/>
      <c r="IE35" s="42"/>
      <c r="IF35" s="42"/>
      <c r="IG35" s="42"/>
      <c r="IH35" s="42"/>
      <c r="II35" s="42"/>
      <c r="IJ35" s="42"/>
      <c r="IK35" s="42"/>
      <c r="IL35" s="42"/>
      <c r="IM35" s="42"/>
      <c r="IN35" s="42"/>
      <c r="IO35" s="42"/>
      <c r="IP35" s="42"/>
      <c r="IQ35" s="42"/>
      <c r="IR35" s="42"/>
      <c r="IS35" s="42"/>
      <c r="IT35" s="42"/>
      <c r="IU35" s="42"/>
      <c r="IV35" s="42"/>
      <c r="IW35" s="42"/>
      <c r="IX35" s="42"/>
      <c r="IY35" s="42"/>
      <c r="IZ35" s="42"/>
      <c r="JA35" s="42"/>
      <c r="JB35" s="42"/>
      <c r="JC35" s="42"/>
      <c r="JD35" s="42"/>
      <c r="JE35" s="42"/>
      <c r="JF35" s="42"/>
      <c r="JG35" s="42"/>
      <c r="JH35" s="42"/>
      <c r="JI35" s="42"/>
      <c r="JJ35" s="42"/>
      <c r="JK35" s="42"/>
      <c r="JL35" s="42"/>
      <c r="JM35" s="42"/>
      <c r="JN35" s="42"/>
      <c r="JO35" s="42"/>
      <c r="JP35" s="42"/>
      <c r="JQ35" s="42"/>
      <c r="JR35" s="42"/>
      <c r="JS35" s="42"/>
      <c r="JT35" s="42"/>
      <c r="JU35" s="42"/>
      <c r="JV35" s="42"/>
      <c r="JW35" s="42"/>
      <c r="JX35" s="42"/>
      <c r="JY35" s="42"/>
      <c r="JZ35" s="42"/>
      <c r="KA35" s="42"/>
      <c r="KB35" s="42"/>
      <c r="KC35" s="42"/>
      <c r="KD35" s="42"/>
      <c r="KE35" s="42"/>
      <c r="KF35" s="42"/>
      <c r="KG35" s="42"/>
      <c r="KH35" s="42"/>
      <c r="KI35" s="42"/>
      <c r="KJ35" s="42"/>
      <c r="KK35" s="42"/>
      <c r="KL35" s="42"/>
      <c r="KM35" s="42"/>
      <c r="KN35" s="42"/>
      <c r="KO35" s="42"/>
      <c r="KP35" s="42"/>
      <c r="KQ35" s="42"/>
      <c r="KR35" s="42"/>
      <c r="KS35" s="42"/>
      <c r="KT35" s="42"/>
      <c r="KU35" s="42"/>
      <c r="KV35" s="42"/>
      <c r="KW35" s="42"/>
      <c r="KX35" s="42"/>
      <c r="KY35" s="42"/>
      <c r="KZ35" s="42"/>
    </row>
    <row r="36" spans="2:312" x14ac:dyDescent="0.35">
      <c r="B36" s="40">
        <f t="shared" si="0"/>
        <v>44805</v>
      </c>
      <c r="C36" s="31">
        <v>202209</v>
      </c>
      <c r="D36" s="42">
        <v>6256</v>
      </c>
      <c r="E36" s="42">
        <v>11</v>
      </c>
      <c r="F36" s="42">
        <v>11</v>
      </c>
      <c r="G36" s="42">
        <v>2964044.6099999901</v>
      </c>
      <c r="H36" s="42">
        <v>5301612.01299999</v>
      </c>
      <c r="I36" s="42">
        <v>22301.364000000001</v>
      </c>
      <c r="J36" s="42">
        <v>98691</v>
      </c>
      <c r="K36" s="42">
        <v>35921.516999999898</v>
      </c>
      <c r="L36" s="42">
        <v>536.41399999999999</v>
      </c>
      <c r="M36" s="42">
        <v>540.49800000000005</v>
      </c>
      <c r="N36" s="42">
        <v>46</v>
      </c>
      <c r="O36" s="42">
        <v>0</v>
      </c>
      <c r="P36" s="42">
        <v>0</v>
      </c>
      <c r="Q36" s="42">
        <v>19</v>
      </c>
      <c r="R36" s="42">
        <v>28</v>
      </c>
      <c r="S36" s="42">
        <v>0</v>
      </c>
      <c r="T36" s="42">
        <v>0</v>
      </c>
      <c r="U36" s="42">
        <v>1591</v>
      </c>
      <c r="V36" s="42">
        <v>26136</v>
      </c>
      <c r="W36" s="42">
        <v>302</v>
      </c>
      <c r="X36" s="42">
        <v>0</v>
      </c>
      <c r="Y36" s="42">
        <v>448</v>
      </c>
      <c r="Z36" s="42">
        <v>5936</v>
      </c>
      <c r="AA36" s="42">
        <v>1580</v>
      </c>
      <c r="AB36" s="42">
        <v>0</v>
      </c>
      <c r="AC36" s="42">
        <v>86313</v>
      </c>
      <c r="AD36" s="42">
        <v>46</v>
      </c>
      <c r="AE36" s="42">
        <v>165</v>
      </c>
      <c r="AF36" s="42">
        <v>0</v>
      </c>
      <c r="AG36" s="42">
        <v>99</v>
      </c>
      <c r="AH36" s="42">
        <v>2095</v>
      </c>
      <c r="AI36" s="42">
        <v>1470</v>
      </c>
      <c r="AJ36" s="42">
        <v>0</v>
      </c>
      <c r="AK36" s="42">
        <v>17202</v>
      </c>
      <c r="AL36" s="42">
        <v>19</v>
      </c>
      <c r="AM36" s="42">
        <v>46</v>
      </c>
      <c r="AN36" s="42">
        <v>0</v>
      </c>
      <c r="AO36" s="42">
        <v>1591</v>
      </c>
      <c r="AP36" s="42">
        <v>28</v>
      </c>
      <c r="AQ36" s="42">
        <v>2330</v>
      </c>
      <c r="AR36" s="42">
        <v>26136</v>
      </c>
      <c r="AS36" s="42">
        <v>0</v>
      </c>
      <c r="AT36" s="42">
        <v>86313</v>
      </c>
      <c r="AU36" s="42">
        <v>5936</v>
      </c>
      <c r="AV36" s="42">
        <v>1734</v>
      </c>
      <c r="AW36" s="42">
        <v>46</v>
      </c>
      <c r="AX36" s="42">
        <v>0</v>
      </c>
      <c r="AY36" s="42">
        <v>17202</v>
      </c>
      <c r="AZ36" s="42">
        <v>2095</v>
      </c>
      <c r="BA36" s="42">
        <v>19</v>
      </c>
      <c r="BB36" s="42">
        <v>46</v>
      </c>
      <c r="BC36" s="42">
        <v>0</v>
      </c>
      <c r="BD36" s="42">
        <v>1591</v>
      </c>
      <c r="BE36" s="42">
        <v>28</v>
      </c>
      <c r="BF36" s="42">
        <v>2330</v>
      </c>
      <c r="BG36" s="42">
        <v>26136</v>
      </c>
      <c r="BH36" s="42">
        <v>0</v>
      </c>
      <c r="BI36" s="42">
        <v>86313</v>
      </c>
      <c r="BJ36" s="42">
        <v>5936</v>
      </c>
      <c r="BK36" s="42">
        <v>1734</v>
      </c>
      <c r="BL36" s="42">
        <v>46</v>
      </c>
      <c r="BM36" s="42">
        <v>0</v>
      </c>
      <c r="BN36" s="42">
        <v>17202</v>
      </c>
      <c r="BO36" s="42">
        <v>2095</v>
      </c>
      <c r="BP36" s="42">
        <v>0</v>
      </c>
      <c r="BQ36" s="42">
        <v>0</v>
      </c>
      <c r="BR36" s="42">
        <v>19</v>
      </c>
      <c r="BS36" s="42">
        <v>0</v>
      </c>
      <c r="BT36" s="42">
        <v>46</v>
      </c>
      <c r="BU36" s="42">
        <v>0</v>
      </c>
      <c r="BV36" s="42">
        <v>0</v>
      </c>
      <c r="BW36" s="42">
        <v>0</v>
      </c>
      <c r="BX36" s="42">
        <v>1591</v>
      </c>
      <c r="BY36" s="42">
        <v>28</v>
      </c>
      <c r="BZ36" s="42">
        <v>302</v>
      </c>
      <c r="CA36" s="42">
        <v>0</v>
      </c>
      <c r="CB36" s="42">
        <v>448</v>
      </c>
      <c r="CC36" s="42">
        <v>1580</v>
      </c>
      <c r="CD36" s="42">
        <v>26136</v>
      </c>
      <c r="CE36" s="42">
        <v>0</v>
      </c>
      <c r="CF36" s="42">
        <v>0</v>
      </c>
      <c r="CG36" s="42">
        <v>0</v>
      </c>
      <c r="CH36" s="42">
        <v>86313</v>
      </c>
      <c r="CI36" s="42">
        <v>5936</v>
      </c>
      <c r="CJ36" s="42">
        <v>165</v>
      </c>
      <c r="CK36" s="42">
        <v>0</v>
      </c>
      <c r="CL36" s="42">
        <v>99</v>
      </c>
      <c r="CM36" s="42">
        <v>1470</v>
      </c>
      <c r="CN36" s="42">
        <v>46</v>
      </c>
      <c r="CO36" s="42">
        <v>0</v>
      </c>
      <c r="CP36" s="42">
        <v>0</v>
      </c>
      <c r="CQ36" s="42">
        <v>0</v>
      </c>
      <c r="CR36" s="42">
        <v>17202</v>
      </c>
      <c r="CS36" s="42">
        <v>2095</v>
      </c>
      <c r="CT36" s="42">
        <v>10245</v>
      </c>
      <c r="CU36" s="42">
        <v>0</v>
      </c>
      <c r="CV36" s="42">
        <v>4227</v>
      </c>
      <c r="CW36" s="42">
        <v>14472</v>
      </c>
      <c r="CX36" s="42">
        <v>0</v>
      </c>
      <c r="CY36" s="42">
        <v>0</v>
      </c>
      <c r="CZ36" s="42">
        <v>24575</v>
      </c>
      <c r="DA36" s="42">
        <v>0</v>
      </c>
      <c r="DB36" s="42">
        <v>9029427</v>
      </c>
      <c r="DC36" s="42">
        <v>0</v>
      </c>
      <c r="DD36" s="42">
        <v>24575</v>
      </c>
      <c r="DE36" s="42">
        <v>9029427</v>
      </c>
      <c r="DF36" s="42">
        <v>24575</v>
      </c>
      <c r="DG36" s="42">
        <v>9029427</v>
      </c>
      <c r="DH36" s="42">
        <v>24575</v>
      </c>
      <c r="DI36" s="42">
        <v>0</v>
      </c>
      <c r="DJ36" s="42">
        <v>9029427</v>
      </c>
      <c r="DK36" s="42">
        <v>0</v>
      </c>
      <c r="DL36" s="42">
        <v>802</v>
      </c>
      <c r="DM36" s="42">
        <v>0</v>
      </c>
      <c r="DN36" s="42">
        <v>0</v>
      </c>
      <c r="DO36" s="42">
        <v>14132</v>
      </c>
      <c r="DP36" s="42">
        <v>4751</v>
      </c>
      <c r="DQ36" s="42">
        <v>18883</v>
      </c>
      <c r="DR36" s="42">
        <v>18883</v>
      </c>
      <c r="DS36" s="42">
        <v>14132</v>
      </c>
      <c r="DT36" s="42">
        <v>4751</v>
      </c>
      <c r="DU36" s="42">
        <v>92</v>
      </c>
      <c r="DV36" s="42">
        <v>92</v>
      </c>
      <c r="DW36" s="42">
        <v>28123</v>
      </c>
      <c r="DX36" s="42">
        <v>2631</v>
      </c>
      <c r="DY36" s="42">
        <v>0</v>
      </c>
      <c r="DZ36" s="42">
        <v>13547</v>
      </c>
      <c r="EA36" s="42">
        <v>28123</v>
      </c>
      <c r="EB36" s="42"/>
      <c r="EC36" s="42"/>
      <c r="ED36" s="42"/>
      <c r="EE36" s="42"/>
      <c r="EF36" s="42"/>
      <c r="EG36" s="42"/>
      <c r="EH36" s="42"/>
      <c r="EI36" s="42"/>
      <c r="EJ36" s="42"/>
      <c r="EK36" s="42"/>
      <c r="EL36" s="42"/>
      <c r="EM36" s="42"/>
      <c r="EN36" s="42"/>
      <c r="EO36" s="42"/>
      <c r="EP36" s="42"/>
      <c r="EQ36" s="42"/>
      <c r="ER36" s="42"/>
      <c r="ES36" s="42"/>
      <c r="ET36" s="42"/>
      <c r="EU36" s="42"/>
      <c r="EV36" s="42"/>
      <c r="EW36" s="42"/>
      <c r="EX36" s="42"/>
      <c r="EY36" s="42"/>
      <c r="EZ36" s="42"/>
      <c r="FA36" s="42"/>
      <c r="FB36" s="42"/>
      <c r="FC36" s="42"/>
      <c r="FD36" s="42"/>
      <c r="FE36" s="42"/>
      <c r="FF36" s="42"/>
      <c r="FG36" s="42"/>
      <c r="FH36" s="42"/>
      <c r="FI36" s="42"/>
      <c r="FJ36" s="42"/>
      <c r="FK36" s="42"/>
      <c r="FL36" s="42"/>
      <c r="FM36" s="42"/>
      <c r="FN36" s="42"/>
      <c r="FO36" s="42"/>
      <c r="FP36" s="42"/>
      <c r="FQ36" s="42"/>
      <c r="FR36" s="42"/>
      <c r="FS36" s="42"/>
      <c r="FT36" s="42"/>
      <c r="FU36" s="42"/>
      <c r="FV36" s="42"/>
      <c r="FW36" s="42"/>
      <c r="FX36" s="42"/>
      <c r="FY36" s="42"/>
      <c r="FZ36" s="42"/>
      <c r="GA36" s="42"/>
      <c r="GB36" s="42"/>
      <c r="GC36" s="42"/>
      <c r="GD36" s="42"/>
      <c r="GE36" s="42"/>
      <c r="GF36" s="42"/>
      <c r="GG36" s="42"/>
      <c r="GH36" s="42"/>
      <c r="GI36" s="42"/>
      <c r="GJ36" s="42"/>
      <c r="GK36" s="42"/>
      <c r="GL36" s="42"/>
      <c r="GM36" s="42"/>
      <c r="GN36" s="42"/>
      <c r="GO36" s="42"/>
      <c r="GP36" s="42"/>
      <c r="GQ36" s="42"/>
      <c r="GR36" s="42"/>
      <c r="GS36" s="42"/>
      <c r="GT36" s="42"/>
      <c r="GU36" s="42"/>
      <c r="GV36" s="42"/>
      <c r="GW36" s="42"/>
      <c r="GX36" s="42"/>
      <c r="GY36" s="42"/>
      <c r="GZ36" s="42"/>
      <c r="HA36" s="42"/>
      <c r="HB36" s="42"/>
      <c r="HC36" s="42"/>
      <c r="HD36" s="42"/>
      <c r="HE36" s="42"/>
      <c r="HF36" s="42"/>
      <c r="HG36" s="42"/>
      <c r="HH36" s="42"/>
      <c r="HI36" s="42"/>
      <c r="HJ36" s="42"/>
      <c r="HK36" s="42"/>
      <c r="HL36" s="42"/>
      <c r="HM36" s="42"/>
      <c r="HN36" s="42"/>
      <c r="HO36" s="42"/>
      <c r="HP36" s="42"/>
      <c r="HQ36" s="42"/>
      <c r="HR36" s="42"/>
      <c r="HS36" s="42"/>
      <c r="HT36" s="42"/>
      <c r="HU36" s="42"/>
      <c r="HV36" s="42"/>
      <c r="HW36" s="42"/>
      <c r="HX36" s="42"/>
      <c r="HY36" s="42"/>
      <c r="HZ36" s="42"/>
      <c r="IA36" s="42"/>
      <c r="IB36" s="42"/>
      <c r="IC36" s="42"/>
      <c r="ID36" s="42"/>
      <c r="IE36" s="42"/>
      <c r="IF36" s="42"/>
      <c r="IG36" s="42"/>
      <c r="IH36" s="42"/>
      <c r="II36" s="42"/>
      <c r="IJ36" s="42"/>
      <c r="IK36" s="42"/>
      <c r="IL36" s="42"/>
      <c r="IM36" s="42"/>
      <c r="IN36" s="42"/>
      <c r="IO36" s="42"/>
      <c r="IP36" s="42"/>
      <c r="IQ36" s="42"/>
      <c r="IR36" s="42"/>
      <c r="IS36" s="42"/>
      <c r="IT36" s="42"/>
      <c r="IU36" s="42"/>
      <c r="IV36" s="42"/>
      <c r="IW36" s="42"/>
      <c r="IX36" s="42"/>
      <c r="IY36" s="42"/>
      <c r="IZ36" s="42"/>
      <c r="JA36" s="42"/>
      <c r="JB36" s="42"/>
      <c r="JC36" s="42"/>
      <c r="JD36" s="42"/>
      <c r="JE36" s="42"/>
      <c r="JF36" s="42"/>
      <c r="JG36" s="42"/>
      <c r="JH36" s="42"/>
      <c r="JI36" s="42"/>
      <c r="JJ36" s="42"/>
      <c r="JK36" s="42"/>
      <c r="JL36" s="42"/>
      <c r="JM36" s="42"/>
      <c r="JN36" s="42"/>
      <c r="JO36" s="42"/>
      <c r="JP36" s="42"/>
      <c r="JQ36" s="42"/>
      <c r="JR36" s="42"/>
      <c r="JS36" s="42"/>
      <c r="JT36" s="42"/>
      <c r="JU36" s="42"/>
      <c r="JV36" s="42"/>
      <c r="JW36" s="42"/>
      <c r="JX36" s="42"/>
      <c r="JY36" s="42"/>
      <c r="JZ36" s="42"/>
      <c r="KA36" s="42"/>
      <c r="KB36" s="42"/>
      <c r="KC36" s="42"/>
      <c r="KD36" s="42"/>
      <c r="KE36" s="42"/>
      <c r="KF36" s="42"/>
      <c r="KG36" s="42"/>
      <c r="KH36" s="42"/>
      <c r="KI36" s="42"/>
      <c r="KJ36" s="42"/>
      <c r="KK36" s="42"/>
      <c r="KL36" s="42"/>
      <c r="KM36" s="42"/>
      <c r="KN36" s="42"/>
      <c r="KO36" s="42"/>
      <c r="KP36" s="42"/>
      <c r="KQ36" s="42"/>
      <c r="KR36" s="42"/>
      <c r="KS36" s="42"/>
      <c r="KT36" s="42"/>
      <c r="KU36" s="42"/>
      <c r="KV36" s="42"/>
      <c r="KW36" s="42"/>
      <c r="KX36" s="42"/>
      <c r="KY36" s="42"/>
      <c r="KZ36" s="42"/>
    </row>
    <row r="37" spans="2:312" x14ac:dyDescent="0.35">
      <c r="B37" s="40">
        <f t="shared" si="0"/>
        <v>44835</v>
      </c>
      <c r="C37" s="31">
        <v>202210</v>
      </c>
      <c r="D37" s="42">
        <v>5515</v>
      </c>
      <c r="E37" s="42">
        <v>7256</v>
      </c>
      <c r="F37" s="42">
        <v>7256</v>
      </c>
      <c r="G37" s="42">
        <v>2986430.48</v>
      </c>
      <c r="H37" s="42">
        <v>5331804.9379999898</v>
      </c>
      <c r="I37" s="42">
        <v>22346.25</v>
      </c>
      <c r="J37" s="42">
        <v>94191</v>
      </c>
      <c r="K37" s="42">
        <v>36104.243999999897</v>
      </c>
      <c r="L37" s="42">
        <v>461.64400000000001</v>
      </c>
      <c r="M37" s="42">
        <v>467.87</v>
      </c>
      <c r="N37" s="42">
        <v>67</v>
      </c>
      <c r="O37" s="42">
        <v>0</v>
      </c>
      <c r="P37" s="42">
        <v>0</v>
      </c>
      <c r="Q37" s="42">
        <v>9</v>
      </c>
      <c r="R37" s="42">
        <v>21</v>
      </c>
      <c r="S37" s="42">
        <v>3</v>
      </c>
      <c r="T37" s="42">
        <v>0</v>
      </c>
      <c r="U37" s="42">
        <v>2262</v>
      </c>
      <c r="V37" s="42">
        <v>36720</v>
      </c>
      <c r="W37" s="42">
        <v>716</v>
      </c>
      <c r="X37" s="42">
        <v>0</v>
      </c>
      <c r="Y37" s="42">
        <v>982</v>
      </c>
      <c r="Z37" s="42">
        <v>3729</v>
      </c>
      <c r="AA37" s="42">
        <v>1911</v>
      </c>
      <c r="AB37" s="42">
        <v>0</v>
      </c>
      <c r="AC37" s="42">
        <v>123173</v>
      </c>
      <c r="AD37" s="42">
        <v>67</v>
      </c>
      <c r="AE37" s="42">
        <v>530</v>
      </c>
      <c r="AF37" s="42">
        <v>0</v>
      </c>
      <c r="AG37" s="42">
        <v>326</v>
      </c>
      <c r="AH37" s="42">
        <v>1297</v>
      </c>
      <c r="AI37" s="42">
        <v>1823</v>
      </c>
      <c r="AJ37" s="42">
        <v>0</v>
      </c>
      <c r="AK37" s="42">
        <v>23285</v>
      </c>
      <c r="AL37" s="42">
        <v>12</v>
      </c>
      <c r="AM37" s="42">
        <v>67</v>
      </c>
      <c r="AN37" s="42">
        <v>0</v>
      </c>
      <c r="AO37" s="42">
        <v>2262</v>
      </c>
      <c r="AP37" s="42">
        <v>21</v>
      </c>
      <c r="AQ37" s="42">
        <v>3609</v>
      </c>
      <c r="AR37" s="42">
        <v>36720</v>
      </c>
      <c r="AS37" s="42">
        <v>0</v>
      </c>
      <c r="AT37" s="42">
        <v>123173</v>
      </c>
      <c r="AU37" s="42">
        <v>3729</v>
      </c>
      <c r="AV37" s="42">
        <v>2679</v>
      </c>
      <c r="AW37" s="42">
        <v>67</v>
      </c>
      <c r="AX37" s="42">
        <v>0</v>
      </c>
      <c r="AY37" s="42">
        <v>23285</v>
      </c>
      <c r="AZ37" s="42">
        <v>1297</v>
      </c>
      <c r="BA37" s="42">
        <v>12</v>
      </c>
      <c r="BB37" s="42">
        <v>67</v>
      </c>
      <c r="BC37" s="42">
        <v>0</v>
      </c>
      <c r="BD37" s="42">
        <v>2262</v>
      </c>
      <c r="BE37" s="42">
        <v>21</v>
      </c>
      <c r="BF37" s="42">
        <v>3609</v>
      </c>
      <c r="BG37" s="42">
        <v>36720</v>
      </c>
      <c r="BH37" s="42">
        <v>0</v>
      </c>
      <c r="BI37" s="42">
        <v>123173</v>
      </c>
      <c r="BJ37" s="42">
        <v>3729</v>
      </c>
      <c r="BK37" s="42">
        <v>2679</v>
      </c>
      <c r="BL37" s="42">
        <v>67</v>
      </c>
      <c r="BM37" s="42">
        <v>0</v>
      </c>
      <c r="BN37" s="42">
        <v>23285</v>
      </c>
      <c r="BO37" s="42">
        <v>1297</v>
      </c>
      <c r="BP37" s="42">
        <v>0</v>
      </c>
      <c r="BQ37" s="42">
        <v>0</v>
      </c>
      <c r="BR37" s="42">
        <v>9</v>
      </c>
      <c r="BS37" s="42">
        <v>3</v>
      </c>
      <c r="BT37" s="42">
        <v>67</v>
      </c>
      <c r="BU37" s="42">
        <v>0</v>
      </c>
      <c r="BV37" s="42">
        <v>0</v>
      </c>
      <c r="BW37" s="42">
        <v>0</v>
      </c>
      <c r="BX37" s="42">
        <v>2262</v>
      </c>
      <c r="BY37" s="42">
        <v>21</v>
      </c>
      <c r="BZ37" s="42">
        <v>716</v>
      </c>
      <c r="CA37" s="42">
        <v>0</v>
      </c>
      <c r="CB37" s="42">
        <v>982</v>
      </c>
      <c r="CC37" s="42">
        <v>1911</v>
      </c>
      <c r="CD37" s="42">
        <v>36720</v>
      </c>
      <c r="CE37" s="42">
        <v>0</v>
      </c>
      <c r="CF37" s="42">
        <v>0</v>
      </c>
      <c r="CG37" s="42">
        <v>0</v>
      </c>
      <c r="CH37" s="42">
        <v>123173</v>
      </c>
      <c r="CI37" s="42">
        <v>3729</v>
      </c>
      <c r="CJ37" s="42">
        <v>530</v>
      </c>
      <c r="CK37" s="42">
        <v>0</v>
      </c>
      <c r="CL37" s="42">
        <v>326</v>
      </c>
      <c r="CM37" s="42">
        <v>1823</v>
      </c>
      <c r="CN37" s="42">
        <v>67</v>
      </c>
      <c r="CO37" s="42">
        <v>0</v>
      </c>
      <c r="CP37" s="42">
        <v>0</v>
      </c>
      <c r="CQ37" s="42">
        <v>0</v>
      </c>
      <c r="CR37" s="42">
        <v>23285</v>
      </c>
      <c r="CS37" s="42">
        <v>1297</v>
      </c>
      <c r="CT37" s="42">
        <v>9206</v>
      </c>
      <c r="CU37" s="42">
        <v>0</v>
      </c>
      <c r="CV37" s="42">
        <v>3493</v>
      </c>
      <c r="CW37" s="42">
        <v>12699</v>
      </c>
      <c r="CX37" s="42">
        <v>0</v>
      </c>
      <c r="CY37" s="42">
        <v>0</v>
      </c>
      <c r="CZ37" s="42">
        <v>22088</v>
      </c>
      <c r="DA37" s="42">
        <v>0</v>
      </c>
      <c r="DB37" s="42">
        <v>9355416</v>
      </c>
      <c r="DC37" s="42">
        <v>0</v>
      </c>
      <c r="DD37" s="42">
        <v>22088</v>
      </c>
      <c r="DE37" s="42">
        <v>9355416</v>
      </c>
      <c r="DF37" s="42">
        <v>22088</v>
      </c>
      <c r="DG37" s="42">
        <v>9355416</v>
      </c>
      <c r="DH37" s="42">
        <v>22088</v>
      </c>
      <c r="DI37" s="42">
        <v>0</v>
      </c>
      <c r="DJ37" s="42">
        <v>9355416</v>
      </c>
      <c r="DK37" s="42">
        <v>0</v>
      </c>
      <c r="DL37" s="42">
        <v>834</v>
      </c>
      <c r="DM37" s="42">
        <v>0</v>
      </c>
      <c r="DN37" s="42">
        <v>0</v>
      </c>
      <c r="DO37" s="42">
        <v>15261</v>
      </c>
      <c r="DP37" s="42">
        <v>3223</v>
      </c>
      <c r="DQ37" s="42">
        <v>18484</v>
      </c>
      <c r="DR37" s="42">
        <v>18484</v>
      </c>
      <c r="DS37" s="42">
        <v>15261</v>
      </c>
      <c r="DT37" s="42">
        <v>3223</v>
      </c>
      <c r="DU37" s="42">
        <v>357</v>
      </c>
      <c r="DV37" s="42">
        <v>357</v>
      </c>
      <c r="DW37" s="42">
        <v>48911</v>
      </c>
      <c r="DX37" s="42">
        <v>2631</v>
      </c>
      <c r="DY37" s="42">
        <v>0</v>
      </c>
      <c r="DZ37" s="42">
        <v>13547</v>
      </c>
      <c r="EA37" s="42">
        <v>48911</v>
      </c>
      <c r="EB37" s="42"/>
      <c r="EC37" s="42"/>
      <c r="ED37" s="42"/>
      <c r="EE37" s="42"/>
      <c r="EF37" s="42"/>
      <c r="EG37" s="42"/>
      <c r="EH37" s="42"/>
      <c r="EI37" s="42"/>
      <c r="EJ37" s="42"/>
      <c r="EK37" s="42"/>
      <c r="EL37" s="42"/>
      <c r="EM37" s="42"/>
      <c r="EN37" s="42"/>
      <c r="EO37" s="42"/>
      <c r="EP37" s="42"/>
      <c r="EQ37" s="42"/>
      <c r="ER37" s="42"/>
      <c r="ES37" s="42"/>
      <c r="ET37" s="42"/>
      <c r="EU37" s="42"/>
      <c r="EV37" s="42"/>
      <c r="EW37" s="42"/>
      <c r="EX37" s="42"/>
      <c r="EY37" s="42"/>
      <c r="EZ37" s="42"/>
      <c r="FA37" s="42"/>
      <c r="FB37" s="42"/>
      <c r="FC37" s="42"/>
      <c r="FD37" s="42"/>
      <c r="FE37" s="42"/>
      <c r="FF37" s="42"/>
      <c r="FG37" s="42"/>
      <c r="FH37" s="42"/>
      <c r="FI37" s="42"/>
      <c r="FJ37" s="42"/>
      <c r="FK37" s="42"/>
      <c r="FL37" s="42"/>
      <c r="FM37" s="42"/>
      <c r="FN37" s="42"/>
      <c r="FO37" s="42"/>
      <c r="FP37" s="42"/>
      <c r="FQ37" s="42"/>
      <c r="FR37" s="42"/>
      <c r="FS37" s="42"/>
      <c r="FT37" s="42"/>
      <c r="FU37" s="42"/>
      <c r="FV37" s="42"/>
      <c r="FW37" s="42"/>
      <c r="FX37" s="42"/>
      <c r="FY37" s="42"/>
      <c r="FZ37" s="42"/>
      <c r="GA37" s="42"/>
      <c r="GB37" s="42"/>
      <c r="GC37" s="42"/>
      <c r="GD37" s="42"/>
      <c r="GE37" s="42"/>
      <c r="GF37" s="42"/>
      <c r="GG37" s="42"/>
      <c r="GH37" s="42"/>
      <c r="GI37" s="42"/>
      <c r="GJ37" s="42"/>
      <c r="GK37" s="42"/>
      <c r="GL37" s="42"/>
      <c r="GM37" s="42"/>
      <c r="GN37" s="42"/>
      <c r="GO37" s="42"/>
      <c r="GP37" s="42"/>
      <c r="GQ37" s="42"/>
      <c r="GR37" s="42"/>
      <c r="GS37" s="42"/>
      <c r="GT37" s="42"/>
      <c r="GU37" s="42"/>
      <c r="GV37" s="42"/>
      <c r="GW37" s="42"/>
      <c r="GX37" s="42"/>
      <c r="GY37" s="42"/>
      <c r="GZ37" s="42"/>
      <c r="HA37" s="42"/>
      <c r="HB37" s="42"/>
      <c r="HC37" s="42"/>
      <c r="HD37" s="42"/>
      <c r="HE37" s="42"/>
      <c r="HF37" s="42"/>
      <c r="HG37" s="42"/>
      <c r="HH37" s="42"/>
      <c r="HI37" s="42"/>
      <c r="HJ37" s="42"/>
      <c r="HK37" s="42"/>
      <c r="HL37" s="42"/>
      <c r="HM37" s="42"/>
      <c r="HN37" s="42"/>
      <c r="HO37" s="42"/>
      <c r="HP37" s="42"/>
      <c r="HQ37" s="42"/>
      <c r="HR37" s="42"/>
      <c r="HS37" s="42"/>
      <c r="HT37" s="42"/>
      <c r="HU37" s="42"/>
      <c r="HV37" s="42"/>
      <c r="HW37" s="42"/>
      <c r="HX37" s="42"/>
      <c r="HY37" s="42"/>
      <c r="HZ37" s="42"/>
      <c r="IA37" s="42"/>
      <c r="IB37" s="42"/>
      <c r="IC37" s="42"/>
      <c r="ID37" s="42"/>
      <c r="IE37" s="42"/>
      <c r="IF37" s="42"/>
      <c r="IG37" s="42"/>
      <c r="IH37" s="42"/>
      <c r="II37" s="42"/>
      <c r="IJ37" s="42"/>
      <c r="IK37" s="42"/>
      <c r="IL37" s="42"/>
      <c r="IM37" s="42"/>
      <c r="IN37" s="42"/>
      <c r="IO37" s="42"/>
      <c r="IP37" s="42"/>
      <c r="IQ37" s="42"/>
      <c r="IR37" s="42"/>
      <c r="IS37" s="42"/>
      <c r="IT37" s="42"/>
      <c r="IU37" s="42"/>
      <c r="IV37" s="42"/>
      <c r="IW37" s="42"/>
      <c r="IX37" s="42"/>
      <c r="IY37" s="42"/>
      <c r="IZ37" s="42"/>
      <c r="JA37" s="42"/>
      <c r="JB37" s="42"/>
      <c r="JC37" s="42"/>
      <c r="JD37" s="42"/>
      <c r="JE37" s="42"/>
      <c r="JF37" s="42"/>
      <c r="JG37" s="42"/>
      <c r="JH37" s="42"/>
      <c r="JI37" s="42"/>
      <c r="JJ37" s="42"/>
      <c r="JK37" s="42"/>
      <c r="JL37" s="42"/>
      <c r="JM37" s="42"/>
      <c r="JN37" s="42"/>
      <c r="JO37" s="42"/>
      <c r="JP37" s="42"/>
      <c r="JQ37" s="42"/>
      <c r="JR37" s="42"/>
      <c r="JS37" s="42"/>
      <c r="JT37" s="42"/>
      <c r="JU37" s="42"/>
      <c r="JV37" s="42"/>
      <c r="JW37" s="42"/>
      <c r="JX37" s="42"/>
      <c r="JY37" s="42"/>
      <c r="JZ37" s="42"/>
      <c r="KA37" s="42"/>
      <c r="KB37" s="42"/>
      <c r="KC37" s="42"/>
      <c r="KD37" s="42"/>
      <c r="KE37" s="42"/>
      <c r="KF37" s="42"/>
      <c r="KG37" s="42"/>
      <c r="KH37" s="42"/>
      <c r="KI37" s="42"/>
      <c r="KJ37" s="42"/>
      <c r="KK37" s="42"/>
      <c r="KL37" s="42"/>
      <c r="KM37" s="42"/>
      <c r="KN37" s="42"/>
      <c r="KO37" s="42"/>
      <c r="KP37" s="42"/>
      <c r="KQ37" s="42"/>
      <c r="KR37" s="42"/>
      <c r="KS37" s="42"/>
      <c r="KT37" s="42"/>
      <c r="KU37" s="42"/>
      <c r="KV37" s="42"/>
      <c r="KW37" s="42"/>
      <c r="KX37" s="42"/>
      <c r="KY37" s="42"/>
      <c r="KZ37" s="42"/>
    </row>
    <row r="38" spans="2:312" x14ac:dyDescent="0.35">
      <c r="B38" s="40">
        <f t="shared" si="0"/>
        <v>44866</v>
      </c>
      <c r="C38" s="31">
        <v>202211</v>
      </c>
      <c r="D38" s="42">
        <v>6056</v>
      </c>
      <c r="E38" s="42">
        <v>104797</v>
      </c>
      <c r="F38" s="42">
        <v>104797</v>
      </c>
      <c r="G38" s="42">
        <v>2969200.8789999899</v>
      </c>
      <c r="H38" s="42">
        <v>5272059.8830000004</v>
      </c>
      <c r="I38" s="42">
        <v>22266.956999999999</v>
      </c>
      <c r="J38" s="42">
        <v>80355</v>
      </c>
      <c r="K38" s="42">
        <v>36265.801999999901</v>
      </c>
      <c r="L38" s="42">
        <v>450.38299999999998</v>
      </c>
      <c r="M38" s="42">
        <v>455.55900000000003</v>
      </c>
      <c r="N38" s="42">
        <v>46</v>
      </c>
      <c r="O38" s="42">
        <v>0</v>
      </c>
      <c r="P38" s="42">
        <v>0</v>
      </c>
      <c r="Q38" s="42">
        <v>0</v>
      </c>
      <c r="R38" s="42">
        <v>40</v>
      </c>
      <c r="S38" s="42">
        <v>1</v>
      </c>
      <c r="T38" s="42">
        <v>0</v>
      </c>
      <c r="U38" s="42">
        <v>277</v>
      </c>
      <c r="V38" s="42">
        <v>23235</v>
      </c>
      <c r="W38" s="42">
        <v>617</v>
      </c>
      <c r="X38" s="42">
        <v>0</v>
      </c>
      <c r="Y38" s="42">
        <v>873</v>
      </c>
      <c r="Z38" s="42">
        <v>5204</v>
      </c>
      <c r="AA38" s="42">
        <v>1802</v>
      </c>
      <c r="AB38" s="42">
        <v>0</v>
      </c>
      <c r="AC38" s="42">
        <v>5540</v>
      </c>
      <c r="AD38" s="42">
        <v>46</v>
      </c>
      <c r="AE38" s="42">
        <v>447</v>
      </c>
      <c r="AF38" s="42">
        <v>0</v>
      </c>
      <c r="AG38" s="42">
        <v>262</v>
      </c>
      <c r="AH38" s="42">
        <v>1888</v>
      </c>
      <c r="AI38" s="42">
        <v>1351</v>
      </c>
      <c r="AJ38" s="42">
        <v>0</v>
      </c>
      <c r="AK38" s="42">
        <v>4171</v>
      </c>
      <c r="AL38" s="42">
        <v>1</v>
      </c>
      <c r="AM38" s="42">
        <v>46</v>
      </c>
      <c r="AN38" s="42">
        <v>0</v>
      </c>
      <c r="AO38" s="42">
        <v>277</v>
      </c>
      <c r="AP38" s="42">
        <v>40</v>
      </c>
      <c r="AQ38" s="42">
        <v>3292</v>
      </c>
      <c r="AR38" s="42">
        <v>23235</v>
      </c>
      <c r="AS38" s="42">
        <v>0</v>
      </c>
      <c r="AT38" s="42">
        <v>5540</v>
      </c>
      <c r="AU38" s="42">
        <v>5204</v>
      </c>
      <c r="AV38" s="42">
        <v>2060</v>
      </c>
      <c r="AW38" s="42">
        <v>46</v>
      </c>
      <c r="AX38" s="42">
        <v>0</v>
      </c>
      <c r="AY38" s="42">
        <v>4171</v>
      </c>
      <c r="AZ38" s="42">
        <v>1888</v>
      </c>
      <c r="BA38" s="42">
        <v>1</v>
      </c>
      <c r="BB38" s="42">
        <v>46</v>
      </c>
      <c r="BC38" s="42">
        <v>0</v>
      </c>
      <c r="BD38" s="42">
        <v>277</v>
      </c>
      <c r="BE38" s="42">
        <v>40</v>
      </c>
      <c r="BF38" s="42">
        <v>3292</v>
      </c>
      <c r="BG38" s="42">
        <v>23235</v>
      </c>
      <c r="BH38" s="42">
        <v>0</v>
      </c>
      <c r="BI38" s="42">
        <v>5540</v>
      </c>
      <c r="BJ38" s="42">
        <v>5204</v>
      </c>
      <c r="BK38" s="42">
        <v>2060</v>
      </c>
      <c r="BL38" s="42">
        <v>46</v>
      </c>
      <c r="BM38" s="42">
        <v>0</v>
      </c>
      <c r="BN38" s="42">
        <v>4171</v>
      </c>
      <c r="BO38" s="42">
        <v>1888</v>
      </c>
      <c r="BP38" s="42">
        <v>0</v>
      </c>
      <c r="BQ38" s="42">
        <v>0</v>
      </c>
      <c r="BR38" s="42">
        <v>0</v>
      </c>
      <c r="BS38" s="42">
        <v>1</v>
      </c>
      <c r="BT38" s="42">
        <v>46</v>
      </c>
      <c r="BU38" s="42">
        <v>0</v>
      </c>
      <c r="BV38" s="42">
        <v>0</v>
      </c>
      <c r="BW38" s="42">
        <v>0</v>
      </c>
      <c r="BX38" s="42">
        <v>277</v>
      </c>
      <c r="BY38" s="42">
        <v>40</v>
      </c>
      <c r="BZ38" s="42">
        <v>617</v>
      </c>
      <c r="CA38" s="42">
        <v>0</v>
      </c>
      <c r="CB38" s="42">
        <v>873</v>
      </c>
      <c r="CC38" s="42">
        <v>1802</v>
      </c>
      <c r="CD38" s="42">
        <v>23235</v>
      </c>
      <c r="CE38" s="42">
        <v>0</v>
      </c>
      <c r="CF38" s="42">
        <v>0</v>
      </c>
      <c r="CG38" s="42">
        <v>0</v>
      </c>
      <c r="CH38" s="42">
        <v>5540</v>
      </c>
      <c r="CI38" s="42">
        <v>5204</v>
      </c>
      <c r="CJ38" s="42">
        <v>447</v>
      </c>
      <c r="CK38" s="42">
        <v>0</v>
      </c>
      <c r="CL38" s="42">
        <v>262</v>
      </c>
      <c r="CM38" s="42">
        <v>1351</v>
      </c>
      <c r="CN38" s="42">
        <v>46</v>
      </c>
      <c r="CO38" s="42">
        <v>0</v>
      </c>
      <c r="CP38" s="42">
        <v>0</v>
      </c>
      <c r="CQ38" s="42">
        <v>0</v>
      </c>
      <c r="CR38" s="42">
        <v>4171</v>
      </c>
      <c r="CS38" s="42">
        <v>1888</v>
      </c>
      <c r="CT38" s="42">
        <v>9043</v>
      </c>
      <c r="CU38" s="42">
        <v>0</v>
      </c>
      <c r="CV38" s="42">
        <v>3177</v>
      </c>
      <c r="CW38" s="42">
        <v>12220</v>
      </c>
      <c r="CX38" s="42">
        <v>0</v>
      </c>
      <c r="CY38" s="42">
        <v>0</v>
      </c>
      <c r="CZ38" s="42">
        <v>25190</v>
      </c>
      <c r="DA38" s="42">
        <v>0</v>
      </c>
      <c r="DB38" s="42">
        <v>10727242</v>
      </c>
      <c r="DC38" s="42">
        <v>0</v>
      </c>
      <c r="DD38" s="42">
        <v>25190</v>
      </c>
      <c r="DE38" s="42">
        <v>10727242</v>
      </c>
      <c r="DF38" s="42">
        <v>25190</v>
      </c>
      <c r="DG38" s="42">
        <v>10727242</v>
      </c>
      <c r="DH38" s="42">
        <v>25190</v>
      </c>
      <c r="DI38" s="42">
        <v>0</v>
      </c>
      <c r="DJ38" s="42">
        <v>10727242</v>
      </c>
      <c r="DK38" s="42">
        <v>0</v>
      </c>
      <c r="DL38" s="42">
        <v>799</v>
      </c>
      <c r="DM38" s="42">
        <v>0</v>
      </c>
      <c r="DN38" s="42">
        <v>0</v>
      </c>
      <c r="DO38" s="42">
        <v>13690</v>
      </c>
      <c r="DP38" s="42">
        <v>1477</v>
      </c>
      <c r="DQ38" s="42">
        <v>15167</v>
      </c>
      <c r="DR38" s="42">
        <v>15167</v>
      </c>
      <c r="DS38" s="42">
        <v>13690</v>
      </c>
      <c r="DT38" s="42">
        <v>1477</v>
      </c>
      <c r="DU38" s="42">
        <v>96</v>
      </c>
      <c r="DV38" s="42">
        <v>96</v>
      </c>
      <c r="DW38" s="42">
        <v>59054</v>
      </c>
      <c r="DX38" s="42">
        <v>2631</v>
      </c>
      <c r="DY38" s="42">
        <v>0</v>
      </c>
      <c r="DZ38" s="42">
        <v>13547</v>
      </c>
      <c r="EA38" s="42">
        <v>59054</v>
      </c>
      <c r="EB38" s="42"/>
      <c r="EC38" s="42"/>
      <c r="ED38" s="42"/>
      <c r="EE38" s="42"/>
      <c r="EF38" s="42"/>
      <c r="EG38" s="42"/>
      <c r="EH38" s="42"/>
      <c r="EI38" s="42"/>
      <c r="EJ38" s="42"/>
      <c r="EK38" s="42"/>
      <c r="EL38" s="42"/>
      <c r="EM38" s="42"/>
      <c r="EN38" s="42"/>
      <c r="EO38" s="42"/>
      <c r="EP38" s="42"/>
      <c r="EQ38" s="42"/>
      <c r="ER38" s="42"/>
      <c r="ES38" s="42"/>
      <c r="ET38" s="42"/>
      <c r="EU38" s="42"/>
      <c r="EV38" s="42"/>
      <c r="EW38" s="42"/>
      <c r="EX38" s="42"/>
      <c r="EY38" s="42"/>
      <c r="EZ38" s="42"/>
      <c r="FA38" s="42"/>
      <c r="FB38" s="42"/>
      <c r="FC38" s="42"/>
      <c r="FD38" s="42"/>
      <c r="FE38" s="42"/>
      <c r="FF38" s="42"/>
      <c r="FG38" s="42"/>
      <c r="FH38" s="42"/>
      <c r="FI38" s="42"/>
      <c r="FJ38" s="42"/>
      <c r="FK38" s="42"/>
      <c r="FL38" s="42"/>
      <c r="FM38" s="42"/>
      <c r="FN38" s="42"/>
      <c r="FO38" s="42"/>
      <c r="FP38" s="42"/>
      <c r="FQ38" s="42"/>
      <c r="FR38" s="42"/>
      <c r="FS38" s="42"/>
      <c r="FT38" s="42"/>
      <c r="FU38" s="42"/>
      <c r="FV38" s="42"/>
      <c r="FW38" s="42"/>
      <c r="FX38" s="42"/>
      <c r="FY38" s="42"/>
      <c r="FZ38" s="42"/>
      <c r="GA38" s="42"/>
      <c r="GB38" s="42"/>
      <c r="GC38" s="42"/>
      <c r="GD38" s="42"/>
      <c r="GE38" s="42"/>
      <c r="GF38" s="42"/>
      <c r="GG38" s="42"/>
      <c r="GH38" s="42"/>
      <c r="GI38" s="42"/>
      <c r="GJ38" s="42"/>
      <c r="GK38" s="42"/>
      <c r="GL38" s="42"/>
      <c r="GM38" s="42"/>
      <c r="GN38" s="42"/>
      <c r="GO38" s="42"/>
      <c r="GP38" s="42"/>
      <c r="GQ38" s="42"/>
      <c r="GR38" s="42"/>
      <c r="GS38" s="42"/>
      <c r="GT38" s="42"/>
      <c r="GU38" s="42"/>
      <c r="GV38" s="42"/>
      <c r="GW38" s="42"/>
      <c r="GX38" s="42"/>
      <c r="GY38" s="42"/>
      <c r="GZ38" s="42"/>
      <c r="HA38" s="42"/>
      <c r="HB38" s="42"/>
      <c r="HC38" s="42"/>
      <c r="HD38" s="42"/>
      <c r="HE38" s="42"/>
      <c r="HF38" s="42"/>
      <c r="HG38" s="42"/>
      <c r="HH38" s="42"/>
      <c r="HI38" s="42"/>
      <c r="HJ38" s="42"/>
      <c r="HK38" s="42"/>
      <c r="HL38" s="42"/>
      <c r="HM38" s="42"/>
      <c r="HN38" s="42"/>
      <c r="HO38" s="42"/>
      <c r="HP38" s="42"/>
      <c r="HQ38" s="42"/>
      <c r="HR38" s="42"/>
      <c r="HS38" s="42"/>
      <c r="HT38" s="42"/>
      <c r="HU38" s="42"/>
      <c r="HV38" s="42"/>
      <c r="HW38" s="42"/>
      <c r="HX38" s="42"/>
      <c r="HY38" s="42"/>
      <c r="HZ38" s="42"/>
      <c r="IA38" s="42"/>
      <c r="IB38" s="42"/>
      <c r="IC38" s="42"/>
      <c r="ID38" s="42"/>
      <c r="IE38" s="42"/>
      <c r="IF38" s="42"/>
      <c r="IG38" s="42"/>
      <c r="IH38" s="42"/>
      <c r="II38" s="42"/>
      <c r="IJ38" s="42"/>
      <c r="IK38" s="42"/>
      <c r="IL38" s="42"/>
      <c r="IM38" s="42"/>
      <c r="IN38" s="42"/>
      <c r="IO38" s="42"/>
      <c r="IP38" s="42"/>
      <c r="IQ38" s="42"/>
      <c r="IR38" s="42"/>
      <c r="IS38" s="42"/>
      <c r="IT38" s="42"/>
      <c r="IU38" s="42"/>
      <c r="IV38" s="42"/>
      <c r="IW38" s="42"/>
      <c r="IX38" s="42"/>
      <c r="IY38" s="42"/>
      <c r="IZ38" s="42"/>
      <c r="JA38" s="42"/>
      <c r="JB38" s="42"/>
      <c r="JC38" s="42"/>
      <c r="JD38" s="42"/>
      <c r="JE38" s="42"/>
      <c r="JF38" s="42"/>
      <c r="JG38" s="42"/>
      <c r="JH38" s="42"/>
      <c r="JI38" s="42"/>
      <c r="JJ38" s="42"/>
      <c r="JK38" s="42"/>
      <c r="JL38" s="42"/>
      <c r="JM38" s="42"/>
      <c r="JN38" s="42"/>
      <c r="JO38" s="42"/>
      <c r="JP38" s="42"/>
      <c r="JQ38" s="42"/>
      <c r="JR38" s="42"/>
      <c r="JS38" s="42"/>
      <c r="JT38" s="42"/>
      <c r="JU38" s="42"/>
      <c r="JV38" s="42"/>
      <c r="JW38" s="42"/>
      <c r="JX38" s="42"/>
      <c r="JY38" s="42"/>
      <c r="JZ38" s="42"/>
      <c r="KA38" s="42"/>
      <c r="KB38" s="42"/>
      <c r="KC38" s="42"/>
      <c r="KD38" s="42"/>
      <c r="KE38" s="42"/>
      <c r="KF38" s="42"/>
      <c r="KG38" s="42"/>
      <c r="KH38" s="42"/>
      <c r="KI38" s="42"/>
      <c r="KJ38" s="42"/>
      <c r="KK38" s="42"/>
      <c r="KL38" s="42"/>
      <c r="KM38" s="42"/>
      <c r="KN38" s="42"/>
      <c r="KO38" s="42"/>
      <c r="KP38" s="42"/>
      <c r="KQ38" s="42"/>
      <c r="KR38" s="42"/>
      <c r="KS38" s="42"/>
      <c r="KT38" s="42"/>
      <c r="KU38" s="42"/>
      <c r="KV38" s="42"/>
      <c r="KW38" s="42"/>
      <c r="KX38" s="42"/>
      <c r="KY38" s="42"/>
      <c r="KZ38" s="42"/>
    </row>
    <row r="39" spans="2:312" x14ac:dyDescent="0.35">
      <c r="B39" s="40">
        <f t="shared" si="0"/>
        <v>44896</v>
      </c>
      <c r="C39" s="31">
        <v>202212</v>
      </c>
      <c r="D39" s="42">
        <v>6922</v>
      </c>
      <c r="E39" s="42">
        <v>304041</v>
      </c>
      <c r="F39" s="42">
        <v>304041</v>
      </c>
      <c r="G39" s="42">
        <v>3069812.1129999901</v>
      </c>
      <c r="H39" s="42">
        <v>5431977.3889999902</v>
      </c>
      <c r="I39" s="42">
        <v>22805.391999999902</v>
      </c>
      <c r="J39" s="42">
        <v>76521</v>
      </c>
      <c r="K39" s="42">
        <v>37668.663999999902</v>
      </c>
      <c r="L39" s="42">
        <v>370.54399999999998</v>
      </c>
      <c r="M39" s="42">
        <v>376.010999999999</v>
      </c>
      <c r="N39" s="42">
        <v>54</v>
      </c>
      <c r="O39" s="42">
        <v>0</v>
      </c>
      <c r="P39" s="42">
        <v>0</v>
      </c>
      <c r="Q39" s="42">
        <v>0</v>
      </c>
      <c r="R39" s="42">
        <v>11</v>
      </c>
      <c r="S39" s="42">
        <v>0</v>
      </c>
      <c r="T39" s="42">
        <v>0</v>
      </c>
      <c r="U39" s="42">
        <v>1055</v>
      </c>
      <c r="V39" s="42">
        <v>23310</v>
      </c>
      <c r="W39" s="42">
        <v>169</v>
      </c>
      <c r="X39" s="42">
        <v>0</v>
      </c>
      <c r="Y39" s="42">
        <v>3120</v>
      </c>
      <c r="Z39" s="42">
        <v>3529</v>
      </c>
      <c r="AA39" s="42">
        <v>789</v>
      </c>
      <c r="AB39" s="42">
        <v>0</v>
      </c>
      <c r="AC39" s="42">
        <v>44712</v>
      </c>
      <c r="AD39" s="42">
        <v>54</v>
      </c>
      <c r="AE39" s="42">
        <v>99</v>
      </c>
      <c r="AF39" s="42">
        <v>0</v>
      </c>
      <c r="AG39" s="42">
        <v>352</v>
      </c>
      <c r="AH39" s="42">
        <v>1406</v>
      </c>
      <c r="AI39" s="42">
        <v>325</v>
      </c>
      <c r="AJ39" s="42">
        <v>0</v>
      </c>
      <c r="AK39" s="42">
        <v>5596</v>
      </c>
      <c r="AL39" s="42">
        <v>0</v>
      </c>
      <c r="AM39" s="42">
        <v>54</v>
      </c>
      <c r="AN39" s="42">
        <v>0</v>
      </c>
      <c r="AO39" s="42">
        <v>1055</v>
      </c>
      <c r="AP39" s="42">
        <v>11</v>
      </c>
      <c r="AQ39" s="42">
        <v>4078</v>
      </c>
      <c r="AR39" s="42">
        <v>23310</v>
      </c>
      <c r="AS39" s="42">
        <v>0</v>
      </c>
      <c r="AT39" s="42">
        <v>44712</v>
      </c>
      <c r="AU39" s="42">
        <v>3529</v>
      </c>
      <c r="AV39" s="42">
        <v>776</v>
      </c>
      <c r="AW39" s="42">
        <v>54</v>
      </c>
      <c r="AX39" s="42">
        <v>0</v>
      </c>
      <c r="AY39" s="42">
        <v>5596</v>
      </c>
      <c r="AZ39" s="42">
        <v>1406</v>
      </c>
      <c r="BA39" s="42">
        <v>0</v>
      </c>
      <c r="BB39" s="42">
        <v>54</v>
      </c>
      <c r="BC39" s="42">
        <v>0</v>
      </c>
      <c r="BD39" s="42">
        <v>1055</v>
      </c>
      <c r="BE39" s="42">
        <v>11</v>
      </c>
      <c r="BF39" s="42">
        <v>4078</v>
      </c>
      <c r="BG39" s="42">
        <v>23310</v>
      </c>
      <c r="BH39" s="42">
        <v>0</v>
      </c>
      <c r="BI39" s="42">
        <v>44712</v>
      </c>
      <c r="BJ39" s="42">
        <v>3529</v>
      </c>
      <c r="BK39" s="42">
        <v>776</v>
      </c>
      <c r="BL39" s="42">
        <v>54</v>
      </c>
      <c r="BM39" s="42">
        <v>0</v>
      </c>
      <c r="BN39" s="42">
        <v>5596</v>
      </c>
      <c r="BO39" s="42">
        <v>1406</v>
      </c>
      <c r="BP39" s="42">
        <v>0</v>
      </c>
      <c r="BQ39" s="42">
        <v>0</v>
      </c>
      <c r="BR39" s="42">
        <v>0</v>
      </c>
      <c r="BS39" s="42">
        <v>0</v>
      </c>
      <c r="BT39" s="42">
        <v>54</v>
      </c>
      <c r="BU39" s="42">
        <v>0</v>
      </c>
      <c r="BV39" s="42">
        <v>0</v>
      </c>
      <c r="BW39" s="42">
        <v>0</v>
      </c>
      <c r="BX39" s="42">
        <v>1055</v>
      </c>
      <c r="BY39" s="42">
        <v>11</v>
      </c>
      <c r="BZ39" s="42">
        <v>169</v>
      </c>
      <c r="CA39" s="42">
        <v>0</v>
      </c>
      <c r="CB39" s="42">
        <v>3120</v>
      </c>
      <c r="CC39" s="42">
        <v>789</v>
      </c>
      <c r="CD39" s="42">
        <v>23310</v>
      </c>
      <c r="CE39" s="42">
        <v>0</v>
      </c>
      <c r="CF39" s="42">
        <v>0</v>
      </c>
      <c r="CG39" s="42">
        <v>0</v>
      </c>
      <c r="CH39" s="42">
        <v>44712</v>
      </c>
      <c r="CI39" s="42">
        <v>3529</v>
      </c>
      <c r="CJ39" s="42">
        <v>99</v>
      </c>
      <c r="CK39" s="42">
        <v>0</v>
      </c>
      <c r="CL39" s="42">
        <v>352</v>
      </c>
      <c r="CM39" s="42">
        <v>325</v>
      </c>
      <c r="CN39" s="42">
        <v>54</v>
      </c>
      <c r="CO39" s="42">
        <v>0</v>
      </c>
      <c r="CP39" s="42">
        <v>0</v>
      </c>
      <c r="CQ39" s="42">
        <v>0</v>
      </c>
      <c r="CR39" s="42">
        <v>5596</v>
      </c>
      <c r="CS39" s="42">
        <v>1406</v>
      </c>
      <c r="CT39" s="42">
        <v>5958</v>
      </c>
      <c r="CU39" s="42">
        <v>0</v>
      </c>
      <c r="CV39" s="42">
        <v>1881</v>
      </c>
      <c r="CW39" s="42">
        <v>7839</v>
      </c>
      <c r="CX39" s="42">
        <v>0</v>
      </c>
      <c r="CY39" s="42">
        <v>0</v>
      </c>
      <c r="CZ39" s="42">
        <v>35320</v>
      </c>
      <c r="DA39" s="42">
        <v>0</v>
      </c>
      <c r="DB39" s="42">
        <v>11615702</v>
      </c>
      <c r="DC39" s="42">
        <v>0</v>
      </c>
      <c r="DD39" s="42">
        <v>35320</v>
      </c>
      <c r="DE39" s="42">
        <v>11615702</v>
      </c>
      <c r="DF39" s="42">
        <v>35320</v>
      </c>
      <c r="DG39" s="42">
        <v>11615702</v>
      </c>
      <c r="DH39" s="42">
        <v>35320</v>
      </c>
      <c r="DI39" s="42">
        <v>0</v>
      </c>
      <c r="DJ39" s="42">
        <v>11615702</v>
      </c>
      <c r="DK39" s="42">
        <v>0</v>
      </c>
      <c r="DL39" s="42">
        <v>744</v>
      </c>
      <c r="DM39" s="42">
        <v>0</v>
      </c>
      <c r="DN39" s="42">
        <v>0</v>
      </c>
      <c r="DO39" s="42">
        <v>11853</v>
      </c>
      <c r="DP39" s="42">
        <v>1220</v>
      </c>
      <c r="DQ39" s="42">
        <v>13073</v>
      </c>
      <c r="DR39" s="42">
        <v>13073</v>
      </c>
      <c r="DS39" s="42">
        <v>11853</v>
      </c>
      <c r="DT39" s="42">
        <v>1220</v>
      </c>
      <c r="DU39" s="42">
        <v>0</v>
      </c>
      <c r="DV39" s="42">
        <v>0</v>
      </c>
      <c r="DW39" s="42">
        <v>59054</v>
      </c>
      <c r="DX39" s="42">
        <v>2631</v>
      </c>
      <c r="DY39" s="42">
        <v>0</v>
      </c>
      <c r="DZ39" s="42">
        <v>13547</v>
      </c>
      <c r="EA39" s="42">
        <v>59054</v>
      </c>
      <c r="EB39" s="42"/>
      <c r="EC39" s="42"/>
      <c r="ED39" s="42"/>
      <c r="EE39" s="42"/>
      <c r="EF39" s="42"/>
      <c r="EG39" s="42"/>
      <c r="EH39" s="42"/>
      <c r="EI39" s="42"/>
      <c r="EJ39" s="42"/>
      <c r="EK39" s="42"/>
      <c r="EL39" s="42"/>
      <c r="EM39" s="42"/>
      <c r="EN39" s="42"/>
      <c r="EO39" s="42"/>
      <c r="EP39" s="42"/>
      <c r="EQ39" s="42"/>
      <c r="ER39" s="42"/>
      <c r="ES39" s="42"/>
      <c r="ET39" s="42"/>
      <c r="EU39" s="42"/>
      <c r="EV39" s="42"/>
      <c r="EW39" s="42"/>
      <c r="EX39" s="42"/>
      <c r="EY39" s="42"/>
      <c r="EZ39" s="42"/>
      <c r="FA39" s="42"/>
      <c r="FB39" s="42"/>
      <c r="FC39" s="42"/>
      <c r="FD39" s="42"/>
      <c r="FE39" s="42"/>
      <c r="FF39" s="42"/>
      <c r="FG39" s="42"/>
      <c r="FH39" s="42"/>
      <c r="FI39" s="42"/>
      <c r="FJ39" s="42"/>
      <c r="FK39" s="42"/>
      <c r="FL39" s="42"/>
      <c r="FM39" s="42"/>
      <c r="FN39" s="42"/>
      <c r="FO39" s="42"/>
      <c r="FP39" s="42"/>
      <c r="FQ39" s="42"/>
      <c r="FR39" s="42"/>
      <c r="FS39" s="42"/>
      <c r="FT39" s="42"/>
      <c r="FU39" s="42"/>
      <c r="FV39" s="42"/>
      <c r="FW39" s="42"/>
      <c r="FX39" s="42"/>
      <c r="FY39" s="42"/>
      <c r="FZ39" s="42"/>
      <c r="GA39" s="42"/>
      <c r="GB39" s="42"/>
      <c r="GC39" s="42"/>
      <c r="GD39" s="42"/>
      <c r="GE39" s="42"/>
      <c r="GF39" s="42"/>
      <c r="GG39" s="42"/>
      <c r="GH39" s="42"/>
      <c r="GI39" s="42"/>
      <c r="GJ39" s="42"/>
      <c r="GK39" s="42"/>
      <c r="GL39" s="42"/>
      <c r="GM39" s="42"/>
      <c r="GN39" s="42"/>
      <c r="GO39" s="42"/>
      <c r="GP39" s="42"/>
      <c r="GQ39" s="42"/>
      <c r="GR39" s="42"/>
      <c r="GS39" s="42"/>
      <c r="GT39" s="42"/>
      <c r="GU39" s="42"/>
      <c r="GV39" s="42"/>
      <c r="GW39" s="42"/>
      <c r="GX39" s="42"/>
      <c r="GY39" s="42"/>
      <c r="GZ39" s="42"/>
      <c r="HA39" s="42"/>
      <c r="HB39" s="42"/>
      <c r="HC39" s="42"/>
      <c r="HD39" s="42"/>
      <c r="HE39" s="42"/>
      <c r="HF39" s="42"/>
      <c r="HG39" s="42"/>
      <c r="HH39" s="42"/>
      <c r="HI39" s="42"/>
      <c r="HJ39" s="42"/>
      <c r="HK39" s="42"/>
      <c r="HL39" s="42"/>
      <c r="HM39" s="42"/>
      <c r="HN39" s="42"/>
      <c r="HO39" s="42"/>
      <c r="HP39" s="42"/>
      <c r="HQ39" s="42"/>
      <c r="HR39" s="42"/>
      <c r="HS39" s="42"/>
      <c r="HT39" s="42"/>
      <c r="HU39" s="42"/>
      <c r="HV39" s="42"/>
      <c r="HW39" s="42"/>
      <c r="HX39" s="42"/>
      <c r="HY39" s="42"/>
      <c r="HZ39" s="42"/>
      <c r="IA39" s="42"/>
      <c r="IB39" s="42"/>
      <c r="IC39" s="42"/>
      <c r="ID39" s="42"/>
      <c r="IE39" s="42"/>
      <c r="IF39" s="42"/>
      <c r="IG39" s="42"/>
      <c r="IH39" s="42"/>
      <c r="II39" s="42"/>
      <c r="IJ39" s="42"/>
      <c r="IK39" s="42"/>
      <c r="IL39" s="42"/>
      <c r="IM39" s="42"/>
      <c r="IN39" s="42"/>
      <c r="IO39" s="42"/>
      <c r="IP39" s="42"/>
      <c r="IQ39" s="42"/>
      <c r="IR39" s="42"/>
      <c r="IS39" s="42"/>
      <c r="IT39" s="42"/>
      <c r="IU39" s="42"/>
      <c r="IV39" s="42"/>
      <c r="IW39" s="42"/>
      <c r="IX39" s="42"/>
      <c r="IY39" s="42"/>
      <c r="IZ39" s="42"/>
      <c r="JA39" s="42"/>
      <c r="JB39" s="42"/>
      <c r="JC39" s="42"/>
      <c r="JD39" s="42"/>
      <c r="JE39" s="42"/>
      <c r="JF39" s="42"/>
      <c r="JG39" s="42"/>
      <c r="JH39" s="42"/>
      <c r="JI39" s="42"/>
      <c r="JJ39" s="42"/>
      <c r="JK39" s="42"/>
      <c r="JL39" s="42"/>
      <c r="JM39" s="42"/>
      <c r="JN39" s="42"/>
      <c r="JO39" s="42"/>
      <c r="JP39" s="42"/>
      <c r="JQ39" s="42"/>
      <c r="JR39" s="42"/>
      <c r="JS39" s="42"/>
      <c r="JT39" s="42"/>
      <c r="JU39" s="42"/>
      <c r="JV39" s="42"/>
      <c r="JW39" s="42"/>
      <c r="JX39" s="42"/>
      <c r="JY39" s="42"/>
      <c r="JZ39" s="42"/>
      <c r="KA39" s="42"/>
      <c r="KB39" s="42"/>
      <c r="KC39" s="42"/>
      <c r="KD39" s="42"/>
      <c r="KE39" s="42"/>
      <c r="KF39" s="42"/>
      <c r="KG39" s="42"/>
      <c r="KH39" s="42"/>
      <c r="KI39" s="42"/>
      <c r="KJ39" s="42"/>
      <c r="KK39" s="42"/>
      <c r="KL39" s="42"/>
      <c r="KM39" s="42"/>
      <c r="KN39" s="42"/>
      <c r="KO39" s="42"/>
      <c r="KP39" s="42"/>
      <c r="KQ39" s="42"/>
      <c r="KR39" s="42"/>
      <c r="KS39" s="42"/>
      <c r="KT39" s="42"/>
      <c r="KU39" s="42"/>
      <c r="KV39" s="42"/>
      <c r="KW39" s="42"/>
      <c r="KX39" s="42"/>
      <c r="KY39" s="42"/>
      <c r="KZ39" s="42"/>
    </row>
    <row r="40" spans="2:312" x14ac:dyDescent="0.35">
      <c r="B40" s="40">
        <f t="shared" si="0"/>
        <v>44927</v>
      </c>
      <c r="C40" s="31">
        <v>202301</v>
      </c>
      <c r="D40" s="42">
        <v>8845</v>
      </c>
      <c r="E40" s="42">
        <v>167</v>
      </c>
      <c r="F40" s="42">
        <v>167</v>
      </c>
      <c r="G40" s="42">
        <v>3130123.36799999</v>
      </c>
      <c r="H40" s="42">
        <v>5444498.8109999904</v>
      </c>
      <c r="I40" s="42">
        <v>22072.416000000001</v>
      </c>
      <c r="J40" s="42">
        <v>80544</v>
      </c>
      <c r="K40" s="42">
        <v>35715.123999999902</v>
      </c>
      <c r="L40" s="42">
        <v>418.63499999999999</v>
      </c>
      <c r="M40" s="42">
        <v>428.32900000000001</v>
      </c>
      <c r="N40" s="42">
        <v>68</v>
      </c>
      <c r="O40" s="42">
        <v>0</v>
      </c>
      <c r="P40" s="42">
        <v>0</v>
      </c>
      <c r="Q40" s="42">
        <v>0</v>
      </c>
      <c r="R40" s="42">
        <v>37</v>
      </c>
      <c r="S40" s="42">
        <v>0</v>
      </c>
      <c r="T40" s="42">
        <v>0</v>
      </c>
      <c r="U40" s="42">
        <v>1130</v>
      </c>
      <c r="V40" s="42">
        <v>51399</v>
      </c>
      <c r="W40" s="42">
        <v>0</v>
      </c>
      <c r="X40" s="42">
        <v>0</v>
      </c>
      <c r="Y40" s="42">
        <v>0</v>
      </c>
      <c r="Z40" s="42">
        <v>4132</v>
      </c>
      <c r="AA40" s="42">
        <v>0</v>
      </c>
      <c r="AB40" s="42">
        <v>0</v>
      </c>
      <c r="AC40" s="42">
        <v>17717</v>
      </c>
      <c r="AD40" s="42">
        <v>68</v>
      </c>
      <c r="AE40" s="42">
        <v>0</v>
      </c>
      <c r="AF40" s="42">
        <v>0</v>
      </c>
      <c r="AG40" s="42">
        <v>0</v>
      </c>
      <c r="AH40" s="42">
        <v>1554</v>
      </c>
      <c r="AI40" s="42">
        <v>0</v>
      </c>
      <c r="AJ40" s="42">
        <v>0</v>
      </c>
      <c r="AK40" s="42">
        <v>17717</v>
      </c>
      <c r="AL40" s="42">
        <v>0</v>
      </c>
      <c r="AM40" s="42">
        <v>68</v>
      </c>
      <c r="AN40" s="42">
        <v>0</v>
      </c>
      <c r="AO40" s="42">
        <v>1130</v>
      </c>
      <c r="AP40" s="42">
        <v>37</v>
      </c>
      <c r="AQ40" s="42">
        <v>0</v>
      </c>
      <c r="AR40" s="42">
        <v>51399</v>
      </c>
      <c r="AS40" s="42">
        <v>0</v>
      </c>
      <c r="AT40" s="42">
        <v>17717</v>
      </c>
      <c r="AU40" s="42">
        <v>4132</v>
      </c>
      <c r="AV40" s="42">
        <v>0</v>
      </c>
      <c r="AW40" s="42">
        <v>68</v>
      </c>
      <c r="AX40" s="42">
        <v>0</v>
      </c>
      <c r="AY40" s="42">
        <v>17717</v>
      </c>
      <c r="AZ40" s="42">
        <v>1554</v>
      </c>
      <c r="BA40" s="42">
        <v>0</v>
      </c>
      <c r="BB40" s="42">
        <v>68</v>
      </c>
      <c r="BC40" s="42">
        <v>0</v>
      </c>
      <c r="BD40" s="42">
        <v>1130</v>
      </c>
      <c r="BE40" s="42">
        <v>37</v>
      </c>
      <c r="BF40" s="42">
        <v>0</v>
      </c>
      <c r="BG40" s="42">
        <v>51399</v>
      </c>
      <c r="BH40" s="42">
        <v>0</v>
      </c>
      <c r="BI40" s="42">
        <v>17717</v>
      </c>
      <c r="BJ40" s="42">
        <v>4132</v>
      </c>
      <c r="BK40" s="42">
        <v>0</v>
      </c>
      <c r="BL40" s="42">
        <v>68</v>
      </c>
      <c r="BM40" s="42">
        <v>0</v>
      </c>
      <c r="BN40" s="42">
        <v>17717</v>
      </c>
      <c r="BO40" s="42">
        <v>1554</v>
      </c>
      <c r="BP40" s="42">
        <v>0</v>
      </c>
      <c r="BQ40" s="42">
        <v>0</v>
      </c>
      <c r="BR40" s="42">
        <v>0</v>
      </c>
      <c r="BS40" s="42">
        <v>0</v>
      </c>
      <c r="BT40" s="42">
        <v>68</v>
      </c>
      <c r="BU40" s="42">
        <v>0</v>
      </c>
      <c r="BV40" s="42">
        <v>0</v>
      </c>
      <c r="BW40" s="42">
        <v>0</v>
      </c>
      <c r="BX40" s="42">
        <v>1130</v>
      </c>
      <c r="BY40" s="42">
        <v>37</v>
      </c>
      <c r="BZ40" s="42">
        <v>0</v>
      </c>
      <c r="CA40" s="42">
        <v>0</v>
      </c>
      <c r="CB40" s="42">
        <v>0</v>
      </c>
      <c r="CC40" s="42">
        <v>0</v>
      </c>
      <c r="CD40" s="42">
        <v>51399</v>
      </c>
      <c r="CE40" s="42">
        <v>0</v>
      </c>
      <c r="CF40" s="42">
        <v>0</v>
      </c>
      <c r="CG40" s="42">
        <v>0</v>
      </c>
      <c r="CH40" s="42">
        <v>17717</v>
      </c>
      <c r="CI40" s="42">
        <v>4132</v>
      </c>
      <c r="CJ40" s="42">
        <v>0</v>
      </c>
      <c r="CK40" s="42">
        <v>0</v>
      </c>
      <c r="CL40" s="42">
        <v>0</v>
      </c>
      <c r="CM40" s="42">
        <v>0</v>
      </c>
      <c r="CN40" s="42">
        <v>68</v>
      </c>
      <c r="CO40" s="42">
        <v>0</v>
      </c>
      <c r="CP40" s="42">
        <v>0</v>
      </c>
      <c r="CQ40" s="42">
        <v>0</v>
      </c>
      <c r="CR40" s="42">
        <v>17717</v>
      </c>
      <c r="CS40" s="42">
        <v>1554</v>
      </c>
      <c r="CT40" s="42">
        <v>10064</v>
      </c>
      <c r="CU40" s="42">
        <v>0</v>
      </c>
      <c r="CV40" s="42">
        <v>3475</v>
      </c>
      <c r="CW40" s="42">
        <v>13539</v>
      </c>
      <c r="CX40" s="42">
        <v>0</v>
      </c>
      <c r="CY40" s="42">
        <v>0</v>
      </c>
      <c r="CZ40" s="42">
        <v>41555</v>
      </c>
      <c r="DA40" s="42">
        <v>0</v>
      </c>
      <c r="DB40" s="42">
        <v>13298044</v>
      </c>
      <c r="DC40" s="42">
        <v>0</v>
      </c>
      <c r="DD40" s="42">
        <v>41555</v>
      </c>
      <c r="DE40" s="42">
        <v>13298044</v>
      </c>
      <c r="DF40" s="42">
        <v>41555</v>
      </c>
      <c r="DG40" s="42">
        <v>13298044</v>
      </c>
      <c r="DH40" s="42">
        <v>41555</v>
      </c>
      <c r="DI40" s="42">
        <v>0</v>
      </c>
      <c r="DJ40" s="42">
        <v>13298044</v>
      </c>
      <c r="DK40" s="42">
        <v>0</v>
      </c>
      <c r="DL40" s="42">
        <v>977</v>
      </c>
      <c r="DM40" s="42">
        <v>5</v>
      </c>
      <c r="DN40" s="42">
        <v>5</v>
      </c>
      <c r="DO40" s="42">
        <v>12736</v>
      </c>
      <c r="DP40" s="42">
        <v>1534</v>
      </c>
      <c r="DQ40" s="42">
        <v>14270</v>
      </c>
      <c r="DR40" s="42">
        <v>14270</v>
      </c>
      <c r="DS40" s="42">
        <v>12736</v>
      </c>
      <c r="DT40" s="42">
        <v>1534</v>
      </c>
      <c r="DU40" s="42">
        <v>0</v>
      </c>
      <c r="DV40" s="42">
        <v>0</v>
      </c>
      <c r="DW40" s="42">
        <v>41074</v>
      </c>
      <c r="DX40" s="42">
        <v>2090</v>
      </c>
      <c r="DY40" s="42">
        <v>0</v>
      </c>
      <c r="DZ40" s="42">
        <v>13547</v>
      </c>
      <c r="EA40" s="42">
        <v>41074</v>
      </c>
      <c r="EB40" s="42"/>
      <c r="EC40" s="42"/>
      <c r="ED40" s="42"/>
      <c r="EE40" s="42"/>
      <c r="EF40" s="42"/>
      <c r="EG40" s="42"/>
      <c r="EH40" s="42"/>
      <c r="EI40" s="42"/>
      <c r="EJ40" s="42"/>
      <c r="EK40" s="42"/>
      <c r="EL40" s="42"/>
      <c r="EM40" s="42"/>
      <c r="EN40" s="42"/>
      <c r="EO40" s="42"/>
      <c r="EP40" s="42"/>
      <c r="EQ40" s="42"/>
      <c r="ER40" s="42"/>
      <c r="ES40" s="42"/>
      <c r="ET40" s="42"/>
      <c r="EU40" s="42"/>
      <c r="EV40" s="42"/>
      <c r="EW40" s="42"/>
      <c r="EX40" s="42"/>
      <c r="EY40" s="42"/>
      <c r="EZ40" s="42"/>
      <c r="FA40" s="42"/>
      <c r="FB40" s="42"/>
      <c r="FC40" s="42"/>
      <c r="FD40" s="42"/>
      <c r="FE40" s="42"/>
      <c r="FF40" s="42"/>
      <c r="FG40" s="42"/>
      <c r="FH40" s="42"/>
      <c r="FI40" s="42"/>
      <c r="FJ40" s="42"/>
      <c r="FK40" s="42"/>
      <c r="FL40" s="42"/>
      <c r="FM40" s="42"/>
      <c r="FN40" s="42"/>
      <c r="FO40" s="42"/>
      <c r="FP40" s="42"/>
      <c r="FQ40" s="42"/>
      <c r="FR40" s="42"/>
      <c r="FS40" s="42"/>
      <c r="FT40" s="42"/>
      <c r="FU40" s="42"/>
      <c r="FV40" s="42"/>
      <c r="FW40" s="42"/>
      <c r="FX40" s="42"/>
      <c r="FY40" s="42"/>
      <c r="FZ40" s="42"/>
      <c r="GA40" s="42"/>
      <c r="GB40" s="42"/>
      <c r="GC40" s="42"/>
      <c r="GD40" s="42"/>
      <c r="GE40" s="42"/>
      <c r="GF40" s="42"/>
      <c r="GG40" s="42"/>
      <c r="GH40" s="42"/>
      <c r="GI40" s="42"/>
      <c r="GJ40" s="42"/>
      <c r="GK40" s="42"/>
      <c r="GL40" s="42"/>
      <c r="GM40" s="42"/>
      <c r="GN40" s="42"/>
      <c r="GO40" s="42"/>
      <c r="GP40" s="42"/>
      <c r="GQ40" s="42"/>
      <c r="GR40" s="42"/>
      <c r="GS40" s="42"/>
      <c r="GT40" s="42"/>
      <c r="GU40" s="42"/>
      <c r="GV40" s="42"/>
      <c r="GW40" s="42"/>
      <c r="GX40" s="42"/>
      <c r="GY40" s="42"/>
      <c r="GZ40" s="42"/>
      <c r="HA40" s="42"/>
      <c r="HB40" s="42"/>
      <c r="HC40" s="42"/>
      <c r="HD40" s="42"/>
      <c r="HE40" s="42"/>
      <c r="HF40" s="42"/>
      <c r="HG40" s="42"/>
      <c r="HH40" s="42"/>
      <c r="HI40" s="42"/>
      <c r="HJ40" s="42"/>
      <c r="HK40" s="42"/>
      <c r="HL40" s="42"/>
      <c r="HM40" s="42"/>
      <c r="HN40" s="42"/>
      <c r="HO40" s="42"/>
      <c r="HP40" s="42"/>
      <c r="HQ40" s="42"/>
      <c r="HR40" s="42"/>
      <c r="HS40" s="42"/>
      <c r="HT40" s="42"/>
      <c r="HU40" s="42"/>
      <c r="HV40" s="42"/>
      <c r="HW40" s="42"/>
      <c r="HX40" s="42"/>
      <c r="HY40" s="42"/>
      <c r="HZ40" s="42"/>
      <c r="IA40" s="42"/>
      <c r="IB40" s="42"/>
      <c r="IC40" s="42"/>
      <c r="ID40" s="42"/>
      <c r="IE40" s="42"/>
      <c r="IF40" s="42"/>
      <c r="IG40" s="42"/>
      <c r="IH40" s="42"/>
      <c r="II40" s="42"/>
      <c r="IJ40" s="42"/>
      <c r="IK40" s="42"/>
      <c r="IL40" s="42"/>
      <c r="IM40" s="42"/>
      <c r="IN40" s="42"/>
      <c r="IO40" s="42"/>
      <c r="IP40" s="42"/>
      <c r="IQ40" s="42"/>
      <c r="IR40" s="42"/>
      <c r="IS40" s="42"/>
      <c r="IT40" s="42"/>
      <c r="IU40" s="42"/>
      <c r="IV40" s="42"/>
      <c r="IW40" s="42"/>
      <c r="IX40" s="42"/>
      <c r="IY40" s="42"/>
      <c r="IZ40" s="42"/>
      <c r="JA40" s="42"/>
      <c r="JB40" s="42"/>
      <c r="JC40" s="42"/>
      <c r="JD40" s="42"/>
      <c r="JE40" s="42"/>
      <c r="JF40" s="42"/>
      <c r="JG40" s="42"/>
      <c r="JH40" s="42"/>
      <c r="JI40" s="42"/>
      <c r="JJ40" s="42"/>
      <c r="JK40" s="42"/>
      <c r="JL40" s="42"/>
      <c r="JM40" s="42"/>
      <c r="JN40" s="42"/>
      <c r="JO40" s="42"/>
      <c r="JP40" s="42"/>
      <c r="JQ40" s="42"/>
      <c r="JR40" s="42"/>
      <c r="JS40" s="42"/>
      <c r="JT40" s="42"/>
      <c r="JU40" s="42"/>
      <c r="JV40" s="42"/>
      <c r="JW40" s="42"/>
      <c r="JX40" s="42"/>
      <c r="JY40" s="42"/>
      <c r="JZ40" s="42"/>
      <c r="KA40" s="42"/>
      <c r="KB40" s="42"/>
      <c r="KC40" s="42"/>
      <c r="KD40" s="42"/>
      <c r="KE40" s="42"/>
      <c r="KF40" s="42"/>
      <c r="KG40" s="42"/>
      <c r="KH40" s="42"/>
      <c r="KI40" s="42"/>
      <c r="KJ40" s="42"/>
      <c r="KK40" s="42"/>
      <c r="KL40" s="42"/>
      <c r="KM40" s="42"/>
      <c r="KN40" s="42"/>
      <c r="KO40" s="42"/>
      <c r="KP40" s="42"/>
      <c r="KQ40" s="42"/>
      <c r="KR40" s="42"/>
      <c r="KS40" s="42"/>
      <c r="KT40" s="42"/>
      <c r="KU40" s="42"/>
      <c r="KV40" s="42"/>
      <c r="KW40" s="42"/>
      <c r="KX40" s="42"/>
      <c r="KY40" s="42"/>
      <c r="KZ40" s="42"/>
    </row>
    <row r="41" spans="2:312" x14ac:dyDescent="0.35">
      <c r="B41" s="40">
        <f t="shared" si="0"/>
        <v>44958</v>
      </c>
      <c r="C41" s="31">
        <v>202302</v>
      </c>
      <c r="D41" s="42">
        <v>7178</v>
      </c>
      <c r="E41" s="42">
        <v>47</v>
      </c>
      <c r="F41" s="42">
        <v>47</v>
      </c>
      <c r="G41" s="42">
        <v>0</v>
      </c>
      <c r="H41" s="42">
        <v>0</v>
      </c>
      <c r="I41" s="42">
        <v>0</v>
      </c>
      <c r="J41" s="42">
        <v>0</v>
      </c>
      <c r="K41" s="42">
        <v>0</v>
      </c>
      <c r="L41" s="42">
        <v>0</v>
      </c>
      <c r="M41" s="42">
        <v>0</v>
      </c>
      <c r="N41" s="42">
        <v>76</v>
      </c>
      <c r="O41" s="42">
        <v>0</v>
      </c>
      <c r="P41" s="42">
        <v>0</v>
      </c>
      <c r="Q41" s="42">
        <v>0</v>
      </c>
      <c r="R41" s="42">
        <v>17</v>
      </c>
      <c r="S41" s="42">
        <v>0</v>
      </c>
      <c r="T41" s="42">
        <v>0</v>
      </c>
      <c r="U41" s="42">
        <v>1957</v>
      </c>
      <c r="V41" s="42">
        <v>66522</v>
      </c>
      <c r="W41" s="42">
        <v>0</v>
      </c>
      <c r="X41" s="42">
        <v>0</v>
      </c>
      <c r="Y41" s="42">
        <v>0</v>
      </c>
      <c r="Z41" s="42">
        <v>3920</v>
      </c>
      <c r="AA41" s="42">
        <v>0</v>
      </c>
      <c r="AB41" s="42">
        <v>0</v>
      </c>
      <c r="AC41" s="42">
        <v>12178</v>
      </c>
      <c r="AD41" s="42">
        <v>76</v>
      </c>
      <c r="AE41" s="42">
        <v>0</v>
      </c>
      <c r="AF41" s="42">
        <v>0</v>
      </c>
      <c r="AG41" s="42">
        <v>0</v>
      </c>
      <c r="AH41" s="42">
        <v>1371</v>
      </c>
      <c r="AI41" s="42">
        <v>0</v>
      </c>
      <c r="AJ41" s="42">
        <v>0</v>
      </c>
      <c r="AK41" s="42">
        <v>5176</v>
      </c>
      <c r="AL41" s="42">
        <v>0</v>
      </c>
      <c r="AM41" s="42">
        <v>76</v>
      </c>
      <c r="AN41" s="42">
        <v>0</v>
      </c>
      <c r="AO41" s="42">
        <v>1957</v>
      </c>
      <c r="AP41" s="42">
        <v>17</v>
      </c>
      <c r="AQ41" s="42">
        <v>0</v>
      </c>
      <c r="AR41" s="42">
        <v>66522</v>
      </c>
      <c r="AS41" s="42">
        <v>0</v>
      </c>
      <c r="AT41" s="42">
        <v>12178</v>
      </c>
      <c r="AU41" s="42">
        <v>3920</v>
      </c>
      <c r="AV41" s="42">
        <v>0</v>
      </c>
      <c r="AW41" s="42">
        <v>76</v>
      </c>
      <c r="AX41" s="42">
        <v>0</v>
      </c>
      <c r="AY41" s="42">
        <v>5176</v>
      </c>
      <c r="AZ41" s="42">
        <v>1371</v>
      </c>
      <c r="BA41" s="42">
        <v>0</v>
      </c>
      <c r="BB41" s="42">
        <v>76</v>
      </c>
      <c r="BC41" s="42">
        <v>0</v>
      </c>
      <c r="BD41" s="42">
        <v>1957</v>
      </c>
      <c r="BE41" s="42">
        <v>17</v>
      </c>
      <c r="BF41" s="42">
        <v>0</v>
      </c>
      <c r="BG41" s="42">
        <v>66522</v>
      </c>
      <c r="BH41" s="42">
        <v>0</v>
      </c>
      <c r="BI41" s="42">
        <v>12178</v>
      </c>
      <c r="BJ41" s="42">
        <v>3920</v>
      </c>
      <c r="BK41" s="42">
        <v>0</v>
      </c>
      <c r="BL41" s="42">
        <v>76</v>
      </c>
      <c r="BM41" s="42">
        <v>0</v>
      </c>
      <c r="BN41" s="42">
        <v>5176</v>
      </c>
      <c r="BO41" s="42">
        <v>1371</v>
      </c>
      <c r="BP41" s="42">
        <v>0</v>
      </c>
      <c r="BQ41" s="42">
        <v>0</v>
      </c>
      <c r="BR41" s="42">
        <v>0</v>
      </c>
      <c r="BS41" s="42">
        <v>0</v>
      </c>
      <c r="BT41" s="42">
        <v>76</v>
      </c>
      <c r="BU41" s="42">
        <v>0</v>
      </c>
      <c r="BV41" s="42">
        <v>0</v>
      </c>
      <c r="BW41" s="42">
        <v>0</v>
      </c>
      <c r="BX41" s="42">
        <v>1957</v>
      </c>
      <c r="BY41" s="42">
        <v>17</v>
      </c>
      <c r="BZ41" s="42">
        <v>0</v>
      </c>
      <c r="CA41" s="42">
        <v>0</v>
      </c>
      <c r="CB41" s="42">
        <v>0</v>
      </c>
      <c r="CC41" s="42">
        <v>0</v>
      </c>
      <c r="CD41" s="42">
        <v>66522</v>
      </c>
      <c r="CE41" s="42">
        <v>0</v>
      </c>
      <c r="CF41" s="42">
        <v>0</v>
      </c>
      <c r="CG41" s="42">
        <v>0</v>
      </c>
      <c r="CH41" s="42">
        <v>12178</v>
      </c>
      <c r="CI41" s="42">
        <v>3920</v>
      </c>
      <c r="CJ41" s="42">
        <v>0</v>
      </c>
      <c r="CK41" s="42">
        <v>0</v>
      </c>
      <c r="CL41" s="42">
        <v>0</v>
      </c>
      <c r="CM41" s="42">
        <v>0</v>
      </c>
      <c r="CN41" s="42">
        <v>76</v>
      </c>
      <c r="CO41" s="42">
        <v>0</v>
      </c>
      <c r="CP41" s="42">
        <v>0</v>
      </c>
      <c r="CQ41" s="42">
        <v>0</v>
      </c>
      <c r="CR41" s="42">
        <v>5176</v>
      </c>
      <c r="CS41" s="42">
        <v>1371</v>
      </c>
      <c r="CT41" s="42">
        <v>0</v>
      </c>
      <c r="CU41" s="42">
        <v>0</v>
      </c>
      <c r="CV41" s="42">
        <v>0</v>
      </c>
      <c r="CW41" s="42">
        <v>0</v>
      </c>
      <c r="CX41" s="42">
        <v>0</v>
      </c>
      <c r="CY41" s="42">
        <v>0</v>
      </c>
      <c r="CZ41" s="42">
        <v>0</v>
      </c>
      <c r="DA41" s="42">
        <v>0</v>
      </c>
      <c r="DB41" s="42">
        <v>0</v>
      </c>
      <c r="DC41" s="42">
        <v>0</v>
      </c>
      <c r="DD41" s="42">
        <v>0</v>
      </c>
      <c r="DE41" s="42">
        <v>0</v>
      </c>
      <c r="DF41" s="42">
        <v>0</v>
      </c>
      <c r="DG41" s="42">
        <v>0</v>
      </c>
      <c r="DH41" s="42">
        <v>0</v>
      </c>
      <c r="DI41" s="42">
        <v>0</v>
      </c>
      <c r="DJ41" s="42">
        <v>0</v>
      </c>
      <c r="DK41" s="42">
        <v>0</v>
      </c>
      <c r="DL41" s="42">
        <v>946</v>
      </c>
      <c r="DM41" s="42">
        <v>0</v>
      </c>
      <c r="DN41" s="42">
        <v>0</v>
      </c>
      <c r="DO41" s="42">
        <v>0</v>
      </c>
      <c r="DP41" s="42">
        <v>0</v>
      </c>
      <c r="DQ41" s="42">
        <v>0</v>
      </c>
      <c r="DR41" s="42">
        <v>0</v>
      </c>
      <c r="DS41" s="42">
        <v>0</v>
      </c>
      <c r="DT41" s="42">
        <v>0</v>
      </c>
      <c r="DU41" s="42">
        <v>0</v>
      </c>
      <c r="DV41" s="42">
        <v>0</v>
      </c>
      <c r="DW41" s="42">
        <v>0</v>
      </c>
      <c r="DX41" s="42">
        <v>0</v>
      </c>
      <c r="DY41" s="42">
        <v>0</v>
      </c>
      <c r="DZ41" s="42">
        <v>0</v>
      </c>
      <c r="EA41" s="42">
        <v>0</v>
      </c>
      <c r="EB41" s="42"/>
      <c r="EC41" s="42"/>
      <c r="ED41" s="42"/>
      <c r="EE41" s="42"/>
      <c r="EF41" s="42"/>
      <c r="EG41" s="42"/>
      <c r="EH41" s="42"/>
      <c r="EI41" s="42"/>
      <c r="EJ41" s="42"/>
      <c r="EK41" s="42"/>
      <c r="EL41" s="42"/>
      <c r="EM41" s="42"/>
      <c r="EN41" s="42"/>
      <c r="EO41" s="42"/>
      <c r="EP41" s="42"/>
      <c r="EQ41" s="42"/>
      <c r="ER41" s="42"/>
      <c r="ES41" s="42"/>
      <c r="ET41" s="42"/>
      <c r="EU41" s="42"/>
      <c r="EV41" s="42"/>
      <c r="EW41" s="42"/>
      <c r="EX41" s="42"/>
      <c r="EY41" s="42"/>
      <c r="EZ41" s="42"/>
      <c r="FA41" s="42"/>
      <c r="FB41" s="42"/>
      <c r="FC41" s="42"/>
      <c r="FD41" s="42"/>
      <c r="FE41" s="42"/>
      <c r="FF41" s="42"/>
      <c r="FG41" s="42"/>
      <c r="FH41" s="42"/>
      <c r="FI41" s="42"/>
      <c r="FJ41" s="42"/>
      <c r="FK41" s="42"/>
      <c r="FL41" s="42"/>
      <c r="FM41" s="42"/>
      <c r="FN41" s="42"/>
      <c r="FO41" s="42"/>
      <c r="FP41" s="42"/>
      <c r="FQ41" s="42"/>
      <c r="FR41" s="42"/>
      <c r="FS41" s="42"/>
      <c r="FT41" s="42"/>
      <c r="FU41" s="42"/>
      <c r="FV41" s="42"/>
      <c r="FW41" s="42"/>
      <c r="FX41" s="42"/>
      <c r="FY41" s="42"/>
      <c r="FZ41" s="42"/>
      <c r="GA41" s="42"/>
      <c r="GB41" s="42"/>
      <c r="GC41" s="42"/>
      <c r="GD41" s="42"/>
      <c r="GE41" s="42"/>
      <c r="GF41" s="42"/>
      <c r="GG41" s="42"/>
      <c r="GH41" s="42"/>
      <c r="GI41" s="42"/>
      <c r="GJ41" s="42"/>
      <c r="GK41" s="42"/>
      <c r="GL41" s="42"/>
      <c r="GM41" s="42"/>
      <c r="GN41" s="42"/>
      <c r="GO41" s="42"/>
      <c r="GP41" s="42"/>
      <c r="GQ41" s="42"/>
      <c r="GR41" s="42"/>
      <c r="GS41" s="42"/>
      <c r="GT41" s="42"/>
      <c r="GU41" s="42"/>
      <c r="GV41" s="42"/>
      <c r="GW41" s="42"/>
      <c r="GX41" s="42"/>
      <c r="GY41" s="42"/>
      <c r="GZ41" s="42"/>
      <c r="HA41" s="42"/>
      <c r="HB41" s="42"/>
      <c r="HC41" s="42"/>
      <c r="HD41" s="42"/>
      <c r="HE41" s="42"/>
      <c r="HF41" s="42"/>
      <c r="HG41" s="42"/>
      <c r="HH41" s="42"/>
      <c r="HI41" s="42"/>
      <c r="HJ41" s="42"/>
      <c r="HK41" s="42"/>
      <c r="HL41" s="42"/>
      <c r="HM41" s="42"/>
      <c r="HN41" s="42"/>
      <c r="HO41" s="42"/>
      <c r="HP41" s="42"/>
      <c r="HQ41" s="42"/>
      <c r="HR41" s="42"/>
      <c r="HS41" s="42"/>
      <c r="HT41" s="42"/>
      <c r="HU41" s="42"/>
      <c r="HV41" s="42"/>
      <c r="HW41" s="42"/>
      <c r="HX41" s="42"/>
      <c r="HY41" s="42"/>
      <c r="HZ41" s="42"/>
      <c r="IA41" s="42"/>
      <c r="IB41" s="42"/>
      <c r="IC41" s="42"/>
      <c r="ID41" s="42"/>
      <c r="IE41" s="42"/>
      <c r="IF41" s="42"/>
      <c r="IG41" s="42"/>
      <c r="IH41" s="42"/>
      <c r="II41" s="42"/>
      <c r="IJ41" s="42"/>
      <c r="IK41" s="42"/>
      <c r="IL41" s="42"/>
      <c r="IM41" s="42"/>
      <c r="IN41" s="42"/>
      <c r="IO41" s="42"/>
      <c r="IP41" s="42"/>
      <c r="IQ41" s="42"/>
      <c r="IR41" s="42"/>
      <c r="IS41" s="42"/>
      <c r="IT41" s="42"/>
      <c r="IU41" s="42"/>
      <c r="IV41" s="42"/>
      <c r="IW41" s="42"/>
      <c r="IX41" s="42"/>
      <c r="IY41" s="42"/>
      <c r="IZ41" s="42"/>
      <c r="JA41" s="42"/>
      <c r="JB41" s="42"/>
      <c r="JC41" s="42"/>
      <c r="JD41" s="42"/>
      <c r="JE41" s="42"/>
      <c r="JF41" s="42"/>
      <c r="JG41" s="42"/>
      <c r="JH41" s="42"/>
      <c r="JI41" s="42"/>
      <c r="JJ41" s="42"/>
      <c r="JK41" s="42"/>
      <c r="JL41" s="42"/>
      <c r="JM41" s="42"/>
      <c r="JN41" s="42"/>
      <c r="JO41" s="42"/>
      <c r="JP41" s="42"/>
      <c r="JQ41" s="42"/>
      <c r="JR41" s="42"/>
      <c r="JS41" s="42"/>
      <c r="JT41" s="42"/>
      <c r="JU41" s="42"/>
      <c r="JV41" s="42"/>
      <c r="JW41" s="42"/>
      <c r="JX41" s="42"/>
      <c r="JY41" s="42"/>
      <c r="JZ41" s="42"/>
      <c r="KA41" s="42"/>
      <c r="KB41" s="42"/>
      <c r="KC41" s="42"/>
      <c r="KD41" s="42"/>
      <c r="KE41" s="42"/>
      <c r="KF41" s="42"/>
      <c r="KG41" s="42"/>
      <c r="KH41" s="42"/>
      <c r="KI41" s="42"/>
      <c r="KJ41" s="42"/>
      <c r="KK41" s="42"/>
      <c r="KL41" s="42"/>
      <c r="KM41" s="42"/>
      <c r="KN41" s="42"/>
      <c r="KO41" s="42"/>
      <c r="KP41" s="42"/>
      <c r="KQ41" s="42"/>
      <c r="KR41" s="42"/>
      <c r="KS41" s="42"/>
      <c r="KT41" s="42"/>
      <c r="KU41" s="42"/>
      <c r="KV41" s="42"/>
      <c r="KW41" s="42"/>
      <c r="KX41" s="42"/>
      <c r="KY41" s="42"/>
      <c r="KZ41" s="42"/>
    </row>
    <row r="42" spans="2:312" x14ac:dyDescent="0.35">
      <c r="B42" s="40">
        <f t="shared" si="0"/>
        <v>44986</v>
      </c>
      <c r="C42" s="31">
        <v>202303</v>
      </c>
      <c r="D42" s="42">
        <v>304</v>
      </c>
      <c r="E42" s="42">
        <v>0</v>
      </c>
      <c r="F42" s="42">
        <v>0</v>
      </c>
      <c r="G42" s="42">
        <v>0</v>
      </c>
      <c r="H42" s="42">
        <v>0</v>
      </c>
      <c r="I42" s="42">
        <v>0</v>
      </c>
      <c r="J42" s="42">
        <v>0</v>
      </c>
      <c r="K42" s="42">
        <v>0</v>
      </c>
      <c r="L42" s="42">
        <v>0</v>
      </c>
      <c r="M42" s="42">
        <v>0</v>
      </c>
      <c r="N42" s="42">
        <v>0</v>
      </c>
      <c r="O42" s="42">
        <v>0</v>
      </c>
      <c r="P42" s="42">
        <v>0</v>
      </c>
      <c r="Q42" s="42">
        <v>0</v>
      </c>
      <c r="R42" s="42">
        <v>0</v>
      </c>
      <c r="S42" s="42">
        <v>0</v>
      </c>
      <c r="T42" s="42">
        <v>0</v>
      </c>
      <c r="U42" s="42">
        <v>0</v>
      </c>
      <c r="V42" s="42">
        <v>0</v>
      </c>
      <c r="W42" s="42">
        <v>0</v>
      </c>
      <c r="X42" s="42">
        <v>0</v>
      </c>
      <c r="Y42" s="42">
        <v>0</v>
      </c>
      <c r="Z42" s="42">
        <v>0</v>
      </c>
      <c r="AA42" s="42">
        <v>0</v>
      </c>
      <c r="AB42" s="42">
        <v>0</v>
      </c>
      <c r="AC42" s="42">
        <v>0</v>
      </c>
      <c r="AD42" s="42">
        <v>0</v>
      </c>
      <c r="AE42" s="42">
        <v>0</v>
      </c>
      <c r="AF42" s="42">
        <v>0</v>
      </c>
      <c r="AG42" s="42">
        <v>0</v>
      </c>
      <c r="AH42" s="42">
        <v>0</v>
      </c>
      <c r="AI42" s="42">
        <v>0</v>
      </c>
      <c r="AJ42" s="42">
        <v>0</v>
      </c>
      <c r="AK42" s="42">
        <v>0</v>
      </c>
      <c r="AL42" s="42">
        <v>0</v>
      </c>
      <c r="AM42" s="42">
        <v>0</v>
      </c>
      <c r="AN42" s="42">
        <v>0</v>
      </c>
      <c r="AO42" s="42">
        <v>0</v>
      </c>
      <c r="AP42" s="42">
        <v>0</v>
      </c>
      <c r="AQ42" s="42">
        <v>0</v>
      </c>
      <c r="AR42" s="42">
        <v>0</v>
      </c>
      <c r="AS42" s="42">
        <v>0</v>
      </c>
      <c r="AT42" s="42">
        <v>0</v>
      </c>
      <c r="AU42" s="42">
        <v>0</v>
      </c>
      <c r="AV42" s="42">
        <v>0</v>
      </c>
      <c r="AW42" s="42">
        <v>0</v>
      </c>
      <c r="AX42" s="42">
        <v>0</v>
      </c>
      <c r="AY42" s="42">
        <v>0</v>
      </c>
      <c r="AZ42" s="42">
        <v>0</v>
      </c>
      <c r="BA42" s="42">
        <v>0</v>
      </c>
      <c r="BB42" s="42">
        <v>0</v>
      </c>
      <c r="BC42" s="42">
        <v>0</v>
      </c>
      <c r="BD42" s="42">
        <v>0</v>
      </c>
      <c r="BE42" s="42">
        <v>0</v>
      </c>
      <c r="BF42" s="42">
        <v>0</v>
      </c>
      <c r="BG42" s="42">
        <v>0</v>
      </c>
      <c r="BH42" s="42">
        <v>0</v>
      </c>
      <c r="BI42" s="42">
        <v>0</v>
      </c>
      <c r="BJ42" s="42">
        <v>0</v>
      </c>
      <c r="BK42" s="42">
        <v>0</v>
      </c>
      <c r="BL42" s="42">
        <v>0</v>
      </c>
      <c r="BM42" s="42">
        <v>0</v>
      </c>
      <c r="BN42" s="42">
        <v>0</v>
      </c>
      <c r="BO42" s="42">
        <v>0</v>
      </c>
      <c r="BP42" s="42">
        <v>0</v>
      </c>
      <c r="BQ42" s="42">
        <v>0</v>
      </c>
      <c r="BR42" s="42">
        <v>0</v>
      </c>
      <c r="BS42" s="42">
        <v>0</v>
      </c>
      <c r="BT42" s="42">
        <v>0</v>
      </c>
      <c r="BU42" s="42">
        <v>0</v>
      </c>
      <c r="BV42" s="42">
        <v>0</v>
      </c>
      <c r="BW42" s="42">
        <v>0</v>
      </c>
      <c r="BX42" s="42">
        <v>0</v>
      </c>
      <c r="BY42" s="42">
        <v>0</v>
      </c>
      <c r="BZ42" s="42">
        <v>0</v>
      </c>
      <c r="CA42" s="42">
        <v>0</v>
      </c>
      <c r="CB42" s="42">
        <v>0</v>
      </c>
      <c r="CC42" s="42">
        <v>0</v>
      </c>
      <c r="CD42" s="42">
        <v>0</v>
      </c>
      <c r="CE42" s="42">
        <v>0</v>
      </c>
      <c r="CF42" s="42">
        <v>0</v>
      </c>
      <c r="CG42" s="42">
        <v>0</v>
      </c>
      <c r="CH42" s="42">
        <v>0</v>
      </c>
      <c r="CI42" s="42">
        <v>0</v>
      </c>
      <c r="CJ42" s="42">
        <v>0</v>
      </c>
      <c r="CK42" s="42">
        <v>0</v>
      </c>
      <c r="CL42" s="42">
        <v>0</v>
      </c>
      <c r="CM42" s="42">
        <v>0</v>
      </c>
      <c r="CN42" s="42">
        <v>0</v>
      </c>
      <c r="CO42" s="42">
        <v>0</v>
      </c>
      <c r="CP42" s="42">
        <v>0</v>
      </c>
      <c r="CQ42" s="42">
        <v>0</v>
      </c>
      <c r="CR42" s="42">
        <v>0</v>
      </c>
      <c r="CS42" s="42">
        <v>0</v>
      </c>
      <c r="CT42" s="42">
        <v>0</v>
      </c>
      <c r="CU42" s="42">
        <v>0</v>
      </c>
      <c r="CV42" s="42">
        <v>0</v>
      </c>
      <c r="CW42" s="42">
        <v>0</v>
      </c>
      <c r="CX42" s="42">
        <v>0</v>
      </c>
      <c r="CY42" s="42">
        <v>0</v>
      </c>
      <c r="CZ42" s="42">
        <v>0</v>
      </c>
      <c r="DA42" s="42">
        <v>0</v>
      </c>
      <c r="DB42" s="42">
        <v>0</v>
      </c>
      <c r="DC42" s="42">
        <v>0</v>
      </c>
      <c r="DD42" s="42">
        <v>0</v>
      </c>
      <c r="DE42" s="42">
        <v>0</v>
      </c>
      <c r="DF42" s="42">
        <v>0</v>
      </c>
      <c r="DG42" s="42">
        <v>0</v>
      </c>
      <c r="DH42" s="42">
        <v>0</v>
      </c>
      <c r="DI42" s="42">
        <v>0</v>
      </c>
      <c r="DJ42" s="42">
        <v>0</v>
      </c>
      <c r="DK42" s="42">
        <v>0</v>
      </c>
      <c r="DL42" s="42">
        <v>38</v>
      </c>
      <c r="DM42" s="42">
        <v>0</v>
      </c>
      <c r="DN42" s="42">
        <v>0</v>
      </c>
      <c r="DO42" s="42">
        <v>0</v>
      </c>
      <c r="DP42" s="42">
        <v>0</v>
      </c>
      <c r="DQ42" s="42">
        <v>0</v>
      </c>
      <c r="DR42" s="42">
        <v>0</v>
      </c>
      <c r="DS42" s="42">
        <v>0</v>
      </c>
      <c r="DT42" s="42">
        <v>0</v>
      </c>
      <c r="DU42" s="42">
        <v>0</v>
      </c>
      <c r="DV42" s="42">
        <v>0</v>
      </c>
      <c r="DW42" s="42">
        <v>0</v>
      </c>
      <c r="DX42" s="42">
        <v>0</v>
      </c>
      <c r="DY42" s="42">
        <v>0</v>
      </c>
      <c r="DZ42" s="42">
        <v>0</v>
      </c>
      <c r="EA42" s="42">
        <v>0</v>
      </c>
      <c r="EB42" s="42"/>
      <c r="EC42" s="42"/>
      <c r="ED42" s="42"/>
      <c r="EE42" s="42"/>
      <c r="EF42" s="42"/>
      <c r="EG42" s="42"/>
      <c r="EH42" s="42"/>
      <c r="EI42" s="42"/>
      <c r="EJ42" s="42"/>
      <c r="EK42" s="42"/>
      <c r="EL42" s="42"/>
      <c r="EM42" s="42"/>
      <c r="EN42" s="42"/>
      <c r="EO42" s="42"/>
      <c r="EP42" s="42"/>
      <c r="EQ42" s="42"/>
      <c r="ER42" s="42"/>
      <c r="ES42" s="42"/>
      <c r="ET42" s="42"/>
      <c r="EU42" s="42"/>
      <c r="EV42" s="42"/>
      <c r="EW42" s="42"/>
      <c r="EX42" s="42"/>
      <c r="EY42" s="42"/>
      <c r="EZ42" s="42"/>
      <c r="FA42" s="42"/>
      <c r="FB42" s="42"/>
      <c r="FC42" s="42"/>
      <c r="FD42" s="42"/>
      <c r="FE42" s="42"/>
      <c r="FF42" s="42"/>
      <c r="FG42" s="42"/>
      <c r="FH42" s="42"/>
      <c r="FI42" s="42"/>
      <c r="FJ42" s="42"/>
      <c r="FK42" s="42"/>
      <c r="FL42" s="42"/>
      <c r="FM42" s="42"/>
      <c r="FN42" s="42"/>
      <c r="FO42" s="42"/>
      <c r="FP42" s="42"/>
      <c r="FQ42" s="42"/>
      <c r="FR42" s="42"/>
      <c r="FS42" s="42"/>
      <c r="FT42" s="42"/>
      <c r="FU42" s="42"/>
      <c r="FV42" s="42"/>
      <c r="FW42" s="42"/>
      <c r="FX42" s="42"/>
      <c r="FY42" s="42"/>
      <c r="FZ42" s="42"/>
      <c r="GA42" s="42"/>
      <c r="GB42" s="42"/>
      <c r="GC42" s="42"/>
      <c r="GD42" s="42"/>
      <c r="GE42" s="42"/>
      <c r="GF42" s="42"/>
      <c r="GG42" s="42"/>
      <c r="GH42" s="42"/>
      <c r="GI42" s="42"/>
      <c r="GJ42" s="42"/>
      <c r="GK42" s="42"/>
      <c r="GL42" s="42"/>
      <c r="GM42" s="42"/>
      <c r="GN42" s="42"/>
      <c r="GO42" s="42"/>
      <c r="GP42" s="42"/>
      <c r="GQ42" s="42"/>
      <c r="GR42" s="42"/>
      <c r="GS42" s="42"/>
      <c r="GT42" s="42"/>
      <c r="GU42" s="42"/>
      <c r="GV42" s="42"/>
      <c r="GW42" s="42"/>
      <c r="GX42" s="42"/>
      <c r="GY42" s="42"/>
      <c r="GZ42" s="42"/>
      <c r="HA42" s="42"/>
      <c r="HB42" s="42"/>
      <c r="HC42" s="42"/>
      <c r="HD42" s="42"/>
      <c r="HE42" s="42"/>
      <c r="HF42" s="42"/>
      <c r="HG42" s="42"/>
      <c r="HH42" s="42"/>
      <c r="HI42" s="42"/>
      <c r="HJ42" s="42"/>
      <c r="HK42" s="42"/>
      <c r="HL42" s="42"/>
      <c r="HM42" s="42"/>
      <c r="HN42" s="42"/>
      <c r="HO42" s="42"/>
      <c r="HP42" s="42"/>
      <c r="HQ42" s="42"/>
      <c r="HR42" s="42"/>
      <c r="HS42" s="42"/>
      <c r="HT42" s="42"/>
      <c r="HU42" s="42"/>
      <c r="HV42" s="42"/>
      <c r="HW42" s="42"/>
      <c r="HX42" s="42"/>
      <c r="HY42" s="42"/>
      <c r="HZ42" s="42"/>
      <c r="IA42" s="42"/>
      <c r="IB42" s="42"/>
      <c r="IC42" s="42"/>
      <c r="ID42" s="42"/>
      <c r="IE42" s="42"/>
      <c r="IF42" s="42"/>
      <c r="IG42" s="42"/>
      <c r="IH42" s="42"/>
      <c r="II42" s="42"/>
      <c r="IJ42" s="42"/>
      <c r="IK42" s="42"/>
      <c r="IL42" s="42"/>
      <c r="IM42" s="42"/>
      <c r="IN42" s="42"/>
      <c r="IO42" s="42"/>
      <c r="IP42" s="42"/>
      <c r="IQ42" s="42"/>
      <c r="IR42" s="42"/>
      <c r="IS42" s="42"/>
      <c r="IT42" s="42"/>
      <c r="IU42" s="42"/>
      <c r="IV42" s="42"/>
      <c r="IW42" s="42"/>
      <c r="IX42" s="42"/>
      <c r="IY42" s="42"/>
      <c r="IZ42" s="42"/>
      <c r="JA42" s="42"/>
      <c r="JB42" s="42"/>
      <c r="JC42" s="42"/>
      <c r="JD42" s="42"/>
      <c r="JE42" s="42"/>
      <c r="JF42" s="42"/>
      <c r="JG42" s="42"/>
      <c r="JH42" s="42"/>
      <c r="JI42" s="42"/>
      <c r="JJ42" s="42"/>
      <c r="JK42" s="42"/>
      <c r="JL42" s="42"/>
      <c r="JM42" s="42"/>
      <c r="JN42" s="42"/>
      <c r="JO42" s="42"/>
      <c r="JP42" s="42"/>
      <c r="JQ42" s="42"/>
      <c r="JR42" s="42"/>
      <c r="JS42" s="42"/>
      <c r="JT42" s="42"/>
      <c r="JU42" s="42"/>
      <c r="JV42" s="42"/>
      <c r="JW42" s="42"/>
      <c r="JX42" s="42"/>
      <c r="JY42" s="42"/>
      <c r="JZ42" s="42"/>
      <c r="KA42" s="42"/>
      <c r="KB42" s="42"/>
      <c r="KC42" s="42"/>
      <c r="KD42" s="42"/>
      <c r="KE42" s="42"/>
      <c r="KF42" s="42"/>
      <c r="KG42" s="42"/>
      <c r="KH42" s="42"/>
      <c r="KI42" s="42"/>
      <c r="KJ42" s="42"/>
      <c r="KK42" s="42"/>
      <c r="KL42" s="42"/>
      <c r="KM42" s="42"/>
      <c r="KN42" s="42"/>
      <c r="KO42" s="42"/>
      <c r="KP42" s="42"/>
      <c r="KQ42" s="42"/>
      <c r="KR42" s="42"/>
      <c r="KS42" s="42"/>
      <c r="KT42" s="42"/>
      <c r="KU42" s="42"/>
      <c r="KV42" s="42"/>
      <c r="KW42" s="42"/>
      <c r="KX42" s="42"/>
      <c r="KY42" s="42"/>
      <c r="KZ42" s="42"/>
    </row>
  </sheetData>
  <hyperlinks>
    <hyperlink ref="A1" location="Index!A1" display="Home" xr:uid="{352FDB49-79C0-4C16-B739-415263F4EC29}"/>
  </hyperlinks>
  <pageMargins left="0.7" right="0.7" top="0.75" bottom="0.75" header="0.3" footer="0.3"/>
  <pageSetup paperSize="9" orientation="portrait" r:id="rId1"/>
  <headerFooter>
    <oddHeader>&amp;L&amp;"Calibri"&amp;12&amp;K8E6A00Confidential&amp;1#</oddHead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D48838-A41E-497D-9773-67E50A06AB2C}">
  <sheetPr codeName="Sheet19">
    <tabColor theme="7" tint="0.39997558519241921"/>
  </sheetPr>
  <dimension ref="B1:O42"/>
  <sheetViews>
    <sheetView zoomScale="70" zoomScaleNormal="70" workbookViewId="0">
      <selection activeCell="H15" sqref="H15"/>
    </sheetView>
  </sheetViews>
  <sheetFormatPr defaultRowHeight="14.5" x14ac:dyDescent="0.35"/>
  <cols>
    <col min="1" max="1" width="8.7265625" style="10"/>
    <col min="2" max="2" width="13.36328125" style="10" customWidth="1"/>
    <col min="3" max="3" width="12.54296875" style="10" customWidth="1"/>
    <col min="4" max="4" width="10.90625" style="10" customWidth="1"/>
    <col min="5" max="5" width="11.7265625" style="10" customWidth="1"/>
    <col min="6" max="6" width="11.54296875" style="10" customWidth="1"/>
    <col min="7" max="7" width="13.26953125" style="10" customWidth="1"/>
    <col min="8" max="9" width="8.7265625" style="10"/>
    <col min="10" max="10" width="9.7265625" style="10" customWidth="1"/>
    <col min="11" max="11" width="11.26953125" style="10" bestFit="1" customWidth="1"/>
    <col min="12" max="12" width="9.453125" style="10" customWidth="1"/>
    <col min="13" max="13" width="9.26953125" style="10" customWidth="1"/>
    <col min="14" max="14" width="10" style="10" customWidth="1"/>
    <col min="15" max="15" width="10.36328125" style="10" customWidth="1"/>
    <col min="16" max="16384" width="8.7265625" style="10"/>
  </cols>
  <sheetData>
    <row r="1" spans="2:15" ht="15" thickBot="1" x14ac:dyDescent="0.4"/>
    <row r="2" spans="2:15" x14ac:dyDescent="0.35">
      <c r="B2" s="98" t="s">
        <v>2</v>
      </c>
      <c r="C2" s="99" t="s">
        <v>376</v>
      </c>
      <c r="D2" s="99" t="s">
        <v>364</v>
      </c>
      <c r="E2" s="99" t="s">
        <v>365</v>
      </c>
      <c r="F2" s="99" t="s">
        <v>366</v>
      </c>
      <c r="G2" s="100" t="s">
        <v>367</v>
      </c>
      <c r="J2" s="96" t="s">
        <v>2</v>
      </c>
      <c r="K2" s="97" t="s">
        <v>376</v>
      </c>
      <c r="L2" s="97" t="s">
        <v>364</v>
      </c>
      <c r="M2" s="97" t="s">
        <v>365</v>
      </c>
      <c r="N2" s="97" t="s">
        <v>366</v>
      </c>
      <c r="O2" s="97" t="s">
        <v>367</v>
      </c>
    </row>
    <row r="3" spans="2:15" x14ac:dyDescent="0.35">
      <c r="B3" s="64">
        <v>202002</v>
      </c>
      <c r="C3" s="31">
        <v>0</v>
      </c>
      <c r="D3" s="31">
        <v>0</v>
      </c>
      <c r="E3" s="31">
        <v>0</v>
      </c>
      <c r="F3" s="31">
        <v>0</v>
      </c>
      <c r="G3" s="65">
        <v>0</v>
      </c>
      <c r="J3" s="96">
        <v>201912</v>
      </c>
      <c r="K3" s="96">
        <v>0</v>
      </c>
      <c r="L3" s="96">
        <v>0</v>
      </c>
      <c r="M3" s="96">
        <v>0</v>
      </c>
      <c r="N3" s="96">
        <v>0</v>
      </c>
      <c r="O3" s="96">
        <v>0</v>
      </c>
    </row>
    <row r="4" spans="2:15" x14ac:dyDescent="0.35">
      <c r="B4" s="64">
        <v>202003</v>
      </c>
      <c r="C4" s="31">
        <v>0</v>
      </c>
      <c r="D4" s="31">
        <v>0</v>
      </c>
      <c r="E4" s="31">
        <v>0</v>
      </c>
      <c r="F4" s="31">
        <v>0</v>
      </c>
      <c r="G4" s="65">
        <v>0</v>
      </c>
      <c r="J4" s="96">
        <v>202001</v>
      </c>
      <c r="K4" s="96">
        <v>0</v>
      </c>
      <c r="L4" s="96">
        <v>0</v>
      </c>
      <c r="M4" s="96">
        <v>0</v>
      </c>
      <c r="N4" s="96">
        <v>0</v>
      </c>
      <c r="O4" s="96">
        <v>0</v>
      </c>
    </row>
    <row r="5" spans="2:15" x14ac:dyDescent="0.35">
      <c r="B5" s="64">
        <v>202004</v>
      </c>
      <c r="C5" s="31">
        <v>0</v>
      </c>
      <c r="D5" s="31">
        <v>0</v>
      </c>
      <c r="E5" s="31">
        <v>0</v>
      </c>
      <c r="F5" s="31">
        <v>0</v>
      </c>
      <c r="G5" s="65">
        <v>0</v>
      </c>
      <c r="J5" s="96">
        <v>202002</v>
      </c>
      <c r="K5" s="96">
        <v>0</v>
      </c>
      <c r="L5" s="31">
        <v>0</v>
      </c>
      <c r="M5" s="96">
        <v>0</v>
      </c>
      <c r="N5" s="96">
        <v>0</v>
      </c>
      <c r="O5" s="96">
        <v>0</v>
      </c>
    </row>
    <row r="6" spans="2:15" x14ac:dyDescent="0.35">
      <c r="B6" s="64">
        <v>202005</v>
      </c>
      <c r="C6" s="31">
        <v>0</v>
      </c>
      <c r="D6" s="31">
        <v>0</v>
      </c>
      <c r="E6" s="31">
        <v>0</v>
      </c>
      <c r="F6" s="31">
        <v>0</v>
      </c>
      <c r="G6" s="65">
        <v>0</v>
      </c>
      <c r="J6" s="96">
        <v>202003</v>
      </c>
      <c r="K6" s="96">
        <v>0</v>
      </c>
      <c r="L6" s="31">
        <v>0</v>
      </c>
      <c r="M6" s="96">
        <v>0</v>
      </c>
      <c r="N6" s="96">
        <v>0</v>
      </c>
      <c r="O6" s="96">
        <v>0</v>
      </c>
    </row>
    <row r="7" spans="2:15" x14ac:dyDescent="0.35">
      <c r="B7" s="64">
        <v>202006</v>
      </c>
      <c r="C7" s="31">
        <v>0</v>
      </c>
      <c r="D7" s="31">
        <v>0</v>
      </c>
      <c r="E7" s="31">
        <v>0</v>
      </c>
      <c r="F7" s="31">
        <v>0</v>
      </c>
      <c r="G7" s="65">
        <v>0</v>
      </c>
      <c r="J7" s="96">
        <v>202004</v>
      </c>
      <c r="K7" s="96">
        <v>0</v>
      </c>
      <c r="L7" s="31">
        <v>0</v>
      </c>
      <c r="M7" s="96">
        <v>0</v>
      </c>
      <c r="N7" s="96">
        <v>0</v>
      </c>
      <c r="O7" s="96">
        <v>0</v>
      </c>
    </row>
    <row r="8" spans="2:15" x14ac:dyDescent="0.35">
      <c r="B8" s="64">
        <v>202007</v>
      </c>
      <c r="C8" s="31">
        <v>0</v>
      </c>
      <c r="D8" s="31">
        <v>0</v>
      </c>
      <c r="E8" s="31">
        <v>0</v>
      </c>
      <c r="F8" s="31">
        <v>0</v>
      </c>
      <c r="G8" s="65">
        <v>0</v>
      </c>
      <c r="J8" s="96">
        <v>202005</v>
      </c>
      <c r="K8" s="96">
        <v>0</v>
      </c>
      <c r="L8" s="31">
        <v>0</v>
      </c>
      <c r="M8" s="96">
        <v>0</v>
      </c>
      <c r="N8" s="96">
        <v>0</v>
      </c>
      <c r="O8" s="96">
        <v>0</v>
      </c>
    </row>
    <row r="9" spans="2:15" x14ac:dyDescent="0.35">
      <c r="B9" s="64">
        <v>202008</v>
      </c>
      <c r="C9" s="31">
        <v>0</v>
      </c>
      <c r="D9" s="31">
        <v>0</v>
      </c>
      <c r="E9" s="31">
        <v>0</v>
      </c>
      <c r="F9" s="31">
        <v>0</v>
      </c>
      <c r="G9" s="65">
        <v>0</v>
      </c>
      <c r="J9" s="96">
        <v>202006</v>
      </c>
      <c r="K9" s="96">
        <v>0</v>
      </c>
      <c r="L9" s="31">
        <v>0</v>
      </c>
      <c r="M9" s="96">
        <v>0</v>
      </c>
      <c r="N9" s="96">
        <v>0</v>
      </c>
      <c r="O9" s="96">
        <v>0</v>
      </c>
    </row>
    <row r="10" spans="2:15" x14ac:dyDescent="0.35">
      <c r="B10" s="64">
        <v>202009</v>
      </c>
      <c r="C10" s="31">
        <v>0</v>
      </c>
      <c r="D10" s="31">
        <v>0</v>
      </c>
      <c r="E10" s="31">
        <v>0</v>
      </c>
      <c r="F10" s="31">
        <v>0</v>
      </c>
      <c r="G10" s="65">
        <v>0</v>
      </c>
      <c r="J10" s="96">
        <v>202007</v>
      </c>
      <c r="K10" s="96">
        <v>0</v>
      </c>
      <c r="L10" s="31">
        <v>0</v>
      </c>
      <c r="M10" s="96">
        <v>0</v>
      </c>
      <c r="N10" s="96">
        <v>0</v>
      </c>
      <c r="O10" s="96">
        <v>0</v>
      </c>
    </row>
    <row r="11" spans="2:15" x14ac:dyDescent="0.35">
      <c r="B11" s="64">
        <v>202010</v>
      </c>
      <c r="C11" s="31">
        <v>0</v>
      </c>
      <c r="D11" s="31">
        <v>0</v>
      </c>
      <c r="E11" s="31">
        <v>0</v>
      </c>
      <c r="F11" s="31">
        <v>0</v>
      </c>
      <c r="G11" s="65">
        <v>0</v>
      </c>
      <c r="J11" s="96">
        <v>202008</v>
      </c>
      <c r="K11" s="96">
        <v>0</v>
      </c>
      <c r="L11" s="31">
        <v>0</v>
      </c>
      <c r="M11" s="96">
        <v>0</v>
      </c>
      <c r="N11" s="96">
        <v>0</v>
      </c>
      <c r="O11" s="96">
        <v>0</v>
      </c>
    </row>
    <row r="12" spans="2:15" x14ac:dyDescent="0.35">
      <c r="B12" s="64">
        <v>202011</v>
      </c>
      <c r="C12" s="31">
        <v>0</v>
      </c>
      <c r="D12" s="31">
        <v>0</v>
      </c>
      <c r="E12" s="31">
        <v>0</v>
      </c>
      <c r="F12" s="31">
        <v>0</v>
      </c>
      <c r="G12" s="65">
        <v>0</v>
      </c>
      <c r="J12" s="96">
        <v>202009</v>
      </c>
      <c r="K12" s="96">
        <v>0</v>
      </c>
      <c r="L12" s="31">
        <v>0</v>
      </c>
      <c r="M12" s="96">
        <v>0</v>
      </c>
      <c r="N12" s="96">
        <v>0</v>
      </c>
      <c r="O12" s="96">
        <v>0</v>
      </c>
    </row>
    <row r="13" spans="2:15" x14ac:dyDescent="0.35">
      <c r="B13" s="64">
        <v>202012</v>
      </c>
      <c r="C13" s="31">
        <v>0</v>
      </c>
      <c r="D13" s="31">
        <v>0</v>
      </c>
      <c r="E13" s="31">
        <v>0</v>
      </c>
      <c r="F13" s="31">
        <v>0</v>
      </c>
      <c r="G13" s="65">
        <v>0</v>
      </c>
      <c r="J13" s="96">
        <v>202010</v>
      </c>
      <c r="K13" s="96">
        <v>0</v>
      </c>
      <c r="L13" s="31">
        <v>0</v>
      </c>
      <c r="M13" s="96">
        <v>0</v>
      </c>
      <c r="N13" s="96">
        <v>0</v>
      </c>
      <c r="O13" s="96">
        <v>0</v>
      </c>
    </row>
    <row r="14" spans="2:15" x14ac:dyDescent="0.35">
      <c r="B14" s="64">
        <v>202101</v>
      </c>
      <c r="C14" s="31">
        <v>20975</v>
      </c>
      <c r="D14" s="31">
        <v>20975</v>
      </c>
      <c r="E14" s="31">
        <v>2689</v>
      </c>
      <c r="F14" s="31">
        <v>0</v>
      </c>
      <c r="G14" s="65">
        <v>0</v>
      </c>
      <c r="J14" s="96">
        <v>202011</v>
      </c>
      <c r="K14" s="96">
        <v>0</v>
      </c>
      <c r="L14" s="31">
        <v>0</v>
      </c>
      <c r="M14" s="96">
        <v>0</v>
      </c>
      <c r="N14" s="96">
        <v>0</v>
      </c>
      <c r="O14" s="96">
        <v>0</v>
      </c>
    </row>
    <row r="15" spans="2:15" x14ac:dyDescent="0.35">
      <c r="B15" s="64">
        <v>202102</v>
      </c>
      <c r="C15" s="31">
        <v>20975</v>
      </c>
      <c r="D15" s="31">
        <v>20975</v>
      </c>
      <c r="E15" s="31">
        <v>2689</v>
      </c>
      <c r="F15" s="31">
        <v>0</v>
      </c>
      <c r="G15" s="65">
        <v>0</v>
      </c>
      <c r="J15" s="96">
        <v>202012</v>
      </c>
      <c r="K15" s="96">
        <v>0</v>
      </c>
      <c r="L15" s="31">
        <v>0</v>
      </c>
      <c r="M15" s="96">
        <v>0</v>
      </c>
      <c r="N15" s="96">
        <v>0</v>
      </c>
      <c r="O15" s="96">
        <v>0</v>
      </c>
    </row>
    <row r="16" spans="2:15" x14ac:dyDescent="0.35">
      <c r="B16" s="64">
        <v>202103</v>
      </c>
      <c r="C16" s="31">
        <v>28874</v>
      </c>
      <c r="D16" s="31">
        <v>28839</v>
      </c>
      <c r="E16" s="31">
        <v>2689</v>
      </c>
      <c r="F16" s="31">
        <v>0</v>
      </c>
      <c r="G16" s="65">
        <v>0</v>
      </c>
      <c r="J16" s="96">
        <v>202101</v>
      </c>
      <c r="K16" s="96">
        <v>20975</v>
      </c>
      <c r="L16" s="31">
        <v>20975</v>
      </c>
      <c r="M16" s="96">
        <v>2689</v>
      </c>
      <c r="N16" s="96">
        <v>0</v>
      </c>
      <c r="O16" s="96">
        <v>0</v>
      </c>
    </row>
    <row r="17" spans="2:15" x14ac:dyDescent="0.35">
      <c r="B17" s="64">
        <v>202104</v>
      </c>
      <c r="C17" s="31">
        <v>43538</v>
      </c>
      <c r="D17" s="31">
        <v>41626</v>
      </c>
      <c r="E17" s="31">
        <v>2689</v>
      </c>
      <c r="F17" s="31">
        <v>0</v>
      </c>
      <c r="G17" s="65">
        <v>0</v>
      </c>
      <c r="J17" s="96">
        <v>202102</v>
      </c>
      <c r="K17" s="96">
        <v>20975</v>
      </c>
      <c r="L17" s="31">
        <v>20975</v>
      </c>
      <c r="M17" s="96">
        <v>2689</v>
      </c>
      <c r="N17" s="96">
        <v>0</v>
      </c>
      <c r="O17" s="96">
        <v>0</v>
      </c>
    </row>
    <row r="18" spans="2:15" x14ac:dyDescent="0.35">
      <c r="B18" s="64">
        <v>202105</v>
      </c>
      <c r="C18" s="31">
        <v>43538</v>
      </c>
      <c r="D18" s="31">
        <v>41626</v>
      </c>
      <c r="E18" s="31">
        <v>2689</v>
      </c>
      <c r="F18" s="31">
        <v>0</v>
      </c>
      <c r="G18" s="65">
        <v>0</v>
      </c>
      <c r="J18" s="96">
        <v>202103</v>
      </c>
      <c r="K18" s="96">
        <v>28874</v>
      </c>
      <c r="L18" s="31">
        <v>28839</v>
      </c>
      <c r="M18" s="96">
        <v>2689</v>
      </c>
      <c r="N18" s="96">
        <v>0</v>
      </c>
      <c r="O18" s="96">
        <v>0</v>
      </c>
    </row>
    <row r="19" spans="2:15" x14ac:dyDescent="0.35">
      <c r="B19" s="64">
        <v>202106</v>
      </c>
      <c r="C19" s="31">
        <v>43538</v>
      </c>
      <c r="D19" s="31">
        <v>41626</v>
      </c>
      <c r="E19" s="31">
        <v>2689</v>
      </c>
      <c r="F19" s="31">
        <v>9262</v>
      </c>
      <c r="G19" s="65">
        <v>0</v>
      </c>
      <c r="J19" s="96">
        <v>202104</v>
      </c>
      <c r="K19" s="96">
        <v>43538</v>
      </c>
      <c r="L19" s="31">
        <v>41626</v>
      </c>
      <c r="M19" s="96">
        <v>2689</v>
      </c>
      <c r="N19" s="96">
        <v>0</v>
      </c>
      <c r="O19" s="96">
        <v>0</v>
      </c>
    </row>
    <row r="20" spans="2:15" x14ac:dyDescent="0.35">
      <c r="B20" s="64">
        <v>202107</v>
      </c>
      <c r="C20" s="31">
        <v>43538</v>
      </c>
      <c r="D20" s="31">
        <v>41626</v>
      </c>
      <c r="E20" s="31">
        <v>2689</v>
      </c>
      <c r="F20" s="31">
        <v>9262</v>
      </c>
      <c r="G20" s="65">
        <v>0</v>
      </c>
      <c r="J20" s="96">
        <v>202105</v>
      </c>
      <c r="K20" s="96">
        <v>43538</v>
      </c>
      <c r="L20" s="31">
        <v>41626</v>
      </c>
      <c r="M20" s="96">
        <v>2689</v>
      </c>
      <c r="N20" s="96">
        <v>0</v>
      </c>
      <c r="O20" s="96">
        <v>0</v>
      </c>
    </row>
    <row r="21" spans="2:15" x14ac:dyDescent="0.35">
      <c r="B21" s="64">
        <v>202108</v>
      </c>
      <c r="C21" s="31">
        <v>43538</v>
      </c>
      <c r="D21" s="31">
        <v>41626</v>
      </c>
      <c r="E21" s="31">
        <v>2689</v>
      </c>
      <c r="F21" s="31">
        <v>9262</v>
      </c>
      <c r="G21" s="65">
        <v>0</v>
      </c>
      <c r="J21" s="96">
        <v>202106</v>
      </c>
      <c r="K21" s="96">
        <v>43538</v>
      </c>
      <c r="L21" s="31">
        <v>41626</v>
      </c>
      <c r="M21" s="96">
        <v>2689</v>
      </c>
      <c r="N21" s="96">
        <v>9262</v>
      </c>
      <c r="O21" s="96">
        <v>0</v>
      </c>
    </row>
    <row r="22" spans="2:15" x14ac:dyDescent="0.35">
      <c r="B22" s="64">
        <v>202109</v>
      </c>
      <c r="C22" s="31">
        <v>43538</v>
      </c>
      <c r="D22" s="31">
        <v>41626</v>
      </c>
      <c r="E22" s="31">
        <v>2689</v>
      </c>
      <c r="F22" s="31">
        <v>9262</v>
      </c>
      <c r="G22" s="65">
        <v>0</v>
      </c>
      <c r="J22" s="96">
        <v>202107</v>
      </c>
      <c r="K22" s="96">
        <v>43538</v>
      </c>
      <c r="L22" s="31">
        <v>41626</v>
      </c>
      <c r="M22" s="96">
        <v>2689</v>
      </c>
      <c r="N22" s="96">
        <v>9262</v>
      </c>
      <c r="O22" s="96">
        <v>0</v>
      </c>
    </row>
    <row r="23" spans="2:15" x14ac:dyDescent="0.35">
      <c r="B23" s="64">
        <v>202110</v>
      </c>
      <c r="C23" s="31">
        <v>43538</v>
      </c>
      <c r="D23" s="31">
        <v>41626</v>
      </c>
      <c r="E23" s="31">
        <v>2689</v>
      </c>
      <c r="F23" s="31">
        <v>9262</v>
      </c>
      <c r="G23" s="65">
        <v>0</v>
      </c>
      <c r="J23" s="96">
        <v>202108</v>
      </c>
      <c r="K23" s="96">
        <v>43538</v>
      </c>
      <c r="L23" s="31">
        <v>41626</v>
      </c>
      <c r="M23" s="96">
        <v>2689</v>
      </c>
      <c r="N23" s="96">
        <v>9262</v>
      </c>
      <c r="O23" s="96">
        <v>0</v>
      </c>
    </row>
    <row r="24" spans="2:15" x14ac:dyDescent="0.35">
      <c r="B24" s="64">
        <v>202111</v>
      </c>
      <c r="C24" s="31">
        <v>43538</v>
      </c>
      <c r="D24" s="31">
        <v>41626</v>
      </c>
      <c r="E24" s="31">
        <v>2689</v>
      </c>
      <c r="F24" s="31">
        <v>9262</v>
      </c>
      <c r="G24" s="65">
        <v>0</v>
      </c>
      <c r="J24" s="96">
        <v>202109</v>
      </c>
      <c r="K24" s="96">
        <v>43538</v>
      </c>
      <c r="L24" s="31">
        <v>41626</v>
      </c>
      <c r="M24" s="96">
        <v>2689</v>
      </c>
      <c r="N24" s="96">
        <v>9262</v>
      </c>
      <c r="O24" s="96">
        <v>0</v>
      </c>
    </row>
    <row r="25" spans="2:15" x14ac:dyDescent="0.35">
      <c r="B25" s="64">
        <v>202112</v>
      </c>
      <c r="C25" s="31">
        <v>43538</v>
      </c>
      <c r="D25" s="31">
        <v>41626</v>
      </c>
      <c r="E25" s="31">
        <v>2689</v>
      </c>
      <c r="F25" s="31">
        <v>9262</v>
      </c>
      <c r="G25" s="65">
        <v>0</v>
      </c>
      <c r="J25" s="96">
        <v>202110</v>
      </c>
      <c r="K25" s="96">
        <v>43538</v>
      </c>
      <c r="L25" s="31">
        <v>41626</v>
      </c>
      <c r="M25" s="96">
        <v>2689</v>
      </c>
      <c r="N25" s="96">
        <v>9262</v>
      </c>
      <c r="O25" s="96">
        <v>0</v>
      </c>
    </row>
    <row r="26" spans="2:15" x14ac:dyDescent="0.35">
      <c r="B26" s="64">
        <v>202201</v>
      </c>
      <c r="C26" s="31">
        <v>40543</v>
      </c>
      <c r="D26" s="31">
        <v>39106</v>
      </c>
      <c r="E26" s="31">
        <v>2631</v>
      </c>
      <c r="F26" s="31">
        <v>0</v>
      </c>
      <c r="G26" s="65">
        <v>0</v>
      </c>
      <c r="J26" s="96">
        <v>202111</v>
      </c>
      <c r="K26" s="96">
        <v>43538</v>
      </c>
      <c r="L26" s="31">
        <v>41626</v>
      </c>
      <c r="M26" s="96">
        <v>2689</v>
      </c>
      <c r="N26" s="96">
        <v>9262</v>
      </c>
      <c r="O26" s="96">
        <v>0</v>
      </c>
    </row>
    <row r="27" spans="2:15" x14ac:dyDescent="0.35">
      <c r="B27" s="64">
        <v>202202</v>
      </c>
      <c r="C27" s="31">
        <v>40543</v>
      </c>
      <c r="D27" s="31">
        <v>39106</v>
      </c>
      <c r="E27" s="31">
        <v>2631</v>
      </c>
      <c r="F27" s="31">
        <v>0</v>
      </c>
      <c r="G27" s="65">
        <v>0</v>
      </c>
      <c r="J27" s="96">
        <v>202112</v>
      </c>
      <c r="K27" s="96">
        <v>43538</v>
      </c>
      <c r="L27" s="31">
        <v>41626</v>
      </c>
      <c r="M27" s="96">
        <v>2689</v>
      </c>
      <c r="N27" s="96">
        <v>9262</v>
      </c>
      <c r="O27" s="96">
        <v>0</v>
      </c>
    </row>
    <row r="28" spans="2:15" x14ac:dyDescent="0.35">
      <c r="B28" s="64">
        <v>202203</v>
      </c>
      <c r="C28" s="31">
        <v>42787</v>
      </c>
      <c r="D28" s="31">
        <v>41310</v>
      </c>
      <c r="E28" s="31">
        <v>2631</v>
      </c>
      <c r="F28" s="31">
        <v>0</v>
      </c>
      <c r="G28" s="65">
        <v>13547</v>
      </c>
      <c r="J28" s="96">
        <v>202201</v>
      </c>
      <c r="K28" s="96">
        <v>40543</v>
      </c>
      <c r="L28" s="31">
        <v>39106</v>
      </c>
      <c r="M28" s="96">
        <v>2631</v>
      </c>
      <c r="N28" s="96">
        <v>0</v>
      </c>
      <c r="O28" s="96">
        <v>0</v>
      </c>
    </row>
    <row r="29" spans="2:15" x14ac:dyDescent="0.35">
      <c r="B29" s="64">
        <v>202204</v>
      </c>
      <c r="C29" s="31">
        <v>28123</v>
      </c>
      <c r="D29" s="31">
        <v>28066</v>
      </c>
      <c r="E29" s="31">
        <v>2631</v>
      </c>
      <c r="F29" s="31">
        <v>0</v>
      </c>
      <c r="G29" s="65">
        <v>13547</v>
      </c>
      <c r="J29" s="96">
        <v>202202</v>
      </c>
      <c r="K29" s="96">
        <v>40543</v>
      </c>
      <c r="L29" s="31">
        <v>39106</v>
      </c>
      <c r="M29" s="96">
        <v>2631</v>
      </c>
      <c r="N29" s="96">
        <v>0</v>
      </c>
      <c r="O29" s="96">
        <v>0</v>
      </c>
    </row>
    <row r="30" spans="2:15" x14ac:dyDescent="0.35">
      <c r="B30" s="64">
        <v>202205</v>
      </c>
      <c r="C30" s="31">
        <v>28123</v>
      </c>
      <c r="D30" s="31">
        <v>28066</v>
      </c>
      <c r="E30" s="31">
        <v>2631</v>
      </c>
      <c r="F30" s="31">
        <v>0</v>
      </c>
      <c r="G30" s="65">
        <v>13547</v>
      </c>
      <c r="J30" s="96">
        <v>202203</v>
      </c>
      <c r="K30" s="96">
        <v>42787</v>
      </c>
      <c r="L30" s="31">
        <v>41310</v>
      </c>
      <c r="M30" s="96">
        <v>2631</v>
      </c>
      <c r="N30" s="96">
        <v>0</v>
      </c>
      <c r="O30" s="96">
        <v>13547</v>
      </c>
    </row>
    <row r="31" spans="2:15" x14ac:dyDescent="0.35">
      <c r="B31" s="64">
        <v>202206</v>
      </c>
      <c r="C31" s="31">
        <v>28123</v>
      </c>
      <c r="D31" s="31">
        <v>28066</v>
      </c>
      <c r="E31" s="31">
        <v>2631</v>
      </c>
      <c r="F31" s="31">
        <v>0</v>
      </c>
      <c r="G31" s="65">
        <v>13547</v>
      </c>
      <c r="J31" s="96">
        <v>202204</v>
      </c>
      <c r="K31" s="96">
        <v>28123</v>
      </c>
      <c r="L31" s="31">
        <v>28066</v>
      </c>
      <c r="M31" s="96">
        <v>2631</v>
      </c>
      <c r="N31" s="96">
        <v>0</v>
      </c>
      <c r="O31" s="96">
        <v>13547</v>
      </c>
    </row>
    <row r="32" spans="2:15" x14ac:dyDescent="0.35">
      <c r="B32" s="64">
        <v>202207</v>
      </c>
      <c r="C32" s="31">
        <v>28123</v>
      </c>
      <c r="D32" s="31">
        <v>28066</v>
      </c>
      <c r="E32" s="31">
        <v>2631</v>
      </c>
      <c r="F32" s="31">
        <v>0</v>
      </c>
      <c r="G32" s="65">
        <v>13547</v>
      </c>
      <c r="J32" s="96">
        <v>202205</v>
      </c>
      <c r="K32" s="96">
        <v>28123</v>
      </c>
      <c r="L32" s="31">
        <v>28066</v>
      </c>
      <c r="M32" s="96">
        <v>2631</v>
      </c>
      <c r="N32" s="96">
        <v>0</v>
      </c>
      <c r="O32" s="96">
        <v>13547</v>
      </c>
    </row>
    <row r="33" spans="2:15" x14ac:dyDescent="0.35">
      <c r="B33" s="64">
        <v>202208</v>
      </c>
      <c r="C33" s="31">
        <v>28123</v>
      </c>
      <c r="D33" s="31">
        <v>28066</v>
      </c>
      <c r="E33" s="31">
        <v>2631</v>
      </c>
      <c r="F33" s="31">
        <v>0</v>
      </c>
      <c r="G33" s="65">
        <v>13547</v>
      </c>
      <c r="J33" s="96">
        <v>202206</v>
      </c>
      <c r="K33" s="96">
        <v>28123</v>
      </c>
      <c r="L33" s="31">
        <v>28066</v>
      </c>
      <c r="M33" s="96">
        <v>2631</v>
      </c>
      <c r="N33" s="96">
        <v>0</v>
      </c>
      <c r="O33" s="96">
        <v>13547</v>
      </c>
    </row>
    <row r="34" spans="2:15" x14ac:dyDescent="0.35">
      <c r="B34" s="64">
        <v>202209</v>
      </c>
      <c r="C34" s="31">
        <v>28123</v>
      </c>
      <c r="D34" s="31">
        <v>28066</v>
      </c>
      <c r="E34" s="31">
        <v>2631</v>
      </c>
      <c r="F34" s="31">
        <v>0</v>
      </c>
      <c r="G34" s="65">
        <v>13547</v>
      </c>
      <c r="J34" s="96">
        <v>202207</v>
      </c>
      <c r="K34" s="96">
        <v>28123</v>
      </c>
      <c r="L34" s="31">
        <v>28066</v>
      </c>
      <c r="M34" s="96">
        <v>2631</v>
      </c>
      <c r="N34" s="96">
        <v>0</v>
      </c>
      <c r="O34" s="96">
        <v>13547</v>
      </c>
    </row>
    <row r="35" spans="2:15" x14ac:dyDescent="0.35">
      <c r="B35" s="64">
        <v>202210</v>
      </c>
      <c r="C35" s="31">
        <v>48911</v>
      </c>
      <c r="D35" s="31">
        <v>33561</v>
      </c>
      <c r="E35" s="31">
        <v>2631</v>
      </c>
      <c r="F35" s="31">
        <v>0</v>
      </c>
      <c r="G35" s="65">
        <v>13547</v>
      </c>
      <c r="J35" s="96">
        <v>202208</v>
      </c>
      <c r="K35" s="96">
        <v>28123</v>
      </c>
      <c r="L35" s="31">
        <v>28066</v>
      </c>
      <c r="M35" s="96">
        <v>2631</v>
      </c>
      <c r="N35" s="96">
        <v>0</v>
      </c>
      <c r="O35" s="96">
        <v>13547</v>
      </c>
    </row>
    <row r="36" spans="2:15" x14ac:dyDescent="0.35">
      <c r="B36" s="64">
        <v>202211</v>
      </c>
      <c r="C36" s="31">
        <v>59054</v>
      </c>
      <c r="D36" s="31">
        <v>33561</v>
      </c>
      <c r="E36" s="31">
        <v>2631</v>
      </c>
      <c r="F36" s="31">
        <v>0</v>
      </c>
      <c r="G36" s="65">
        <v>13547</v>
      </c>
      <c r="J36" s="96">
        <v>202209</v>
      </c>
      <c r="K36" s="96">
        <v>28123</v>
      </c>
      <c r="L36" s="31">
        <v>28066</v>
      </c>
      <c r="M36" s="96">
        <v>2631</v>
      </c>
      <c r="N36" s="96">
        <v>0</v>
      </c>
      <c r="O36" s="96">
        <v>13547</v>
      </c>
    </row>
    <row r="37" spans="2:15" x14ac:dyDescent="0.35">
      <c r="B37" s="64">
        <v>202212</v>
      </c>
      <c r="C37" s="31">
        <v>59054</v>
      </c>
      <c r="D37" s="31">
        <v>33561</v>
      </c>
      <c r="E37" s="31">
        <v>2631</v>
      </c>
      <c r="F37" s="31">
        <v>0</v>
      </c>
      <c r="G37" s="65">
        <v>13547</v>
      </c>
      <c r="J37" s="96">
        <v>202210</v>
      </c>
      <c r="K37" s="96">
        <v>48911</v>
      </c>
      <c r="L37" s="31">
        <v>33561</v>
      </c>
      <c r="M37" s="96">
        <v>2631</v>
      </c>
      <c r="N37" s="96">
        <v>0</v>
      </c>
      <c r="O37" s="96">
        <v>13547</v>
      </c>
    </row>
    <row r="38" spans="2:15" x14ac:dyDescent="0.35">
      <c r="B38" s="64">
        <v>202301</v>
      </c>
      <c r="C38" s="31">
        <v>41074</v>
      </c>
      <c r="D38" s="31">
        <v>30737</v>
      </c>
      <c r="E38" s="31">
        <v>2090</v>
      </c>
      <c r="F38" s="31">
        <v>0</v>
      </c>
      <c r="G38" s="65">
        <v>13547</v>
      </c>
      <c r="J38" s="96">
        <v>202211</v>
      </c>
      <c r="K38" s="96">
        <v>59054</v>
      </c>
      <c r="L38" s="31">
        <v>33561</v>
      </c>
      <c r="M38" s="96">
        <v>2631</v>
      </c>
      <c r="N38" s="96">
        <v>0</v>
      </c>
      <c r="O38" s="96">
        <v>13547</v>
      </c>
    </row>
    <row r="39" spans="2:15" ht="15" thickBot="1" x14ac:dyDescent="0.4">
      <c r="B39" s="66">
        <v>202302</v>
      </c>
      <c r="C39" s="67">
        <v>0</v>
      </c>
      <c r="D39" s="67">
        <v>0</v>
      </c>
      <c r="E39" s="67">
        <v>0</v>
      </c>
      <c r="F39" s="67">
        <v>0</v>
      </c>
      <c r="G39" s="68">
        <v>0</v>
      </c>
      <c r="J39" s="96">
        <v>202212</v>
      </c>
      <c r="K39" s="96">
        <v>59054</v>
      </c>
      <c r="L39" s="31">
        <v>33561</v>
      </c>
      <c r="M39" s="96">
        <v>2631</v>
      </c>
      <c r="N39" s="96">
        <v>0</v>
      </c>
      <c r="O39" s="96">
        <v>13547</v>
      </c>
    </row>
    <row r="40" spans="2:15" x14ac:dyDescent="0.35">
      <c r="J40" s="96">
        <v>202301</v>
      </c>
      <c r="K40" s="96">
        <v>41074</v>
      </c>
      <c r="L40" s="31">
        <v>30737</v>
      </c>
      <c r="M40" s="96">
        <v>2090</v>
      </c>
      <c r="N40" s="96">
        <v>0</v>
      </c>
      <c r="O40" s="96">
        <v>13547</v>
      </c>
    </row>
    <row r="41" spans="2:15" x14ac:dyDescent="0.35">
      <c r="J41" s="96">
        <v>202302</v>
      </c>
      <c r="K41" s="96">
        <v>0</v>
      </c>
      <c r="L41" s="96">
        <v>0</v>
      </c>
      <c r="M41" s="96">
        <v>0</v>
      </c>
      <c r="N41" s="96">
        <v>0</v>
      </c>
      <c r="O41" s="96">
        <v>0</v>
      </c>
    </row>
    <row r="42" spans="2:15" x14ac:dyDescent="0.35">
      <c r="J42" s="96">
        <v>202303</v>
      </c>
      <c r="K42" s="96">
        <v>0</v>
      </c>
      <c r="L42" s="96">
        <v>0</v>
      </c>
      <c r="M42" s="96">
        <v>0</v>
      </c>
      <c r="N42" s="96">
        <v>0</v>
      </c>
      <c r="O42" s="96">
        <v>0</v>
      </c>
    </row>
  </sheetData>
  <pageMargins left="0.7" right="0.7" top="0.75" bottom="0.75" header="0.3" footer="0.3"/>
  <pageSetup paperSize="9" orientation="portrait" r:id="rId1"/>
  <headerFooter>
    <oddHeader>&amp;L&amp;"Calibri"&amp;12&amp;K8E6A00Confidential&amp;1#</oddHead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A4C0B-1485-49D8-94F4-2820C53C8F85}">
  <sheetPr codeName="Sheet12">
    <tabColor theme="7" tint="0.39997558519241921"/>
  </sheetPr>
  <dimension ref="A1:I312"/>
  <sheetViews>
    <sheetView zoomScale="85" zoomScaleNormal="85" workbookViewId="0">
      <selection activeCell="E19" sqref="E19"/>
    </sheetView>
  </sheetViews>
  <sheetFormatPr defaultRowHeight="14.5" x14ac:dyDescent="0.35"/>
  <cols>
    <col min="1" max="1" width="6.26953125" style="10" bestFit="1" customWidth="1"/>
    <col min="2" max="2" width="29.1796875" style="10" customWidth="1"/>
    <col min="3" max="3" width="45.6328125" style="10" bestFit="1" customWidth="1"/>
    <col min="4" max="4" width="24.26953125" style="10" bestFit="1" customWidth="1"/>
    <col min="5" max="5" width="20.54296875" style="10" customWidth="1"/>
    <col min="6" max="6" width="21.08984375" style="10" bestFit="1" customWidth="1"/>
    <col min="7" max="7" width="13.26953125" style="10" customWidth="1"/>
    <col min="8" max="8" width="24.08984375" style="10" customWidth="1"/>
    <col min="9" max="9" width="45.6328125" style="10" bestFit="1" customWidth="1"/>
    <col min="10" max="10" width="8.7265625" style="10"/>
    <col min="11" max="11" width="21.7265625" style="10" bestFit="1" customWidth="1"/>
    <col min="12" max="16384" width="8.7265625" style="10"/>
  </cols>
  <sheetData>
    <row r="1" spans="1:9" x14ac:dyDescent="0.35">
      <c r="A1" s="54" t="s">
        <v>30</v>
      </c>
    </row>
    <row r="2" spans="1:9" x14ac:dyDescent="0.35">
      <c r="B2" s="50" t="s">
        <v>171</v>
      </c>
    </row>
    <row r="3" spans="1:9" x14ac:dyDescent="0.35">
      <c r="B3" s="32" t="s">
        <v>149</v>
      </c>
      <c r="C3" s="47" t="s">
        <v>49</v>
      </c>
      <c r="E3" s="32" t="s">
        <v>50</v>
      </c>
      <c r="F3" s="32" t="s">
        <v>49</v>
      </c>
      <c r="H3" s="32" t="s">
        <v>148</v>
      </c>
      <c r="I3" s="32" t="s">
        <v>49</v>
      </c>
    </row>
    <row r="4" spans="1:9" x14ac:dyDescent="0.35">
      <c r="B4" s="31" t="str" cm="1">
        <f t="array" ref="B4:B305">_xlfn._xlws.FILTER(_xlfn.ANCHORARRAY(H4),IF(--ISNUMBER(SEARCH("rx",_xlfn.ANCHORARRAY(H4)))+--ISNUMBER(SEARCH("dot",_xlfn.ANCHORARRAY(H4)))=1,0,1))</f>
        <v>hcc_osrch_sessions</v>
      </c>
      <c r="C4" s="48" t="str">
        <f>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B4,"_"," "),"hcc","HCC"),"hcp","HCP"),"osrch","Organic Search"),"disp","Display"),"imp","Impressions"),"clkd","Click"),"dpint","DeepIntent"),"dox","Doximity"),"edh","EveryDayHealth"),"epoc","Epocrates"),"mscap","Medscape"),"del","Delivery"),"eng","Engagement"),"ban","Banner"),"eml","Email"),"alert","Alert"),"fb","Facebook"),"tw","Twitter"),"sfmc","SFMC"),"psrch","Paid Search"),"clk","Click"),"olv","OLV"),"goog","Google"),"msft","Microsoft"),"attend","Attendance"),"field","Field Emails"),"mng","Nexgen"),"una","Un-Assigned"),"fmail","Field Email"),"rdtl dtl","Rep-Detailing"),"rdtl rfm","Rep-Facilitated Meeting"),"mmf","Merck Managed Forum"),"soc","Social"),"edtl","E-Details")</f>
        <v>HCC Organic Search sessions</v>
      </c>
      <c r="E4" s="31" t="str" cm="1">
        <f t="array" ref="E4:E10">_xlfn._xlws.FILTER(_xlfn.ANCHORARRAY(H4),IF(--ISNUMBER(SEARCH("rx",_xlfn.ANCHORARRAY(H4)))+--ISNUMBER(SEARCH("dot",_xlfn.ANCHORARRAY(H4)))=1,1,0))</f>
        <v>hcp_grail_mnrx</v>
      </c>
      <c r="F4" s="31" t="str">
        <f t="shared" ref="F4:F6" si="0">SUBSTITUTE(SUBSTITUTE(SUBSTITUTE(SUBSTITUTE(SUBSTITUTE(SUBSTITUTE(SUBSTITUTE(E4,"_"," "),"hcp grail ",""),"m","Market "),"nrx","NRx"),"trx","TRx"),"sdot","Sample Days of Therapy"),"v","Voucher ")</f>
        <v>Market NRx</v>
      </c>
      <c r="H4" s="31" t="str" cm="1">
        <f t="array" ref="H4:H312">SUBSTITUTE(TRANSPOSE('Raw Data'!$D$2:$KZ$2),"0","")</f>
        <v>hcc_osrch_sessions</v>
      </c>
      <c r="I4" s="31" t="str">
        <f t="shared" ref="I4:I67" si="1">IF(_xlfn.IFNA(VLOOKUP(H4,$B$4:$C$305,2,FALSE),VLOOKUP(H4,$E$4:$F$15,2,FALSE))=0,"",_xlfn.IFNA(VLOOKUP(H4,$B$4:$C$305,2,FALSE),VLOOKUP(H4,$E$4:$F$15,2,FALSE)))</f>
        <v>HCC Organic Search sessions</v>
      </c>
    </row>
    <row r="5" spans="1:9" x14ac:dyDescent="0.35">
      <c r="B5" s="31" t="str">
        <v>hcp_disp_una_imp</v>
      </c>
      <c r="C5" s="48" t="str">
        <f t="shared" ref="C5:C68" si="2">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B5,"_"," "),"hcc","HCC"),"hcp","HCP"),"osrch","Organic Search"),"disp","Display"),"imp","Impressions"),"clkd","Click"),"dpint","DeepIntent"),"dox","Doximity"),"edh","EveryDayHealth"),"epoc","Epocrates"),"mscap","Medscape"),"del","Delivery"),"eng","Engagement"),"ban","Banner"),"eml","Email"),"alert","Alert"),"fb","Facebook"),"tw","Twitter"),"sfmc","SFMC"),"psrch","Paid Search"),"clk","Click"),"olv","OLV"),"goog","Google"),"msft","Microsoft"),"attend","Attendance"),"field","Field Emails"),"mng","Nexgen"),"una","Un-Assigned"),"fmail","Field Email"),"rdtl dtl","Rep-Detailing"),"rdtl rfm","Rep-Facilitated Meeting"),"mmf","Merck Managed Forum"),"soc","Social"),"edtl","E-Details")</f>
        <v>HCP Display Un-Assigned Impressions</v>
      </c>
      <c r="E5" s="31" t="str">
        <v>hcp_grail_mtrx</v>
      </c>
      <c r="F5" s="31" t="str">
        <f t="shared" si="0"/>
        <v>Market TRx</v>
      </c>
      <c r="H5" s="31" t="str">
        <v>hcp_disp_una_imp</v>
      </c>
      <c r="I5" s="31" t="str">
        <f t="shared" si="1"/>
        <v>HCP Display Un-Assigned Impressions</v>
      </c>
    </row>
    <row r="6" spans="1:9" x14ac:dyDescent="0.35">
      <c r="B6" s="31" t="str">
        <v>hcp_disp_imp</v>
      </c>
      <c r="C6" s="48" t="str">
        <f t="shared" si="2"/>
        <v>HCP Display Impressions</v>
      </c>
      <c r="E6" s="31" t="str">
        <v>hcp_grail_nrx</v>
      </c>
      <c r="F6" s="31" t="str">
        <f t="shared" si="0"/>
        <v>NRx</v>
      </c>
      <c r="H6" s="31" t="str">
        <v>hcp_disp_imp</v>
      </c>
      <c r="I6" s="31" t="str">
        <f t="shared" si="1"/>
        <v>HCP Display Impressions</v>
      </c>
    </row>
    <row r="7" spans="1:9" x14ac:dyDescent="0.35">
      <c r="B7" s="31" t="str">
        <v>hcp_dpint_clkd</v>
      </c>
      <c r="C7" s="48" t="str">
        <f t="shared" si="2"/>
        <v>HCP DeepIntent Click</v>
      </c>
      <c r="E7" s="31" t="str">
        <v>hcp_grail_sdot</v>
      </c>
      <c r="F7" s="31" t="str">
        <f>SUBSTITUTE(SUBSTITUTE(SUBSTITUTE(SUBSTITUTE(SUBSTITUTE(SUBSTITUTE(SUBSTITUTE(E7,"_"," "),"hcp grail ",""),"m","Market "),"nrx","NRx"),"trx","TRx"),"sdot","Sample Days of Therapy"),"v","Voucher ")</f>
        <v>Sample Days of Therapy</v>
      </c>
      <c r="H7" s="31" t="str">
        <v>hcp_grail_mnrx</v>
      </c>
      <c r="I7" s="31" t="str">
        <f t="shared" si="1"/>
        <v>Market NRx</v>
      </c>
    </row>
    <row r="8" spans="1:9" x14ac:dyDescent="0.35">
      <c r="B8" s="31" t="str">
        <v>hcp_dox_clkd</v>
      </c>
      <c r="C8" s="48" t="str">
        <f t="shared" si="2"/>
        <v>HCP Doximity Click</v>
      </c>
      <c r="E8" s="31" t="str">
        <v>hcp_grail_trx</v>
      </c>
      <c r="F8" s="31" t="str">
        <f t="shared" ref="F8:F15" si="3">SUBSTITUTE(SUBSTITUTE(SUBSTITUTE(SUBSTITUTE(SUBSTITUTE(SUBSTITUTE(SUBSTITUTE(E8,"_"," "),"hcp grail ",""),"m","Market "),"nrx","NRx"),"trx","TRx"),"sdot","Sample Days of Therapy"),"v","Voucher ")</f>
        <v>TRx</v>
      </c>
      <c r="H8" s="31" t="str">
        <v>hcp_grail_mtrx</v>
      </c>
      <c r="I8" s="31" t="str">
        <f t="shared" si="1"/>
        <v>Market TRx</v>
      </c>
    </row>
    <row r="9" spans="1:9" x14ac:dyDescent="0.35">
      <c r="B9" s="31" t="str">
        <v>hcp_edh_clkd</v>
      </c>
      <c r="C9" s="48" t="str">
        <f t="shared" si="2"/>
        <v>HCP EveryDayHealth Click</v>
      </c>
      <c r="E9" s="31" t="str">
        <v>hcp_grail_vnrx</v>
      </c>
      <c r="F9" s="31" t="str">
        <f t="shared" si="3"/>
        <v>Voucher NRx</v>
      </c>
      <c r="H9" s="31" t="str">
        <v>hcp_grail_nrx</v>
      </c>
      <c r="I9" s="31" t="str">
        <f t="shared" si="1"/>
        <v>NRx</v>
      </c>
    </row>
    <row r="10" spans="1:9" x14ac:dyDescent="0.35">
      <c r="B10" s="31" t="str">
        <v>hcp_epoc_clkd</v>
      </c>
      <c r="C10" s="48" t="str">
        <f t="shared" si="2"/>
        <v>HCP Epocrates Click</v>
      </c>
      <c r="E10" s="31" t="str">
        <v>hcp_grail_vtrx</v>
      </c>
      <c r="F10" s="31" t="str">
        <f t="shared" si="3"/>
        <v>Voucher TRx</v>
      </c>
      <c r="H10" s="31" t="str">
        <v>hcp_grail_sdot</v>
      </c>
      <c r="I10" s="31" t="str">
        <f t="shared" si="1"/>
        <v>Sample Days of Therapy</v>
      </c>
    </row>
    <row r="11" spans="1:9" x14ac:dyDescent="0.35">
      <c r="B11" s="31" t="str">
        <v>hcp_field_clkd</v>
      </c>
      <c r="C11" s="48" t="str">
        <f t="shared" si="2"/>
        <v>HCP Field Emails Click</v>
      </c>
      <c r="D11" s="10" t="s">
        <v>155</v>
      </c>
      <c r="E11" s="31"/>
      <c r="F11" s="31" t="str">
        <f t="shared" si="3"/>
        <v/>
      </c>
      <c r="H11" s="31" t="str">
        <v>hcp_grail_trx</v>
      </c>
      <c r="I11" s="31" t="str">
        <f t="shared" si="1"/>
        <v>TRx</v>
      </c>
    </row>
    <row r="12" spans="1:9" x14ac:dyDescent="0.35">
      <c r="B12" s="31" t="str">
        <v>hcp_mscap_clkd</v>
      </c>
      <c r="C12" s="48" t="str">
        <f t="shared" si="2"/>
        <v>HCP Medscape Click</v>
      </c>
      <c r="E12" s="31"/>
      <c r="F12" s="31" t="str">
        <f t="shared" si="3"/>
        <v/>
      </c>
      <c r="H12" s="31" t="str">
        <v>hcp_grail_vnrx</v>
      </c>
      <c r="I12" s="31" t="str">
        <f t="shared" si="1"/>
        <v>Voucher NRx</v>
      </c>
    </row>
    <row r="13" spans="1:9" x14ac:dyDescent="0.35">
      <c r="B13" s="31" t="str">
        <v>hcp_mng_clkd</v>
      </c>
      <c r="C13" s="48" t="str">
        <f t="shared" si="2"/>
        <v>HCP Nexgen Click</v>
      </c>
      <c r="D13" s="10" t="s">
        <v>156</v>
      </c>
      <c r="E13" s="31"/>
      <c r="F13" s="31" t="str">
        <f t="shared" si="3"/>
        <v/>
      </c>
      <c r="H13" s="31" t="str">
        <v>hcp_grail_vtrx</v>
      </c>
      <c r="I13" s="31" t="str">
        <f t="shared" si="1"/>
        <v>Voucher TRx</v>
      </c>
    </row>
    <row r="14" spans="1:9" x14ac:dyDescent="0.35">
      <c r="B14" s="31" t="str">
        <v>hcp_sfmc_clkd</v>
      </c>
      <c r="C14" s="48" t="str">
        <f t="shared" si="2"/>
        <v>HCP SFMC Click</v>
      </c>
      <c r="D14" s="10" t="s">
        <v>157</v>
      </c>
      <c r="E14" s="31"/>
      <c r="F14" s="31" t="str">
        <f t="shared" si="3"/>
        <v/>
      </c>
      <c r="H14" s="31" t="str">
        <v>hcp_dpint_clkd</v>
      </c>
      <c r="I14" s="31" t="str">
        <f t="shared" si="1"/>
        <v>HCP DeepIntent Click</v>
      </c>
    </row>
    <row r="15" spans="1:9" x14ac:dyDescent="0.35">
      <c r="B15" s="31" t="str">
        <v>hcp_dpint_del</v>
      </c>
      <c r="C15" s="48" t="str">
        <f t="shared" si="2"/>
        <v>HCP DeepIntent Delivery</v>
      </c>
      <c r="E15" s="31"/>
      <c r="F15" s="31" t="str">
        <f t="shared" si="3"/>
        <v/>
      </c>
      <c r="H15" s="31" t="str">
        <v>hcp_dox_clkd</v>
      </c>
      <c r="I15" s="31" t="str">
        <f t="shared" si="1"/>
        <v>HCP Doximity Click</v>
      </c>
    </row>
    <row r="16" spans="1:9" x14ac:dyDescent="0.35">
      <c r="B16" s="31" t="str">
        <v>hcp_dox_del</v>
      </c>
      <c r="C16" s="48" t="str">
        <f t="shared" si="2"/>
        <v>HCP Doximity Delivery</v>
      </c>
      <c r="H16" s="31" t="str">
        <v>hcp_edh_clkd</v>
      </c>
      <c r="I16" s="31" t="str">
        <f t="shared" si="1"/>
        <v>HCP EveryDayHealth Click</v>
      </c>
    </row>
    <row r="17" spans="2:9" x14ac:dyDescent="0.35">
      <c r="B17" s="31" t="str">
        <v>hcp_edh_del</v>
      </c>
      <c r="C17" s="48" t="str">
        <f t="shared" si="2"/>
        <v>HCP EveryDayHealth Delivery</v>
      </c>
      <c r="H17" s="31" t="str">
        <v>hcp_epoc_clkd</v>
      </c>
      <c r="I17" s="31" t="str">
        <f t="shared" si="1"/>
        <v>HCP Epocrates Click</v>
      </c>
    </row>
    <row r="18" spans="2:9" x14ac:dyDescent="0.35">
      <c r="B18" s="31" t="str">
        <v>hcp_epoc_del</v>
      </c>
      <c r="C18" s="48" t="str">
        <f t="shared" si="2"/>
        <v>HCP Epocrates Delivery</v>
      </c>
      <c r="H18" s="31" t="str">
        <v>hcp_field_clkd</v>
      </c>
      <c r="I18" s="31" t="str">
        <f t="shared" si="1"/>
        <v>HCP Field Emails Click</v>
      </c>
    </row>
    <row r="19" spans="2:9" x14ac:dyDescent="0.35">
      <c r="B19" s="31" t="str">
        <v>hcp_field_del</v>
      </c>
      <c r="C19" s="48" t="str">
        <f t="shared" si="2"/>
        <v>HCP Field Emails Delivery</v>
      </c>
      <c r="H19" s="31" t="str">
        <v>hcp_mscap_clkd</v>
      </c>
      <c r="I19" s="31" t="str">
        <f t="shared" si="1"/>
        <v>HCP Medscape Click</v>
      </c>
    </row>
    <row r="20" spans="2:9" x14ac:dyDescent="0.35">
      <c r="B20" s="31" t="str">
        <v>hcp_mscap_del</v>
      </c>
      <c r="C20" s="48" t="str">
        <f t="shared" si="2"/>
        <v>HCP Medscape Delivery</v>
      </c>
      <c r="H20" s="31" t="str">
        <v>hcp_mng_clkd</v>
      </c>
      <c r="I20" s="31" t="str">
        <f t="shared" si="1"/>
        <v>HCP Nexgen Click</v>
      </c>
    </row>
    <row r="21" spans="2:9" x14ac:dyDescent="0.35">
      <c r="B21" s="31" t="str">
        <v>hcp_mng_del</v>
      </c>
      <c r="C21" s="48" t="str">
        <f t="shared" si="2"/>
        <v>HCP Nexgen Delivery</v>
      </c>
      <c r="H21" s="31" t="str">
        <v>hcp_sfmc_clkd</v>
      </c>
      <c r="I21" s="31" t="str">
        <f t="shared" si="1"/>
        <v>HCP SFMC Click</v>
      </c>
    </row>
    <row r="22" spans="2:9" x14ac:dyDescent="0.35">
      <c r="B22" s="31" t="str">
        <v>hcp_sfmc_del</v>
      </c>
      <c r="C22" s="48" t="str">
        <f t="shared" si="2"/>
        <v>HCP SFMC Delivery</v>
      </c>
      <c r="H22" s="31" t="str">
        <v>hcp_dpint_del</v>
      </c>
      <c r="I22" s="31" t="str">
        <f t="shared" si="1"/>
        <v>HCP DeepIntent Delivery</v>
      </c>
    </row>
    <row r="23" spans="2:9" x14ac:dyDescent="0.35">
      <c r="B23" s="31" t="str">
        <v>hcp_dpint_eng</v>
      </c>
      <c r="C23" s="48" t="str">
        <f t="shared" si="2"/>
        <v>HCP DeepIntent Engagement</v>
      </c>
      <c r="H23" s="31" t="str">
        <v>hcp_dox_del</v>
      </c>
      <c r="I23" s="31" t="str">
        <f t="shared" si="1"/>
        <v>HCP Doximity Delivery</v>
      </c>
    </row>
    <row r="24" spans="2:9" x14ac:dyDescent="0.35">
      <c r="B24" s="31" t="str">
        <v>hcp_dox_eng</v>
      </c>
      <c r="C24" s="48" t="str">
        <f t="shared" si="2"/>
        <v>HCP Doximity Engagement</v>
      </c>
      <c r="H24" s="31" t="str">
        <v>hcp_edh_del</v>
      </c>
      <c r="I24" s="31" t="str">
        <f t="shared" si="1"/>
        <v>HCP EveryDayHealth Delivery</v>
      </c>
    </row>
    <row r="25" spans="2:9" x14ac:dyDescent="0.35">
      <c r="B25" s="31" t="str">
        <v>hcp_edh_eng</v>
      </c>
      <c r="C25" s="48" t="str">
        <f t="shared" si="2"/>
        <v>HCP EveryDayHealth Engagement</v>
      </c>
      <c r="H25" s="31" t="str">
        <v>hcp_epoc_del</v>
      </c>
      <c r="I25" s="31" t="str">
        <f t="shared" si="1"/>
        <v>HCP Epocrates Delivery</v>
      </c>
    </row>
    <row r="26" spans="2:9" x14ac:dyDescent="0.35">
      <c r="B26" s="31" t="str">
        <v>hcp_epoc_eng</v>
      </c>
      <c r="C26" s="48" t="str">
        <f t="shared" si="2"/>
        <v>HCP Epocrates Engagement</v>
      </c>
      <c r="H26" s="31" t="str">
        <v>hcp_field_del</v>
      </c>
      <c r="I26" s="31" t="str">
        <f t="shared" si="1"/>
        <v>HCP Field Emails Delivery</v>
      </c>
    </row>
    <row r="27" spans="2:9" x14ac:dyDescent="0.35">
      <c r="B27" s="31" t="str">
        <v>hcp_field_eng</v>
      </c>
      <c r="C27" s="48" t="str">
        <f t="shared" si="2"/>
        <v>HCP Field Emails Engagement</v>
      </c>
      <c r="H27" s="31" t="str">
        <v>hcp_mscap_del</v>
      </c>
      <c r="I27" s="31" t="str">
        <f t="shared" si="1"/>
        <v>HCP Medscape Delivery</v>
      </c>
    </row>
    <row r="28" spans="2:9" x14ac:dyDescent="0.35">
      <c r="B28" s="31" t="str">
        <v>hcp_mscap_eng</v>
      </c>
      <c r="C28" s="48" t="str">
        <f t="shared" si="2"/>
        <v>HCP Medscape Engagement</v>
      </c>
      <c r="H28" s="31" t="str">
        <v>hcp_mng_del</v>
      </c>
      <c r="I28" s="31" t="str">
        <f t="shared" si="1"/>
        <v>HCP Nexgen Delivery</v>
      </c>
    </row>
    <row r="29" spans="2:9" x14ac:dyDescent="0.35">
      <c r="B29" s="31" t="str">
        <v>hcp_mng_eng</v>
      </c>
      <c r="C29" s="48" t="str">
        <f t="shared" si="2"/>
        <v>HCP Nexgen Engagement</v>
      </c>
      <c r="H29" s="31" t="str">
        <v>hcp_sfmc_del</v>
      </c>
      <c r="I29" s="31" t="str">
        <f t="shared" si="1"/>
        <v>HCP SFMC Delivery</v>
      </c>
    </row>
    <row r="30" spans="2:9" x14ac:dyDescent="0.35">
      <c r="B30" s="31" t="str">
        <v>hcp_sfmc_eng</v>
      </c>
      <c r="C30" s="48" t="str">
        <f t="shared" si="2"/>
        <v>HCP SFMC Engagement</v>
      </c>
      <c r="H30" s="31" t="str">
        <v>hcp_dpint_eng</v>
      </c>
      <c r="I30" s="31" t="str">
        <f t="shared" si="1"/>
        <v>HCP DeepIntent Engagement</v>
      </c>
    </row>
    <row r="31" spans="2:9" x14ac:dyDescent="0.35">
      <c r="B31" s="31" t="str">
        <v>hcp_alert_una_clkd</v>
      </c>
      <c r="C31" s="48" t="str">
        <f t="shared" si="2"/>
        <v>HCP Alert Un-Assigned Click</v>
      </c>
      <c r="H31" s="31" t="str">
        <v>hcp_dox_eng</v>
      </c>
      <c r="I31" s="31" t="str">
        <f t="shared" si="1"/>
        <v>HCP Doximity Engagement</v>
      </c>
    </row>
    <row r="32" spans="2:9" x14ac:dyDescent="0.35">
      <c r="B32" s="31" t="str">
        <v>hcp_ban_una_clkd</v>
      </c>
      <c r="C32" s="48" t="str">
        <f t="shared" si="2"/>
        <v>HCP Banner Un-Assigned Click</v>
      </c>
      <c r="H32" s="31" t="str">
        <v>hcp_edh_eng</v>
      </c>
      <c r="I32" s="31" t="str">
        <f t="shared" si="1"/>
        <v>HCP EveryDayHealth Engagement</v>
      </c>
    </row>
    <row r="33" spans="2:9" x14ac:dyDescent="0.35">
      <c r="B33" s="31" t="str">
        <v>hcp_edtl_una_clkd</v>
      </c>
      <c r="C33" s="48" t="str">
        <f t="shared" si="2"/>
        <v>HCP E-Details Un-Assigned Click</v>
      </c>
      <c r="H33" s="31" t="str">
        <v>hcp_epoc_eng</v>
      </c>
      <c r="I33" s="31" t="str">
        <f t="shared" si="1"/>
        <v>HCP Epocrates Engagement</v>
      </c>
    </row>
    <row r="34" spans="2:9" x14ac:dyDescent="0.35">
      <c r="B34" s="31" t="str">
        <v>hcp_eml_una_clkd</v>
      </c>
      <c r="C34" s="48" t="str">
        <f t="shared" si="2"/>
        <v>HCP Email Un-Assigned Click</v>
      </c>
      <c r="H34" s="31" t="str">
        <v>hcp_field_eng</v>
      </c>
      <c r="I34" s="31" t="str">
        <f t="shared" si="1"/>
        <v>HCP Field Emails Engagement</v>
      </c>
    </row>
    <row r="35" spans="2:9" x14ac:dyDescent="0.35">
      <c r="B35" s="31" t="str">
        <v>hcp_fmail_una_clkd</v>
      </c>
      <c r="C35" s="48" t="str">
        <f t="shared" si="2"/>
        <v>HCP Field Email Un-Assigned Click</v>
      </c>
      <c r="H35" s="31" t="str">
        <v>hcp_mscap_eng</v>
      </c>
      <c r="I35" s="31" t="str">
        <f t="shared" si="1"/>
        <v>HCP Medscape Engagement</v>
      </c>
    </row>
    <row r="36" spans="2:9" x14ac:dyDescent="0.35">
      <c r="B36" s="31" t="str">
        <v>hcp_alert_una_del</v>
      </c>
      <c r="C36" s="48" t="str">
        <f t="shared" si="2"/>
        <v>HCP Alert Un-Assigned Delivery</v>
      </c>
      <c r="H36" s="31" t="str">
        <v>hcp_mng_eng</v>
      </c>
      <c r="I36" s="31" t="str">
        <f t="shared" si="1"/>
        <v>HCP Nexgen Engagement</v>
      </c>
    </row>
    <row r="37" spans="2:9" x14ac:dyDescent="0.35">
      <c r="B37" s="31" t="str">
        <v>hcp_ban_una_del</v>
      </c>
      <c r="C37" s="48" t="str">
        <f t="shared" si="2"/>
        <v>HCP Banner Un-Assigned Delivery</v>
      </c>
      <c r="H37" s="31" t="str">
        <v>hcp_sfmc_eng</v>
      </c>
      <c r="I37" s="31" t="str">
        <f t="shared" si="1"/>
        <v>HCP SFMC Engagement</v>
      </c>
    </row>
    <row r="38" spans="2:9" x14ac:dyDescent="0.35">
      <c r="B38" s="31" t="str">
        <v>hcp_edtl_una_del</v>
      </c>
      <c r="C38" s="48" t="str">
        <f t="shared" si="2"/>
        <v>HCP E-Details Un-Assigned Delivery</v>
      </c>
      <c r="H38" s="31" t="str">
        <v>hcp_alert_una_clkd</v>
      </c>
      <c r="I38" s="31" t="str">
        <f t="shared" si="1"/>
        <v>HCP Alert Un-Assigned Click</v>
      </c>
    </row>
    <row r="39" spans="2:9" x14ac:dyDescent="0.35">
      <c r="B39" s="31" t="str">
        <v>hcp_eml_una_del</v>
      </c>
      <c r="C39" s="48" t="str">
        <f t="shared" si="2"/>
        <v>HCP Email Un-Assigned Delivery</v>
      </c>
      <c r="H39" s="31" t="str">
        <v>hcp_ban_una_clkd</v>
      </c>
      <c r="I39" s="31" t="str">
        <f t="shared" si="1"/>
        <v>HCP Banner Un-Assigned Click</v>
      </c>
    </row>
    <row r="40" spans="2:9" x14ac:dyDescent="0.35">
      <c r="B40" s="31" t="str">
        <v>hcp_fmail_una_del</v>
      </c>
      <c r="C40" s="48" t="str">
        <f t="shared" si="2"/>
        <v>HCP Field Email Un-Assigned Delivery</v>
      </c>
      <c r="H40" s="31" t="str">
        <v>hcp_edtl_una_clkd</v>
      </c>
      <c r="I40" s="31" t="str">
        <f t="shared" si="1"/>
        <v>HCP E-Details Un-Assigned Click</v>
      </c>
    </row>
    <row r="41" spans="2:9" x14ac:dyDescent="0.35">
      <c r="B41" s="31" t="str">
        <v>hcp_alert_una_eng</v>
      </c>
      <c r="C41" s="48" t="str">
        <f t="shared" si="2"/>
        <v>HCP Alert Un-Assigned Engagement</v>
      </c>
      <c r="H41" s="31" t="str">
        <v>hcp_eml_una_clkd</v>
      </c>
      <c r="I41" s="31" t="str">
        <f t="shared" si="1"/>
        <v>HCP Email Un-Assigned Click</v>
      </c>
    </row>
    <row r="42" spans="2:9" x14ac:dyDescent="0.35">
      <c r="B42" s="31" t="str">
        <v>hcp_ban_una_eng</v>
      </c>
      <c r="C42" s="48" t="str">
        <f t="shared" si="2"/>
        <v>HCP Banner Un-Assigned Engagement</v>
      </c>
      <c r="H42" s="31" t="str">
        <v>hcp_fmail_una_clkd</v>
      </c>
      <c r="I42" s="31" t="str">
        <f t="shared" si="1"/>
        <v>HCP Field Email Un-Assigned Click</v>
      </c>
    </row>
    <row r="43" spans="2:9" x14ac:dyDescent="0.35">
      <c r="B43" s="31" t="str">
        <v>hcp_edtl_una_eng</v>
      </c>
      <c r="C43" s="48" t="str">
        <f t="shared" si="2"/>
        <v>HCP E-Details Un-Assigned Engagement</v>
      </c>
      <c r="D43" s="10" t="s">
        <v>159</v>
      </c>
      <c r="H43" s="31" t="str">
        <v>hcp_alert_una_del</v>
      </c>
      <c r="I43" s="31" t="str">
        <f t="shared" si="1"/>
        <v>HCP Alert Un-Assigned Delivery</v>
      </c>
    </row>
    <row r="44" spans="2:9" x14ac:dyDescent="0.35">
      <c r="B44" s="31" t="str">
        <v>hcp_eml_una_eng</v>
      </c>
      <c r="C44" s="48" t="str">
        <f t="shared" si="2"/>
        <v>HCP Email Un-Assigned Engagement</v>
      </c>
      <c r="D44" s="10" t="s">
        <v>158</v>
      </c>
      <c r="H44" s="31" t="str">
        <v>hcp_ban_una_del</v>
      </c>
      <c r="I44" s="31" t="str">
        <f t="shared" si="1"/>
        <v>HCP Banner Un-Assigned Delivery</v>
      </c>
    </row>
    <row r="45" spans="2:9" x14ac:dyDescent="0.35">
      <c r="B45" s="31" t="str">
        <v>hcp_fmail_una_eng</v>
      </c>
      <c r="C45" s="48" t="str">
        <f t="shared" si="2"/>
        <v>HCP Field Email Un-Assigned Engagement</v>
      </c>
      <c r="D45" s="10" t="s">
        <v>155</v>
      </c>
      <c r="H45" s="31" t="str">
        <v>hcp_edtl_una_del</v>
      </c>
      <c r="I45" s="31" t="str">
        <f t="shared" si="1"/>
        <v>HCP E-Details Un-Assigned Delivery</v>
      </c>
    </row>
    <row r="46" spans="2:9" x14ac:dyDescent="0.35">
      <c r="B46" s="31" t="str">
        <v>hcp_alert_clkd</v>
      </c>
      <c r="C46" s="48" t="str">
        <f t="shared" si="2"/>
        <v>HCP Alert Click</v>
      </c>
      <c r="H46" s="31" t="str">
        <v>hcp_eml_una_del</v>
      </c>
      <c r="I46" s="31" t="str">
        <f t="shared" si="1"/>
        <v>HCP Email Un-Assigned Delivery</v>
      </c>
    </row>
    <row r="47" spans="2:9" x14ac:dyDescent="0.35">
      <c r="B47" s="31" t="str">
        <v>hcp_ban_clkd</v>
      </c>
      <c r="C47" s="48" t="str">
        <f t="shared" si="2"/>
        <v>HCP Banner Click</v>
      </c>
      <c r="H47" s="31" t="str">
        <v>hcp_fmail_una_del</v>
      </c>
      <c r="I47" s="31" t="str">
        <f t="shared" si="1"/>
        <v>HCP Field Email Un-Assigned Delivery</v>
      </c>
    </row>
    <row r="48" spans="2:9" x14ac:dyDescent="0.35">
      <c r="B48" s="31" t="str">
        <v>hcp_edtl_clkd</v>
      </c>
      <c r="C48" s="48" t="str">
        <f t="shared" si="2"/>
        <v>HCP E-Details Click</v>
      </c>
      <c r="H48" s="31" t="str">
        <v>hcp_alert_una_eng</v>
      </c>
      <c r="I48" s="31" t="str">
        <f t="shared" si="1"/>
        <v>HCP Alert Un-Assigned Engagement</v>
      </c>
    </row>
    <row r="49" spans="2:9" x14ac:dyDescent="0.35">
      <c r="B49" s="31" t="str">
        <v>hcp_eml_clkd</v>
      </c>
      <c r="C49" s="48" t="str">
        <f t="shared" si="2"/>
        <v>HCP Email Click</v>
      </c>
      <c r="H49" s="31" t="str">
        <v>hcp_ban_una_eng</v>
      </c>
      <c r="I49" s="31" t="str">
        <f t="shared" si="1"/>
        <v>HCP Banner Un-Assigned Engagement</v>
      </c>
    </row>
    <row r="50" spans="2:9" x14ac:dyDescent="0.35">
      <c r="B50" s="31" t="str">
        <v>hcp_fmail_clkd</v>
      </c>
      <c r="C50" s="48" t="str">
        <f t="shared" si="2"/>
        <v>HCP Field Email Click</v>
      </c>
      <c r="H50" s="31" t="str">
        <v>hcp_edtl_una_eng</v>
      </c>
      <c r="I50" s="31" t="str">
        <f t="shared" si="1"/>
        <v>HCP E-Details Un-Assigned Engagement</v>
      </c>
    </row>
    <row r="51" spans="2:9" x14ac:dyDescent="0.35">
      <c r="B51" s="31" t="str">
        <v>hcp_alert_del</v>
      </c>
      <c r="C51" s="48" t="str">
        <f t="shared" si="2"/>
        <v>HCP Alert Delivery</v>
      </c>
      <c r="H51" s="31" t="str">
        <v>hcp_eml_una_eng</v>
      </c>
      <c r="I51" s="31" t="str">
        <f t="shared" si="1"/>
        <v>HCP Email Un-Assigned Engagement</v>
      </c>
    </row>
    <row r="52" spans="2:9" x14ac:dyDescent="0.35">
      <c r="B52" s="31" t="str">
        <v>hcp_ban_del</v>
      </c>
      <c r="C52" s="48" t="str">
        <f t="shared" si="2"/>
        <v>HCP Banner Delivery</v>
      </c>
      <c r="H52" s="31" t="str">
        <v>hcp_fmail_una_eng</v>
      </c>
      <c r="I52" s="31" t="str">
        <f t="shared" si="1"/>
        <v>HCP Field Email Un-Assigned Engagement</v>
      </c>
    </row>
    <row r="53" spans="2:9" x14ac:dyDescent="0.35">
      <c r="B53" s="31" t="str">
        <v>hcp_edtl_del</v>
      </c>
      <c r="C53" s="48" t="str">
        <f t="shared" si="2"/>
        <v>HCP E-Details Delivery</v>
      </c>
      <c r="H53" s="31" t="str">
        <v>hcp_alert_clkd</v>
      </c>
      <c r="I53" s="31" t="str">
        <f t="shared" si="1"/>
        <v>HCP Alert Click</v>
      </c>
    </row>
    <row r="54" spans="2:9" x14ac:dyDescent="0.35">
      <c r="B54" s="31" t="str">
        <v>hcp_eml_del</v>
      </c>
      <c r="C54" s="48" t="str">
        <f t="shared" si="2"/>
        <v>HCP Email Delivery</v>
      </c>
      <c r="H54" s="31" t="str">
        <v>hcp_ban_clkd</v>
      </c>
      <c r="I54" s="31" t="str">
        <f t="shared" si="1"/>
        <v>HCP Banner Click</v>
      </c>
    </row>
    <row r="55" spans="2:9" x14ac:dyDescent="0.35">
      <c r="B55" s="31" t="str">
        <v>hcp_fmail_del</v>
      </c>
      <c r="C55" s="48" t="str">
        <f t="shared" si="2"/>
        <v>HCP Field Email Delivery</v>
      </c>
      <c r="H55" s="31" t="str">
        <v>hcp_edtl_clkd</v>
      </c>
      <c r="I55" s="31" t="str">
        <f t="shared" si="1"/>
        <v>HCP E-Details Click</v>
      </c>
    </row>
    <row r="56" spans="2:9" x14ac:dyDescent="0.35">
      <c r="B56" s="31" t="str">
        <v>hcp_alert_eng</v>
      </c>
      <c r="C56" s="48" t="str">
        <f t="shared" si="2"/>
        <v>HCP Alert Engagement</v>
      </c>
      <c r="H56" s="31" t="str">
        <v>hcp_eml_clkd</v>
      </c>
      <c r="I56" s="31" t="str">
        <f t="shared" si="1"/>
        <v>HCP Email Click</v>
      </c>
    </row>
    <row r="57" spans="2:9" x14ac:dyDescent="0.35">
      <c r="B57" s="31" t="str">
        <v>hcp_ban_eng</v>
      </c>
      <c r="C57" s="48" t="str">
        <f t="shared" si="2"/>
        <v>HCP Banner Engagement</v>
      </c>
      <c r="H57" s="31" t="str">
        <v>hcp_fmail_clkd</v>
      </c>
      <c r="I57" s="31" t="str">
        <f t="shared" si="1"/>
        <v>HCP Field Email Click</v>
      </c>
    </row>
    <row r="58" spans="2:9" x14ac:dyDescent="0.35">
      <c r="B58" s="31" t="str">
        <v>hcp_edtl_eng</v>
      </c>
      <c r="C58" s="48" t="str">
        <f t="shared" si="2"/>
        <v>HCP E-Details Engagement</v>
      </c>
      <c r="H58" s="31" t="str">
        <v>hcp_alert_del</v>
      </c>
      <c r="I58" s="31" t="str">
        <f t="shared" si="1"/>
        <v>HCP Alert Delivery</v>
      </c>
    </row>
    <row r="59" spans="2:9" x14ac:dyDescent="0.35">
      <c r="B59" s="31" t="str">
        <v>hcp_eml_eng</v>
      </c>
      <c r="C59" s="48" t="str">
        <f t="shared" si="2"/>
        <v>HCP Email Engagement</v>
      </c>
      <c r="H59" s="31" t="str">
        <v>hcp_ban_del</v>
      </c>
      <c r="I59" s="31" t="str">
        <f t="shared" si="1"/>
        <v>HCP Banner Delivery</v>
      </c>
    </row>
    <row r="60" spans="2:9" x14ac:dyDescent="0.35">
      <c r="B60" s="31" t="str">
        <v>hcp_fmail_eng</v>
      </c>
      <c r="C60" s="48" t="str">
        <f t="shared" si="2"/>
        <v>HCP Field Email Engagement</v>
      </c>
      <c r="H60" s="31" t="str">
        <v>hcp_edtl_del</v>
      </c>
      <c r="I60" s="31" t="str">
        <f t="shared" si="1"/>
        <v>HCP E-Details Delivery</v>
      </c>
    </row>
    <row r="61" spans="2:9" x14ac:dyDescent="0.35">
      <c r="B61" s="31" t="str">
        <v>hcp_alert_dox_clkd</v>
      </c>
      <c r="C61" s="48" t="str">
        <f t="shared" si="2"/>
        <v>HCP Alert Doximity Click</v>
      </c>
      <c r="H61" s="31" t="str">
        <v>hcp_eml_del</v>
      </c>
      <c r="I61" s="31" t="str">
        <f t="shared" si="1"/>
        <v>HCP Email Delivery</v>
      </c>
    </row>
    <row r="62" spans="2:9" x14ac:dyDescent="0.35">
      <c r="B62" s="31" t="str">
        <v>hcp_alert_edh_clkd</v>
      </c>
      <c r="C62" s="48" t="str">
        <f t="shared" si="2"/>
        <v>HCP Alert EveryDayHealth Click</v>
      </c>
      <c r="H62" s="31" t="str">
        <v>hcp_fmail_del</v>
      </c>
      <c r="I62" s="31" t="str">
        <f t="shared" si="1"/>
        <v>HCP Field Email Delivery</v>
      </c>
    </row>
    <row r="63" spans="2:9" x14ac:dyDescent="0.35">
      <c r="B63" s="31" t="str">
        <v>hcp_alert_epoc_clkd</v>
      </c>
      <c r="C63" s="48" t="str">
        <f t="shared" si="2"/>
        <v>HCP Alert Epocrates Click</v>
      </c>
      <c r="H63" s="31" t="str">
        <v>hcp_alert_eng</v>
      </c>
      <c r="I63" s="31" t="str">
        <f t="shared" si="1"/>
        <v>HCP Alert Engagement</v>
      </c>
    </row>
    <row r="64" spans="2:9" x14ac:dyDescent="0.35">
      <c r="B64" s="31" t="str">
        <v>hcp_alert_mscap_clkd</v>
      </c>
      <c r="C64" s="48" t="str">
        <f t="shared" si="2"/>
        <v>HCP Alert Medscape Click</v>
      </c>
      <c r="H64" s="31" t="str">
        <v>hcp_ban_eng</v>
      </c>
      <c r="I64" s="31" t="str">
        <f t="shared" si="1"/>
        <v>HCP Banner Engagement</v>
      </c>
    </row>
    <row r="65" spans="2:9" x14ac:dyDescent="0.35">
      <c r="B65" s="31" t="str">
        <v>hcp_ban_dpint_clkd</v>
      </c>
      <c r="C65" s="48" t="str">
        <f t="shared" si="2"/>
        <v>HCP Banner DeepIntent Click</v>
      </c>
      <c r="H65" s="31" t="str">
        <v>hcp_edtl_eng</v>
      </c>
      <c r="I65" s="31" t="str">
        <f t="shared" si="1"/>
        <v>HCP E-Details Engagement</v>
      </c>
    </row>
    <row r="66" spans="2:9" x14ac:dyDescent="0.35">
      <c r="B66" s="31" t="str">
        <v>hcp_ban_dox_clkd</v>
      </c>
      <c r="C66" s="48" t="str">
        <f t="shared" si="2"/>
        <v>HCP Banner Doximity Click</v>
      </c>
      <c r="H66" s="31" t="str">
        <v>hcp_eml_eng</v>
      </c>
      <c r="I66" s="31" t="str">
        <f t="shared" si="1"/>
        <v>HCP Email Engagement</v>
      </c>
    </row>
    <row r="67" spans="2:9" x14ac:dyDescent="0.35">
      <c r="B67" s="31" t="str">
        <v>hcp_edtl_edh_clkd</v>
      </c>
      <c r="C67" s="48" t="str">
        <f t="shared" si="2"/>
        <v>HCP E-Details EveryDayHealth Click</v>
      </c>
      <c r="H67" s="31" t="str">
        <v>hcp_fmail_eng</v>
      </c>
      <c r="I67" s="31" t="str">
        <f t="shared" si="1"/>
        <v>HCP Field Email Engagement</v>
      </c>
    </row>
    <row r="68" spans="2:9" x14ac:dyDescent="0.35">
      <c r="B68" s="31" t="str">
        <v>hcp_eml_mng_clkd</v>
      </c>
      <c r="C68" s="48" t="str">
        <f t="shared" si="2"/>
        <v>HCP Email Nexgen Click</v>
      </c>
      <c r="H68" s="31" t="str">
        <v>hcp_alert_dox_clkd</v>
      </c>
      <c r="I68" s="31" t="str">
        <f t="shared" ref="I68:I131" si="4">IF(_xlfn.IFNA(VLOOKUP(H68,$B$4:$C$305,2,FALSE),VLOOKUP(H68,$E$4:$F$15,2,FALSE))=0,"",_xlfn.IFNA(VLOOKUP(H68,$B$4:$C$305,2,FALSE),VLOOKUP(H68,$E$4:$F$15,2,FALSE)))</f>
        <v>HCP Alert Doximity Click</v>
      </c>
    </row>
    <row r="69" spans="2:9" x14ac:dyDescent="0.35">
      <c r="B69" s="31" t="str">
        <v>hcp_eml_sfmc_clkd</v>
      </c>
      <c r="C69" s="48" t="str">
        <f t="shared" ref="C69:C132" si="5">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B69,"_"," "),"hcc","HCC"),"hcp","HCP"),"osrch","Organic Search"),"disp","Display"),"imp","Impressions"),"clkd","Click"),"dpint","DeepIntent"),"dox","Doximity"),"edh","EveryDayHealth"),"epoc","Epocrates"),"mscap","Medscape"),"del","Delivery"),"eng","Engagement"),"ban","Banner"),"eml","Email"),"alert","Alert"),"fb","Facebook"),"tw","Twitter"),"sfmc","SFMC"),"psrch","Paid Search"),"clk","Click"),"olv","OLV"),"goog","Google"),"msft","Microsoft"),"attend","Attendance"),"field","Field Emails"),"mng","Nexgen"),"una","Un-Assigned"),"fmail","Field Email"),"rdtl dtl","Rep-Detailing"),"rdtl rfm","Rep-Facilitated Meeting"),"mmf","Merck Managed Forum"),"soc","Social"),"edtl","E-Details")</f>
        <v>HCP Email SFMC Click</v>
      </c>
      <c r="H69" s="31" t="str">
        <v>hcp_alert_edh_clkd</v>
      </c>
      <c r="I69" s="31" t="str">
        <f t="shared" si="4"/>
        <v>HCP Alert EveryDayHealth Click</v>
      </c>
    </row>
    <row r="70" spans="2:9" x14ac:dyDescent="0.35">
      <c r="B70" s="31" t="str">
        <v>hcp_fmail_field_clkd</v>
      </c>
      <c r="C70" s="48" t="str">
        <f t="shared" si="5"/>
        <v>HCP Field Email Field Emails Click</v>
      </c>
      <c r="H70" s="31" t="str">
        <v>hcp_alert_epoc_clkd</v>
      </c>
      <c r="I70" s="31" t="str">
        <f t="shared" si="4"/>
        <v>HCP Alert Epocrates Click</v>
      </c>
    </row>
    <row r="71" spans="2:9" x14ac:dyDescent="0.35">
      <c r="B71" s="31" t="str">
        <v>hcp_alert_dox_del</v>
      </c>
      <c r="C71" s="48" t="str">
        <f t="shared" si="5"/>
        <v>HCP Alert Doximity Delivery</v>
      </c>
      <c r="H71" s="31" t="str">
        <v>hcp_alert_mscap_clkd</v>
      </c>
      <c r="I71" s="31" t="str">
        <f t="shared" si="4"/>
        <v>HCP Alert Medscape Click</v>
      </c>
    </row>
    <row r="72" spans="2:9" x14ac:dyDescent="0.35">
      <c r="B72" s="31" t="str">
        <v>hcp_alert_edh_del</v>
      </c>
      <c r="C72" s="48" t="str">
        <f t="shared" si="5"/>
        <v>HCP Alert EveryDayHealth Delivery</v>
      </c>
      <c r="H72" s="31" t="str">
        <v>hcp_ban_dpint_clkd</v>
      </c>
      <c r="I72" s="31" t="str">
        <f t="shared" si="4"/>
        <v>HCP Banner DeepIntent Click</v>
      </c>
    </row>
    <row r="73" spans="2:9" x14ac:dyDescent="0.35">
      <c r="B73" s="31" t="str">
        <v>hcp_alert_epoc_del</v>
      </c>
      <c r="C73" s="48" t="str">
        <f t="shared" si="5"/>
        <v>HCP Alert Epocrates Delivery</v>
      </c>
      <c r="H73" s="31" t="str">
        <v>hcp_ban_dox_clkd</v>
      </c>
      <c r="I73" s="31" t="str">
        <f t="shared" si="4"/>
        <v>HCP Banner Doximity Click</v>
      </c>
    </row>
    <row r="74" spans="2:9" x14ac:dyDescent="0.35">
      <c r="B74" s="31" t="str">
        <v>hcp_alert_mscap_del</v>
      </c>
      <c r="C74" s="48" t="str">
        <f t="shared" si="5"/>
        <v>HCP Alert Medscape Delivery</v>
      </c>
      <c r="H74" s="31" t="str">
        <v>hcp_edtl_edh_clkd</v>
      </c>
      <c r="I74" s="31" t="str">
        <f t="shared" si="4"/>
        <v>HCP E-Details EveryDayHealth Click</v>
      </c>
    </row>
    <row r="75" spans="2:9" x14ac:dyDescent="0.35">
      <c r="B75" s="31" t="str">
        <v>hcp_ban_dpint_del</v>
      </c>
      <c r="C75" s="48" t="str">
        <f t="shared" si="5"/>
        <v>HCP Banner DeepIntent Delivery</v>
      </c>
      <c r="H75" s="31" t="str">
        <v>hcp_eml_mng_clkd</v>
      </c>
      <c r="I75" s="31" t="str">
        <f t="shared" si="4"/>
        <v>HCP Email Nexgen Click</v>
      </c>
    </row>
    <row r="76" spans="2:9" x14ac:dyDescent="0.35">
      <c r="B76" s="31" t="str">
        <v>hcp_ban_dox_del</v>
      </c>
      <c r="C76" s="48" t="str">
        <f t="shared" si="5"/>
        <v>HCP Banner Doximity Delivery</v>
      </c>
      <c r="H76" s="31" t="str">
        <v>hcp_eml_sfmc_clkd</v>
      </c>
      <c r="I76" s="31" t="str">
        <f t="shared" si="4"/>
        <v>HCP Email SFMC Click</v>
      </c>
    </row>
    <row r="77" spans="2:9" x14ac:dyDescent="0.35">
      <c r="B77" s="31" t="str">
        <v>hcp_edtl_edh_del</v>
      </c>
      <c r="C77" s="48" t="str">
        <f t="shared" si="5"/>
        <v>HCP E-Details EveryDayHealth Delivery</v>
      </c>
      <c r="H77" s="31" t="str">
        <v>hcp_fmail_field_clkd</v>
      </c>
      <c r="I77" s="31" t="str">
        <f t="shared" si="4"/>
        <v>HCP Field Email Field Emails Click</v>
      </c>
    </row>
    <row r="78" spans="2:9" x14ac:dyDescent="0.35">
      <c r="B78" s="31" t="str">
        <v>hcp_eml_mng_del</v>
      </c>
      <c r="C78" s="48" t="str">
        <f t="shared" si="5"/>
        <v>HCP Email Nexgen Delivery</v>
      </c>
      <c r="H78" s="31" t="str">
        <v>hcp_alert_dox_del</v>
      </c>
      <c r="I78" s="31" t="str">
        <f t="shared" si="4"/>
        <v>HCP Alert Doximity Delivery</v>
      </c>
    </row>
    <row r="79" spans="2:9" x14ac:dyDescent="0.35">
      <c r="B79" s="31" t="str">
        <v>hcp_eml_sfmc_del</v>
      </c>
      <c r="C79" s="48" t="str">
        <f t="shared" si="5"/>
        <v>HCP Email SFMC Delivery</v>
      </c>
      <c r="H79" s="31" t="str">
        <v>hcp_alert_edh_del</v>
      </c>
      <c r="I79" s="31" t="str">
        <f t="shared" si="4"/>
        <v>HCP Alert EveryDayHealth Delivery</v>
      </c>
    </row>
    <row r="80" spans="2:9" x14ac:dyDescent="0.35">
      <c r="B80" s="31" t="str">
        <v>hcp_fmail_field_del</v>
      </c>
      <c r="C80" s="48" t="str">
        <f t="shared" si="5"/>
        <v>HCP Field Email Field Emails Delivery</v>
      </c>
      <c r="H80" s="31" t="str">
        <v>hcp_alert_epoc_del</v>
      </c>
      <c r="I80" s="31" t="str">
        <f t="shared" si="4"/>
        <v>HCP Alert Epocrates Delivery</v>
      </c>
    </row>
    <row r="81" spans="2:9" x14ac:dyDescent="0.35">
      <c r="B81" s="31" t="str">
        <v>hcp_alert_dox_eng</v>
      </c>
      <c r="C81" s="48" t="str">
        <f t="shared" si="5"/>
        <v>HCP Alert Doximity Engagement</v>
      </c>
      <c r="H81" s="31" t="str">
        <v>hcp_alert_mscap_del</v>
      </c>
      <c r="I81" s="31" t="str">
        <f t="shared" si="4"/>
        <v>HCP Alert Medscape Delivery</v>
      </c>
    </row>
    <row r="82" spans="2:9" x14ac:dyDescent="0.35">
      <c r="B82" s="31" t="str">
        <v>hcp_alert_edh_eng</v>
      </c>
      <c r="C82" s="48" t="str">
        <f t="shared" si="5"/>
        <v>HCP Alert EveryDayHealth Engagement</v>
      </c>
      <c r="H82" s="31" t="str">
        <v>hcp_ban_dpint_del</v>
      </c>
      <c r="I82" s="31" t="str">
        <f t="shared" si="4"/>
        <v>HCP Banner DeepIntent Delivery</v>
      </c>
    </row>
    <row r="83" spans="2:9" x14ac:dyDescent="0.35">
      <c r="B83" s="31" t="str">
        <v>hcp_alert_epoc_eng</v>
      </c>
      <c r="C83" s="48" t="str">
        <f t="shared" si="5"/>
        <v>HCP Alert Epocrates Engagement</v>
      </c>
      <c r="H83" s="31" t="str">
        <v>hcp_ban_dox_del</v>
      </c>
      <c r="I83" s="31" t="str">
        <f t="shared" si="4"/>
        <v>HCP Banner Doximity Delivery</v>
      </c>
    </row>
    <row r="84" spans="2:9" x14ac:dyDescent="0.35">
      <c r="B84" s="31" t="str">
        <v>hcp_alert_mscap_eng</v>
      </c>
      <c r="C84" s="48" t="str">
        <f t="shared" si="5"/>
        <v>HCP Alert Medscape Engagement</v>
      </c>
      <c r="H84" s="31" t="str">
        <v>hcp_edtl_edh_del</v>
      </c>
      <c r="I84" s="31" t="str">
        <f t="shared" si="4"/>
        <v>HCP E-Details EveryDayHealth Delivery</v>
      </c>
    </row>
    <row r="85" spans="2:9" x14ac:dyDescent="0.35">
      <c r="B85" s="31" t="str">
        <v>hcp_ban_dpint_eng</v>
      </c>
      <c r="C85" s="48" t="str">
        <f t="shared" si="5"/>
        <v>HCP Banner DeepIntent Engagement</v>
      </c>
      <c r="H85" s="31" t="str">
        <v>hcp_eml_mng_del</v>
      </c>
      <c r="I85" s="31" t="str">
        <f t="shared" si="4"/>
        <v>HCP Email Nexgen Delivery</v>
      </c>
    </row>
    <row r="86" spans="2:9" x14ac:dyDescent="0.35">
      <c r="B86" s="31" t="str">
        <v>hcp_ban_dox_eng</v>
      </c>
      <c r="C86" s="48" t="str">
        <f t="shared" si="5"/>
        <v>HCP Banner Doximity Engagement</v>
      </c>
      <c r="H86" s="31" t="str">
        <v>hcp_eml_sfmc_del</v>
      </c>
      <c r="I86" s="31" t="str">
        <f t="shared" si="4"/>
        <v>HCP Email SFMC Delivery</v>
      </c>
    </row>
    <row r="87" spans="2:9" x14ac:dyDescent="0.35">
      <c r="B87" s="31" t="str">
        <v>hcp_edtl_edh_eng</v>
      </c>
      <c r="C87" s="48" t="str">
        <f t="shared" si="5"/>
        <v>HCP E-Details EveryDayHealth Engagement</v>
      </c>
      <c r="H87" s="31" t="str">
        <v>hcp_fmail_field_del</v>
      </c>
      <c r="I87" s="31" t="str">
        <f t="shared" si="4"/>
        <v>HCP Field Email Field Emails Delivery</v>
      </c>
    </row>
    <row r="88" spans="2:9" x14ac:dyDescent="0.35">
      <c r="B88" s="31" t="str">
        <v>hcp_eml_mng_eng</v>
      </c>
      <c r="C88" s="48" t="str">
        <f t="shared" si="5"/>
        <v>HCP Email Nexgen Engagement</v>
      </c>
      <c r="H88" s="31" t="str">
        <v>hcp_alert_dox_eng</v>
      </c>
      <c r="I88" s="31" t="str">
        <f t="shared" si="4"/>
        <v>HCP Alert Doximity Engagement</v>
      </c>
    </row>
    <row r="89" spans="2:9" x14ac:dyDescent="0.35">
      <c r="B89" s="31" t="str">
        <v>hcp_eml_sfmc_eng</v>
      </c>
      <c r="C89" s="48" t="str">
        <f t="shared" si="5"/>
        <v>HCP Email SFMC Engagement</v>
      </c>
      <c r="H89" s="31" t="str">
        <v>hcp_alert_edh_eng</v>
      </c>
      <c r="I89" s="31" t="str">
        <f t="shared" si="4"/>
        <v>HCP Alert EveryDayHealth Engagement</v>
      </c>
    </row>
    <row r="90" spans="2:9" x14ac:dyDescent="0.35">
      <c r="B90" s="31" t="str">
        <v>hcp_fmail_field_eng</v>
      </c>
      <c r="C90" s="48" t="str">
        <f t="shared" si="5"/>
        <v>HCP Field Email Field Emails Engagement</v>
      </c>
      <c r="H90" s="31" t="str">
        <v>hcp_alert_epoc_eng</v>
      </c>
      <c r="I90" s="31" t="str">
        <f t="shared" si="4"/>
        <v>HCP Alert Epocrates Engagement</v>
      </c>
    </row>
    <row r="91" spans="2:9" x14ac:dyDescent="0.35">
      <c r="B91" s="31" t="str">
        <v>hcp_rdtl_dtl</v>
      </c>
      <c r="C91" s="48" t="str">
        <f t="shared" si="5"/>
        <v>HCP Rep-Detailing</v>
      </c>
      <c r="D91" s="10" t="s">
        <v>160</v>
      </c>
      <c r="H91" s="31" t="str">
        <v>hcp_alert_mscap_eng</v>
      </c>
      <c r="I91" s="31" t="str">
        <f t="shared" si="4"/>
        <v>HCP Alert Medscape Engagement</v>
      </c>
    </row>
    <row r="92" spans="2:9" x14ac:dyDescent="0.35">
      <c r="B92" s="31" t="str">
        <v>hcp_rdtl_nbg</v>
      </c>
      <c r="C92" s="48" t="str">
        <f t="shared" si="5"/>
        <v>HCP rdtl nbg</v>
      </c>
      <c r="D92" s="10" t="s">
        <v>166</v>
      </c>
      <c r="H92" s="31" t="str">
        <v>hcp_ban_dpint_eng</v>
      </c>
      <c r="I92" s="31" t="str">
        <f t="shared" si="4"/>
        <v>HCP Banner DeepIntent Engagement</v>
      </c>
    </row>
    <row r="93" spans="2:9" x14ac:dyDescent="0.35">
      <c r="B93" s="31" t="str">
        <v>hcp_rdtl_rfm</v>
      </c>
      <c r="C93" s="48" t="str">
        <f t="shared" si="5"/>
        <v>HCP Rep-Facilitated Meeting</v>
      </c>
      <c r="D93" s="10" t="s">
        <v>161</v>
      </c>
      <c r="H93" s="31" t="str">
        <v>hcp_ban_dox_eng</v>
      </c>
      <c r="I93" s="31" t="str">
        <f t="shared" si="4"/>
        <v>HCP Banner Doximity Engagement</v>
      </c>
    </row>
    <row r="94" spans="2:9" x14ac:dyDescent="0.35">
      <c r="B94" s="31" t="str">
        <v>hcp_rdtl_totdet</v>
      </c>
      <c r="C94" s="48" t="str">
        <f t="shared" si="5"/>
        <v>HCP rdtl totdet</v>
      </c>
      <c r="D94" s="10" t="s">
        <v>162</v>
      </c>
      <c r="H94" s="31" t="str">
        <v>hcp_edtl_edh_eng</v>
      </c>
      <c r="I94" s="31" t="str">
        <f t="shared" si="4"/>
        <v>HCP E-Details EveryDayHealth Engagement</v>
      </c>
    </row>
    <row r="95" spans="2:9" x14ac:dyDescent="0.35">
      <c r="B95" s="31" t="str">
        <v>hcc_disp_una_imp</v>
      </c>
      <c r="C95" s="48" t="str">
        <f t="shared" si="5"/>
        <v>HCC Display Un-Assigned Impressions</v>
      </c>
      <c r="H95" s="31" t="str">
        <v>hcp_eml_mng_eng</v>
      </c>
      <c r="I95" s="31" t="str">
        <f t="shared" si="4"/>
        <v>HCP Email Nexgen Engagement</v>
      </c>
    </row>
    <row r="96" spans="2:9" x14ac:dyDescent="0.35">
      <c r="B96" s="31" t="str">
        <v>hcc_disp_imp</v>
      </c>
      <c r="C96" s="48" t="str">
        <f t="shared" si="5"/>
        <v>HCC Display Impressions</v>
      </c>
      <c r="H96" s="31" t="str">
        <v>hcp_eml_sfmc_eng</v>
      </c>
      <c r="I96" s="31" t="str">
        <f t="shared" si="4"/>
        <v>HCP Email SFMC Engagement</v>
      </c>
    </row>
    <row r="97" spans="2:9" x14ac:dyDescent="0.35">
      <c r="B97" s="31" t="str">
        <v>hcc_soc_fb_una_clk</v>
      </c>
      <c r="C97" s="48" t="str">
        <f t="shared" si="5"/>
        <v>HCC Social Facebook Un-Assigned Click</v>
      </c>
      <c r="D97" s="10" t="s">
        <v>163</v>
      </c>
      <c r="H97" s="31" t="str">
        <v>hcp_fmail_field_eng</v>
      </c>
      <c r="I97" s="31" t="str">
        <f t="shared" si="4"/>
        <v>HCP Field Email Field Emails Engagement</v>
      </c>
    </row>
    <row r="98" spans="2:9" x14ac:dyDescent="0.35">
      <c r="B98" s="31" t="str">
        <v>hcc_soc_tw_una_clk</v>
      </c>
      <c r="C98" s="48" t="str">
        <f t="shared" si="5"/>
        <v>HCC Social Twitter Un-Assigned Click</v>
      </c>
      <c r="H98" s="31" t="str">
        <v>hcp_rdtl_dtl</v>
      </c>
      <c r="I98" s="31" t="str">
        <f t="shared" si="4"/>
        <v>HCP Rep-Detailing</v>
      </c>
    </row>
    <row r="99" spans="2:9" x14ac:dyDescent="0.35">
      <c r="B99" s="31" t="str">
        <v>hcc_soc_fb_una_imp</v>
      </c>
      <c r="C99" s="48" t="str">
        <f t="shared" si="5"/>
        <v>HCC Social Facebook Un-Assigned Impressions</v>
      </c>
      <c r="H99" s="31" t="str">
        <v>hcp_rdtl_nbg</v>
      </c>
      <c r="I99" s="31" t="str">
        <f t="shared" si="4"/>
        <v>HCP rdtl nbg</v>
      </c>
    </row>
    <row r="100" spans="2:9" x14ac:dyDescent="0.35">
      <c r="B100" s="31" t="str">
        <v>hcc_soc_tw_una_imp</v>
      </c>
      <c r="C100" s="48" t="str">
        <f t="shared" si="5"/>
        <v>HCC Social Twitter Un-Assigned Impressions</v>
      </c>
      <c r="H100" s="31" t="str">
        <v>hcp_rdtl_rfm</v>
      </c>
      <c r="I100" s="31" t="str">
        <f t="shared" si="4"/>
        <v>HCP Rep-Facilitated Meeting</v>
      </c>
    </row>
    <row r="101" spans="2:9" x14ac:dyDescent="0.35">
      <c r="B101" s="31" t="str">
        <v>hcc_soc_una_clk</v>
      </c>
      <c r="C101" s="48" t="str">
        <f t="shared" si="5"/>
        <v>HCC Social Un-Assigned Click</v>
      </c>
      <c r="H101" s="31" t="str">
        <v>hcp_rdtl_totdet</v>
      </c>
      <c r="I101" s="31" t="str">
        <f t="shared" si="4"/>
        <v>HCP rdtl totdet</v>
      </c>
    </row>
    <row r="102" spans="2:9" x14ac:dyDescent="0.35">
      <c r="B102" s="31" t="str">
        <v>hcc_soc_una_imp</v>
      </c>
      <c r="C102" s="48" t="str">
        <f t="shared" si="5"/>
        <v>HCC Social Un-Assigned Impressions</v>
      </c>
      <c r="H102" s="31" t="str">
        <v>hcc_disp_una_imp</v>
      </c>
      <c r="I102" s="31" t="str">
        <f t="shared" si="4"/>
        <v>HCC Display Un-Assigned Impressions</v>
      </c>
    </row>
    <row r="103" spans="2:9" x14ac:dyDescent="0.35">
      <c r="B103" s="31" t="str">
        <v>hcc_soc_clk</v>
      </c>
      <c r="C103" s="48" t="str">
        <f t="shared" si="5"/>
        <v>HCC Social Click</v>
      </c>
      <c r="H103" s="31" t="str">
        <v>hcc_disp_imp</v>
      </c>
      <c r="I103" s="31" t="str">
        <f t="shared" si="4"/>
        <v>HCC Display Impressions</v>
      </c>
    </row>
    <row r="104" spans="2:9" x14ac:dyDescent="0.35">
      <c r="B104" s="31" t="str">
        <v>hcc_soc_imp</v>
      </c>
      <c r="C104" s="48" t="str">
        <f t="shared" si="5"/>
        <v>HCC Social Impressions</v>
      </c>
      <c r="H104" s="31" t="str">
        <v>hcc_soc_fb_una_clk</v>
      </c>
      <c r="I104" s="31" t="str">
        <f t="shared" si="4"/>
        <v>HCC Social Facebook Un-Assigned Click</v>
      </c>
    </row>
    <row r="105" spans="2:9" x14ac:dyDescent="0.35">
      <c r="B105" s="31" t="str">
        <v>hcc_soc_fb_clk</v>
      </c>
      <c r="C105" s="48" t="str">
        <f t="shared" si="5"/>
        <v>HCC Social Facebook Click</v>
      </c>
      <c r="H105" s="31" t="str">
        <v>hcc_soc_tw_una_clk</v>
      </c>
      <c r="I105" s="31" t="str">
        <f t="shared" si="4"/>
        <v>HCC Social Twitter Un-Assigned Click</v>
      </c>
    </row>
    <row r="106" spans="2:9" x14ac:dyDescent="0.35">
      <c r="B106" s="31" t="str">
        <v>hcc_soc_tw_clk</v>
      </c>
      <c r="C106" s="48" t="str">
        <f t="shared" si="5"/>
        <v>HCC Social Twitter Click</v>
      </c>
      <c r="H106" s="31" t="str">
        <v>hcc_soc_fb_una_imp</v>
      </c>
      <c r="I106" s="31" t="str">
        <f t="shared" si="4"/>
        <v>HCC Social Facebook Un-Assigned Impressions</v>
      </c>
    </row>
    <row r="107" spans="2:9" x14ac:dyDescent="0.35">
      <c r="B107" s="31" t="str">
        <v>hcc_soc_fb_imp</v>
      </c>
      <c r="C107" s="48" t="str">
        <f t="shared" si="5"/>
        <v>HCC Social Facebook Impressions</v>
      </c>
      <c r="H107" s="31" t="str">
        <v>hcc_soc_tw_una_imp</v>
      </c>
      <c r="I107" s="31" t="str">
        <f t="shared" si="4"/>
        <v>HCC Social Twitter Un-Assigned Impressions</v>
      </c>
    </row>
    <row r="108" spans="2:9" x14ac:dyDescent="0.35">
      <c r="B108" s="31" t="str">
        <v>hcc_soc_tw_imp</v>
      </c>
      <c r="C108" s="48" t="str">
        <f t="shared" si="5"/>
        <v>HCC Social Twitter Impressions</v>
      </c>
      <c r="H108" s="31" t="str">
        <v>hcc_soc_una_clk</v>
      </c>
      <c r="I108" s="31" t="str">
        <f t="shared" si="4"/>
        <v>HCC Social Un-Assigned Click</v>
      </c>
    </row>
    <row r="109" spans="2:9" x14ac:dyDescent="0.35">
      <c r="B109" s="31" t="str">
        <v>hcp_osrch_sessions</v>
      </c>
      <c r="C109" s="48" t="str">
        <f t="shared" si="5"/>
        <v>HCP Organic Search sessions</v>
      </c>
      <c r="H109" s="31" t="str">
        <v>hcc_soc_una_imp</v>
      </c>
      <c r="I109" s="31" t="str">
        <f t="shared" si="4"/>
        <v>HCC Social Un-Assigned Impressions</v>
      </c>
    </row>
    <row r="110" spans="2:9" x14ac:dyDescent="0.35">
      <c r="B110" s="31" t="str">
        <v>hcc_olv_una_imp</v>
      </c>
      <c r="C110" s="48" t="str">
        <f t="shared" si="5"/>
        <v>HCC OLV Un-Assigned Impressions</v>
      </c>
      <c r="H110" s="31" t="str">
        <v>hcc_soc_clk</v>
      </c>
      <c r="I110" s="31" t="str">
        <f t="shared" si="4"/>
        <v>HCC Social Click</v>
      </c>
    </row>
    <row r="111" spans="2:9" x14ac:dyDescent="0.35">
      <c r="B111" s="31" t="str">
        <v>hcc_olv_imp</v>
      </c>
      <c r="C111" s="48" t="str">
        <f t="shared" si="5"/>
        <v>HCC OLV Impressions</v>
      </c>
      <c r="H111" s="31" t="str">
        <v>hcc_soc_imp</v>
      </c>
      <c r="I111" s="31" t="str">
        <f t="shared" si="4"/>
        <v>HCC Social Impressions</v>
      </c>
    </row>
    <row r="112" spans="2:9" x14ac:dyDescent="0.35">
      <c r="B112" s="31" t="str">
        <v>hcc_psrch_goog_una_clk</v>
      </c>
      <c r="C112" s="48" t="str">
        <f t="shared" si="5"/>
        <v>HCC Paid Search Google Un-Assigned Click</v>
      </c>
      <c r="H112" s="31" t="str">
        <v>hcc_soc_fb_clk</v>
      </c>
      <c r="I112" s="31" t="str">
        <f t="shared" si="4"/>
        <v>HCC Social Facebook Click</v>
      </c>
    </row>
    <row r="113" spans="2:9" x14ac:dyDescent="0.35">
      <c r="B113" s="31" t="str">
        <v>hcc_psrch_msft_una_clk</v>
      </c>
      <c r="C113" s="48" t="str">
        <f t="shared" si="5"/>
        <v>HCC Paid Search Microsoft Un-Assigned Click</v>
      </c>
      <c r="H113" s="31" t="str">
        <v>hcc_soc_tw_clk</v>
      </c>
      <c r="I113" s="31" t="str">
        <f t="shared" si="4"/>
        <v>HCC Social Twitter Click</v>
      </c>
    </row>
    <row r="114" spans="2:9" x14ac:dyDescent="0.35">
      <c r="B114" s="31" t="str">
        <v>hcc_psrch_una_clk</v>
      </c>
      <c r="C114" s="48" t="str">
        <f t="shared" si="5"/>
        <v>HCC Paid Search Un-Assigned Click</v>
      </c>
      <c r="H114" s="31" t="str">
        <v>hcc_soc_fb_imp</v>
      </c>
      <c r="I114" s="31" t="str">
        <f t="shared" si="4"/>
        <v>HCC Social Facebook Impressions</v>
      </c>
    </row>
    <row r="115" spans="2:9" x14ac:dyDescent="0.35">
      <c r="B115" s="31" t="str">
        <v>hcc_psrch_clk</v>
      </c>
      <c r="C115" s="48" t="str">
        <f t="shared" si="5"/>
        <v>HCC Paid Search Click</v>
      </c>
      <c r="H115" s="31" t="str">
        <v>hcc_soc_tw_imp</v>
      </c>
      <c r="I115" s="31" t="str">
        <f t="shared" si="4"/>
        <v>HCC Social Twitter Impressions</v>
      </c>
    </row>
    <row r="116" spans="2:9" x14ac:dyDescent="0.35">
      <c r="B116" s="31" t="str">
        <v>hcc_psrch_goog_clk</v>
      </c>
      <c r="C116" s="48" t="str">
        <f t="shared" si="5"/>
        <v>HCC Paid Search Google Click</v>
      </c>
      <c r="H116" s="31" t="str">
        <v>hcp_osrch_sessions</v>
      </c>
      <c r="I116" s="31" t="str">
        <f t="shared" si="4"/>
        <v>HCP Organic Search sessions</v>
      </c>
    </row>
    <row r="117" spans="2:9" x14ac:dyDescent="0.35">
      <c r="B117" s="31" t="str">
        <v>hcc_psrch_msft_clk</v>
      </c>
      <c r="C117" s="48" t="str">
        <f t="shared" si="5"/>
        <v>HCC Paid Search Microsoft Click</v>
      </c>
      <c r="H117" s="31" t="str">
        <v>hcc_olv_una_imp</v>
      </c>
      <c r="I117" s="31" t="str">
        <f t="shared" si="4"/>
        <v>HCC OLV Un-Assigned Impressions</v>
      </c>
    </row>
    <row r="118" spans="2:9" x14ac:dyDescent="0.35">
      <c r="B118" s="31" t="str">
        <v>hcp_mmf_una_attend</v>
      </c>
      <c r="C118" s="48" t="str">
        <f t="shared" si="5"/>
        <v>HCP Merck Managed Forum Un-Assigned Attendance</v>
      </c>
      <c r="H118" s="31" t="str">
        <v>hcc_olv_imp</v>
      </c>
      <c r="I118" s="31" t="str">
        <f t="shared" si="4"/>
        <v>HCC OLV Impressions</v>
      </c>
    </row>
    <row r="119" spans="2:9" x14ac:dyDescent="0.35">
      <c r="B119" s="31" t="str">
        <v>hcp_mmf_attend</v>
      </c>
      <c r="C119" s="48" t="str">
        <f t="shared" si="5"/>
        <v>HCP Merck Managed Forum Attendance</v>
      </c>
      <c r="H119" s="31" t="str">
        <v>hcc_psrch_goog_una_clk</v>
      </c>
      <c r="I119" s="31" t="str">
        <f t="shared" si="4"/>
        <v>HCC Paid Search Google Un-Assigned Click</v>
      </c>
    </row>
    <row r="120" spans="2:9" x14ac:dyDescent="0.35">
      <c r="B120" s="31" t="str">
        <v>pp_hcc</v>
      </c>
      <c r="C120" s="48" t="s">
        <v>368</v>
      </c>
      <c r="H120" s="31" t="str">
        <v>hcc_psrch_msft_una_clk</v>
      </c>
      <c r="I120" s="31" t="str">
        <f t="shared" si="4"/>
        <v>HCC Paid Search Microsoft Un-Assigned Click</v>
      </c>
    </row>
    <row r="121" spans="2:9" x14ac:dyDescent="0.35">
      <c r="B121" s="31" t="str">
        <v>pp_hcp</v>
      </c>
      <c r="C121" s="48" t="s">
        <v>378</v>
      </c>
      <c r="H121" s="31" t="str">
        <v>hcc_psrch_una_clk</v>
      </c>
      <c r="I121" s="31" t="str">
        <f t="shared" si="4"/>
        <v>HCC Paid Search Un-Assigned Click</v>
      </c>
    </row>
    <row r="122" spans="2:9" x14ac:dyDescent="0.35">
      <c r="B122" s="31" t="str">
        <v>webmd</v>
      </c>
      <c r="C122" s="48" t="s">
        <v>369</v>
      </c>
      <c r="H122" s="31" t="str">
        <v>hcc_psrch_clk</v>
      </c>
      <c r="I122" s="31" t="str">
        <f t="shared" si="4"/>
        <v>HCC Paid Search Click</v>
      </c>
    </row>
    <row r="123" spans="2:9" x14ac:dyDescent="0.35">
      <c r="B123" s="31" t="str">
        <v>cw_comm</v>
      </c>
      <c r="C123" s="48" t="s">
        <v>370</v>
      </c>
      <c r="H123" s="31" t="str">
        <v>hcc_psrch_goog_clk</v>
      </c>
      <c r="I123" s="31" t="str">
        <f t="shared" si="4"/>
        <v>HCC Paid Search Google Click</v>
      </c>
    </row>
    <row r="124" spans="2:9" x14ac:dyDescent="0.35">
      <c r="B124" s="31" t="str">
        <v>pp_hcc_freq</v>
      </c>
      <c r="C124" s="48" t="s">
        <v>377</v>
      </c>
      <c r="H124" s="31" t="str">
        <v>hcc_psrch_msft_clk</v>
      </c>
      <c r="I124" s="31" t="str">
        <f t="shared" si="4"/>
        <v>HCC Paid Search Microsoft Click</v>
      </c>
    </row>
    <row r="125" spans="2:9" x14ac:dyDescent="0.35">
      <c r="B125" s="31" t="str">
        <v/>
      </c>
      <c r="C125" s="48" t="str">
        <f t="shared" si="5"/>
        <v/>
      </c>
      <c r="H125" s="31" t="str">
        <v>hcp_mmf_una_attend</v>
      </c>
      <c r="I125" s="31" t="str">
        <f t="shared" si="4"/>
        <v>HCP Merck Managed Forum Un-Assigned Attendance</v>
      </c>
    </row>
    <row r="126" spans="2:9" x14ac:dyDescent="0.35">
      <c r="B126" s="31" t="str">
        <v/>
      </c>
      <c r="C126" s="48" t="str">
        <f t="shared" si="5"/>
        <v/>
      </c>
      <c r="H126" s="31" t="str">
        <v>hcp_mmf_attend</v>
      </c>
      <c r="I126" s="31" t="str">
        <f t="shared" si="4"/>
        <v>HCP Merck Managed Forum Attendance</v>
      </c>
    </row>
    <row r="127" spans="2:9" x14ac:dyDescent="0.35">
      <c r="B127" s="31" t="str">
        <v/>
      </c>
      <c r="C127" s="48" t="str">
        <f t="shared" si="5"/>
        <v/>
      </c>
      <c r="H127" s="31" t="str">
        <v>pp_hcc</v>
      </c>
      <c r="I127" s="31" t="str">
        <f t="shared" si="4"/>
        <v>Patient Point HCC</v>
      </c>
    </row>
    <row r="128" spans="2:9" x14ac:dyDescent="0.35">
      <c r="B128" s="31" t="str">
        <v/>
      </c>
      <c r="C128" s="48" t="str">
        <f t="shared" si="5"/>
        <v/>
      </c>
      <c r="H128" s="31" t="str">
        <v>pp_hcp</v>
      </c>
      <c r="I128" s="31" t="str">
        <f t="shared" si="4"/>
        <v>Patient Point HCP</v>
      </c>
    </row>
    <row r="129" spans="2:9" x14ac:dyDescent="0.35">
      <c r="B129" s="31" t="str">
        <v/>
      </c>
      <c r="C129" s="48" t="str">
        <f t="shared" si="5"/>
        <v/>
      </c>
      <c r="H129" s="31" t="str">
        <v>webmd</v>
      </c>
      <c r="I129" s="31" t="str">
        <f t="shared" si="4"/>
        <v>WebMD</v>
      </c>
    </row>
    <row r="130" spans="2:9" x14ac:dyDescent="0.35">
      <c r="B130" s="31" t="str">
        <v/>
      </c>
      <c r="C130" s="48" t="str">
        <f t="shared" si="5"/>
        <v/>
      </c>
      <c r="H130" s="31" t="str">
        <v>cw_comm</v>
      </c>
      <c r="I130" s="31" t="str">
        <f t="shared" si="4"/>
        <v>CoverWrap Communication</v>
      </c>
    </row>
    <row r="131" spans="2:9" x14ac:dyDescent="0.35">
      <c r="B131" s="31" t="str">
        <v/>
      </c>
      <c r="C131" s="48" t="str">
        <f t="shared" si="5"/>
        <v/>
      </c>
      <c r="H131" s="31" t="str">
        <v>pp_hcc_freq</v>
      </c>
      <c r="I131" s="31" t="str">
        <f t="shared" si="4"/>
        <v>Patient Point HCC Freq</v>
      </c>
    </row>
    <row r="132" spans="2:9" x14ac:dyDescent="0.35">
      <c r="B132" s="31" t="str">
        <v/>
      </c>
      <c r="C132" s="48" t="str">
        <f t="shared" si="5"/>
        <v/>
      </c>
      <c r="H132" s="31" t="str">
        <v/>
      </c>
      <c r="I132" s="31" t="str">
        <f t="shared" ref="I132:I195" si="6">IF(_xlfn.IFNA(VLOOKUP(H132,$B$4:$C$305,2,FALSE),VLOOKUP(H132,$E$4:$F$15,2,FALSE))=0,"",_xlfn.IFNA(VLOOKUP(H132,$B$4:$C$305,2,FALSE),VLOOKUP(H132,$E$4:$F$15,2,FALSE)))</f>
        <v/>
      </c>
    </row>
    <row r="133" spans="2:9" x14ac:dyDescent="0.35">
      <c r="B133" s="31" t="str">
        <v/>
      </c>
      <c r="C133" s="48" t="str">
        <f t="shared" ref="C133:C196" si="7">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B133,"_"," "),"hcc","HCC"),"hcp","HCP"),"osrch","Organic Search"),"disp","Display"),"imp","Impressions"),"clkd","Click"),"dpint","DeepIntent"),"dox","Doximity"),"edh","EveryDayHealth"),"epoc","Epocrates"),"mscap","Medscape"),"del","Delivery"),"eng","Engagement"),"ban","Banner"),"eml","Email"),"alert","Alert"),"fb","Facebook"),"tw","Twitter"),"sfmc","SFMC"),"psrch","Paid Search"),"clk","Click"),"olv","OLV"),"goog","Google"),"msft","Microsoft"),"attend","Attendance"),"field","Field Emails"),"mng","Nexgen"),"una","Un-Assigned"),"fmail","Field Email"),"rdtl dtl","Rep-Detailing"),"rdtl rfm","Rep-Facilitated Meeting"),"mmf","Merck Managed Forum"),"soc","Social"),"edtl","E-Details")</f>
        <v/>
      </c>
      <c r="H133" s="31" t="str">
        <v/>
      </c>
      <c r="I133" s="31" t="str">
        <f t="shared" si="6"/>
        <v/>
      </c>
    </row>
    <row r="134" spans="2:9" x14ac:dyDescent="0.35">
      <c r="B134" s="31" t="str">
        <v/>
      </c>
      <c r="C134" s="48" t="str">
        <f t="shared" si="7"/>
        <v/>
      </c>
      <c r="H134" s="31" t="str">
        <v/>
      </c>
      <c r="I134" s="31" t="str">
        <f t="shared" si="6"/>
        <v/>
      </c>
    </row>
    <row r="135" spans="2:9" x14ac:dyDescent="0.35">
      <c r="B135" s="31" t="str">
        <v/>
      </c>
      <c r="C135" s="48" t="str">
        <f t="shared" si="7"/>
        <v/>
      </c>
      <c r="H135" s="31" t="str">
        <v/>
      </c>
      <c r="I135" s="31" t="str">
        <f t="shared" si="6"/>
        <v/>
      </c>
    </row>
    <row r="136" spans="2:9" x14ac:dyDescent="0.35">
      <c r="B136" s="31" t="str">
        <v/>
      </c>
      <c r="C136" s="48" t="str">
        <f t="shared" si="7"/>
        <v/>
      </c>
      <c r="H136" s="31" t="str">
        <v/>
      </c>
      <c r="I136" s="31" t="str">
        <f t="shared" si="6"/>
        <v/>
      </c>
    </row>
    <row r="137" spans="2:9" x14ac:dyDescent="0.35">
      <c r="B137" s="31" t="str">
        <v/>
      </c>
      <c r="C137" s="48" t="str">
        <f t="shared" si="7"/>
        <v/>
      </c>
      <c r="H137" s="31" t="str">
        <v/>
      </c>
      <c r="I137" s="31" t="str">
        <f t="shared" si="6"/>
        <v/>
      </c>
    </row>
    <row r="138" spans="2:9" x14ac:dyDescent="0.35">
      <c r="B138" s="31" t="str">
        <v/>
      </c>
      <c r="C138" s="48" t="str">
        <f t="shared" si="7"/>
        <v/>
      </c>
      <c r="H138" s="31" t="str">
        <v/>
      </c>
      <c r="I138" s="31" t="str">
        <f t="shared" si="6"/>
        <v/>
      </c>
    </row>
    <row r="139" spans="2:9" x14ac:dyDescent="0.35">
      <c r="B139" s="31" t="str">
        <v/>
      </c>
      <c r="C139" s="48" t="str">
        <f t="shared" si="7"/>
        <v/>
      </c>
      <c r="H139" s="31" t="str">
        <v/>
      </c>
      <c r="I139" s="31" t="str">
        <f t="shared" si="6"/>
        <v/>
      </c>
    </row>
    <row r="140" spans="2:9" x14ac:dyDescent="0.35">
      <c r="B140" s="31" t="str">
        <v/>
      </c>
      <c r="C140" s="48" t="str">
        <f t="shared" si="7"/>
        <v/>
      </c>
      <c r="H140" s="31" t="str">
        <v/>
      </c>
      <c r="I140" s="31" t="str">
        <f t="shared" si="6"/>
        <v/>
      </c>
    </row>
    <row r="141" spans="2:9" x14ac:dyDescent="0.35">
      <c r="B141" s="31" t="str">
        <v/>
      </c>
      <c r="C141" s="48" t="str">
        <f t="shared" si="7"/>
        <v/>
      </c>
      <c r="H141" s="31" t="str">
        <v/>
      </c>
      <c r="I141" s="31" t="str">
        <f t="shared" si="6"/>
        <v/>
      </c>
    </row>
    <row r="142" spans="2:9" x14ac:dyDescent="0.35">
      <c r="B142" s="31" t="str">
        <v/>
      </c>
      <c r="C142" s="48" t="str">
        <f t="shared" si="7"/>
        <v/>
      </c>
      <c r="H142" s="31" t="str">
        <v/>
      </c>
      <c r="I142" s="31" t="str">
        <f t="shared" si="6"/>
        <v/>
      </c>
    </row>
    <row r="143" spans="2:9" x14ac:dyDescent="0.35">
      <c r="B143" s="31" t="str">
        <v/>
      </c>
      <c r="C143" s="48" t="str">
        <f t="shared" si="7"/>
        <v/>
      </c>
      <c r="H143" s="31" t="str">
        <v/>
      </c>
      <c r="I143" s="31" t="str">
        <f t="shared" si="6"/>
        <v/>
      </c>
    </row>
    <row r="144" spans="2:9" x14ac:dyDescent="0.35">
      <c r="B144" s="31" t="str">
        <v/>
      </c>
      <c r="C144" s="48" t="str">
        <f t="shared" si="7"/>
        <v/>
      </c>
      <c r="H144" s="31" t="str">
        <v/>
      </c>
      <c r="I144" s="31" t="str">
        <f t="shared" si="6"/>
        <v/>
      </c>
    </row>
    <row r="145" spans="2:9" x14ac:dyDescent="0.35">
      <c r="B145" s="31" t="str">
        <v/>
      </c>
      <c r="C145" s="48" t="str">
        <f t="shared" si="7"/>
        <v/>
      </c>
      <c r="H145" s="31" t="str">
        <v/>
      </c>
      <c r="I145" s="31" t="str">
        <f t="shared" si="6"/>
        <v/>
      </c>
    </row>
    <row r="146" spans="2:9" x14ac:dyDescent="0.35">
      <c r="B146" s="31" t="str">
        <v/>
      </c>
      <c r="C146" s="48" t="str">
        <f t="shared" si="7"/>
        <v/>
      </c>
      <c r="H146" s="31" t="str">
        <v/>
      </c>
      <c r="I146" s="31" t="str">
        <f t="shared" si="6"/>
        <v/>
      </c>
    </row>
    <row r="147" spans="2:9" x14ac:dyDescent="0.35">
      <c r="B147" s="31" t="str">
        <v/>
      </c>
      <c r="C147" s="48" t="str">
        <f t="shared" si="7"/>
        <v/>
      </c>
      <c r="H147" s="31" t="str">
        <v/>
      </c>
      <c r="I147" s="31" t="str">
        <f t="shared" si="6"/>
        <v/>
      </c>
    </row>
    <row r="148" spans="2:9" x14ac:dyDescent="0.35">
      <c r="B148" s="31" t="str">
        <v/>
      </c>
      <c r="C148" s="48" t="str">
        <f t="shared" si="7"/>
        <v/>
      </c>
      <c r="H148" s="31" t="str">
        <v/>
      </c>
      <c r="I148" s="31" t="str">
        <f t="shared" si="6"/>
        <v/>
      </c>
    </row>
    <row r="149" spans="2:9" x14ac:dyDescent="0.35">
      <c r="B149" s="31" t="str">
        <v/>
      </c>
      <c r="C149" s="48" t="str">
        <f t="shared" si="7"/>
        <v/>
      </c>
      <c r="H149" s="31" t="str">
        <v/>
      </c>
      <c r="I149" s="31" t="str">
        <f t="shared" si="6"/>
        <v/>
      </c>
    </row>
    <row r="150" spans="2:9" x14ac:dyDescent="0.35">
      <c r="B150" s="31" t="str">
        <v/>
      </c>
      <c r="C150" s="48" t="str">
        <f t="shared" si="7"/>
        <v/>
      </c>
      <c r="H150" s="31" t="str">
        <v/>
      </c>
      <c r="I150" s="31" t="str">
        <f t="shared" si="6"/>
        <v/>
      </c>
    </row>
    <row r="151" spans="2:9" x14ac:dyDescent="0.35">
      <c r="B151" s="49" t="str">
        <v/>
      </c>
      <c r="C151" s="48" t="str">
        <f t="shared" si="7"/>
        <v/>
      </c>
      <c r="H151" s="31" t="str">
        <v/>
      </c>
      <c r="I151" s="31" t="str">
        <f t="shared" si="6"/>
        <v/>
      </c>
    </row>
    <row r="152" spans="2:9" x14ac:dyDescent="0.35">
      <c r="B152" s="49" t="str">
        <v/>
      </c>
      <c r="C152" s="48" t="str">
        <f t="shared" si="7"/>
        <v/>
      </c>
      <c r="H152" s="31" t="str">
        <v/>
      </c>
      <c r="I152" s="31" t="str">
        <f t="shared" si="6"/>
        <v/>
      </c>
    </row>
    <row r="153" spans="2:9" x14ac:dyDescent="0.35">
      <c r="B153" s="49" t="str">
        <v/>
      </c>
      <c r="C153" s="48" t="str">
        <f t="shared" si="7"/>
        <v/>
      </c>
      <c r="H153" s="31" t="str">
        <v/>
      </c>
      <c r="I153" s="31" t="str">
        <f t="shared" si="6"/>
        <v/>
      </c>
    </row>
    <row r="154" spans="2:9" x14ac:dyDescent="0.35">
      <c r="B154" s="49" t="str">
        <v/>
      </c>
      <c r="C154" s="48" t="str">
        <f t="shared" si="7"/>
        <v/>
      </c>
      <c r="H154" s="31" t="str">
        <v/>
      </c>
      <c r="I154" s="31" t="str">
        <f t="shared" si="6"/>
        <v/>
      </c>
    </row>
    <row r="155" spans="2:9" x14ac:dyDescent="0.35">
      <c r="B155" s="49" t="str">
        <v/>
      </c>
      <c r="C155" s="48" t="str">
        <f t="shared" si="7"/>
        <v/>
      </c>
      <c r="H155" s="31" t="str">
        <v/>
      </c>
      <c r="I155" s="31" t="str">
        <f t="shared" si="6"/>
        <v/>
      </c>
    </row>
    <row r="156" spans="2:9" x14ac:dyDescent="0.35">
      <c r="B156" s="49" t="str">
        <v/>
      </c>
      <c r="C156" s="48" t="str">
        <f t="shared" si="7"/>
        <v/>
      </c>
      <c r="H156" s="31" t="str">
        <v/>
      </c>
      <c r="I156" s="31" t="str">
        <f t="shared" si="6"/>
        <v/>
      </c>
    </row>
    <row r="157" spans="2:9" x14ac:dyDescent="0.35">
      <c r="B157" s="49" t="str">
        <v/>
      </c>
      <c r="C157" s="48" t="str">
        <f t="shared" si="7"/>
        <v/>
      </c>
      <c r="H157" s="31" t="str">
        <v/>
      </c>
      <c r="I157" s="31" t="str">
        <f t="shared" si="6"/>
        <v/>
      </c>
    </row>
    <row r="158" spans="2:9" x14ac:dyDescent="0.35">
      <c r="B158" s="49" t="str">
        <v/>
      </c>
      <c r="C158" s="48" t="str">
        <f t="shared" si="7"/>
        <v/>
      </c>
      <c r="H158" s="31" t="str">
        <v/>
      </c>
      <c r="I158" s="31" t="str">
        <f t="shared" si="6"/>
        <v/>
      </c>
    </row>
    <row r="159" spans="2:9" x14ac:dyDescent="0.35">
      <c r="B159" s="49" t="str">
        <v/>
      </c>
      <c r="C159" s="48" t="str">
        <f t="shared" si="7"/>
        <v/>
      </c>
      <c r="H159" s="31" t="str">
        <v/>
      </c>
      <c r="I159" s="31" t="str">
        <f t="shared" si="6"/>
        <v/>
      </c>
    </row>
    <row r="160" spans="2:9" x14ac:dyDescent="0.35">
      <c r="B160" s="49" t="str">
        <v/>
      </c>
      <c r="C160" s="48" t="str">
        <f t="shared" si="7"/>
        <v/>
      </c>
      <c r="H160" s="31" t="str">
        <v/>
      </c>
      <c r="I160" s="31" t="str">
        <f t="shared" si="6"/>
        <v/>
      </c>
    </row>
    <row r="161" spans="2:9" x14ac:dyDescent="0.35">
      <c r="B161" s="49" t="str">
        <v/>
      </c>
      <c r="C161" s="48" t="str">
        <f t="shared" si="7"/>
        <v/>
      </c>
      <c r="H161" s="31" t="str">
        <v/>
      </c>
      <c r="I161" s="31" t="str">
        <f t="shared" si="6"/>
        <v/>
      </c>
    </row>
    <row r="162" spans="2:9" x14ac:dyDescent="0.35">
      <c r="B162" s="49" t="str">
        <v/>
      </c>
      <c r="C162" s="48" t="str">
        <f t="shared" si="7"/>
        <v/>
      </c>
      <c r="H162" s="31" t="str">
        <v/>
      </c>
      <c r="I162" s="31" t="str">
        <f t="shared" si="6"/>
        <v/>
      </c>
    </row>
    <row r="163" spans="2:9" x14ac:dyDescent="0.35">
      <c r="B163" s="49" t="str">
        <v/>
      </c>
      <c r="C163" s="48" t="str">
        <f t="shared" si="7"/>
        <v/>
      </c>
      <c r="H163" s="31" t="str">
        <v/>
      </c>
      <c r="I163" s="31" t="str">
        <f t="shared" si="6"/>
        <v/>
      </c>
    </row>
    <row r="164" spans="2:9" x14ac:dyDescent="0.35">
      <c r="B164" s="49" t="str">
        <v/>
      </c>
      <c r="C164" s="48" t="str">
        <f t="shared" si="7"/>
        <v/>
      </c>
      <c r="H164" s="31" t="str">
        <v/>
      </c>
      <c r="I164" s="31" t="str">
        <f t="shared" si="6"/>
        <v/>
      </c>
    </row>
    <row r="165" spans="2:9" x14ac:dyDescent="0.35">
      <c r="B165" s="49" t="str">
        <v/>
      </c>
      <c r="C165" s="48" t="str">
        <f t="shared" si="7"/>
        <v/>
      </c>
      <c r="H165" s="31" t="str">
        <v/>
      </c>
      <c r="I165" s="31" t="str">
        <f t="shared" si="6"/>
        <v/>
      </c>
    </row>
    <row r="166" spans="2:9" x14ac:dyDescent="0.35">
      <c r="B166" s="49" t="str">
        <v/>
      </c>
      <c r="C166" s="48" t="str">
        <f t="shared" si="7"/>
        <v/>
      </c>
      <c r="H166" s="31" t="str">
        <v/>
      </c>
      <c r="I166" s="31" t="str">
        <f t="shared" si="6"/>
        <v/>
      </c>
    </row>
    <row r="167" spans="2:9" x14ac:dyDescent="0.35">
      <c r="B167" s="49" t="str">
        <v/>
      </c>
      <c r="C167" s="48" t="str">
        <f t="shared" si="7"/>
        <v/>
      </c>
      <c r="H167" s="31" t="str">
        <v/>
      </c>
      <c r="I167" s="31" t="str">
        <f t="shared" si="6"/>
        <v/>
      </c>
    </row>
    <row r="168" spans="2:9" x14ac:dyDescent="0.35">
      <c r="B168" s="49" t="str">
        <v/>
      </c>
      <c r="C168" s="48" t="str">
        <f t="shared" si="7"/>
        <v/>
      </c>
      <c r="H168" s="31" t="str">
        <v/>
      </c>
      <c r="I168" s="31" t="str">
        <f t="shared" si="6"/>
        <v/>
      </c>
    </row>
    <row r="169" spans="2:9" x14ac:dyDescent="0.35">
      <c r="B169" s="49" t="str">
        <v/>
      </c>
      <c r="C169" s="48" t="str">
        <f t="shared" si="7"/>
        <v/>
      </c>
      <c r="H169" s="31" t="str">
        <v/>
      </c>
      <c r="I169" s="31" t="str">
        <f t="shared" si="6"/>
        <v/>
      </c>
    </row>
    <row r="170" spans="2:9" x14ac:dyDescent="0.35">
      <c r="B170" s="49" t="str">
        <v/>
      </c>
      <c r="C170" s="48" t="str">
        <f t="shared" si="7"/>
        <v/>
      </c>
      <c r="H170" s="31" t="str">
        <v/>
      </c>
      <c r="I170" s="31" t="str">
        <f t="shared" si="6"/>
        <v/>
      </c>
    </row>
    <row r="171" spans="2:9" x14ac:dyDescent="0.35">
      <c r="B171" s="49" t="str">
        <v/>
      </c>
      <c r="C171" s="48" t="str">
        <f t="shared" si="7"/>
        <v/>
      </c>
      <c r="H171" s="31" t="str">
        <v/>
      </c>
      <c r="I171" s="31" t="str">
        <f t="shared" si="6"/>
        <v/>
      </c>
    </row>
    <row r="172" spans="2:9" x14ac:dyDescent="0.35">
      <c r="B172" s="49" t="str">
        <v/>
      </c>
      <c r="C172" s="48" t="str">
        <f t="shared" si="7"/>
        <v/>
      </c>
      <c r="H172" s="31" t="str">
        <v/>
      </c>
      <c r="I172" s="31" t="str">
        <f t="shared" si="6"/>
        <v/>
      </c>
    </row>
    <row r="173" spans="2:9" x14ac:dyDescent="0.35">
      <c r="B173" s="49" t="str">
        <v/>
      </c>
      <c r="C173" s="48" t="str">
        <f t="shared" si="7"/>
        <v/>
      </c>
      <c r="H173" s="31" t="str">
        <v/>
      </c>
      <c r="I173" s="31" t="str">
        <f t="shared" si="6"/>
        <v/>
      </c>
    </row>
    <row r="174" spans="2:9" x14ac:dyDescent="0.35">
      <c r="B174" s="49" t="str">
        <v/>
      </c>
      <c r="C174" s="48" t="str">
        <f t="shared" si="7"/>
        <v/>
      </c>
      <c r="H174" s="31" t="str">
        <v/>
      </c>
      <c r="I174" s="31" t="str">
        <f t="shared" si="6"/>
        <v/>
      </c>
    </row>
    <row r="175" spans="2:9" x14ac:dyDescent="0.35">
      <c r="B175" s="49" t="str">
        <v/>
      </c>
      <c r="C175" s="48" t="str">
        <f t="shared" si="7"/>
        <v/>
      </c>
      <c r="H175" s="31" t="str">
        <v/>
      </c>
      <c r="I175" s="31" t="str">
        <f t="shared" si="6"/>
        <v/>
      </c>
    </row>
    <row r="176" spans="2:9" x14ac:dyDescent="0.35">
      <c r="B176" s="49" t="str">
        <v/>
      </c>
      <c r="C176" s="48" t="str">
        <f t="shared" si="7"/>
        <v/>
      </c>
      <c r="H176" s="31" t="str">
        <v/>
      </c>
      <c r="I176" s="31" t="str">
        <f t="shared" si="6"/>
        <v/>
      </c>
    </row>
    <row r="177" spans="2:9" x14ac:dyDescent="0.35">
      <c r="B177" s="49" t="str">
        <v/>
      </c>
      <c r="C177" s="48" t="str">
        <f t="shared" si="7"/>
        <v/>
      </c>
      <c r="H177" s="31" t="str">
        <v/>
      </c>
      <c r="I177" s="31" t="str">
        <f t="shared" si="6"/>
        <v/>
      </c>
    </row>
    <row r="178" spans="2:9" x14ac:dyDescent="0.35">
      <c r="B178" s="49" t="str">
        <v/>
      </c>
      <c r="C178" s="48" t="str">
        <f t="shared" si="7"/>
        <v/>
      </c>
      <c r="H178" s="31" t="str">
        <v/>
      </c>
      <c r="I178" s="31" t="str">
        <f t="shared" si="6"/>
        <v/>
      </c>
    </row>
    <row r="179" spans="2:9" x14ac:dyDescent="0.35">
      <c r="B179" s="49" t="str">
        <v/>
      </c>
      <c r="C179" s="48" t="str">
        <f t="shared" si="7"/>
        <v/>
      </c>
      <c r="H179" s="31" t="str">
        <v/>
      </c>
      <c r="I179" s="31" t="str">
        <f t="shared" si="6"/>
        <v/>
      </c>
    </row>
    <row r="180" spans="2:9" x14ac:dyDescent="0.35">
      <c r="B180" s="49" t="str">
        <v/>
      </c>
      <c r="C180" s="48" t="str">
        <f t="shared" si="7"/>
        <v/>
      </c>
      <c r="H180" s="31" t="str">
        <v/>
      </c>
      <c r="I180" s="31" t="str">
        <f t="shared" si="6"/>
        <v/>
      </c>
    </row>
    <row r="181" spans="2:9" x14ac:dyDescent="0.35">
      <c r="B181" s="49" t="str">
        <v/>
      </c>
      <c r="C181" s="48" t="str">
        <f t="shared" si="7"/>
        <v/>
      </c>
      <c r="H181" s="31" t="str">
        <v/>
      </c>
      <c r="I181" s="31" t="str">
        <f t="shared" si="6"/>
        <v/>
      </c>
    </row>
    <row r="182" spans="2:9" x14ac:dyDescent="0.35">
      <c r="B182" s="49" t="str">
        <v/>
      </c>
      <c r="C182" s="48" t="str">
        <f t="shared" si="7"/>
        <v/>
      </c>
      <c r="H182" s="31" t="str">
        <v/>
      </c>
      <c r="I182" s="31" t="str">
        <f t="shared" si="6"/>
        <v/>
      </c>
    </row>
    <row r="183" spans="2:9" x14ac:dyDescent="0.35">
      <c r="B183" s="49" t="str">
        <v/>
      </c>
      <c r="C183" s="48" t="str">
        <f t="shared" si="7"/>
        <v/>
      </c>
      <c r="H183" s="31" t="str">
        <v/>
      </c>
      <c r="I183" s="31" t="str">
        <f t="shared" si="6"/>
        <v/>
      </c>
    </row>
    <row r="184" spans="2:9" x14ac:dyDescent="0.35">
      <c r="B184" s="49" t="str">
        <v/>
      </c>
      <c r="C184" s="48" t="str">
        <f t="shared" si="7"/>
        <v/>
      </c>
      <c r="H184" s="31" t="str">
        <v/>
      </c>
      <c r="I184" s="31" t="str">
        <f t="shared" si="6"/>
        <v/>
      </c>
    </row>
    <row r="185" spans="2:9" x14ac:dyDescent="0.35">
      <c r="B185" s="49" t="str">
        <v/>
      </c>
      <c r="C185" s="48" t="str">
        <f t="shared" si="7"/>
        <v/>
      </c>
      <c r="H185" s="31" t="str">
        <v/>
      </c>
      <c r="I185" s="31" t="str">
        <f t="shared" si="6"/>
        <v/>
      </c>
    </row>
    <row r="186" spans="2:9" x14ac:dyDescent="0.35">
      <c r="B186" s="49" t="str">
        <v/>
      </c>
      <c r="C186" s="48" t="str">
        <f t="shared" si="7"/>
        <v/>
      </c>
      <c r="H186" s="31" t="str">
        <v/>
      </c>
      <c r="I186" s="31" t="str">
        <f t="shared" si="6"/>
        <v/>
      </c>
    </row>
    <row r="187" spans="2:9" x14ac:dyDescent="0.35">
      <c r="B187" s="49" t="str">
        <v/>
      </c>
      <c r="C187" s="48" t="str">
        <f t="shared" si="7"/>
        <v/>
      </c>
      <c r="H187" s="31" t="str">
        <v/>
      </c>
      <c r="I187" s="31" t="str">
        <f t="shared" si="6"/>
        <v/>
      </c>
    </row>
    <row r="188" spans="2:9" x14ac:dyDescent="0.35">
      <c r="B188" s="49" t="str">
        <v/>
      </c>
      <c r="C188" s="48" t="str">
        <f t="shared" si="7"/>
        <v/>
      </c>
      <c r="H188" s="31" t="str">
        <v/>
      </c>
      <c r="I188" s="31" t="str">
        <f t="shared" si="6"/>
        <v/>
      </c>
    </row>
    <row r="189" spans="2:9" x14ac:dyDescent="0.35">
      <c r="B189" s="49" t="str">
        <v/>
      </c>
      <c r="C189" s="48" t="str">
        <f t="shared" si="7"/>
        <v/>
      </c>
      <c r="H189" s="31" t="str">
        <v/>
      </c>
      <c r="I189" s="31" t="str">
        <f t="shared" si="6"/>
        <v/>
      </c>
    </row>
    <row r="190" spans="2:9" x14ac:dyDescent="0.35">
      <c r="B190" s="49" t="str">
        <v/>
      </c>
      <c r="C190" s="48" t="str">
        <f t="shared" si="7"/>
        <v/>
      </c>
      <c r="H190" s="31" t="str">
        <v/>
      </c>
      <c r="I190" s="31" t="str">
        <f t="shared" si="6"/>
        <v/>
      </c>
    </row>
    <row r="191" spans="2:9" x14ac:dyDescent="0.35">
      <c r="B191" s="49" t="str">
        <v/>
      </c>
      <c r="C191" s="48" t="str">
        <f t="shared" si="7"/>
        <v/>
      </c>
      <c r="H191" s="31" t="str">
        <v/>
      </c>
      <c r="I191" s="31" t="str">
        <f t="shared" si="6"/>
        <v/>
      </c>
    </row>
    <row r="192" spans="2:9" x14ac:dyDescent="0.35">
      <c r="B192" s="49" t="str">
        <v/>
      </c>
      <c r="C192" s="48" t="str">
        <f t="shared" si="7"/>
        <v/>
      </c>
      <c r="H192" s="31" t="str">
        <v/>
      </c>
      <c r="I192" s="31" t="str">
        <f t="shared" si="6"/>
        <v/>
      </c>
    </row>
    <row r="193" spans="2:9" x14ac:dyDescent="0.35">
      <c r="B193" s="49" t="str">
        <v/>
      </c>
      <c r="C193" s="48" t="str">
        <f t="shared" si="7"/>
        <v/>
      </c>
      <c r="H193" s="31" t="str">
        <v/>
      </c>
      <c r="I193" s="31" t="str">
        <f t="shared" si="6"/>
        <v/>
      </c>
    </row>
    <row r="194" spans="2:9" x14ac:dyDescent="0.35">
      <c r="B194" s="49" t="str">
        <v/>
      </c>
      <c r="C194" s="48" t="str">
        <f t="shared" si="7"/>
        <v/>
      </c>
      <c r="H194" s="31" t="str">
        <v/>
      </c>
      <c r="I194" s="31" t="str">
        <f t="shared" si="6"/>
        <v/>
      </c>
    </row>
    <row r="195" spans="2:9" x14ac:dyDescent="0.35">
      <c r="B195" s="49" t="str">
        <v/>
      </c>
      <c r="C195" s="48" t="str">
        <f t="shared" si="7"/>
        <v/>
      </c>
      <c r="H195" s="31" t="str">
        <v/>
      </c>
      <c r="I195" s="31" t="str">
        <f t="shared" si="6"/>
        <v/>
      </c>
    </row>
    <row r="196" spans="2:9" x14ac:dyDescent="0.35">
      <c r="B196" s="49" t="str">
        <v/>
      </c>
      <c r="C196" s="48" t="str">
        <f t="shared" si="7"/>
        <v/>
      </c>
      <c r="H196" s="31" t="str">
        <v/>
      </c>
      <c r="I196" s="31" t="str">
        <f t="shared" ref="I196:I259" si="8">IF(_xlfn.IFNA(VLOOKUP(H196,$B$4:$C$305,2,FALSE),VLOOKUP(H196,$E$4:$F$15,2,FALSE))=0,"",_xlfn.IFNA(VLOOKUP(H196,$B$4:$C$305,2,FALSE),VLOOKUP(H196,$E$4:$F$15,2,FALSE)))</f>
        <v/>
      </c>
    </row>
    <row r="197" spans="2:9" x14ac:dyDescent="0.35">
      <c r="B197" s="49" t="str">
        <v/>
      </c>
      <c r="C197" s="48" t="str">
        <f t="shared" ref="C197:C260" si="9">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B197,"_"," "),"hcc","HCC"),"hcp","HCP"),"osrch","Organic Search"),"disp","Display"),"imp","Impressions"),"clkd","Click"),"dpint","DeepIntent"),"dox","Doximity"),"edh","EveryDayHealth"),"epoc","Epocrates"),"mscap","Medscape"),"del","Delivery"),"eng","Engagement"),"ban","Banner"),"eml","Email"),"alert","Alert"),"fb","Facebook"),"tw","Twitter"),"sfmc","SFMC"),"psrch","Paid Search"),"clk","Click"),"olv","OLV"),"goog","Google"),"msft","Microsoft"),"attend","Attendance"),"field","Field Emails"),"mng","Nexgen"),"una","Un-Assigned"),"fmail","Field Email"),"rdtl dtl","Rep-Detailing"),"rdtl rfm","Rep-Facilitated Meeting"),"mmf","Merck Managed Forum"),"soc","Social"),"edtl","E-Details")</f>
        <v/>
      </c>
      <c r="H197" s="31" t="str">
        <v/>
      </c>
      <c r="I197" s="31" t="str">
        <f t="shared" si="8"/>
        <v/>
      </c>
    </row>
    <row r="198" spans="2:9" x14ac:dyDescent="0.35">
      <c r="B198" s="49" t="str">
        <v/>
      </c>
      <c r="C198" s="48" t="str">
        <f t="shared" si="9"/>
        <v/>
      </c>
      <c r="H198" s="31" t="str">
        <v/>
      </c>
      <c r="I198" s="31" t="str">
        <f t="shared" si="8"/>
        <v/>
      </c>
    </row>
    <row r="199" spans="2:9" x14ac:dyDescent="0.35">
      <c r="B199" s="49" t="str">
        <v/>
      </c>
      <c r="C199" s="48" t="str">
        <f t="shared" si="9"/>
        <v/>
      </c>
      <c r="H199" s="31" t="str">
        <v/>
      </c>
      <c r="I199" s="31" t="str">
        <f t="shared" si="8"/>
        <v/>
      </c>
    </row>
    <row r="200" spans="2:9" x14ac:dyDescent="0.35">
      <c r="B200" s="49" t="str">
        <v/>
      </c>
      <c r="C200" s="48" t="str">
        <f t="shared" si="9"/>
        <v/>
      </c>
      <c r="H200" s="31" t="str">
        <v/>
      </c>
      <c r="I200" s="31" t="str">
        <f t="shared" si="8"/>
        <v/>
      </c>
    </row>
    <row r="201" spans="2:9" x14ac:dyDescent="0.35">
      <c r="B201" s="49" t="str">
        <v/>
      </c>
      <c r="C201" s="48" t="str">
        <f t="shared" si="9"/>
        <v/>
      </c>
      <c r="H201" s="31" t="str">
        <v/>
      </c>
      <c r="I201" s="31" t="str">
        <f t="shared" si="8"/>
        <v/>
      </c>
    </row>
    <row r="202" spans="2:9" x14ac:dyDescent="0.35">
      <c r="B202" s="49" t="str">
        <v/>
      </c>
      <c r="C202" s="48" t="str">
        <f t="shared" si="9"/>
        <v/>
      </c>
      <c r="H202" s="31" t="str">
        <v/>
      </c>
      <c r="I202" s="31" t="str">
        <f t="shared" si="8"/>
        <v/>
      </c>
    </row>
    <row r="203" spans="2:9" x14ac:dyDescent="0.35">
      <c r="B203" s="49" t="str">
        <v/>
      </c>
      <c r="C203" s="48" t="str">
        <f t="shared" si="9"/>
        <v/>
      </c>
      <c r="H203" s="31" t="str">
        <v/>
      </c>
      <c r="I203" s="31" t="str">
        <f t="shared" si="8"/>
        <v/>
      </c>
    </row>
    <row r="204" spans="2:9" x14ac:dyDescent="0.35">
      <c r="B204" s="49" t="str">
        <v/>
      </c>
      <c r="C204" s="48" t="str">
        <f t="shared" si="9"/>
        <v/>
      </c>
      <c r="H204" s="31" t="str">
        <v/>
      </c>
      <c r="I204" s="31" t="str">
        <f t="shared" si="8"/>
        <v/>
      </c>
    </row>
    <row r="205" spans="2:9" x14ac:dyDescent="0.35">
      <c r="B205" s="49" t="str">
        <v/>
      </c>
      <c r="C205" s="48" t="str">
        <f t="shared" si="9"/>
        <v/>
      </c>
      <c r="H205" s="31" t="str">
        <v/>
      </c>
      <c r="I205" s="31" t="str">
        <f t="shared" si="8"/>
        <v/>
      </c>
    </row>
    <row r="206" spans="2:9" x14ac:dyDescent="0.35">
      <c r="B206" s="49" t="str">
        <v/>
      </c>
      <c r="C206" s="48" t="str">
        <f t="shared" si="9"/>
        <v/>
      </c>
      <c r="H206" s="31" t="str">
        <v/>
      </c>
      <c r="I206" s="31" t="str">
        <f t="shared" si="8"/>
        <v/>
      </c>
    </row>
    <row r="207" spans="2:9" x14ac:dyDescent="0.35">
      <c r="B207" s="49" t="str">
        <v/>
      </c>
      <c r="C207" s="48" t="str">
        <f t="shared" si="9"/>
        <v/>
      </c>
      <c r="H207" s="31" t="str">
        <v/>
      </c>
      <c r="I207" s="31" t="str">
        <f t="shared" si="8"/>
        <v/>
      </c>
    </row>
    <row r="208" spans="2:9" x14ac:dyDescent="0.35">
      <c r="B208" s="49" t="str">
        <v/>
      </c>
      <c r="C208" s="48" t="str">
        <f t="shared" si="9"/>
        <v/>
      </c>
      <c r="H208" s="31" t="str">
        <v/>
      </c>
      <c r="I208" s="31" t="str">
        <f t="shared" si="8"/>
        <v/>
      </c>
    </row>
    <row r="209" spans="2:9" x14ac:dyDescent="0.35">
      <c r="B209" s="49" t="str">
        <v/>
      </c>
      <c r="C209" s="48" t="str">
        <f t="shared" si="9"/>
        <v/>
      </c>
      <c r="H209" s="31" t="str">
        <v/>
      </c>
      <c r="I209" s="31" t="str">
        <f t="shared" si="8"/>
        <v/>
      </c>
    </row>
    <row r="210" spans="2:9" x14ac:dyDescent="0.35">
      <c r="B210" s="49" t="str">
        <v/>
      </c>
      <c r="C210" s="48" t="str">
        <f t="shared" si="9"/>
        <v/>
      </c>
      <c r="H210" s="31" t="str">
        <v/>
      </c>
      <c r="I210" s="31" t="str">
        <f t="shared" si="8"/>
        <v/>
      </c>
    </row>
    <row r="211" spans="2:9" x14ac:dyDescent="0.35">
      <c r="B211" s="49" t="str">
        <v/>
      </c>
      <c r="C211" s="48" t="str">
        <f t="shared" si="9"/>
        <v/>
      </c>
      <c r="H211" s="31" t="str">
        <v/>
      </c>
      <c r="I211" s="31" t="str">
        <f t="shared" si="8"/>
        <v/>
      </c>
    </row>
    <row r="212" spans="2:9" x14ac:dyDescent="0.35">
      <c r="B212" s="49" t="str">
        <v/>
      </c>
      <c r="C212" s="48" t="str">
        <f t="shared" si="9"/>
        <v/>
      </c>
      <c r="H212" s="31" t="str">
        <v/>
      </c>
      <c r="I212" s="31" t="str">
        <f t="shared" si="8"/>
        <v/>
      </c>
    </row>
    <row r="213" spans="2:9" x14ac:dyDescent="0.35">
      <c r="B213" s="49" t="str">
        <v/>
      </c>
      <c r="C213" s="48" t="str">
        <f t="shared" si="9"/>
        <v/>
      </c>
      <c r="H213" s="31" t="str">
        <v/>
      </c>
      <c r="I213" s="31" t="str">
        <f t="shared" si="8"/>
        <v/>
      </c>
    </row>
    <row r="214" spans="2:9" x14ac:dyDescent="0.35">
      <c r="B214" s="49" t="str">
        <v/>
      </c>
      <c r="C214" s="48" t="str">
        <f t="shared" si="9"/>
        <v/>
      </c>
      <c r="H214" s="31" t="str">
        <v/>
      </c>
      <c r="I214" s="31" t="str">
        <f t="shared" si="8"/>
        <v/>
      </c>
    </row>
    <row r="215" spans="2:9" x14ac:dyDescent="0.35">
      <c r="B215" s="49" t="str">
        <v/>
      </c>
      <c r="C215" s="48" t="str">
        <f t="shared" si="9"/>
        <v/>
      </c>
      <c r="H215" s="31" t="str">
        <v/>
      </c>
      <c r="I215" s="31" t="str">
        <f t="shared" si="8"/>
        <v/>
      </c>
    </row>
    <row r="216" spans="2:9" x14ac:dyDescent="0.35">
      <c r="B216" s="49" t="str">
        <v/>
      </c>
      <c r="C216" s="48" t="str">
        <f t="shared" si="9"/>
        <v/>
      </c>
      <c r="H216" s="31" t="str">
        <v/>
      </c>
      <c r="I216" s="31" t="str">
        <f t="shared" si="8"/>
        <v/>
      </c>
    </row>
    <row r="217" spans="2:9" x14ac:dyDescent="0.35">
      <c r="B217" s="49" t="str">
        <v/>
      </c>
      <c r="C217" s="48" t="str">
        <f t="shared" si="9"/>
        <v/>
      </c>
      <c r="H217" s="31" t="str">
        <v/>
      </c>
      <c r="I217" s="31" t="str">
        <f t="shared" si="8"/>
        <v/>
      </c>
    </row>
    <row r="218" spans="2:9" x14ac:dyDescent="0.35">
      <c r="B218" s="49" t="str">
        <v/>
      </c>
      <c r="C218" s="48" t="str">
        <f t="shared" si="9"/>
        <v/>
      </c>
      <c r="H218" s="31" t="str">
        <v/>
      </c>
      <c r="I218" s="31" t="str">
        <f t="shared" si="8"/>
        <v/>
      </c>
    </row>
    <row r="219" spans="2:9" x14ac:dyDescent="0.35">
      <c r="B219" s="49" t="str">
        <v/>
      </c>
      <c r="C219" s="48" t="str">
        <f t="shared" si="9"/>
        <v/>
      </c>
      <c r="H219" s="31" t="str">
        <v/>
      </c>
      <c r="I219" s="31" t="str">
        <f t="shared" si="8"/>
        <v/>
      </c>
    </row>
    <row r="220" spans="2:9" x14ac:dyDescent="0.35">
      <c r="B220" s="49" t="str">
        <v/>
      </c>
      <c r="C220" s="48" t="str">
        <f t="shared" si="9"/>
        <v/>
      </c>
      <c r="H220" s="31" t="str">
        <v/>
      </c>
      <c r="I220" s="31" t="str">
        <f t="shared" si="8"/>
        <v/>
      </c>
    </row>
    <row r="221" spans="2:9" x14ac:dyDescent="0.35">
      <c r="B221" s="49" t="str">
        <v/>
      </c>
      <c r="C221" s="48" t="str">
        <f t="shared" si="9"/>
        <v/>
      </c>
      <c r="H221" s="31" t="str">
        <v/>
      </c>
      <c r="I221" s="31" t="str">
        <f t="shared" si="8"/>
        <v/>
      </c>
    </row>
    <row r="222" spans="2:9" x14ac:dyDescent="0.35">
      <c r="B222" s="49" t="str">
        <v/>
      </c>
      <c r="C222" s="48" t="str">
        <f t="shared" si="9"/>
        <v/>
      </c>
      <c r="H222" s="31" t="str">
        <v/>
      </c>
      <c r="I222" s="31" t="str">
        <f t="shared" si="8"/>
        <v/>
      </c>
    </row>
    <row r="223" spans="2:9" x14ac:dyDescent="0.35">
      <c r="B223" s="49" t="str">
        <v/>
      </c>
      <c r="C223" s="48" t="str">
        <f t="shared" si="9"/>
        <v/>
      </c>
      <c r="H223" s="31" t="str">
        <v/>
      </c>
      <c r="I223" s="31" t="str">
        <f t="shared" si="8"/>
        <v/>
      </c>
    </row>
    <row r="224" spans="2:9" x14ac:dyDescent="0.35">
      <c r="B224" s="49" t="str">
        <v/>
      </c>
      <c r="C224" s="48" t="str">
        <f t="shared" si="9"/>
        <v/>
      </c>
      <c r="H224" s="31" t="str">
        <v/>
      </c>
      <c r="I224" s="31" t="str">
        <f t="shared" si="8"/>
        <v/>
      </c>
    </row>
    <row r="225" spans="2:9" x14ac:dyDescent="0.35">
      <c r="B225" s="49" t="str">
        <v/>
      </c>
      <c r="C225" s="48" t="str">
        <f t="shared" si="9"/>
        <v/>
      </c>
      <c r="H225" s="31" t="str">
        <v/>
      </c>
      <c r="I225" s="31" t="str">
        <f t="shared" si="8"/>
        <v/>
      </c>
    </row>
    <row r="226" spans="2:9" x14ac:dyDescent="0.35">
      <c r="B226" s="49" t="str">
        <v/>
      </c>
      <c r="C226" s="48" t="str">
        <f t="shared" si="9"/>
        <v/>
      </c>
      <c r="H226" s="31" t="str">
        <v/>
      </c>
      <c r="I226" s="31" t="str">
        <f t="shared" si="8"/>
        <v/>
      </c>
    </row>
    <row r="227" spans="2:9" x14ac:dyDescent="0.35">
      <c r="B227" s="49" t="str">
        <v/>
      </c>
      <c r="C227" s="48" t="str">
        <f t="shared" si="9"/>
        <v/>
      </c>
      <c r="H227" s="31" t="str">
        <v/>
      </c>
      <c r="I227" s="31" t="str">
        <f t="shared" si="8"/>
        <v/>
      </c>
    </row>
    <row r="228" spans="2:9" x14ac:dyDescent="0.35">
      <c r="B228" s="49" t="str">
        <v/>
      </c>
      <c r="C228" s="48" t="str">
        <f t="shared" si="9"/>
        <v/>
      </c>
      <c r="H228" s="31" t="str">
        <v/>
      </c>
      <c r="I228" s="31" t="str">
        <f t="shared" si="8"/>
        <v/>
      </c>
    </row>
    <row r="229" spans="2:9" x14ac:dyDescent="0.35">
      <c r="B229" s="49" t="str">
        <v/>
      </c>
      <c r="C229" s="48" t="str">
        <f t="shared" si="9"/>
        <v/>
      </c>
      <c r="H229" s="31" t="str">
        <v/>
      </c>
      <c r="I229" s="31" t="str">
        <f t="shared" si="8"/>
        <v/>
      </c>
    </row>
    <row r="230" spans="2:9" x14ac:dyDescent="0.35">
      <c r="B230" s="49" t="str">
        <v/>
      </c>
      <c r="C230" s="48" t="str">
        <f t="shared" si="9"/>
        <v/>
      </c>
      <c r="H230" s="31" t="str">
        <v/>
      </c>
      <c r="I230" s="31" t="str">
        <f t="shared" si="8"/>
        <v/>
      </c>
    </row>
    <row r="231" spans="2:9" x14ac:dyDescent="0.35">
      <c r="B231" s="49" t="str">
        <v/>
      </c>
      <c r="C231" s="48" t="str">
        <f t="shared" si="9"/>
        <v/>
      </c>
      <c r="H231" s="31" t="str">
        <v/>
      </c>
      <c r="I231" s="31" t="str">
        <f t="shared" si="8"/>
        <v/>
      </c>
    </row>
    <row r="232" spans="2:9" x14ac:dyDescent="0.35">
      <c r="B232" s="49" t="str">
        <v/>
      </c>
      <c r="C232" s="48" t="str">
        <f t="shared" si="9"/>
        <v/>
      </c>
      <c r="H232" s="31" t="str">
        <v/>
      </c>
      <c r="I232" s="31" t="str">
        <f t="shared" si="8"/>
        <v/>
      </c>
    </row>
    <row r="233" spans="2:9" x14ac:dyDescent="0.35">
      <c r="B233" s="49" t="str">
        <v/>
      </c>
      <c r="C233" s="48" t="str">
        <f t="shared" si="9"/>
        <v/>
      </c>
      <c r="H233" s="31" t="str">
        <v/>
      </c>
      <c r="I233" s="31" t="str">
        <f t="shared" si="8"/>
        <v/>
      </c>
    </row>
    <row r="234" spans="2:9" x14ac:dyDescent="0.35">
      <c r="B234" s="49" t="str">
        <v/>
      </c>
      <c r="C234" s="48" t="str">
        <f t="shared" si="9"/>
        <v/>
      </c>
      <c r="H234" s="31" t="str">
        <v/>
      </c>
      <c r="I234" s="31" t="str">
        <f t="shared" si="8"/>
        <v/>
      </c>
    </row>
    <row r="235" spans="2:9" x14ac:dyDescent="0.35">
      <c r="B235" s="49" t="str">
        <v/>
      </c>
      <c r="C235" s="48" t="str">
        <f t="shared" si="9"/>
        <v/>
      </c>
      <c r="H235" s="31" t="str">
        <v/>
      </c>
      <c r="I235" s="31" t="str">
        <f t="shared" si="8"/>
        <v/>
      </c>
    </row>
    <row r="236" spans="2:9" x14ac:dyDescent="0.35">
      <c r="B236" s="49" t="str">
        <v/>
      </c>
      <c r="C236" s="48" t="str">
        <f t="shared" si="9"/>
        <v/>
      </c>
      <c r="H236" s="31" t="str">
        <v/>
      </c>
      <c r="I236" s="31" t="str">
        <f t="shared" si="8"/>
        <v/>
      </c>
    </row>
    <row r="237" spans="2:9" x14ac:dyDescent="0.35">
      <c r="B237" s="49" t="str">
        <v/>
      </c>
      <c r="C237" s="48" t="str">
        <f t="shared" si="9"/>
        <v/>
      </c>
      <c r="H237" s="31" t="str">
        <v/>
      </c>
      <c r="I237" s="31" t="str">
        <f t="shared" si="8"/>
        <v/>
      </c>
    </row>
    <row r="238" spans="2:9" x14ac:dyDescent="0.35">
      <c r="B238" s="49" t="str">
        <v/>
      </c>
      <c r="C238" s="48" t="str">
        <f t="shared" si="9"/>
        <v/>
      </c>
      <c r="H238" s="31" t="str">
        <v/>
      </c>
      <c r="I238" s="31" t="str">
        <f t="shared" si="8"/>
        <v/>
      </c>
    </row>
    <row r="239" spans="2:9" x14ac:dyDescent="0.35">
      <c r="B239" s="49" t="str">
        <v/>
      </c>
      <c r="C239" s="48" t="str">
        <f t="shared" si="9"/>
        <v/>
      </c>
      <c r="H239" s="31" t="str">
        <v/>
      </c>
      <c r="I239" s="31" t="str">
        <f t="shared" si="8"/>
        <v/>
      </c>
    </row>
    <row r="240" spans="2:9" x14ac:dyDescent="0.35">
      <c r="B240" s="49" t="str">
        <v/>
      </c>
      <c r="C240" s="48" t="str">
        <f t="shared" si="9"/>
        <v/>
      </c>
      <c r="H240" s="31" t="str">
        <v/>
      </c>
      <c r="I240" s="31" t="str">
        <f t="shared" si="8"/>
        <v/>
      </c>
    </row>
    <row r="241" spans="2:9" x14ac:dyDescent="0.35">
      <c r="B241" s="49" t="str">
        <v/>
      </c>
      <c r="C241" s="48" t="str">
        <f t="shared" si="9"/>
        <v/>
      </c>
      <c r="H241" s="31" t="str">
        <v/>
      </c>
      <c r="I241" s="31" t="str">
        <f t="shared" si="8"/>
        <v/>
      </c>
    </row>
    <row r="242" spans="2:9" x14ac:dyDescent="0.35">
      <c r="B242" s="49" t="str">
        <v/>
      </c>
      <c r="C242" s="48" t="str">
        <f t="shared" si="9"/>
        <v/>
      </c>
      <c r="H242" s="31" t="str">
        <v/>
      </c>
      <c r="I242" s="31" t="str">
        <f t="shared" si="8"/>
        <v/>
      </c>
    </row>
    <row r="243" spans="2:9" x14ac:dyDescent="0.35">
      <c r="B243" s="49" t="str">
        <v/>
      </c>
      <c r="C243" s="48" t="str">
        <f t="shared" si="9"/>
        <v/>
      </c>
      <c r="H243" s="31" t="str">
        <v/>
      </c>
      <c r="I243" s="31" t="str">
        <f t="shared" si="8"/>
        <v/>
      </c>
    </row>
    <row r="244" spans="2:9" x14ac:dyDescent="0.35">
      <c r="B244" s="49" t="str">
        <v/>
      </c>
      <c r="C244" s="48" t="str">
        <f t="shared" si="9"/>
        <v/>
      </c>
      <c r="H244" s="31" t="str">
        <v/>
      </c>
      <c r="I244" s="31" t="str">
        <f t="shared" si="8"/>
        <v/>
      </c>
    </row>
    <row r="245" spans="2:9" x14ac:dyDescent="0.35">
      <c r="B245" s="49" t="str">
        <v/>
      </c>
      <c r="C245" s="48" t="str">
        <f t="shared" si="9"/>
        <v/>
      </c>
      <c r="H245" s="31" t="str">
        <v/>
      </c>
      <c r="I245" s="31" t="str">
        <f t="shared" si="8"/>
        <v/>
      </c>
    </row>
    <row r="246" spans="2:9" x14ac:dyDescent="0.35">
      <c r="B246" s="49" t="str">
        <v/>
      </c>
      <c r="C246" s="48" t="str">
        <f t="shared" si="9"/>
        <v/>
      </c>
      <c r="H246" s="31" t="str">
        <v/>
      </c>
      <c r="I246" s="31" t="str">
        <f t="shared" si="8"/>
        <v/>
      </c>
    </row>
    <row r="247" spans="2:9" x14ac:dyDescent="0.35">
      <c r="B247" s="49" t="str">
        <v/>
      </c>
      <c r="C247" s="48" t="str">
        <f t="shared" si="9"/>
        <v/>
      </c>
      <c r="H247" s="31" t="str">
        <v/>
      </c>
      <c r="I247" s="31" t="str">
        <f t="shared" si="8"/>
        <v/>
      </c>
    </row>
    <row r="248" spans="2:9" x14ac:dyDescent="0.35">
      <c r="B248" s="49" t="str">
        <v/>
      </c>
      <c r="C248" s="48" t="str">
        <f t="shared" si="9"/>
        <v/>
      </c>
      <c r="H248" s="31" t="str">
        <v/>
      </c>
      <c r="I248" s="31" t="str">
        <f t="shared" si="8"/>
        <v/>
      </c>
    </row>
    <row r="249" spans="2:9" x14ac:dyDescent="0.35">
      <c r="B249" s="49" t="str">
        <v/>
      </c>
      <c r="C249" s="48" t="str">
        <f t="shared" si="9"/>
        <v/>
      </c>
      <c r="H249" s="31" t="str">
        <v/>
      </c>
      <c r="I249" s="31" t="str">
        <f t="shared" si="8"/>
        <v/>
      </c>
    </row>
    <row r="250" spans="2:9" x14ac:dyDescent="0.35">
      <c r="B250" s="49" t="str">
        <v/>
      </c>
      <c r="C250" s="48" t="str">
        <f t="shared" si="9"/>
        <v/>
      </c>
      <c r="H250" s="31" t="str">
        <v/>
      </c>
      <c r="I250" s="31" t="str">
        <f t="shared" si="8"/>
        <v/>
      </c>
    </row>
    <row r="251" spans="2:9" x14ac:dyDescent="0.35">
      <c r="B251" s="49" t="str">
        <v/>
      </c>
      <c r="C251" s="48" t="str">
        <f t="shared" si="9"/>
        <v/>
      </c>
      <c r="H251" s="31" t="str">
        <v/>
      </c>
      <c r="I251" s="31" t="str">
        <f t="shared" si="8"/>
        <v/>
      </c>
    </row>
    <row r="252" spans="2:9" x14ac:dyDescent="0.35">
      <c r="B252" s="49" t="str">
        <v/>
      </c>
      <c r="C252" s="48" t="str">
        <f t="shared" si="9"/>
        <v/>
      </c>
      <c r="H252" s="31" t="str">
        <v/>
      </c>
      <c r="I252" s="31" t="str">
        <f t="shared" si="8"/>
        <v/>
      </c>
    </row>
    <row r="253" spans="2:9" x14ac:dyDescent="0.35">
      <c r="B253" s="49" t="str">
        <v/>
      </c>
      <c r="C253" s="48" t="str">
        <f t="shared" si="9"/>
        <v/>
      </c>
      <c r="H253" s="31" t="str">
        <v/>
      </c>
      <c r="I253" s="31" t="str">
        <f t="shared" si="8"/>
        <v/>
      </c>
    </row>
    <row r="254" spans="2:9" x14ac:dyDescent="0.35">
      <c r="B254" s="49" t="str">
        <v/>
      </c>
      <c r="C254" s="48" t="str">
        <f t="shared" si="9"/>
        <v/>
      </c>
      <c r="H254" s="31" t="str">
        <v/>
      </c>
      <c r="I254" s="31" t="str">
        <f t="shared" si="8"/>
        <v/>
      </c>
    </row>
    <row r="255" spans="2:9" x14ac:dyDescent="0.35">
      <c r="B255" s="49" t="str">
        <v/>
      </c>
      <c r="C255" s="48" t="str">
        <f t="shared" si="9"/>
        <v/>
      </c>
      <c r="H255" s="31" t="str">
        <v/>
      </c>
      <c r="I255" s="31" t="str">
        <f t="shared" si="8"/>
        <v/>
      </c>
    </row>
    <row r="256" spans="2:9" x14ac:dyDescent="0.35">
      <c r="B256" s="49" t="str">
        <v/>
      </c>
      <c r="C256" s="48" t="str">
        <f t="shared" si="9"/>
        <v/>
      </c>
      <c r="H256" s="31" t="str">
        <v/>
      </c>
      <c r="I256" s="31" t="str">
        <f t="shared" si="8"/>
        <v/>
      </c>
    </row>
    <row r="257" spans="2:9" x14ac:dyDescent="0.35">
      <c r="B257" s="49" t="str">
        <v/>
      </c>
      <c r="C257" s="48" t="str">
        <f t="shared" si="9"/>
        <v/>
      </c>
      <c r="H257" s="31" t="str">
        <v/>
      </c>
      <c r="I257" s="31" t="str">
        <f t="shared" si="8"/>
        <v/>
      </c>
    </row>
    <row r="258" spans="2:9" x14ac:dyDescent="0.35">
      <c r="B258" s="49" t="str">
        <v/>
      </c>
      <c r="C258" s="48" t="str">
        <f t="shared" si="9"/>
        <v/>
      </c>
      <c r="H258" s="31" t="str">
        <v/>
      </c>
      <c r="I258" s="31" t="str">
        <f t="shared" si="8"/>
        <v/>
      </c>
    </row>
    <row r="259" spans="2:9" x14ac:dyDescent="0.35">
      <c r="B259" s="49" t="str">
        <v/>
      </c>
      <c r="C259" s="48" t="str">
        <f t="shared" si="9"/>
        <v/>
      </c>
      <c r="H259" s="31" t="str">
        <v/>
      </c>
      <c r="I259" s="31" t="str">
        <f t="shared" si="8"/>
        <v/>
      </c>
    </row>
    <row r="260" spans="2:9" x14ac:dyDescent="0.35">
      <c r="B260" s="49" t="str">
        <v/>
      </c>
      <c r="C260" s="48" t="str">
        <f t="shared" si="9"/>
        <v/>
      </c>
      <c r="H260" s="31" t="str">
        <v/>
      </c>
      <c r="I260" s="31" t="str">
        <f t="shared" ref="I260:I312" si="10">IF(_xlfn.IFNA(VLOOKUP(H260,$B$4:$C$305,2,FALSE),VLOOKUP(H260,$E$4:$F$15,2,FALSE))=0,"",_xlfn.IFNA(VLOOKUP(H260,$B$4:$C$305,2,FALSE),VLOOKUP(H260,$E$4:$F$15,2,FALSE)))</f>
        <v/>
      </c>
    </row>
    <row r="261" spans="2:9" x14ac:dyDescent="0.35">
      <c r="B261" s="49" t="str">
        <v/>
      </c>
      <c r="C261" s="48" t="str">
        <f t="shared" ref="C261:C305" si="11">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B261,"_"," "),"hcc","HCC"),"hcp","HCP"),"osrch","Organic Search"),"disp","Display"),"imp","Impressions"),"clkd","Click"),"dpint","DeepIntent"),"dox","Doximity"),"edh","EveryDayHealth"),"epoc","Epocrates"),"mscap","Medscape"),"del","Delivery"),"eng","Engagement"),"ban","Banner"),"eml","Email"),"alert","Alert"),"fb","Facebook"),"tw","Twitter"),"sfmc","SFMC"),"psrch","Paid Search"),"clk","Click"),"olv","OLV"),"goog","Google"),"msft","Microsoft"),"attend","Attendance"),"field","Field Emails"),"mng","Nexgen"),"una","Un-Assigned"),"fmail","Field Email"),"rdtl dtl","Rep-Detailing"),"rdtl rfm","Rep-Facilitated Meeting"),"mmf","Merck Managed Forum"),"soc","Social"),"edtl","E-Details")</f>
        <v/>
      </c>
      <c r="H261" s="31" t="str">
        <v/>
      </c>
      <c r="I261" s="31" t="str">
        <f t="shared" si="10"/>
        <v/>
      </c>
    </row>
    <row r="262" spans="2:9" x14ac:dyDescent="0.35">
      <c r="B262" s="49" t="str">
        <v/>
      </c>
      <c r="C262" s="48" t="str">
        <f t="shared" si="11"/>
        <v/>
      </c>
      <c r="H262" s="31" t="str">
        <v/>
      </c>
      <c r="I262" s="31" t="str">
        <f t="shared" si="10"/>
        <v/>
      </c>
    </row>
    <row r="263" spans="2:9" x14ac:dyDescent="0.35">
      <c r="B263" s="49" t="str">
        <v/>
      </c>
      <c r="C263" s="48" t="str">
        <f t="shared" si="11"/>
        <v/>
      </c>
      <c r="H263" s="31" t="str">
        <v/>
      </c>
      <c r="I263" s="31" t="str">
        <f t="shared" si="10"/>
        <v/>
      </c>
    </row>
    <row r="264" spans="2:9" x14ac:dyDescent="0.35">
      <c r="B264" s="49" t="str">
        <v/>
      </c>
      <c r="C264" s="48" t="str">
        <f t="shared" si="11"/>
        <v/>
      </c>
      <c r="H264" s="31" t="str">
        <v/>
      </c>
      <c r="I264" s="31" t="str">
        <f t="shared" si="10"/>
        <v/>
      </c>
    </row>
    <row r="265" spans="2:9" x14ac:dyDescent="0.35">
      <c r="B265" s="49" t="str">
        <v/>
      </c>
      <c r="C265" s="48" t="str">
        <f t="shared" si="11"/>
        <v/>
      </c>
      <c r="H265" s="31" t="str">
        <v/>
      </c>
      <c r="I265" s="31" t="str">
        <f t="shared" si="10"/>
        <v/>
      </c>
    </row>
    <row r="266" spans="2:9" x14ac:dyDescent="0.35">
      <c r="B266" s="49" t="str">
        <v/>
      </c>
      <c r="C266" s="48" t="str">
        <f t="shared" si="11"/>
        <v/>
      </c>
      <c r="H266" s="31" t="str">
        <v/>
      </c>
      <c r="I266" s="31" t="str">
        <f t="shared" si="10"/>
        <v/>
      </c>
    </row>
    <row r="267" spans="2:9" x14ac:dyDescent="0.35">
      <c r="B267" s="49" t="str">
        <v/>
      </c>
      <c r="C267" s="48" t="str">
        <f t="shared" si="11"/>
        <v/>
      </c>
      <c r="H267" s="31" t="str">
        <v/>
      </c>
      <c r="I267" s="31" t="str">
        <f t="shared" si="10"/>
        <v/>
      </c>
    </row>
    <row r="268" spans="2:9" x14ac:dyDescent="0.35">
      <c r="B268" s="49" t="str">
        <v/>
      </c>
      <c r="C268" s="48" t="str">
        <f t="shared" si="11"/>
        <v/>
      </c>
      <c r="H268" s="31" t="str">
        <v/>
      </c>
      <c r="I268" s="31" t="str">
        <f t="shared" si="10"/>
        <v/>
      </c>
    </row>
    <row r="269" spans="2:9" x14ac:dyDescent="0.35">
      <c r="B269" s="49" t="str">
        <v/>
      </c>
      <c r="C269" s="48" t="str">
        <f t="shared" si="11"/>
        <v/>
      </c>
      <c r="H269" s="31" t="str">
        <v/>
      </c>
      <c r="I269" s="31" t="str">
        <f t="shared" si="10"/>
        <v/>
      </c>
    </row>
    <row r="270" spans="2:9" x14ac:dyDescent="0.35">
      <c r="B270" s="49" t="str">
        <v/>
      </c>
      <c r="C270" s="48" t="str">
        <f t="shared" si="11"/>
        <v/>
      </c>
      <c r="H270" s="31" t="str">
        <v/>
      </c>
      <c r="I270" s="31" t="str">
        <f t="shared" si="10"/>
        <v/>
      </c>
    </row>
    <row r="271" spans="2:9" x14ac:dyDescent="0.35">
      <c r="B271" s="49" t="str">
        <v/>
      </c>
      <c r="C271" s="48" t="str">
        <f t="shared" si="11"/>
        <v/>
      </c>
      <c r="H271" s="31" t="str">
        <v/>
      </c>
      <c r="I271" s="31" t="str">
        <f t="shared" si="10"/>
        <v/>
      </c>
    </row>
    <row r="272" spans="2:9" x14ac:dyDescent="0.35">
      <c r="B272" s="49" t="str">
        <v/>
      </c>
      <c r="C272" s="48" t="str">
        <f t="shared" si="11"/>
        <v/>
      </c>
      <c r="H272" s="31" t="str">
        <v/>
      </c>
      <c r="I272" s="31" t="str">
        <f t="shared" si="10"/>
        <v/>
      </c>
    </row>
    <row r="273" spans="2:9" x14ac:dyDescent="0.35">
      <c r="B273" s="49" t="str">
        <v/>
      </c>
      <c r="C273" s="48" t="str">
        <f t="shared" si="11"/>
        <v/>
      </c>
      <c r="H273" s="31" t="str">
        <v/>
      </c>
      <c r="I273" s="31" t="str">
        <f t="shared" si="10"/>
        <v/>
      </c>
    </row>
    <row r="274" spans="2:9" x14ac:dyDescent="0.35">
      <c r="B274" s="49" t="str">
        <v/>
      </c>
      <c r="C274" s="48" t="str">
        <f t="shared" si="11"/>
        <v/>
      </c>
      <c r="H274" s="31" t="str">
        <v/>
      </c>
      <c r="I274" s="31" t="str">
        <f t="shared" si="10"/>
        <v/>
      </c>
    </row>
    <row r="275" spans="2:9" x14ac:dyDescent="0.35">
      <c r="B275" s="49" t="str">
        <v/>
      </c>
      <c r="C275" s="48" t="str">
        <f t="shared" si="11"/>
        <v/>
      </c>
      <c r="H275" s="31" t="str">
        <v/>
      </c>
      <c r="I275" s="31" t="str">
        <f t="shared" si="10"/>
        <v/>
      </c>
    </row>
    <row r="276" spans="2:9" x14ac:dyDescent="0.35">
      <c r="B276" s="49" t="str">
        <v/>
      </c>
      <c r="C276" s="48" t="str">
        <f t="shared" si="11"/>
        <v/>
      </c>
      <c r="H276" s="31" t="str">
        <v/>
      </c>
      <c r="I276" s="31" t="str">
        <f t="shared" si="10"/>
        <v/>
      </c>
    </row>
    <row r="277" spans="2:9" x14ac:dyDescent="0.35">
      <c r="B277" s="49" t="str">
        <v/>
      </c>
      <c r="C277" s="48" t="str">
        <f t="shared" si="11"/>
        <v/>
      </c>
      <c r="H277" s="31" t="str">
        <v/>
      </c>
      <c r="I277" s="31" t="str">
        <f t="shared" si="10"/>
        <v/>
      </c>
    </row>
    <row r="278" spans="2:9" x14ac:dyDescent="0.35">
      <c r="B278" s="49" t="str">
        <v/>
      </c>
      <c r="C278" s="48" t="str">
        <f t="shared" si="11"/>
        <v/>
      </c>
      <c r="H278" s="31" t="str">
        <v/>
      </c>
      <c r="I278" s="31" t="str">
        <f t="shared" si="10"/>
        <v/>
      </c>
    </row>
    <row r="279" spans="2:9" x14ac:dyDescent="0.35">
      <c r="B279" s="49" t="str">
        <v/>
      </c>
      <c r="C279" s="48" t="str">
        <f t="shared" si="11"/>
        <v/>
      </c>
      <c r="H279" s="31" t="str">
        <v/>
      </c>
      <c r="I279" s="31" t="str">
        <f t="shared" si="10"/>
        <v/>
      </c>
    </row>
    <row r="280" spans="2:9" x14ac:dyDescent="0.35">
      <c r="B280" s="49" t="str">
        <v/>
      </c>
      <c r="C280" s="48" t="str">
        <f t="shared" si="11"/>
        <v/>
      </c>
      <c r="H280" s="31" t="str">
        <v/>
      </c>
      <c r="I280" s="31" t="str">
        <f t="shared" si="10"/>
        <v/>
      </c>
    </row>
    <row r="281" spans="2:9" x14ac:dyDescent="0.35">
      <c r="B281" s="49" t="str">
        <v/>
      </c>
      <c r="C281" s="48" t="str">
        <f t="shared" si="11"/>
        <v/>
      </c>
      <c r="H281" s="31" t="str">
        <v/>
      </c>
      <c r="I281" s="31" t="str">
        <f t="shared" si="10"/>
        <v/>
      </c>
    </row>
    <row r="282" spans="2:9" x14ac:dyDescent="0.35">
      <c r="B282" s="49" t="str">
        <v/>
      </c>
      <c r="C282" s="48" t="str">
        <f t="shared" si="11"/>
        <v/>
      </c>
      <c r="H282" s="31" t="str">
        <v/>
      </c>
      <c r="I282" s="31" t="str">
        <f t="shared" si="10"/>
        <v/>
      </c>
    </row>
    <row r="283" spans="2:9" x14ac:dyDescent="0.35">
      <c r="B283" s="49" t="str">
        <v/>
      </c>
      <c r="C283" s="48" t="str">
        <f t="shared" si="11"/>
        <v/>
      </c>
      <c r="H283" s="31" t="str">
        <v/>
      </c>
      <c r="I283" s="31" t="str">
        <f t="shared" si="10"/>
        <v/>
      </c>
    </row>
    <row r="284" spans="2:9" x14ac:dyDescent="0.35">
      <c r="B284" s="49" t="str">
        <v/>
      </c>
      <c r="C284" s="48" t="str">
        <f t="shared" si="11"/>
        <v/>
      </c>
      <c r="H284" s="31" t="str">
        <v/>
      </c>
      <c r="I284" s="31" t="str">
        <f t="shared" si="10"/>
        <v/>
      </c>
    </row>
    <row r="285" spans="2:9" x14ac:dyDescent="0.35">
      <c r="B285" s="49" t="str">
        <v/>
      </c>
      <c r="C285" s="48" t="str">
        <f t="shared" si="11"/>
        <v/>
      </c>
      <c r="H285" s="31" t="str">
        <v/>
      </c>
      <c r="I285" s="31" t="str">
        <f t="shared" si="10"/>
        <v/>
      </c>
    </row>
    <row r="286" spans="2:9" x14ac:dyDescent="0.35">
      <c r="B286" s="49" t="str">
        <v/>
      </c>
      <c r="C286" s="48" t="str">
        <f t="shared" si="11"/>
        <v/>
      </c>
      <c r="H286" s="31" t="str">
        <v/>
      </c>
      <c r="I286" s="31" t="str">
        <f t="shared" si="10"/>
        <v/>
      </c>
    </row>
    <row r="287" spans="2:9" x14ac:dyDescent="0.35">
      <c r="B287" s="49" t="str">
        <v/>
      </c>
      <c r="C287" s="48" t="str">
        <f t="shared" si="11"/>
        <v/>
      </c>
      <c r="H287" s="31" t="str">
        <v/>
      </c>
      <c r="I287" s="31" t="str">
        <f t="shared" si="10"/>
        <v/>
      </c>
    </row>
    <row r="288" spans="2:9" x14ac:dyDescent="0.35">
      <c r="B288" s="49" t="str">
        <v/>
      </c>
      <c r="C288" s="48" t="str">
        <f t="shared" si="11"/>
        <v/>
      </c>
      <c r="H288" s="31" t="str">
        <v/>
      </c>
      <c r="I288" s="31" t="str">
        <f t="shared" si="10"/>
        <v/>
      </c>
    </row>
    <row r="289" spans="2:9" x14ac:dyDescent="0.35">
      <c r="B289" s="49" t="str">
        <v/>
      </c>
      <c r="C289" s="48" t="str">
        <f t="shared" si="11"/>
        <v/>
      </c>
      <c r="H289" s="31" t="str">
        <v/>
      </c>
      <c r="I289" s="31" t="str">
        <f t="shared" si="10"/>
        <v/>
      </c>
    </row>
    <row r="290" spans="2:9" x14ac:dyDescent="0.35">
      <c r="B290" s="49" t="str">
        <v/>
      </c>
      <c r="C290" s="48" t="str">
        <f t="shared" si="11"/>
        <v/>
      </c>
      <c r="H290" s="31" t="str">
        <v/>
      </c>
      <c r="I290" s="31" t="str">
        <f t="shared" si="10"/>
        <v/>
      </c>
    </row>
    <row r="291" spans="2:9" x14ac:dyDescent="0.35">
      <c r="B291" s="49" t="str">
        <v/>
      </c>
      <c r="C291" s="48" t="str">
        <f t="shared" si="11"/>
        <v/>
      </c>
      <c r="H291" s="31" t="str">
        <v/>
      </c>
      <c r="I291" s="31" t="str">
        <f t="shared" si="10"/>
        <v/>
      </c>
    </row>
    <row r="292" spans="2:9" x14ac:dyDescent="0.35">
      <c r="B292" s="49" t="str">
        <v/>
      </c>
      <c r="C292" s="48" t="str">
        <f t="shared" si="11"/>
        <v/>
      </c>
      <c r="H292" s="31" t="str">
        <v/>
      </c>
      <c r="I292" s="31" t="str">
        <f t="shared" si="10"/>
        <v/>
      </c>
    </row>
    <row r="293" spans="2:9" x14ac:dyDescent="0.35">
      <c r="B293" s="49" t="str">
        <v/>
      </c>
      <c r="C293" s="48" t="str">
        <f t="shared" si="11"/>
        <v/>
      </c>
      <c r="H293" s="31" t="str">
        <v/>
      </c>
      <c r="I293" s="31" t="str">
        <f t="shared" si="10"/>
        <v/>
      </c>
    </row>
    <row r="294" spans="2:9" x14ac:dyDescent="0.35">
      <c r="B294" s="49" t="str">
        <v/>
      </c>
      <c r="C294" s="48" t="str">
        <f t="shared" si="11"/>
        <v/>
      </c>
      <c r="H294" s="31" t="str">
        <v/>
      </c>
      <c r="I294" s="31" t="str">
        <f t="shared" si="10"/>
        <v/>
      </c>
    </row>
    <row r="295" spans="2:9" x14ac:dyDescent="0.35">
      <c r="B295" s="49" t="str">
        <v/>
      </c>
      <c r="C295" s="48" t="str">
        <f t="shared" si="11"/>
        <v/>
      </c>
      <c r="H295" s="31" t="str">
        <v/>
      </c>
      <c r="I295" s="31" t="str">
        <f t="shared" si="10"/>
        <v/>
      </c>
    </row>
    <row r="296" spans="2:9" x14ac:dyDescent="0.35">
      <c r="B296" s="49" t="str">
        <v/>
      </c>
      <c r="C296" s="48" t="str">
        <f t="shared" si="11"/>
        <v/>
      </c>
      <c r="H296" s="31" t="str">
        <v/>
      </c>
      <c r="I296" s="31" t="str">
        <f t="shared" si="10"/>
        <v/>
      </c>
    </row>
    <row r="297" spans="2:9" x14ac:dyDescent="0.35">
      <c r="B297" s="49" t="str">
        <v/>
      </c>
      <c r="C297" s="48" t="str">
        <f t="shared" si="11"/>
        <v/>
      </c>
      <c r="H297" s="31" t="str">
        <v/>
      </c>
      <c r="I297" s="31" t="str">
        <f t="shared" si="10"/>
        <v/>
      </c>
    </row>
    <row r="298" spans="2:9" x14ac:dyDescent="0.35">
      <c r="B298" s="49" t="str">
        <v/>
      </c>
      <c r="C298" s="48" t="str">
        <f t="shared" si="11"/>
        <v/>
      </c>
      <c r="H298" s="31" t="str">
        <v/>
      </c>
      <c r="I298" s="31" t="str">
        <f t="shared" si="10"/>
        <v/>
      </c>
    </row>
    <row r="299" spans="2:9" x14ac:dyDescent="0.35">
      <c r="B299" s="49" t="str">
        <v/>
      </c>
      <c r="C299" s="48" t="str">
        <f t="shared" si="11"/>
        <v/>
      </c>
      <c r="H299" s="31" t="str">
        <v/>
      </c>
      <c r="I299" s="31" t="str">
        <f t="shared" si="10"/>
        <v/>
      </c>
    </row>
    <row r="300" spans="2:9" x14ac:dyDescent="0.35">
      <c r="B300" s="49" t="str">
        <v/>
      </c>
      <c r="C300" s="48" t="str">
        <f t="shared" si="11"/>
        <v/>
      </c>
      <c r="H300" s="31" t="str">
        <v/>
      </c>
      <c r="I300" s="31" t="str">
        <f t="shared" si="10"/>
        <v/>
      </c>
    </row>
    <row r="301" spans="2:9" x14ac:dyDescent="0.35">
      <c r="B301" s="49" t="str">
        <v/>
      </c>
      <c r="C301" s="48" t="str">
        <f t="shared" si="11"/>
        <v/>
      </c>
      <c r="H301" s="31" t="str">
        <v/>
      </c>
      <c r="I301" s="31" t="str">
        <f t="shared" si="10"/>
        <v/>
      </c>
    </row>
    <row r="302" spans="2:9" x14ac:dyDescent="0.35">
      <c r="B302" s="49" t="str">
        <v/>
      </c>
      <c r="C302" s="48" t="str">
        <f t="shared" si="11"/>
        <v/>
      </c>
      <c r="H302" s="31" t="str">
        <v/>
      </c>
      <c r="I302" s="31" t="str">
        <f t="shared" si="10"/>
        <v/>
      </c>
    </row>
    <row r="303" spans="2:9" x14ac:dyDescent="0.35">
      <c r="B303" s="49" t="str">
        <v/>
      </c>
      <c r="C303" s="48" t="str">
        <f t="shared" si="11"/>
        <v/>
      </c>
      <c r="H303" s="31" t="str">
        <v/>
      </c>
      <c r="I303" s="31" t="str">
        <f t="shared" si="10"/>
        <v/>
      </c>
    </row>
    <row r="304" spans="2:9" x14ac:dyDescent="0.35">
      <c r="B304" s="49" t="str">
        <v/>
      </c>
      <c r="C304" s="48" t="str">
        <f t="shared" si="11"/>
        <v/>
      </c>
      <c r="H304" s="31" t="str">
        <v/>
      </c>
      <c r="I304" s="31" t="str">
        <f t="shared" si="10"/>
        <v/>
      </c>
    </row>
    <row r="305" spans="2:9" x14ac:dyDescent="0.35">
      <c r="B305" s="49" t="str">
        <v/>
      </c>
      <c r="C305" s="48" t="str">
        <f t="shared" si="11"/>
        <v/>
      </c>
      <c r="H305" s="31" t="str">
        <v/>
      </c>
      <c r="I305" s="31" t="str">
        <f t="shared" si="10"/>
        <v/>
      </c>
    </row>
    <row r="306" spans="2:9" x14ac:dyDescent="0.35">
      <c r="H306" s="31" t="str">
        <v/>
      </c>
      <c r="I306" s="31" t="str">
        <f t="shared" si="10"/>
        <v/>
      </c>
    </row>
    <row r="307" spans="2:9" x14ac:dyDescent="0.35">
      <c r="H307" s="31" t="str">
        <v/>
      </c>
      <c r="I307" s="31" t="str">
        <f t="shared" si="10"/>
        <v/>
      </c>
    </row>
    <row r="308" spans="2:9" x14ac:dyDescent="0.35">
      <c r="H308" s="31" t="str">
        <v/>
      </c>
      <c r="I308" s="31" t="str">
        <f t="shared" si="10"/>
        <v/>
      </c>
    </row>
    <row r="309" spans="2:9" x14ac:dyDescent="0.35">
      <c r="H309" s="31" t="str">
        <v/>
      </c>
      <c r="I309" s="31" t="str">
        <f t="shared" si="10"/>
        <v/>
      </c>
    </row>
    <row r="310" spans="2:9" x14ac:dyDescent="0.35">
      <c r="H310" s="31" t="str">
        <v/>
      </c>
      <c r="I310" s="31" t="str">
        <f t="shared" si="10"/>
        <v/>
      </c>
    </row>
    <row r="311" spans="2:9" x14ac:dyDescent="0.35">
      <c r="H311" s="31" t="str">
        <v/>
      </c>
      <c r="I311" s="31" t="str">
        <f t="shared" si="10"/>
        <v/>
      </c>
    </row>
    <row r="312" spans="2:9" x14ac:dyDescent="0.35">
      <c r="H312" s="31" t="str">
        <v/>
      </c>
      <c r="I312" s="31" t="str">
        <f t="shared" si="10"/>
        <v/>
      </c>
    </row>
  </sheetData>
  <hyperlinks>
    <hyperlink ref="A1" location="Index!A1" display="Home" xr:uid="{1E2F16E5-95DB-469B-8C24-7C9E183A46D2}"/>
  </hyperlinks>
  <pageMargins left="0.7" right="0.7" top="0.75" bottom="0.75" header="0.3" footer="0.3"/>
  <pageSetup paperSize="9" orientation="portrait" r:id="rId1"/>
  <headerFooter>
    <oddHeader>&amp;L&amp;"Calibri"&amp;12&amp;K8E6A00Confidential&amp;1#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Index</vt:lpstr>
      <vt:lpstr>Trend Charts New</vt:lpstr>
      <vt:lpstr>Sales</vt:lpstr>
      <vt:lpstr>Field Emails</vt:lpstr>
      <vt:lpstr>SFMC</vt:lpstr>
      <vt:lpstr>Medscape</vt:lpstr>
      <vt:lpstr>Doximity</vt:lpstr>
      <vt:lpstr>Epocrates</vt:lpstr>
      <vt:lpstr>DeepIntent</vt:lpstr>
      <vt:lpstr>EveryDayHealth</vt:lpstr>
      <vt:lpstr>Nexgen</vt:lpstr>
      <vt:lpstr>Correlation DMA</vt:lpstr>
      <vt:lpstr>Overlap_24 APR20- MAR22</vt:lpstr>
      <vt:lpstr>Overlap Summary 24 Month</vt:lpstr>
      <vt:lpstr>HCP POC Spend</vt:lpstr>
      <vt:lpstr>NPP Spends</vt:lpstr>
      <vt:lpstr>Raw Data</vt:lpstr>
      <vt:lpstr>POC Data</vt:lpstr>
      <vt:lpstr>Control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avijit.banduri@merck.com</dc:creator>
  <cp:lastModifiedBy>Banduri, Avijit</cp:lastModifiedBy>
  <dcterms:created xsi:type="dcterms:W3CDTF">2022-04-07T06:50:45Z</dcterms:created>
  <dcterms:modified xsi:type="dcterms:W3CDTF">2023-08-08T09:18:08Z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c56a699-e9bd-437a-8412-901342082749_Enabled">
    <vt:lpwstr>true</vt:lpwstr>
  </property>
  <property fmtid="{D5CDD505-2E9C-101B-9397-08002B2CF9AE}" pid="3" name="MSIP_Label_2c56a699-e9bd-437a-8412-901342082749_SetDate">
    <vt:lpwstr>2022-04-07T06:51:25Z</vt:lpwstr>
  </property>
  <property fmtid="{D5CDD505-2E9C-101B-9397-08002B2CF9AE}" pid="4" name="MSIP_Label_2c56a699-e9bd-437a-8412-901342082749_Method">
    <vt:lpwstr>Privileged</vt:lpwstr>
  </property>
  <property fmtid="{D5CDD505-2E9C-101B-9397-08002B2CF9AE}" pid="5" name="MSIP_Label_2c56a699-e9bd-437a-8412-901342082749_Name">
    <vt:lpwstr>2c56a699-e9bd-437a-8412-901342082749</vt:lpwstr>
  </property>
  <property fmtid="{D5CDD505-2E9C-101B-9397-08002B2CF9AE}" pid="6" name="MSIP_Label_2c56a699-e9bd-437a-8412-901342082749_SiteId">
    <vt:lpwstr>a00de4ec-48a8-43a6-be74-e31274e2060d</vt:lpwstr>
  </property>
  <property fmtid="{D5CDD505-2E9C-101B-9397-08002B2CF9AE}" pid="7" name="MSIP_Label_2c56a699-e9bd-437a-8412-901342082749_ActionId">
    <vt:lpwstr>8432a5d6-b9a5-41ce-8541-2e437d45796f</vt:lpwstr>
  </property>
  <property fmtid="{D5CDD505-2E9C-101B-9397-08002B2CF9AE}" pid="8" name="MSIP_Label_2c56a699-e9bd-437a-8412-901342082749_ContentBits">
    <vt:lpwstr>1</vt:lpwstr>
  </property>
  <property fmtid="{D5CDD505-2E9C-101B-9397-08002B2CF9AE}" pid="9" name="MerckAIPLabel">
    <vt:lpwstr>Confidential</vt:lpwstr>
  </property>
  <property fmtid="{D5CDD505-2E9C-101B-9397-08002B2CF9AE}" pid="10" name="MerckAIPDataExchange">
    <vt:lpwstr>!MRKMIP@Confidential</vt:lpwstr>
  </property>
</Properties>
</file>