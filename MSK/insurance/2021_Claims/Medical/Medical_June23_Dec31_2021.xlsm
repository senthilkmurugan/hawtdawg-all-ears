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drive.merck.com/personal/smuruga2_merck_com/Documents/Users/smuruga2/MSK/insurance/2021_Claims/Medical/"/>
    </mc:Choice>
  </mc:AlternateContent>
  <xr:revisionPtr revIDLastSave="24" documentId="11_DD8AF0176E586BEFBF9B98F2DCD0D750C997197B" xr6:coauthVersionLast="47" xr6:coauthVersionMax="47" xr10:uidLastSave="{D7625BFB-3DCF-413E-925C-E73BC24931FF}"/>
  <bookViews>
    <workbookView xWindow="-110" yWindow="-110" windowWidth="19420" windowHeight="10560" xr2:uid="{00000000-000D-0000-FFFF-FFFF00000000}"/>
  </bookViews>
  <sheets>
    <sheet name="June23_Dec31_2021_Medical_Clai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6" i="1"/>
</calcChain>
</file>

<file path=xl/sharedStrings.xml><?xml version="1.0" encoding="utf-8"?>
<sst xmlns="http://schemas.openxmlformats.org/spreadsheetml/2006/main" count="91" uniqueCount="52">
  <si>
    <t>Claims Activity</t>
  </si>
  <si>
    <t>Customer Card ID: 3HZN39743510</t>
  </si>
  <si>
    <t>Patient Name: Family</t>
  </si>
  <si>
    <t>Claim Number</t>
  </si>
  <si>
    <t>Patient Name</t>
  </si>
  <si>
    <t>Date of Service</t>
  </si>
  <si>
    <t>Provider</t>
  </si>
  <si>
    <t>Type of Service</t>
  </si>
  <si>
    <t>What You Owe</t>
  </si>
  <si>
    <t>Status</t>
  </si>
  <si>
    <t>262218308879</t>
  </si>
  <si>
    <t>RAMYA BALARAM</t>
  </si>
  <si>
    <t>HELIX OPCO LLC</t>
  </si>
  <si>
    <t>Medical</t>
  </si>
  <si>
    <t>FINALIZED
07/05/2022</t>
  </si>
  <si>
    <t>262132641788</t>
  </si>
  <si>
    <t>MINUTE CLINIC DIAGNOSTIC OF PA</t>
  </si>
  <si>
    <t>FINALIZED
11/24/2021</t>
  </si>
  <si>
    <t>262130528982</t>
  </si>
  <si>
    <t>RIYA SENTHIL</t>
  </si>
  <si>
    <t>CORBETT           SANDRA</t>
  </si>
  <si>
    <t>FINALIZED
11/03/2021</t>
  </si>
  <si>
    <t>262130264998</t>
  </si>
  <si>
    <t>FINALIZED
11/02/2021</t>
  </si>
  <si>
    <t>272130227098</t>
  </si>
  <si>
    <t>PRIMBIO RESEARCH INSTITUT</t>
  </si>
  <si>
    <t>262127463832</t>
  </si>
  <si>
    <t>SENTHIL MURUGAN</t>
  </si>
  <si>
    <t>QUEST DIAGNOSTICS INC</t>
  </si>
  <si>
    <t>FINALIZED
10/05/2021</t>
  </si>
  <si>
    <t>262127463821</t>
  </si>
  <si>
    <t>262124227285</t>
  </si>
  <si>
    <t>LMG FAMILY PRACTICE PC</t>
  </si>
  <si>
    <t>FINALIZED
09/02/2021</t>
  </si>
  <si>
    <t>262122127282</t>
  </si>
  <si>
    <t>FINALIZED
08/12/2021</t>
  </si>
  <si>
    <t>262121563463</t>
  </si>
  <si>
    <t>FINALIZED
08/05/2021</t>
  </si>
  <si>
    <t>262121054112</t>
  </si>
  <si>
    <t>PATIENT FIRST</t>
  </si>
  <si>
    <t>FINALIZED
08/03/2021</t>
  </si>
  <si>
    <t>262121121029</t>
  </si>
  <si>
    <t>CHILDRENS SURGICAL ASSOC</t>
  </si>
  <si>
    <t>FINALIZED
07/30/2021</t>
  </si>
  <si>
    <t>262120286125</t>
  </si>
  <si>
    <t>FINALIZED
07/23/2021</t>
  </si>
  <si>
    <t>272118026433</t>
  </si>
  <si>
    <t>FINALIZED
07/01/2021</t>
  </si>
  <si>
    <t>Total</t>
  </si>
  <si>
    <t>Did FSA Pay?</t>
  </si>
  <si>
    <t>NO</t>
  </si>
  <si>
    <t>To Claim from 2021 FSA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</si>
</sst>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\$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529B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0" fontId="3" fillId="3" borderId="1" xfId="0" applyFont="1" applyFill="1" applyBorder="1" applyAlignment="1">
      <alignment horizontal="left"/>
    </xf>
    <xf numFmtId="165" fontId="3" fillId="3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/>
    <xf numFmtId="0" fontId="1" fillId="4" borderId="2" xfId="0" applyFont="1" applyFill="1" applyBorder="1" applyAlignment="1">
      <alignment horizontal="center" wrapText="1"/>
    </xf>
    <xf numFmtId="0" fontId="0" fillId="0" borderId="2" xfId="0" applyFill="1" applyBorder="1"/>
    <xf numFmtId="0" fontId="0" fillId="0" borderId="3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1"/>
  <sheetViews>
    <sheetView tabSelected="1" workbookViewId="0">
      <selection activeCell="I5" sqref="I5"/>
    </sheetView>
  </sheetViews>
  <sheetFormatPr defaultRowHeight="14.5" x14ac:dyDescent="0.35"/>
  <cols>
    <col min="1" max="1" width="29.6328125" bestFit="1" customWidth="1"/>
    <col min="2" max="2" width="17.36328125" bestFit="1" customWidth="1"/>
    <col min="3" max="3" width="13.36328125" bestFit="1" customWidth="1"/>
    <col min="4" max="4" width="30.1796875" bestFit="1" customWidth="1"/>
    <col min="5" max="5" width="13.36328125" bestFit="1" customWidth="1"/>
    <col min="6" max="6" width="13.453125" bestFit="1" customWidth="1"/>
    <col min="7" max="7" width="20.08984375" bestFit="1" customWidth="1"/>
    <col min="9" max="9" width="14" customWidth="1"/>
  </cols>
  <sheetData>
    <row r="1" spans="1:10" x14ac:dyDescent="0.35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</row>
    <row r="2" spans="1:10" x14ac:dyDescent="0.35">
      <c r="A2" s="1" t="s">
        <v>1</v>
      </c>
    </row>
    <row r="3" spans="1:10" x14ac:dyDescent="0.35">
      <c r="A3" s="1" t="s">
        <v>2</v>
      </c>
    </row>
    <row r="4" spans="1:10" x14ac:dyDescent="0.35">
      <c r="A4" s="9"/>
      <c r="B4" s="9"/>
      <c r="C4" s="9"/>
      <c r="D4" s="9"/>
      <c r="E4" s="9"/>
      <c r="F4" s="9"/>
      <c r="G4" s="9"/>
      <c r="I4">
        <f>SUM(I6:I19)</f>
        <v>330.83000000000004</v>
      </c>
    </row>
    <row r="5" spans="1:10" ht="29" x14ac:dyDescent="0.35">
      <c r="A5" s="2" t="s">
        <v>3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10" t="s">
        <v>49</v>
      </c>
      <c r="I5" s="10" t="s">
        <v>51</v>
      </c>
    </row>
    <row r="6" spans="1:10" x14ac:dyDescent="0.35">
      <c r="A6" s="3" t="s">
        <v>10</v>
      </c>
      <c r="B6" s="3" t="s">
        <v>11</v>
      </c>
      <c r="C6" s="4">
        <v>44505</v>
      </c>
      <c r="D6" s="3" t="s">
        <v>12</v>
      </c>
      <c r="E6" s="3" t="s">
        <v>13</v>
      </c>
      <c r="F6" s="5">
        <v>150</v>
      </c>
      <c r="G6" s="3" t="s">
        <v>14</v>
      </c>
      <c r="H6" s="11" t="s">
        <v>50</v>
      </c>
      <c r="I6">
        <f>IF(H6="NO",F6,"")</f>
        <v>150</v>
      </c>
    </row>
    <row r="7" spans="1:10" x14ac:dyDescent="0.35">
      <c r="A7" s="3" t="s">
        <v>15</v>
      </c>
      <c r="B7" s="3" t="s">
        <v>11</v>
      </c>
      <c r="C7" s="4">
        <v>44505</v>
      </c>
      <c r="D7" s="3" t="s">
        <v>16</v>
      </c>
      <c r="E7" s="3" t="s">
        <v>13</v>
      </c>
      <c r="F7" s="5">
        <v>0</v>
      </c>
      <c r="G7" s="3" t="s">
        <v>17</v>
      </c>
      <c r="I7" t="str">
        <f t="shared" ref="I7:I19" si="0">IF(H7="NO",F7,"")</f>
        <v/>
      </c>
    </row>
    <row r="8" spans="1:10" x14ac:dyDescent="0.35">
      <c r="A8" s="3" t="s">
        <v>18</v>
      </c>
      <c r="B8" s="3" t="s">
        <v>19</v>
      </c>
      <c r="C8" s="4">
        <v>44497</v>
      </c>
      <c r="D8" s="3" t="s">
        <v>20</v>
      </c>
      <c r="E8" s="3" t="s">
        <v>13</v>
      </c>
      <c r="F8" s="5">
        <v>21.68</v>
      </c>
      <c r="G8" s="3" t="s">
        <v>21</v>
      </c>
      <c r="H8" s="11" t="s">
        <v>50</v>
      </c>
      <c r="I8">
        <f t="shared" si="0"/>
        <v>21.68</v>
      </c>
    </row>
    <row r="9" spans="1:10" x14ac:dyDescent="0.35">
      <c r="A9" s="3" t="s">
        <v>22</v>
      </c>
      <c r="B9" s="3" t="s">
        <v>19</v>
      </c>
      <c r="C9" s="4">
        <v>44492</v>
      </c>
      <c r="D9" s="3" t="s">
        <v>20</v>
      </c>
      <c r="E9" s="3" t="s">
        <v>13</v>
      </c>
      <c r="F9" s="5">
        <v>21.68</v>
      </c>
      <c r="G9" s="3" t="s">
        <v>23</v>
      </c>
      <c r="H9" s="11" t="s">
        <v>50</v>
      </c>
      <c r="I9">
        <f t="shared" si="0"/>
        <v>21.68</v>
      </c>
    </row>
    <row r="10" spans="1:10" x14ac:dyDescent="0.35">
      <c r="A10" s="3" t="s">
        <v>24</v>
      </c>
      <c r="B10" s="3" t="s">
        <v>11</v>
      </c>
      <c r="C10" s="4">
        <v>44481</v>
      </c>
      <c r="D10" s="3" t="s">
        <v>25</v>
      </c>
      <c r="E10" s="3" t="s">
        <v>13</v>
      </c>
      <c r="F10" s="5">
        <v>33.75</v>
      </c>
      <c r="G10" s="3" t="s">
        <v>23</v>
      </c>
      <c r="H10" s="12" t="s">
        <v>50</v>
      </c>
      <c r="I10">
        <f t="shared" si="0"/>
        <v>33.75</v>
      </c>
    </row>
    <row r="11" spans="1:10" x14ac:dyDescent="0.35">
      <c r="A11" s="3" t="s">
        <v>26</v>
      </c>
      <c r="B11" s="3" t="s">
        <v>27</v>
      </c>
      <c r="C11" s="4">
        <v>44426</v>
      </c>
      <c r="D11" s="3" t="s">
        <v>28</v>
      </c>
      <c r="E11" s="3" t="s">
        <v>13</v>
      </c>
      <c r="F11" s="5">
        <v>1.46</v>
      </c>
      <c r="G11" s="3" t="s">
        <v>29</v>
      </c>
      <c r="I11" t="str">
        <f t="shared" si="0"/>
        <v/>
      </c>
    </row>
    <row r="12" spans="1:10" x14ac:dyDescent="0.35">
      <c r="A12" s="3" t="s">
        <v>30</v>
      </c>
      <c r="B12" s="3" t="s">
        <v>27</v>
      </c>
      <c r="C12" s="4">
        <v>44426</v>
      </c>
      <c r="D12" s="3" t="s">
        <v>28</v>
      </c>
      <c r="E12" s="3" t="s">
        <v>13</v>
      </c>
      <c r="F12" s="5">
        <v>7.41</v>
      </c>
      <c r="G12" s="3" t="s">
        <v>29</v>
      </c>
      <c r="I12" t="str">
        <f t="shared" si="0"/>
        <v/>
      </c>
    </row>
    <row r="13" spans="1:10" x14ac:dyDescent="0.35">
      <c r="A13" s="3" t="s">
        <v>31</v>
      </c>
      <c r="B13" s="3" t="s">
        <v>27</v>
      </c>
      <c r="C13" s="4">
        <v>44424</v>
      </c>
      <c r="D13" s="3" t="s">
        <v>32</v>
      </c>
      <c r="E13" s="3" t="s">
        <v>13</v>
      </c>
      <c r="F13" s="5">
        <v>4.33</v>
      </c>
      <c r="G13" s="3" t="s">
        <v>33</v>
      </c>
      <c r="I13" t="str">
        <f t="shared" si="0"/>
        <v/>
      </c>
    </row>
    <row r="14" spans="1:10" x14ac:dyDescent="0.35">
      <c r="A14" s="3" t="s">
        <v>34</v>
      </c>
      <c r="B14" s="3" t="s">
        <v>19</v>
      </c>
      <c r="C14" s="4">
        <v>44411</v>
      </c>
      <c r="D14" s="3" t="s">
        <v>20</v>
      </c>
      <c r="E14" s="3" t="s">
        <v>13</v>
      </c>
      <c r="F14" s="5">
        <v>38.32</v>
      </c>
      <c r="G14" s="3" t="s">
        <v>35</v>
      </c>
      <c r="H14" s="11" t="s">
        <v>50</v>
      </c>
      <c r="I14">
        <f t="shared" si="0"/>
        <v>38.32</v>
      </c>
    </row>
    <row r="15" spans="1:10" x14ac:dyDescent="0.35">
      <c r="A15" s="3" t="s">
        <v>36</v>
      </c>
      <c r="B15" s="3" t="s">
        <v>19</v>
      </c>
      <c r="C15" s="4">
        <v>44407</v>
      </c>
      <c r="D15" s="3" t="s">
        <v>20</v>
      </c>
      <c r="E15" s="3" t="s">
        <v>13</v>
      </c>
      <c r="F15" s="5">
        <v>21.8</v>
      </c>
      <c r="G15" s="3" t="s">
        <v>37</v>
      </c>
      <c r="H15" s="11" t="s">
        <v>50</v>
      </c>
      <c r="I15">
        <f t="shared" si="0"/>
        <v>21.8</v>
      </c>
    </row>
    <row r="16" spans="1:10" x14ac:dyDescent="0.35">
      <c r="A16" s="3" t="s">
        <v>38</v>
      </c>
      <c r="B16" s="3" t="s">
        <v>19</v>
      </c>
      <c r="C16" s="4">
        <v>44402</v>
      </c>
      <c r="D16" s="3" t="s">
        <v>39</v>
      </c>
      <c r="E16" s="3" t="s">
        <v>13</v>
      </c>
      <c r="F16" s="5">
        <v>30.81</v>
      </c>
      <c r="G16" s="3" t="s">
        <v>40</v>
      </c>
      <c r="I16" t="str">
        <f t="shared" si="0"/>
        <v/>
      </c>
    </row>
    <row r="17" spans="1:9" x14ac:dyDescent="0.35">
      <c r="A17" s="3" t="s">
        <v>41</v>
      </c>
      <c r="B17" s="3" t="s">
        <v>19</v>
      </c>
      <c r="C17" s="4">
        <v>44403</v>
      </c>
      <c r="D17" s="3" t="s">
        <v>42</v>
      </c>
      <c r="E17" s="3" t="s">
        <v>13</v>
      </c>
      <c r="F17" s="5">
        <v>42.24</v>
      </c>
      <c r="G17" s="3" t="s">
        <v>43</v>
      </c>
      <c r="I17" t="str">
        <f t="shared" si="0"/>
        <v/>
      </c>
    </row>
    <row r="18" spans="1:9" x14ac:dyDescent="0.35">
      <c r="A18" s="3" t="s">
        <v>44</v>
      </c>
      <c r="B18" s="3" t="s">
        <v>19</v>
      </c>
      <c r="C18" s="4">
        <v>44393</v>
      </c>
      <c r="D18" s="3" t="s">
        <v>20</v>
      </c>
      <c r="E18" s="3" t="s">
        <v>13</v>
      </c>
      <c r="F18" s="5">
        <v>21.8</v>
      </c>
      <c r="G18" s="3" t="s">
        <v>45</v>
      </c>
      <c r="H18" s="11" t="s">
        <v>50</v>
      </c>
      <c r="I18">
        <f t="shared" si="0"/>
        <v>21.8</v>
      </c>
    </row>
    <row r="19" spans="1:9" x14ac:dyDescent="0.35">
      <c r="A19" s="3" t="s">
        <v>46</v>
      </c>
      <c r="B19" s="3" t="s">
        <v>19</v>
      </c>
      <c r="C19" s="4">
        <v>44375</v>
      </c>
      <c r="D19" s="3" t="s">
        <v>20</v>
      </c>
      <c r="E19" s="3" t="s">
        <v>13</v>
      </c>
      <c r="F19" s="5">
        <v>21.8</v>
      </c>
      <c r="G19" s="3" t="s">
        <v>47</v>
      </c>
      <c r="H19" s="12" t="s">
        <v>50</v>
      </c>
      <c r="I19">
        <f t="shared" si="0"/>
        <v>21.8</v>
      </c>
    </row>
    <row r="20" spans="1:9" x14ac:dyDescent="0.35">
      <c r="A20" s="9"/>
      <c r="B20" s="9"/>
      <c r="C20" s="9"/>
      <c r="D20" s="9"/>
      <c r="E20" s="9"/>
      <c r="F20" s="9"/>
      <c r="G20" s="9"/>
    </row>
    <row r="21" spans="1:9" x14ac:dyDescent="0.35">
      <c r="A21" s="6" t="s">
        <v>48</v>
      </c>
      <c r="B21" s="7"/>
      <c r="C21" s="7"/>
      <c r="D21" s="7"/>
      <c r="E21" s="7"/>
      <c r="F21" s="7">
        <v>417.0800000000001</v>
      </c>
      <c r="G21" s="7"/>
    </row>
  </sheetData>
  <mergeCells count="3">
    <mergeCell ref="A1:J1"/>
    <mergeCell ref="A4:G4"/>
    <mergeCell ref="A20:G20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June23_Dec31_2021_Medical_Claim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Murugan, Senthil</cp:lastModifiedBy>
  <dcterms:created xsi:type="dcterms:W3CDTF">2022-12-22T23:07:33Z</dcterms:created>
  <dcterms:modified xsi:type="dcterms:W3CDTF">2022-12-22T23:40:35Z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7fd646-07cb-4c4e-a107-4e4d6b30ba1b_Enabled">
    <vt:lpwstr>true</vt:lpwstr>
  </property>
  <property fmtid="{D5CDD505-2E9C-101B-9397-08002B2CF9AE}" pid="3" name="MSIP_Label_927fd646-07cb-4c4e-a107-4e4d6b30ba1b_SetDate">
    <vt:lpwstr>2022-12-22T23:09:59Z</vt:lpwstr>
  </property>
  <property fmtid="{D5CDD505-2E9C-101B-9397-08002B2CF9AE}" pid="4" name="MSIP_Label_927fd646-07cb-4c4e-a107-4e4d6b30ba1b_Method">
    <vt:lpwstr>Privileged</vt:lpwstr>
  </property>
  <property fmtid="{D5CDD505-2E9C-101B-9397-08002B2CF9AE}" pid="5" name="MSIP_Label_927fd646-07cb-4c4e-a107-4e4d6b30ba1b_Name">
    <vt:lpwstr>927fd646-07cb-4c4e-a107-4e4d6b30ba1b</vt:lpwstr>
  </property>
  <property fmtid="{D5CDD505-2E9C-101B-9397-08002B2CF9AE}" pid="6" name="MSIP_Label_927fd646-07cb-4c4e-a107-4e4d6b30ba1b_SiteId">
    <vt:lpwstr>a00de4ec-48a8-43a6-be74-e31274e2060d</vt:lpwstr>
  </property>
  <property fmtid="{D5CDD505-2E9C-101B-9397-08002B2CF9AE}" pid="7" name="MSIP_Label_927fd646-07cb-4c4e-a107-4e4d6b30ba1b_ActionId">
    <vt:lpwstr>7f32691a-7dc0-4635-bdcc-172ef3632386</vt:lpwstr>
  </property>
  <property fmtid="{D5CDD505-2E9C-101B-9397-08002B2CF9AE}" pid="8" name="MSIP_Label_927fd646-07cb-4c4e-a107-4e4d6b30ba1b_ContentBits">
    <vt:lpwstr>1</vt:lpwstr>
  </property>
  <property fmtid="{D5CDD505-2E9C-101B-9397-08002B2CF9AE}" pid="9" name="MerckAIPLabel">
    <vt:lpwstr>Proprietary</vt:lpwstr>
  </property>
  <property fmtid="{D5CDD505-2E9C-101B-9397-08002B2CF9AE}" pid="10" name="MerckAIPDataExchange">
    <vt:lpwstr>!MRKMIP@Proprietary</vt:lpwstr>
  </property>
</Properties>
</file>