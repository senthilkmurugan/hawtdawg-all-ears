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ydrive.merck.com/personal/smuruga2_merck_com/Documents/Users/smuruga2/MSK/insurance/2022_Claims/Medical/"/>
    </mc:Choice>
  </mc:AlternateContent>
  <xr:revisionPtr revIDLastSave="166" documentId="11_EDFAD1006DB025A76EA54A11D5D0D750C9974C09" xr6:coauthVersionLast="47" xr6:coauthVersionMax="47" xr10:uidLastSave="{0616F5DA-A1D7-494B-A90F-72B55DE794C9}"/>
  <bookViews>
    <workbookView xWindow="-110" yWindow="-110" windowWidth="19420" windowHeight="10560" activeTab="1" xr2:uid="{00000000-000D-0000-FFFF-FFFF00000000}"/>
  </bookViews>
  <sheets>
    <sheet name="Medical_2022" sheetId="1" r:id="rId1"/>
    <sheet name="Activity-Health FSA" sheetId="2" r:id="rId2"/>
  </sheets>
  <definedNames>
    <definedName name="_xlnm._FilterDatabase" localSheetId="1" hidden="1">'Activity-Health FSA'!$A$1:$N$20</definedName>
    <definedName name="_xlnm._FilterDatabase" localSheetId="0" hidden="1">Medical_2022!$A$5:$J$28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" i="1" l="1"/>
  <c r="I8" i="1"/>
  <c r="I9" i="1"/>
  <c r="I10" i="1"/>
  <c r="I11" i="1"/>
  <c r="I12" i="1"/>
  <c r="I4" i="1" s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6" i="1"/>
</calcChain>
</file>

<file path=xl/sharedStrings.xml><?xml version="1.0" encoding="utf-8"?>
<sst xmlns="http://schemas.openxmlformats.org/spreadsheetml/2006/main" count="362" uniqueCount="142">
  <si>
    <t>Claims Activity</t>
  </si>
  <si>
    <t>Customer Card ID: 3HZN39743510</t>
  </si>
  <si>
    <t>Patient Name: Family</t>
  </si>
  <si>
    <t>Claim Number</t>
  </si>
  <si>
    <t>Patient Name</t>
  </si>
  <si>
    <t>Date of Service</t>
  </si>
  <si>
    <t>Provider</t>
  </si>
  <si>
    <t>Type of Service</t>
  </si>
  <si>
    <t>What You Owe</t>
  </si>
  <si>
    <t>Status</t>
  </si>
  <si>
    <t>262234633344</t>
  </si>
  <si>
    <t>SENTHIL MURUGAN</t>
  </si>
  <si>
    <t>HIGHPOINT FOOT AND ANKLE CENTE</t>
  </si>
  <si>
    <t>Medical</t>
  </si>
  <si>
    <t>FINALIZED
12/14/2022</t>
  </si>
  <si>
    <t>272232000014</t>
  </si>
  <si>
    <t>RIYA SENTHIL</t>
  </si>
  <si>
    <t>RAHUL VASIREDDY</t>
  </si>
  <si>
    <t>FINALIZED
11/18/2022</t>
  </si>
  <si>
    <t>262231830264</t>
  </si>
  <si>
    <t>FINALIZED
11/16/2022</t>
  </si>
  <si>
    <t>262230056648</t>
  </si>
  <si>
    <t>RAMYA BALARAM</t>
  </si>
  <si>
    <t>PATIENT FIRST</t>
  </si>
  <si>
    <t>FINALIZED
10/31/2022</t>
  </si>
  <si>
    <t>262228331130</t>
  </si>
  <si>
    <t>FINALIZED
10/12/2022</t>
  </si>
  <si>
    <t>262225248733</t>
  </si>
  <si>
    <t>FINALIZED
09/13/2022</t>
  </si>
  <si>
    <t>262223856620</t>
  </si>
  <si>
    <t>FINALIZED
08/30/2022</t>
  </si>
  <si>
    <t>262218537754</t>
  </si>
  <si>
    <t>LMG FAMILY PRACTICE PC</t>
  </si>
  <si>
    <t>FINALIZED
07/06/2022</t>
  </si>
  <si>
    <t>262215732914</t>
  </si>
  <si>
    <t>QUEST DIAGNOSTICS INC</t>
  </si>
  <si>
    <t>FINALIZED
06/08/2022</t>
  </si>
  <si>
    <t>262215345810</t>
  </si>
  <si>
    <t>FINALIZED
06/06/2022</t>
  </si>
  <si>
    <t>262214656035</t>
  </si>
  <si>
    <t>FINALIZED
05/31/2022</t>
  </si>
  <si>
    <t>262213889130</t>
  </si>
  <si>
    <t>GRAND VIEW HEALTH SURGERY</t>
  </si>
  <si>
    <t>FINALIZED
05/20/2022</t>
  </si>
  <si>
    <t>262211793079</t>
  </si>
  <si>
    <t>FINALIZED
04/29/2022</t>
  </si>
  <si>
    <t>262211520362</t>
  </si>
  <si>
    <t>ADVANCED DERMATOLOGY OF PENNSY</t>
  </si>
  <si>
    <t>FINALIZED
04/27/2022</t>
  </si>
  <si>
    <t>262211185063</t>
  </si>
  <si>
    <t>SKIN PATHOLOGY ASSOCIATES, LLC</t>
  </si>
  <si>
    <t>FINALIZED
04/25/2022</t>
  </si>
  <si>
    <t>262210896671</t>
  </si>
  <si>
    <t>FINALIZED
04/20/2022</t>
  </si>
  <si>
    <t>262210483753</t>
  </si>
  <si>
    <t>LABCORP OF AMERICA HOLDINGS</t>
  </si>
  <si>
    <t>FINALIZED
04/18/2022</t>
  </si>
  <si>
    <t>262210483923</t>
  </si>
  <si>
    <t>GRAND VIEW HEALTH OBGYN</t>
  </si>
  <si>
    <t>262207315870</t>
  </si>
  <si>
    <t>FINALIZED
03/16/2022</t>
  </si>
  <si>
    <t>262206786403</t>
  </si>
  <si>
    <t>FINALIZED
03/10/2022</t>
  </si>
  <si>
    <t>262206360569</t>
  </si>
  <si>
    <t>FINALIZED
03/08/2022</t>
  </si>
  <si>
    <t>262205934764</t>
  </si>
  <si>
    <t>ADVOCARE LANSDALE PEDIATRICS</t>
  </si>
  <si>
    <t>FINALIZED
03/02/2022</t>
  </si>
  <si>
    <t>262203257434</t>
  </si>
  <si>
    <t>CORBETT           SANDRA</t>
  </si>
  <si>
    <t>FINALIZED
02/03/2022</t>
  </si>
  <si>
    <t>Total</t>
  </si>
  <si>
    <t>Posted Date</t>
  </si>
  <si>
    <t>Description</t>
  </si>
  <si>
    <t>Type</t>
  </si>
  <si>
    <t>Amount</t>
  </si>
  <si>
    <t>Service From</t>
  </si>
  <si>
    <t>Service To</t>
  </si>
  <si>
    <t>09-23-22</t>
  </si>
  <si>
    <t>Debit Card | LMG FAMILY PRACTICE, PC</t>
  </si>
  <si>
    <t>Payment</t>
  </si>
  <si>
    <t>-$70.50</t>
  </si>
  <si>
    <t>09-21-22</t>
  </si>
  <si>
    <t/>
  </si>
  <si>
    <t>Debit Card | QUEST DIAGNOSTICS</t>
  </si>
  <si>
    <t>-$5.78</t>
  </si>
  <si>
    <t>09-22-22</t>
  </si>
  <si>
    <t>07-27-22</t>
  </si>
  <si>
    <t>Debit Card | HIGHPOINT PEDIATRIC DENTA</t>
  </si>
  <si>
    <t>-$43.20</t>
  </si>
  <si>
    <t>07-25-22</t>
  </si>
  <si>
    <t>06-23-22</t>
  </si>
  <si>
    <t>Debit Card | PATIENT FIRST TOKEN</t>
  </si>
  <si>
    <t>-$130.40</t>
  </si>
  <si>
    <t>06-21-22</t>
  </si>
  <si>
    <t>06-18-22</t>
  </si>
  <si>
    <t>Debit Card | GRAND VIEW MEDICAL PRACTI</t>
  </si>
  <si>
    <t>-$132.67</t>
  </si>
  <si>
    <t>06-16-22</t>
  </si>
  <si>
    <t>06-09-22</t>
  </si>
  <si>
    <t>-$50.00</t>
  </si>
  <si>
    <t>06-07-22</t>
  </si>
  <si>
    <t>Debit Card | CVS/PHARMACY #00987</t>
  </si>
  <si>
    <t>-$32.48</t>
  </si>
  <si>
    <t>06-02-22</t>
  </si>
  <si>
    <t>Debit Card | PAY* ADVANCED DERM</t>
  </si>
  <si>
    <t>-$250.83</t>
  </si>
  <si>
    <t>05-31-22</t>
  </si>
  <si>
    <t>-$40.39</t>
  </si>
  <si>
    <t>06-01-22</t>
  </si>
  <si>
    <t>Debit Card | SKIN PATHOLOGY ASSOCIATES</t>
  </si>
  <si>
    <t>-$38.00</t>
  </si>
  <si>
    <t>-$7.95</t>
  </si>
  <si>
    <t>05-29-22</t>
  </si>
  <si>
    <t>04-15-22</t>
  </si>
  <si>
    <t>Debit Card | ADVANCED DERMATOLOGY</t>
  </si>
  <si>
    <t>-$141.02</t>
  </si>
  <si>
    <t>04-13-22</t>
  </si>
  <si>
    <t>03-12-22</t>
  </si>
  <si>
    <t>-$35.08</t>
  </si>
  <si>
    <t>03-10-22</t>
  </si>
  <si>
    <t>03-11-22</t>
  </si>
  <si>
    <t>-$34.82</t>
  </si>
  <si>
    <t>03-09-22</t>
  </si>
  <si>
    <t>02-14-22</t>
  </si>
  <si>
    <t>-$20.00</t>
  </si>
  <si>
    <t>02-11-22</t>
  </si>
  <si>
    <t>01-29-22</t>
  </si>
  <si>
    <t>-$7.41</t>
  </si>
  <si>
    <t>01-28-22</t>
  </si>
  <si>
    <t>Debit Card | MED*LMG FAMILY PRACTICE</t>
  </si>
  <si>
    <t>-$4.33</t>
  </si>
  <si>
    <t>Matched with FSA</t>
  </si>
  <si>
    <t>Yes</t>
  </si>
  <si>
    <t>Matched to Medical Claims</t>
  </si>
  <si>
    <t>Med Claim Number</t>
  </si>
  <si>
    <t>NA</t>
  </si>
  <si>
    <t>NO</t>
  </si>
  <si>
    <t>Phrarm</t>
  </si>
  <si>
    <t>To be claimed from FSA</t>
  </si>
  <si>
    <t>FSA Filing Status</t>
  </si>
  <si>
    <t>FILED Electronically on Dec 22 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</si>
</sst>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"/>
    <numFmt numFmtId="165" formatCode="\$#,##0.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529B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4" fillId="0" borderId="0"/>
  </cellStyleXfs>
  <cellXfs count="27">
    <xf numFmtId="0" fontId="0" fillId="0" borderId="0" xfId="0"/>
    <xf numFmtId="0" fontId="1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left"/>
    </xf>
    <xf numFmtId="165" fontId="3" fillId="3" borderId="1" xfId="0" applyNumberFormat="1" applyFont="1" applyFill="1" applyBorder="1" applyAlignment="1">
      <alignment horizontal="center"/>
    </xf>
    <xf numFmtId="0" fontId="4" fillId="0" borderId="0" xfId="1"/>
    <xf numFmtId="0" fontId="2" fillId="2" borderId="2" xfId="0" applyFont="1" applyFill="1" applyBorder="1" applyAlignment="1">
      <alignment horizontal="center" wrapText="1"/>
    </xf>
    <xf numFmtId="0" fontId="0" fillId="4" borderId="0" xfId="0" applyFill="1"/>
    <xf numFmtId="0" fontId="1" fillId="4" borderId="1" xfId="0" applyFont="1" applyFill="1" applyBorder="1" applyAlignment="1">
      <alignment horizontal="center" wrapText="1"/>
    </xf>
    <xf numFmtId="0" fontId="0" fillId="4" borderId="1" xfId="0" applyFill="1" applyBorder="1"/>
    <xf numFmtId="0" fontId="0" fillId="5" borderId="1" xfId="0" applyFill="1" applyBorder="1"/>
    <xf numFmtId="164" fontId="0" fillId="5" borderId="1" xfId="0" applyNumberFormat="1" applyFill="1" applyBorder="1"/>
    <xf numFmtId="165" fontId="0" fillId="5" borderId="1" xfId="0" applyNumberFormat="1" applyFill="1" applyBorder="1"/>
    <xf numFmtId="0" fontId="6" fillId="5" borderId="1" xfId="0" applyFont="1" applyFill="1" applyBorder="1"/>
    <xf numFmtId="0" fontId="5" fillId="0" borderId="0" xfId="1" applyFont="1" applyAlignment="1">
      <alignment wrapText="1"/>
    </xf>
    <xf numFmtId="0" fontId="4" fillId="0" borderId="0" xfId="1" applyAlignment="1">
      <alignment wrapText="1"/>
    </xf>
    <xf numFmtId="0" fontId="7" fillId="6" borderId="1" xfId="0" applyFont="1" applyFill="1" applyBorder="1"/>
    <xf numFmtId="164" fontId="7" fillId="6" borderId="1" xfId="0" applyNumberFormat="1" applyFont="1" applyFill="1" applyBorder="1"/>
    <xf numFmtId="165" fontId="7" fillId="6" borderId="1" xfId="0" applyNumberFormat="1" applyFont="1" applyFill="1" applyBorder="1"/>
    <xf numFmtId="0" fontId="8" fillId="4" borderId="1" xfId="0" applyFont="1" applyFill="1" applyBorder="1"/>
    <xf numFmtId="0" fontId="0" fillId="7" borderId="1" xfId="0" applyFill="1" applyBorder="1"/>
    <xf numFmtId="164" fontId="0" fillId="7" borderId="1" xfId="0" applyNumberFormat="1" applyFill="1" applyBorder="1"/>
    <xf numFmtId="165" fontId="0" fillId="7" borderId="1" xfId="0" applyNumberFormat="1" applyFill="1" applyBorder="1"/>
    <xf numFmtId="0" fontId="8" fillId="8" borderId="2" xfId="0" applyFont="1" applyFill="1" applyBorder="1" applyAlignment="1">
      <alignment horizontal="center" wrapText="1"/>
    </xf>
    <xf numFmtId="0" fontId="1" fillId="0" borderId="0" xfId="0" applyFont="1"/>
    <xf numFmtId="0" fontId="1" fillId="0" borderId="1" xfId="0" applyFont="1" applyBorder="1" applyAlignment="1">
      <alignment horizontal="center"/>
    </xf>
    <xf numFmtId="0" fontId="0" fillId="0" borderId="0" xfId="0"/>
  </cellXfs>
  <cellStyles count="2">
    <cellStyle name="Normal" xfId="0" builtinId="0"/>
    <cellStyle name="Normal 2" xfId="1" xr:uid="{CEEA833A-EAA5-4B29-9E80-40032B4D4105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30"/>
  <sheetViews>
    <sheetView workbookViewId="0">
      <selection activeCell="J10" sqref="J10"/>
    </sheetView>
  </sheetViews>
  <sheetFormatPr defaultRowHeight="14.5" x14ac:dyDescent="0.35"/>
  <cols>
    <col min="1" max="1" width="29.6328125" bestFit="1" customWidth="1"/>
    <col min="2" max="2" width="17.36328125" bestFit="1" customWidth="1"/>
    <col min="3" max="3" width="17.90625" bestFit="1" customWidth="1"/>
    <col min="4" max="4" width="33.90625" bestFit="1" customWidth="1"/>
    <col min="5" max="5" width="17.90625" bestFit="1" customWidth="1"/>
    <col min="6" max="6" width="18" bestFit="1" customWidth="1"/>
    <col min="7" max="7" width="20.08984375" bestFit="1" customWidth="1"/>
    <col min="8" max="8" width="12.81640625" bestFit="1" customWidth="1"/>
    <col min="9" max="9" width="12.90625" bestFit="1" customWidth="1"/>
    <col min="10" max="10" width="30.36328125" bestFit="1" customWidth="1"/>
  </cols>
  <sheetData>
    <row r="1" spans="1:10" x14ac:dyDescent="0.35">
      <c r="A1" s="25" t="s">
        <v>0</v>
      </c>
      <c r="B1" s="25"/>
      <c r="C1" s="25"/>
      <c r="D1" s="25"/>
      <c r="E1" s="25"/>
      <c r="F1" s="25"/>
      <c r="G1" s="25"/>
      <c r="H1" s="25"/>
      <c r="I1" s="25"/>
      <c r="J1" s="25"/>
    </row>
    <row r="2" spans="1:10" x14ac:dyDescent="0.35">
      <c r="A2" s="1" t="s">
        <v>1</v>
      </c>
    </row>
    <row r="3" spans="1:10" x14ac:dyDescent="0.35">
      <c r="A3" s="1" t="s">
        <v>2</v>
      </c>
    </row>
    <row r="4" spans="1:10" x14ac:dyDescent="0.35">
      <c r="A4" s="26"/>
      <c r="B4" s="26"/>
      <c r="C4" s="26"/>
      <c r="D4" s="26"/>
      <c r="E4" s="26"/>
      <c r="F4" s="26"/>
      <c r="G4" s="26"/>
      <c r="I4" s="7">
        <f>SUM(I6:I28)</f>
        <v>454.59</v>
      </c>
    </row>
    <row r="5" spans="1:10" ht="43.5" x14ac:dyDescent="0.35">
      <c r="A5" s="2" t="s">
        <v>3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8" t="s">
        <v>132</v>
      </c>
      <c r="I5" s="23" t="s">
        <v>139</v>
      </c>
      <c r="J5" s="6" t="s">
        <v>140</v>
      </c>
    </row>
    <row r="6" spans="1:10" x14ac:dyDescent="0.35">
      <c r="A6" s="20" t="s">
        <v>10</v>
      </c>
      <c r="B6" s="20" t="s">
        <v>11</v>
      </c>
      <c r="C6" s="21">
        <v>44902</v>
      </c>
      <c r="D6" s="20" t="s">
        <v>12</v>
      </c>
      <c r="E6" s="20" t="s">
        <v>13</v>
      </c>
      <c r="F6" s="22">
        <v>17.14</v>
      </c>
      <c r="G6" s="20" t="s">
        <v>14</v>
      </c>
      <c r="H6" s="19" t="s">
        <v>137</v>
      </c>
      <c r="I6">
        <f>IF(H6="NO",F6,"")</f>
        <v>17.14</v>
      </c>
      <c r="J6" s="24" t="s">
        <v>141</v>
      </c>
    </row>
    <row r="7" spans="1:10" x14ac:dyDescent="0.35">
      <c r="A7" s="20" t="s">
        <v>15</v>
      </c>
      <c r="B7" s="20" t="s">
        <v>16</v>
      </c>
      <c r="C7" s="21">
        <v>44873</v>
      </c>
      <c r="D7" s="20" t="s">
        <v>17</v>
      </c>
      <c r="E7" s="20" t="s">
        <v>13</v>
      </c>
      <c r="F7" s="22">
        <v>38.020000000000003</v>
      </c>
      <c r="G7" s="20" t="s">
        <v>18</v>
      </c>
      <c r="H7" s="19" t="s">
        <v>137</v>
      </c>
      <c r="I7">
        <f t="shared" ref="I7:I28" si="0">IF(H7="NO",F7,"")</f>
        <v>38.020000000000003</v>
      </c>
    </row>
    <row r="8" spans="1:10" x14ac:dyDescent="0.35">
      <c r="A8" s="20" t="s">
        <v>19</v>
      </c>
      <c r="B8" s="20" t="s">
        <v>11</v>
      </c>
      <c r="C8" s="21">
        <v>44874</v>
      </c>
      <c r="D8" s="20" t="s">
        <v>12</v>
      </c>
      <c r="E8" s="20" t="s">
        <v>13</v>
      </c>
      <c r="F8" s="22">
        <v>13.98</v>
      </c>
      <c r="G8" s="20" t="s">
        <v>20</v>
      </c>
      <c r="H8" s="19" t="s">
        <v>137</v>
      </c>
      <c r="I8">
        <f t="shared" si="0"/>
        <v>13.98</v>
      </c>
      <c r="J8" s="24" t="s">
        <v>141</v>
      </c>
    </row>
    <row r="9" spans="1:10" x14ac:dyDescent="0.35">
      <c r="A9" s="16" t="s">
        <v>21</v>
      </c>
      <c r="B9" s="16" t="s">
        <v>22</v>
      </c>
      <c r="C9" s="17">
        <v>44857</v>
      </c>
      <c r="D9" s="16" t="s">
        <v>23</v>
      </c>
      <c r="E9" s="16" t="s">
        <v>13</v>
      </c>
      <c r="F9" s="18">
        <v>0</v>
      </c>
      <c r="G9" s="16" t="s">
        <v>24</v>
      </c>
      <c r="H9" s="9" t="s">
        <v>136</v>
      </c>
      <c r="I9" t="str">
        <f t="shared" si="0"/>
        <v/>
      </c>
    </row>
    <row r="10" spans="1:10" x14ac:dyDescent="0.35">
      <c r="A10" s="20" t="s">
        <v>25</v>
      </c>
      <c r="B10" s="20" t="s">
        <v>16</v>
      </c>
      <c r="C10" s="21">
        <v>44839</v>
      </c>
      <c r="D10" s="20" t="s">
        <v>17</v>
      </c>
      <c r="E10" s="20" t="s">
        <v>13</v>
      </c>
      <c r="F10" s="22">
        <v>41.22</v>
      </c>
      <c r="G10" s="20" t="s">
        <v>26</v>
      </c>
      <c r="H10" s="19" t="s">
        <v>137</v>
      </c>
      <c r="I10">
        <f t="shared" si="0"/>
        <v>41.22</v>
      </c>
    </row>
    <row r="11" spans="1:10" x14ac:dyDescent="0.35">
      <c r="A11" s="20" t="s">
        <v>27</v>
      </c>
      <c r="B11" s="20" t="s">
        <v>11</v>
      </c>
      <c r="C11" s="21">
        <v>44810</v>
      </c>
      <c r="D11" s="20" t="s">
        <v>12</v>
      </c>
      <c r="E11" s="20" t="s">
        <v>13</v>
      </c>
      <c r="F11" s="22">
        <v>116.92</v>
      </c>
      <c r="G11" s="20" t="s">
        <v>28</v>
      </c>
      <c r="H11" s="19" t="s">
        <v>137</v>
      </c>
      <c r="I11">
        <f t="shared" si="0"/>
        <v>116.92</v>
      </c>
      <c r="J11" s="24" t="s">
        <v>141</v>
      </c>
    </row>
    <row r="12" spans="1:10" x14ac:dyDescent="0.35">
      <c r="A12" s="20" t="s">
        <v>29</v>
      </c>
      <c r="B12" s="20" t="s">
        <v>11</v>
      </c>
      <c r="C12" s="21">
        <v>44796</v>
      </c>
      <c r="D12" s="20" t="s">
        <v>12</v>
      </c>
      <c r="E12" s="20" t="s">
        <v>13</v>
      </c>
      <c r="F12" s="22">
        <v>118.92</v>
      </c>
      <c r="G12" s="20" t="s">
        <v>30</v>
      </c>
      <c r="H12" s="19" t="s">
        <v>137</v>
      </c>
      <c r="I12">
        <f t="shared" si="0"/>
        <v>118.92</v>
      </c>
      <c r="J12" s="24" t="s">
        <v>141</v>
      </c>
    </row>
    <row r="13" spans="1:10" x14ac:dyDescent="0.35">
      <c r="A13" s="13" t="s">
        <v>31</v>
      </c>
      <c r="B13" s="10" t="s">
        <v>22</v>
      </c>
      <c r="C13" s="11">
        <v>44719</v>
      </c>
      <c r="D13" s="10" t="s">
        <v>32</v>
      </c>
      <c r="E13" s="10" t="s">
        <v>13</v>
      </c>
      <c r="F13" s="12">
        <v>120.5</v>
      </c>
      <c r="G13" s="10" t="s">
        <v>33</v>
      </c>
      <c r="H13" s="9" t="s">
        <v>133</v>
      </c>
      <c r="I13" t="str">
        <f t="shared" si="0"/>
        <v/>
      </c>
    </row>
    <row r="14" spans="1:10" x14ac:dyDescent="0.35">
      <c r="A14" s="13" t="s">
        <v>34</v>
      </c>
      <c r="B14" s="10" t="s">
        <v>16</v>
      </c>
      <c r="C14" s="11">
        <v>44660</v>
      </c>
      <c r="D14" s="10" t="s">
        <v>35</v>
      </c>
      <c r="E14" s="10" t="s">
        <v>13</v>
      </c>
      <c r="F14" s="12">
        <v>5.78</v>
      </c>
      <c r="G14" s="10" t="s">
        <v>36</v>
      </c>
      <c r="H14" s="9" t="s">
        <v>133</v>
      </c>
      <c r="I14" t="str">
        <f t="shared" si="0"/>
        <v/>
      </c>
    </row>
    <row r="15" spans="1:10" x14ac:dyDescent="0.35">
      <c r="A15" s="13" t="s">
        <v>37</v>
      </c>
      <c r="B15" s="10" t="s">
        <v>22</v>
      </c>
      <c r="C15" s="11">
        <v>44710</v>
      </c>
      <c r="D15" s="10" t="s">
        <v>23</v>
      </c>
      <c r="E15" s="10" t="s">
        <v>13</v>
      </c>
      <c r="F15" s="12">
        <v>130.4</v>
      </c>
      <c r="G15" s="10" t="s">
        <v>38</v>
      </c>
      <c r="H15" s="9" t="s">
        <v>133</v>
      </c>
      <c r="I15" t="str">
        <f t="shared" si="0"/>
        <v/>
      </c>
    </row>
    <row r="16" spans="1:10" x14ac:dyDescent="0.35">
      <c r="A16" s="16" t="s">
        <v>39</v>
      </c>
      <c r="B16" s="16" t="s">
        <v>11</v>
      </c>
      <c r="C16" s="17">
        <v>44692</v>
      </c>
      <c r="D16" s="16" t="s">
        <v>32</v>
      </c>
      <c r="E16" s="16" t="s">
        <v>13</v>
      </c>
      <c r="F16" s="18">
        <v>0</v>
      </c>
      <c r="G16" s="16" t="s">
        <v>40</v>
      </c>
      <c r="H16" s="9" t="s">
        <v>136</v>
      </c>
      <c r="I16" t="str">
        <f t="shared" si="0"/>
        <v/>
      </c>
    </row>
    <row r="17" spans="1:9" x14ac:dyDescent="0.35">
      <c r="A17" s="13" t="s">
        <v>41</v>
      </c>
      <c r="B17" s="10" t="s">
        <v>22</v>
      </c>
      <c r="C17" s="11">
        <v>44685</v>
      </c>
      <c r="D17" s="10" t="s">
        <v>42</v>
      </c>
      <c r="E17" s="10" t="s">
        <v>13</v>
      </c>
      <c r="F17" s="12">
        <v>132.66999999999999</v>
      </c>
      <c r="G17" s="10" t="s">
        <v>43</v>
      </c>
      <c r="H17" s="9" t="s">
        <v>133</v>
      </c>
      <c r="I17" t="str">
        <f t="shared" si="0"/>
        <v/>
      </c>
    </row>
    <row r="18" spans="1:9" x14ac:dyDescent="0.35">
      <c r="A18" s="16" t="s">
        <v>44</v>
      </c>
      <c r="B18" s="16" t="s">
        <v>22</v>
      </c>
      <c r="C18" s="17">
        <v>44622</v>
      </c>
      <c r="D18" s="16" t="s">
        <v>35</v>
      </c>
      <c r="E18" s="16" t="s">
        <v>13</v>
      </c>
      <c r="F18" s="18">
        <v>0</v>
      </c>
      <c r="G18" s="16" t="s">
        <v>45</v>
      </c>
      <c r="H18" s="9" t="s">
        <v>136</v>
      </c>
      <c r="I18" t="str">
        <f t="shared" si="0"/>
        <v/>
      </c>
    </row>
    <row r="19" spans="1:9" x14ac:dyDescent="0.35">
      <c r="A19" s="13" t="s">
        <v>46</v>
      </c>
      <c r="B19" s="10" t="s">
        <v>16</v>
      </c>
      <c r="C19" s="11">
        <v>44671</v>
      </c>
      <c r="D19" s="10" t="s">
        <v>47</v>
      </c>
      <c r="E19" s="10" t="s">
        <v>13</v>
      </c>
      <c r="F19" s="12">
        <v>24.94</v>
      </c>
      <c r="G19" s="10" t="s">
        <v>48</v>
      </c>
      <c r="H19" s="9" t="s">
        <v>133</v>
      </c>
      <c r="I19" t="str">
        <f t="shared" si="0"/>
        <v/>
      </c>
    </row>
    <row r="20" spans="1:9" x14ac:dyDescent="0.35">
      <c r="A20" s="13" t="s">
        <v>49</v>
      </c>
      <c r="B20" s="10" t="s">
        <v>16</v>
      </c>
      <c r="C20" s="11">
        <v>44664</v>
      </c>
      <c r="D20" s="10" t="s">
        <v>50</v>
      </c>
      <c r="E20" s="10" t="s">
        <v>13</v>
      </c>
      <c r="F20" s="12">
        <v>38</v>
      </c>
      <c r="G20" s="10" t="s">
        <v>51</v>
      </c>
      <c r="H20" s="9" t="s">
        <v>133</v>
      </c>
      <c r="I20" t="str">
        <f t="shared" si="0"/>
        <v/>
      </c>
    </row>
    <row r="21" spans="1:9" x14ac:dyDescent="0.35">
      <c r="A21" s="13" t="s">
        <v>52</v>
      </c>
      <c r="B21" s="10" t="s">
        <v>16</v>
      </c>
      <c r="C21" s="11">
        <v>44664</v>
      </c>
      <c r="D21" s="10" t="s">
        <v>47</v>
      </c>
      <c r="E21" s="10" t="s">
        <v>13</v>
      </c>
      <c r="F21" s="12">
        <v>225.89</v>
      </c>
      <c r="G21" s="10" t="s">
        <v>53</v>
      </c>
      <c r="H21" s="9" t="s">
        <v>133</v>
      </c>
      <c r="I21" t="str">
        <f t="shared" si="0"/>
        <v/>
      </c>
    </row>
    <row r="22" spans="1:9" x14ac:dyDescent="0.35">
      <c r="A22" s="16" t="s">
        <v>54</v>
      </c>
      <c r="B22" s="16" t="s">
        <v>22</v>
      </c>
      <c r="C22" s="17">
        <v>44656</v>
      </c>
      <c r="D22" s="16" t="s">
        <v>55</v>
      </c>
      <c r="E22" s="16" t="s">
        <v>13</v>
      </c>
      <c r="F22" s="18">
        <v>0</v>
      </c>
      <c r="G22" s="16" t="s">
        <v>56</v>
      </c>
      <c r="H22" s="9" t="s">
        <v>136</v>
      </c>
      <c r="I22" t="str">
        <f t="shared" si="0"/>
        <v/>
      </c>
    </row>
    <row r="23" spans="1:9" x14ac:dyDescent="0.35">
      <c r="A23" s="16" t="s">
        <v>57</v>
      </c>
      <c r="B23" s="16" t="s">
        <v>22</v>
      </c>
      <c r="C23" s="17">
        <v>44656</v>
      </c>
      <c r="D23" s="16" t="s">
        <v>58</v>
      </c>
      <c r="E23" s="16" t="s">
        <v>13</v>
      </c>
      <c r="F23" s="18">
        <v>0</v>
      </c>
      <c r="G23" s="16" t="s">
        <v>56</v>
      </c>
      <c r="H23" s="9" t="s">
        <v>136</v>
      </c>
      <c r="I23" t="str">
        <f t="shared" si="0"/>
        <v/>
      </c>
    </row>
    <row r="24" spans="1:9" x14ac:dyDescent="0.35">
      <c r="A24" s="13" t="s">
        <v>59</v>
      </c>
      <c r="B24" s="10" t="s">
        <v>16</v>
      </c>
      <c r="C24" s="11">
        <v>44629</v>
      </c>
      <c r="D24" s="10" t="s">
        <v>47</v>
      </c>
      <c r="E24" s="10" t="s">
        <v>13</v>
      </c>
      <c r="F24" s="12">
        <v>175.84</v>
      </c>
      <c r="G24" s="10" t="s">
        <v>60</v>
      </c>
      <c r="H24" s="9" t="s">
        <v>133</v>
      </c>
      <c r="I24" t="str">
        <f t="shared" si="0"/>
        <v/>
      </c>
    </row>
    <row r="25" spans="1:9" x14ac:dyDescent="0.35">
      <c r="A25" s="13" t="s">
        <v>61</v>
      </c>
      <c r="B25" s="10" t="s">
        <v>22</v>
      </c>
      <c r="C25" s="11">
        <v>44622</v>
      </c>
      <c r="D25" s="10" t="s">
        <v>35</v>
      </c>
      <c r="E25" s="10" t="s">
        <v>13</v>
      </c>
      <c r="F25" s="12">
        <v>40.39</v>
      </c>
      <c r="G25" s="10" t="s">
        <v>62</v>
      </c>
      <c r="H25" s="9" t="s">
        <v>133</v>
      </c>
      <c r="I25" t="str">
        <f t="shared" si="0"/>
        <v/>
      </c>
    </row>
    <row r="26" spans="1:9" x14ac:dyDescent="0.35">
      <c r="A26" s="16" t="s">
        <v>63</v>
      </c>
      <c r="B26" s="16" t="s">
        <v>22</v>
      </c>
      <c r="C26" s="17">
        <v>44608</v>
      </c>
      <c r="D26" s="16" t="s">
        <v>32</v>
      </c>
      <c r="E26" s="16" t="s">
        <v>13</v>
      </c>
      <c r="F26" s="18">
        <v>0</v>
      </c>
      <c r="G26" s="16" t="s">
        <v>64</v>
      </c>
      <c r="H26" s="9" t="s">
        <v>136</v>
      </c>
      <c r="I26" t="str">
        <f t="shared" si="0"/>
        <v/>
      </c>
    </row>
    <row r="27" spans="1:9" x14ac:dyDescent="0.35">
      <c r="A27" s="16" t="s">
        <v>65</v>
      </c>
      <c r="B27" s="16" t="s">
        <v>16</v>
      </c>
      <c r="C27" s="17">
        <v>44613</v>
      </c>
      <c r="D27" s="16" t="s">
        <v>66</v>
      </c>
      <c r="E27" s="16" t="s">
        <v>13</v>
      </c>
      <c r="F27" s="18">
        <v>0</v>
      </c>
      <c r="G27" s="16" t="s">
        <v>67</v>
      </c>
      <c r="H27" s="9" t="s">
        <v>136</v>
      </c>
      <c r="I27" t="str">
        <f t="shared" si="0"/>
        <v/>
      </c>
    </row>
    <row r="28" spans="1:9" x14ac:dyDescent="0.35">
      <c r="A28" s="20" t="s">
        <v>68</v>
      </c>
      <c r="B28" s="20" t="s">
        <v>16</v>
      </c>
      <c r="C28" s="21">
        <v>44591</v>
      </c>
      <c r="D28" s="20" t="s">
        <v>69</v>
      </c>
      <c r="E28" s="20" t="s">
        <v>13</v>
      </c>
      <c r="F28" s="22">
        <v>108.39</v>
      </c>
      <c r="G28" s="20" t="s">
        <v>70</v>
      </c>
      <c r="H28" s="19" t="s">
        <v>137</v>
      </c>
      <c r="I28">
        <f t="shared" si="0"/>
        <v>108.39</v>
      </c>
    </row>
    <row r="29" spans="1:9" x14ac:dyDescent="0.35">
      <c r="A29" s="26"/>
      <c r="B29" s="26"/>
      <c r="C29" s="26"/>
      <c r="D29" s="26"/>
      <c r="E29" s="26"/>
      <c r="F29" s="26"/>
      <c r="G29" s="26"/>
    </row>
    <row r="30" spans="1:9" x14ac:dyDescent="0.35">
      <c r="A30" s="3" t="s">
        <v>71</v>
      </c>
      <c r="B30" s="4"/>
      <c r="C30" s="4"/>
      <c r="D30" s="4"/>
      <c r="E30" s="4"/>
      <c r="F30" s="4">
        <v>1349</v>
      </c>
      <c r="G30" s="4"/>
    </row>
  </sheetData>
  <autoFilter ref="A5:J28" xr:uid="{00000000-0001-0000-0000-000000000000}"/>
  <mergeCells count="3">
    <mergeCell ref="A1:J1"/>
    <mergeCell ref="A4:G4"/>
    <mergeCell ref="A29:G29"/>
  </mergeCells>
  <pageMargins left="0.7" right="0.7" top="0.75" bottom="0.75" header="0.3" footer="0.3"/>
  <pageSetup orientation="portrait" horizontalDpi="1200" verticalDpi="1200" r:id="rId1"/>
  <headerFooter>
    <oddHeader>&amp;L&amp;"Calibri"&amp;12&amp;K00B294Proprietary&amp;1#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4FA11-8140-43E0-928E-0B99ED095773}">
  <dimension ref="A1:N20"/>
  <sheetViews>
    <sheetView tabSelected="1" topLeftCell="B1" workbookViewId="0">
      <selection activeCell="B2" sqref="B2"/>
    </sheetView>
  </sheetViews>
  <sheetFormatPr defaultRowHeight="15" customHeight="1" x14ac:dyDescent="0.35"/>
  <cols>
    <col min="1" max="1" width="11.6328125" style="5" bestFit="1" customWidth="1"/>
    <col min="2" max="2" width="40.26953125" style="5" bestFit="1" customWidth="1"/>
    <col min="3" max="3" width="8.7265625" style="5" bestFit="1" customWidth="1"/>
    <col min="4" max="4" width="8.54296875" style="5" bestFit="1" customWidth="1"/>
    <col min="5" max="5" width="12.26953125" style="5" bestFit="1" customWidth="1"/>
    <col min="6" max="6" width="9.90625" style="5" bestFit="1" customWidth="1"/>
    <col min="7" max="7" width="15.36328125" style="5" bestFit="1" customWidth="1"/>
    <col min="8" max="8" width="15.26953125" style="5" bestFit="1" customWidth="1"/>
    <col min="9" max="9" width="5.26953125" style="5" bestFit="1" customWidth="1"/>
    <col min="10" max="16384" width="8.7265625" style="5"/>
  </cols>
  <sheetData>
    <row r="1" spans="1:14" s="15" customFormat="1" ht="44" customHeight="1" x14ac:dyDescent="0.35">
      <c r="A1" s="14" t="s">
        <v>72</v>
      </c>
      <c r="B1" s="14" t="s">
        <v>73</v>
      </c>
      <c r="C1" s="14" t="s">
        <v>74</v>
      </c>
      <c r="D1" s="14" t="s">
        <v>75</v>
      </c>
      <c r="E1" s="14" t="s">
        <v>76</v>
      </c>
      <c r="F1" s="14" t="s">
        <v>77</v>
      </c>
      <c r="G1" s="14" t="s">
        <v>134</v>
      </c>
      <c r="H1" s="14" t="s">
        <v>135</v>
      </c>
      <c r="I1" s="14"/>
    </row>
    <row r="2" spans="1:14" ht="15" customHeight="1" x14ac:dyDescent="0.35">
      <c r="A2" s="5" t="s">
        <v>78</v>
      </c>
      <c r="B2" s="5" t="s">
        <v>79</v>
      </c>
      <c r="C2" s="5" t="s">
        <v>80</v>
      </c>
      <c r="D2" s="5" t="s">
        <v>81</v>
      </c>
      <c r="E2" s="5" t="s">
        <v>82</v>
      </c>
      <c r="F2" s="5" t="s">
        <v>82</v>
      </c>
      <c r="G2" s="5" t="s">
        <v>133</v>
      </c>
      <c r="H2" s="13" t="s">
        <v>31</v>
      </c>
      <c r="I2" s="10" t="s">
        <v>22</v>
      </c>
      <c r="J2" s="11">
        <v>44719</v>
      </c>
      <c r="K2" s="10" t="s">
        <v>32</v>
      </c>
      <c r="L2" s="10" t="s">
        <v>13</v>
      </c>
      <c r="M2" s="12">
        <v>120.5</v>
      </c>
      <c r="N2" s="10" t="s">
        <v>33</v>
      </c>
    </row>
    <row r="3" spans="1:14" ht="15" customHeight="1" x14ac:dyDescent="0.35">
      <c r="A3" s="5" t="s">
        <v>78</v>
      </c>
      <c r="B3" s="5" t="s">
        <v>84</v>
      </c>
      <c r="C3" s="5" t="s">
        <v>80</v>
      </c>
      <c r="D3" s="5" t="s">
        <v>85</v>
      </c>
      <c r="E3" s="5" t="s">
        <v>86</v>
      </c>
      <c r="F3" s="5" t="s">
        <v>86</v>
      </c>
      <c r="G3" s="5" t="s">
        <v>133</v>
      </c>
      <c r="H3" s="13" t="s">
        <v>34</v>
      </c>
      <c r="I3" s="10" t="s">
        <v>16</v>
      </c>
      <c r="J3" s="11">
        <v>44660</v>
      </c>
      <c r="K3" s="10" t="s">
        <v>35</v>
      </c>
      <c r="L3" s="10" t="s">
        <v>13</v>
      </c>
      <c r="M3" s="12">
        <v>5.78</v>
      </c>
      <c r="N3" s="10" t="s">
        <v>36</v>
      </c>
    </row>
    <row r="4" spans="1:14" ht="15" customHeight="1" x14ac:dyDescent="0.35">
      <c r="A4" s="5" t="s">
        <v>87</v>
      </c>
      <c r="B4" s="5" t="s">
        <v>88</v>
      </c>
      <c r="C4" s="5" t="s">
        <v>80</v>
      </c>
      <c r="D4" s="5" t="s">
        <v>89</v>
      </c>
      <c r="E4" s="5" t="s">
        <v>90</v>
      </c>
      <c r="F4" s="5" t="s">
        <v>90</v>
      </c>
      <c r="G4" s="5" t="s">
        <v>83</v>
      </c>
      <c r="H4" s="5" t="s">
        <v>83</v>
      </c>
      <c r="I4" s="5" t="s">
        <v>83</v>
      </c>
    </row>
    <row r="5" spans="1:14" ht="15" customHeight="1" x14ac:dyDescent="0.35">
      <c r="A5" s="5" t="s">
        <v>91</v>
      </c>
      <c r="B5" s="5" t="s">
        <v>92</v>
      </c>
      <c r="C5" s="5" t="s">
        <v>80</v>
      </c>
      <c r="D5" s="5" t="s">
        <v>93</v>
      </c>
      <c r="E5" s="5" t="s">
        <v>94</v>
      </c>
      <c r="F5" s="5" t="s">
        <v>94</v>
      </c>
      <c r="G5" s="5" t="s">
        <v>133</v>
      </c>
      <c r="H5" s="13" t="s">
        <v>37</v>
      </c>
      <c r="I5" s="10" t="s">
        <v>22</v>
      </c>
      <c r="J5" s="11">
        <v>44710</v>
      </c>
      <c r="K5" s="10" t="s">
        <v>23</v>
      </c>
      <c r="L5" s="10" t="s">
        <v>13</v>
      </c>
      <c r="M5" s="12">
        <v>130.4</v>
      </c>
      <c r="N5" s="10" t="s">
        <v>38</v>
      </c>
    </row>
    <row r="6" spans="1:14" ht="15" customHeight="1" x14ac:dyDescent="0.35">
      <c r="A6" s="5" t="s">
        <v>95</v>
      </c>
      <c r="B6" s="5" t="s">
        <v>96</v>
      </c>
      <c r="C6" s="5" t="s">
        <v>80</v>
      </c>
      <c r="D6" s="5" t="s">
        <v>97</v>
      </c>
      <c r="E6" s="5" t="s">
        <v>98</v>
      </c>
      <c r="F6" s="5" t="s">
        <v>98</v>
      </c>
      <c r="G6" s="5" t="s">
        <v>133</v>
      </c>
      <c r="H6" s="13" t="s">
        <v>41</v>
      </c>
      <c r="I6" s="10" t="s">
        <v>22</v>
      </c>
      <c r="J6" s="11">
        <v>44685</v>
      </c>
      <c r="K6" s="10" t="s">
        <v>42</v>
      </c>
      <c r="L6" s="10" t="s">
        <v>13</v>
      </c>
      <c r="M6" s="12">
        <v>132.66999999999999</v>
      </c>
      <c r="N6" s="10" t="s">
        <v>43</v>
      </c>
    </row>
    <row r="7" spans="1:14" ht="15" customHeight="1" x14ac:dyDescent="0.35">
      <c r="A7" s="5" t="s">
        <v>99</v>
      </c>
      <c r="B7" s="5" t="s">
        <v>79</v>
      </c>
      <c r="C7" s="5" t="s">
        <v>80</v>
      </c>
      <c r="D7" s="5" t="s">
        <v>100</v>
      </c>
      <c r="E7" s="5" t="s">
        <v>101</v>
      </c>
      <c r="F7" s="5" t="s">
        <v>101</v>
      </c>
      <c r="G7" s="5" t="s">
        <v>133</v>
      </c>
      <c r="H7" s="13" t="s">
        <v>31</v>
      </c>
      <c r="I7" s="10" t="s">
        <v>22</v>
      </c>
      <c r="J7" s="11">
        <v>44719</v>
      </c>
      <c r="K7" s="10" t="s">
        <v>32</v>
      </c>
      <c r="L7" s="10" t="s">
        <v>13</v>
      </c>
      <c r="M7" s="12">
        <v>120.5</v>
      </c>
      <c r="N7" s="10" t="s">
        <v>33</v>
      </c>
    </row>
    <row r="8" spans="1:14" ht="15" customHeight="1" x14ac:dyDescent="0.35">
      <c r="A8" s="5" t="s">
        <v>99</v>
      </c>
      <c r="B8" s="5" t="s">
        <v>102</v>
      </c>
      <c r="C8" s="5" t="s">
        <v>80</v>
      </c>
      <c r="D8" s="5" t="s">
        <v>100</v>
      </c>
      <c r="E8" s="5" t="s">
        <v>101</v>
      </c>
      <c r="F8" s="5" t="s">
        <v>101</v>
      </c>
      <c r="G8" s="5" t="s">
        <v>138</v>
      </c>
      <c r="H8" s="5" t="s">
        <v>83</v>
      </c>
      <c r="I8" s="5" t="s">
        <v>83</v>
      </c>
    </row>
    <row r="9" spans="1:14" ht="15" customHeight="1" x14ac:dyDescent="0.35">
      <c r="A9" s="5" t="s">
        <v>99</v>
      </c>
      <c r="B9" s="5" t="s">
        <v>102</v>
      </c>
      <c r="C9" s="5" t="s">
        <v>80</v>
      </c>
      <c r="D9" s="5" t="s">
        <v>103</v>
      </c>
      <c r="E9" s="5" t="s">
        <v>101</v>
      </c>
      <c r="F9" s="5" t="s">
        <v>101</v>
      </c>
      <c r="G9" s="5" t="s">
        <v>138</v>
      </c>
      <c r="H9" s="5" t="s">
        <v>83</v>
      </c>
      <c r="I9" s="5" t="s">
        <v>83</v>
      </c>
    </row>
    <row r="10" spans="1:14" ht="15" customHeight="1" x14ac:dyDescent="0.35">
      <c r="A10" s="5" t="s">
        <v>104</v>
      </c>
      <c r="B10" s="5" t="s">
        <v>105</v>
      </c>
      <c r="C10" s="5" t="s">
        <v>80</v>
      </c>
      <c r="D10" s="5" t="s">
        <v>106</v>
      </c>
      <c r="E10" s="5" t="s">
        <v>107</v>
      </c>
      <c r="F10" s="5" t="s">
        <v>107</v>
      </c>
      <c r="G10" s="5" t="s">
        <v>133</v>
      </c>
      <c r="H10" s="13" t="s">
        <v>52</v>
      </c>
      <c r="I10" s="10" t="s">
        <v>16</v>
      </c>
      <c r="J10" s="11">
        <v>44664</v>
      </c>
      <c r="K10" s="10" t="s">
        <v>47</v>
      </c>
      <c r="L10" s="10" t="s">
        <v>13</v>
      </c>
      <c r="M10" s="12">
        <v>225.89</v>
      </c>
      <c r="N10" s="10" t="s">
        <v>53</v>
      </c>
    </row>
    <row r="11" spans="1:14" ht="15" customHeight="1" x14ac:dyDescent="0.35">
      <c r="G11" s="5" t="s">
        <v>133</v>
      </c>
      <c r="H11" s="13" t="s">
        <v>52</v>
      </c>
      <c r="I11" s="10" t="s">
        <v>16</v>
      </c>
      <c r="J11" s="11">
        <v>44664</v>
      </c>
      <c r="K11" s="10" t="s">
        <v>47</v>
      </c>
      <c r="L11" s="10" t="s">
        <v>13</v>
      </c>
      <c r="M11" s="12">
        <v>225.89</v>
      </c>
      <c r="N11" s="10" t="s">
        <v>53</v>
      </c>
    </row>
    <row r="12" spans="1:14" ht="15" customHeight="1" x14ac:dyDescent="0.35">
      <c r="A12" s="5" t="s">
        <v>104</v>
      </c>
      <c r="B12" s="5" t="s">
        <v>84</v>
      </c>
      <c r="C12" s="5" t="s">
        <v>80</v>
      </c>
      <c r="D12" s="5" t="s">
        <v>108</v>
      </c>
      <c r="E12" s="5" t="s">
        <v>109</v>
      </c>
      <c r="F12" s="5" t="s">
        <v>109</v>
      </c>
      <c r="G12" s="5" t="s">
        <v>133</v>
      </c>
      <c r="H12" s="13" t="s">
        <v>61</v>
      </c>
      <c r="I12" s="10" t="s">
        <v>22</v>
      </c>
      <c r="J12" s="11">
        <v>44622</v>
      </c>
      <c r="K12" s="10" t="s">
        <v>35</v>
      </c>
      <c r="L12" s="10" t="s">
        <v>13</v>
      </c>
      <c r="M12" s="12">
        <v>40.39</v>
      </c>
      <c r="N12" s="10" t="s">
        <v>62</v>
      </c>
    </row>
    <row r="13" spans="1:14" ht="15" customHeight="1" x14ac:dyDescent="0.35">
      <c r="A13" s="5" t="s">
        <v>104</v>
      </c>
      <c r="B13" s="5" t="s">
        <v>110</v>
      </c>
      <c r="C13" s="5" t="s">
        <v>80</v>
      </c>
      <c r="D13" s="5" t="s">
        <v>111</v>
      </c>
      <c r="E13" s="5" t="s">
        <v>107</v>
      </c>
      <c r="F13" s="5" t="s">
        <v>107</v>
      </c>
      <c r="G13" s="5" t="s">
        <v>133</v>
      </c>
      <c r="H13" s="13" t="s">
        <v>49</v>
      </c>
      <c r="I13" s="10" t="s">
        <v>16</v>
      </c>
      <c r="J13" s="11">
        <v>44664</v>
      </c>
      <c r="K13" s="10" t="s">
        <v>50</v>
      </c>
      <c r="L13" s="10" t="s">
        <v>13</v>
      </c>
      <c r="M13" s="12">
        <v>38</v>
      </c>
      <c r="N13" s="10" t="s">
        <v>51</v>
      </c>
    </row>
    <row r="14" spans="1:14" ht="15" customHeight="1" x14ac:dyDescent="0.35">
      <c r="A14" s="5" t="s">
        <v>107</v>
      </c>
      <c r="B14" s="5" t="s">
        <v>92</v>
      </c>
      <c r="C14" s="5" t="s">
        <v>80</v>
      </c>
      <c r="D14" s="5" t="s">
        <v>112</v>
      </c>
      <c r="E14" s="5" t="s">
        <v>113</v>
      </c>
      <c r="F14" s="5" t="s">
        <v>113</v>
      </c>
      <c r="G14" s="5" t="s">
        <v>83</v>
      </c>
      <c r="H14" s="5" t="s">
        <v>83</v>
      </c>
      <c r="I14" s="5" t="s">
        <v>83</v>
      </c>
    </row>
    <row r="15" spans="1:14" ht="15" customHeight="1" x14ac:dyDescent="0.35">
      <c r="A15" s="5" t="s">
        <v>114</v>
      </c>
      <c r="B15" s="5" t="s">
        <v>115</v>
      </c>
      <c r="C15" s="5" t="s">
        <v>80</v>
      </c>
      <c r="D15" s="5" t="s">
        <v>116</v>
      </c>
      <c r="E15" s="5" t="s">
        <v>117</v>
      </c>
      <c r="F15" s="5" t="s">
        <v>117</v>
      </c>
      <c r="G15" s="5" t="s">
        <v>133</v>
      </c>
      <c r="H15" s="13" t="s">
        <v>59</v>
      </c>
      <c r="I15" s="10" t="s">
        <v>16</v>
      </c>
      <c r="J15" s="11">
        <v>44629</v>
      </c>
      <c r="K15" s="10" t="s">
        <v>47</v>
      </c>
      <c r="L15" s="10" t="s">
        <v>13</v>
      </c>
      <c r="M15" s="12">
        <v>175.84</v>
      </c>
      <c r="N15" s="10" t="s">
        <v>60</v>
      </c>
    </row>
    <row r="16" spans="1:14" ht="15" customHeight="1" x14ac:dyDescent="0.35">
      <c r="A16" s="5" t="s">
        <v>118</v>
      </c>
      <c r="B16" s="5" t="s">
        <v>102</v>
      </c>
      <c r="C16" s="5" t="s">
        <v>80</v>
      </c>
      <c r="D16" s="5" t="s">
        <v>119</v>
      </c>
      <c r="E16" s="5" t="s">
        <v>120</v>
      </c>
      <c r="F16" s="5" t="s">
        <v>120</v>
      </c>
      <c r="G16" s="5" t="s">
        <v>138</v>
      </c>
      <c r="H16" s="5" t="s">
        <v>83</v>
      </c>
      <c r="I16" s="5" t="s">
        <v>83</v>
      </c>
    </row>
    <row r="17" spans="1:14" ht="15" customHeight="1" x14ac:dyDescent="0.35">
      <c r="A17" s="5" t="s">
        <v>121</v>
      </c>
      <c r="B17" s="5" t="s">
        <v>115</v>
      </c>
      <c r="C17" s="5" t="s">
        <v>80</v>
      </c>
      <c r="D17" s="5" t="s">
        <v>122</v>
      </c>
      <c r="E17" s="5" t="s">
        <v>123</v>
      </c>
      <c r="F17" s="5" t="s">
        <v>123</v>
      </c>
      <c r="G17" s="5" t="s">
        <v>133</v>
      </c>
      <c r="H17" s="13" t="s">
        <v>59</v>
      </c>
      <c r="I17" s="10" t="s">
        <v>16</v>
      </c>
      <c r="J17" s="11">
        <v>44629</v>
      </c>
      <c r="K17" s="10" t="s">
        <v>47</v>
      </c>
      <c r="L17" s="10" t="s">
        <v>13</v>
      </c>
      <c r="M17" s="12">
        <v>175.84</v>
      </c>
      <c r="N17" s="10" t="s">
        <v>60</v>
      </c>
    </row>
    <row r="18" spans="1:14" ht="15" customHeight="1" x14ac:dyDescent="0.35">
      <c r="A18" s="5" t="s">
        <v>124</v>
      </c>
      <c r="B18" s="5" t="s">
        <v>102</v>
      </c>
      <c r="C18" s="5" t="s">
        <v>80</v>
      </c>
      <c r="D18" s="5" t="s">
        <v>125</v>
      </c>
      <c r="E18" s="5" t="s">
        <v>126</v>
      </c>
      <c r="F18" s="5" t="s">
        <v>126</v>
      </c>
      <c r="G18" s="5" t="s">
        <v>138</v>
      </c>
      <c r="H18" s="5" t="s">
        <v>83</v>
      </c>
      <c r="I18" s="5" t="s">
        <v>83</v>
      </c>
    </row>
    <row r="19" spans="1:14" ht="15" customHeight="1" x14ac:dyDescent="0.35">
      <c r="A19" s="5" t="s">
        <v>127</v>
      </c>
      <c r="B19" s="5" t="s">
        <v>84</v>
      </c>
      <c r="C19" s="5" t="s">
        <v>80</v>
      </c>
      <c r="D19" s="5" t="s">
        <v>128</v>
      </c>
      <c r="E19" s="5" t="s">
        <v>129</v>
      </c>
      <c r="F19" s="5" t="s">
        <v>129</v>
      </c>
      <c r="G19" s="5" t="s">
        <v>83</v>
      </c>
      <c r="H19" s="5" t="s">
        <v>83</v>
      </c>
      <c r="I19" s="5" t="s">
        <v>83</v>
      </c>
    </row>
    <row r="20" spans="1:14" ht="15" customHeight="1" x14ac:dyDescent="0.35">
      <c r="A20" s="5" t="s">
        <v>127</v>
      </c>
      <c r="B20" s="5" t="s">
        <v>130</v>
      </c>
      <c r="C20" s="5" t="s">
        <v>80</v>
      </c>
      <c r="D20" s="5" t="s">
        <v>131</v>
      </c>
      <c r="E20" s="5" t="s">
        <v>129</v>
      </c>
      <c r="F20" s="5" t="s">
        <v>129</v>
      </c>
      <c r="G20" s="5" t="s">
        <v>83</v>
      </c>
      <c r="H20" s="5" t="s">
        <v>83</v>
      </c>
      <c r="I20" s="5" t="s">
        <v>83</v>
      </c>
    </row>
  </sheetData>
  <autoFilter ref="A1:N20" xr:uid="{3E84FA11-8140-43E0-928E-0B99ED095773}"/>
  <pageMargins left="0.7" right="0.7" top="0.75" bottom="0.75" header="0.3" footer="0.3"/>
  <pageSetup orientation="portrait" horizontalDpi="1200" verticalDpi="1200" r:id="rId1"/>
  <headerFooter>
    <oddHeader>&amp;L&amp;"Calibri"&amp;12&amp;K00B294Proprietary&amp;1#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Medical_2022</vt:lpstr>
      <vt:lpstr>Activity-Health FSA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Murugan, Senthil</cp:lastModifiedBy>
  <dcterms:created xsi:type="dcterms:W3CDTF">2022-12-22T18:36:03Z</dcterms:created>
  <dcterms:modified xsi:type="dcterms:W3CDTF">2022-12-23T02:20:00Z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27fd646-07cb-4c4e-a107-4e4d6b30ba1b_Enabled">
    <vt:lpwstr>true</vt:lpwstr>
  </property>
  <property fmtid="{D5CDD505-2E9C-101B-9397-08002B2CF9AE}" pid="3" name="MSIP_Label_927fd646-07cb-4c4e-a107-4e4d6b30ba1b_SetDate">
    <vt:lpwstr>2022-12-22T18:39:07Z</vt:lpwstr>
  </property>
  <property fmtid="{D5CDD505-2E9C-101B-9397-08002B2CF9AE}" pid="4" name="MSIP_Label_927fd646-07cb-4c4e-a107-4e4d6b30ba1b_Method">
    <vt:lpwstr>Privileged</vt:lpwstr>
  </property>
  <property fmtid="{D5CDD505-2E9C-101B-9397-08002B2CF9AE}" pid="5" name="MSIP_Label_927fd646-07cb-4c4e-a107-4e4d6b30ba1b_Name">
    <vt:lpwstr>927fd646-07cb-4c4e-a107-4e4d6b30ba1b</vt:lpwstr>
  </property>
  <property fmtid="{D5CDD505-2E9C-101B-9397-08002B2CF9AE}" pid="6" name="MSIP_Label_927fd646-07cb-4c4e-a107-4e4d6b30ba1b_SiteId">
    <vt:lpwstr>a00de4ec-48a8-43a6-be74-e31274e2060d</vt:lpwstr>
  </property>
  <property fmtid="{D5CDD505-2E9C-101B-9397-08002B2CF9AE}" pid="7" name="MSIP_Label_927fd646-07cb-4c4e-a107-4e4d6b30ba1b_ActionId">
    <vt:lpwstr>5864f7d5-90d0-4fc6-92c0-1c78597a807c</vt:lpwstr>
  </property>
  <property fmtid="{D5CDD505-2E9C-101B-9397-08002B2CF9AE}" pid="8" name="MSIP_Label_927fd646-07cb-4c4e-a107-4e4d6b30ba1b_ContentBits">
    <vt:lpwstr>1</vt:lpwstr>
  </property>
  <property fmtid="{D5CDD505-2E9C-101B-9397-08002B2CF9AE}" pid="9" name="MerckAIPLabel">
    <vt:lpwstr>Proprietary</vt:lpwstr>
  </property>
  <property fmtid="{D5CDD505-2E9C-101B-9397-08002B2CF9AE}" pid="10" name="MerckAIPDataExchange">
    <vt:lpwstr>!MRKMIP@Proprietary</vt:lpwstr>
  </property>
</Properties>
</file>